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ae0ef349e6806e47/Escritorio/Impacto Desastres/"/>
    </mc:Choice>
  </mc:AlternateContent>
  <xr:revisionPtr revIDLastSave="165" documentId="8_{8AA4755B-2A46-418C-84E0-EB3737D6FCDB}" xr6:coauthVersionLast="47" xr6:coauthVersionMax="47" xr10:uidLastSave="{1971C3D2-9E38-4436-BDC8-65D84D5F8E51}"/>
  <bookViews>
    <workbookView xWindow="-108" yWindow="-108" windowWidth="23256" windowHeight="13176" xr2:uid="{00000000-000D-0000-FFFF-FFFF00000000}"/>
  </bookViews>
  <sheets>
    <sheet name="Hoja1" sheetId="1" r:id="rId1"/>
  </sheets>
  <externalReferences>
    <externalReference r:id="rId2"/>
  </externalReferences>
  <definedNames>
    <definedName name="_xlnm._FilterDatabase" localSheetId="0" hidden="1">Hoja1!$A$1:$W$3970</definedName>
    <definedName name="fo">'[1]Hidro-Lluvias, inund. y ciclons'!$T$66</definedName>
    <definedName name="va">'[1]Hidro-Lluvias, inund. y ciclons'!$G$115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3970" i="1" l="1"/>
  <c r="T3970" i="1"/>
  <c r="U3969" i="1"/>
  <c r="T3969" i="1"/>
  <c r="U3968" i="1"/>
  <c r="T3968" i="1"/>
  <c r="U3967" i="1"/>
  <c r="T3967" i="1"/>
  <c r="U3966" i="1"/>
  <c r="T3966" i="1"/>
  <c r="U3965" i="1"/>
  <c r="T3965" i="1"/>
  <c r="U3964" i="1"/>
  <c r="T3964" i="1"/>
  <c r="U3963" i="1"/>
  <c r="T3963" i="1"/>
  <c r="U3962" i="1"/>
  <c r="T3962" i="1"/>
  <c r="U3961" i="1"/>
  <c r="T3961" i="1"/>
  <c r="U3960" i="1"/>
  <c r="T3960" i="1"/>
  <c r="U3959" i="1"/>
  <c r="T3959" i="1"/>
  <c r="U3958" i="1"/>
  <c r="T3958" i="1"/>
  <c r="U3957" i="1"/>
  <c r="T3957" i="1"/>
  <c r="U3956" i="1"/>
  <c r="T3956" i="1"/>
  <c r="U3955" i="1"/>
  <c r="T3955" i="1"/>
  <c r="U3954" i="1"/>
  <c r="T3954" i="1"/>
  <c r="U3953" i="1"/>
  <c r="T3953" i="1"/>
  <c r="U3952" i="1"/>
  <c r="T3952" i="1"/>
  <c r="U3951" i="1"/>
  <c r="T3951" i="1"/>
  <c r="U3950" i="1"/>
  <c r="T3950" i="1"/>
  <c r="U3949" i="1"/>
  <c r="T3949" i="1"/>
  <c r="U3948" i="1"/>
  <c r="T3948" i="1"/>
  <c r="U3947" i="1"/>
  <c r="T3947" i="1"/>
  <c r="U3946" i="1"/>
  <c r="T3946" i="1"/>
  <c r="U3945" i="1"/>
  <c r="T3945" i="1"/>
  <c r="U3944" i="1"/>
  <c r="T3944" i="1"/>
  <c r="U3943" i="1"/>
  <c r="T3943" i="1"/>
  <c r="U3942" i="1"/>
  <c r="T3942" i="1"/>
  <c r="U3941" i="1"/>
  <c r="T3941" i="1"/>
  <c r="U3940" i="1"/>
  <c r="T3940" i="1"/>
  <c r="U3939" i="1"/>
  <c r="T3939" i="1"/>
  <c r="U3938" i="1"/>
  <c r="T3938" i="1"/>
  <c r="U3937" i="1"/>
  <c r="T3937" i="1"/>
  <c r="U3936" i="1"/>
  <c r="T3936" i="1"/>
  <c r="U3935" i="1"/>
  <c r="T3935" i="1"/>
  <c r="U3934" i="1"/>
  <c r="T3934" i="1"/>
  <c r="U3933" i="1"/>
  <c r="T3933" i="1"/>
  <c r="U3932" i="1"/>
  <c r="T3932" i="1"/>
  <c r="U3931" i="1"/>
  <c r="T3931" i="1"/>
  <c r="U3930" i="1"/>
  <c r="T3930" i="1"/>
  <c r="U3929" i="1"/>
  <c r="T3929" i="1"/>
  <c r="U3928" i="1"/>
  <c r="T3928" i="1"/>
  <c r="U3927" i="1"/>
  <c r="T3927" i="1"/>
  <c r="U3926" i="1"/>
  <c r="T3926" i="1"/>
  <c r="U3925" i="1"/>
  <c r="T3925" i="1"/>
  <c r="U3924" i="1"/>
  <c r="T3924" i="1"/>
  <c r="U3923" i="1"/>
  <c r="T3923" i="1"/>
  <c r="U3922" i="1"/>
  <c r="T3922" i="1"/>
  <c r="U3921" i="1"/>
  <c r="T3921" i="1"/>
  <c r="U3920" i="1"/>
  <c r="T3920" i="1"/>
  <c r="U3919" i="1"/>
  <c r="T3919" i="1"/>
  <c r="U3918" i="1"/>
  <c r="T3918" i="1"/>
  <c r="U3917" i="1"/>
  <c r="T3917" i="1"/>
  <c r="U3916" i="1"/>
  <c r="T3916" i="1"/>
  <c r="U3915" i="1"/>
  <c r="T3915" i="1"/>
  <c r="U3914" i="1"/>
  <c r="T3914" i="1"/>
  <c r="U3913" i="1"/>
  <c r="T3913" i="1"/>
  <c r="U3912" i="1"/>
  <c r="T3912" i="1"/>
  <c r="U3911" i="1"/>
  <c r="T3911" i="1"/>
  <c r="U3910" i="1"/>
  <c r="T3910" i="1"/>
  <c r="U3909" i="1"/>
  <c r="T3909" i="1"/>
  <c r="U3908" i="1"/>
  <c r="T3908" i="1"/>
  <c r="U3907" i="1"/>
  <c r="T3907" i="1"/>
  <c r="U3906" i="1"/>
  <c r="T3906" i="1"/>
  <c r="U3905" i="1"/>
  <c r="T3905" i="1"/>
  <c r="U3904" i="1"/>
  <c r="U3903" i="1"/>
  <c r="T3903" i="1"/>
  <c r="U3902" i="1"/>
  <c r="T3902" i="1"/>
  <c r="U3901" i="1"/>
  <c r="T3901" i="1"/>
  <c r="U3900" i="1"/>
  <c r="U3899" i="1"/>
  <c r="T3899" i="1"/>
  <c r="U3898" i="1"/>
  <c r="T3898" i="1"/>
  <c r="U3897" i="1"/>
  <c r="T3897" i="1"/>
  <c r="U3896" i="1"/>
  <c r="T3896" i="1"/>
  <c r="U3895" i="1"/>
  <c r="T3895" i="1"/>
  <c r="U3894" i="1"/>
  <c r="U3893" i="1"/>
  <c r="T3893" i="1"/>
  <c r="U3892" i="1"/>
  <c r="T3892" i="1"/>
  <c r="U3891" i="1"/>
  <c r="T3891" i="1"/>
  <c r="U3890" i="1"/>
  <c r="U3889" i="1"/>
  <c r="T3889" i="1"/>
  <c r="U3888" i="1"/>
  <c r="T3888" i="1"/>
  <c r="U3887" i="1"/>
  <c r="T3887" i="1"/>
  <c r="U3886" i="1"/>
  <c r="U3885" i="1"/>
  <c r="T3885" i="1"/>
  <c r="U3884" i="1"/>
  <c r="U3883" i="1"/>
  <c r="T3883" i="1"/>
  <c r="U3882" i="1"/>
  <c r="T3882" i="1"/>
  <c r="U3881" i="1"/>
  <c r="T3881" i="1"/>
  <c r="U3880" i="1"/>
  <c r="T3880" i="1"/>
  <c r="U3879" i="1"/>
  <c r="T3879" i="1"/>
  <c r="U3878" i="1"/>
  <c r="T3878" i="1"/>
  <c r="U3877" i="1"/>
  <c r="U3876" i="1"/>
  <c r="T3876" i="1"/>
  <c r="U3875" i="1"/>
  <c r="T3875" i="1"/>
  <c r="U3874" i="1"/>
  <c r="T3874" i="1"/>
  <c r="U3873" i="1"/>
  <c r="T3873" i="1"/>
  <c r="U3872" i="1"/>
  <c r="U3871" i="1"/>
  <c r="T3871" i="1"/>
  <c r="U3870" i="1"/>
  <c r="T3870" i="1"/>
  <c r="U3869" i="1"/>
  <c r="U3868" i="1"/>
  <c r="T3868" i="1"/>
  <c r="U3867" i="1"/>
  <c r="T3867" i="1"/>
  <c r="U3866" i="1"/>
  <c r="T3866" i="1"/>
  <c r="U3865" i="1"/>
  <c r="T3865" i="1"/>
  <c r="U3864" i="1"/>
  <c r="U3863" i="1"/>
  <c r="T3863" i="1"/>
  <c r="U3862" i="1"/>
  <c r="U3861" i="1"/>
  <c r="T3861" i="1"/>
  <c r="U3860" i="1"/>
  <c r="U3859" i="1"/>
  <c r="T3859" i="1"/>
  <c r="U3858" i="1"/>
  <c r="T3858" i="1"/>
  <c r="U3857" i="1"/>
  <c r="T3857" i="1"/>
  <c r="U3856" i="1"/>
  <c r="T3856" i="1"/>
  <c r="U3855" i="1"/>
  <c r="T3855" i="1"/>
  <c r="U3854" i="1"/>
  <c r="U3853" i="1"/>
  <c r="T3853" i="1"/>
  <c r="U3852" i="1"/>
  <c r="U3851" i="1"/>
  <c r="T3851" i="1"/>
  <c r="U3850" i="1"/>
  <c r="U3849" i="1"/>
  <c r="T3849" i="1"/>
  <c r="U3848" i="1"/>
  <c r="U3847" i="1"/>
  <c r="T3847" i="1"/>
  <c r="U3846" i="1"/>
  <c r="U3845" i="1"/>
  <c r="T3845" i="1"/>
  <c r="U3844" i="1"/>
  <c r="U3843" i="1"/>
  <c r="T3843" i="1"/>
  <c r="U3842" i="1"/>
  <c r="T3842" i="1"/>
  <c r="U3841" i="1"/>
  <c r="T3841" i="1"/>
  <c r="U3840" i="1"/>
  <c r="T3840" i="1"/>
  <c r="U3839" i="1"/>
  <c r="T3839" i="1"/>
  <c r="U3838" i="1"/>
  <c r="T3838" i="1"/>
  <c r="U3837" i="1"/>
  <c r="T3837" i="1"/>
  <c r="U3836" i="1"/>
  <c r="T3836" i="1"/>
  <c r="U3835" i="1"/>
  <c r="T3835" i="1"/>
  <c r="U3834" i="1"/>
  <c r="T3834" i="1"/>
  <c r="U3833" i="1"/>
  <c r="T3833" i="1"/>
  <c r="U3832" i="1"/>
  <c r="T3832" i="1"/>
  <c r="U3831" i="1"/>
  <c r="T3831" i="1"/>
  <c r="U3830" i="1"/>
  <c r="T3830" i="1"/>
  <c r="U3829" i="1"/>
  <c r="T3829" i="1"/>
  <c r="U3828" i="1"/>
  <c r="T3828" i="1"/>
  <c r="U3827" i="1"/>
  <c r="T3827" i="1"/>
  <c r="U3826" i="1"/>
  <c r="T3826" i="1"/>
  <c r="U3825" i="1"/>
  <c r="T3825" i="1"/>
  <c r="U3824" i="1"/>
  <c r="T3824" i="1"/>
  <c r="U3823" i="1"/>
  <c r="T3823" i="1"/>
  <c r="U3822" i="1"/>
  <c r="T3822" i="1"/>
  <c r="U3821" i="1"/>
  <c r="T3821" i="1"/>
  <c r="U3820" i="1"/>
  <c r="T3820" i="1"/>
  <c r="U3819" i="1"/>
  <c r="T3819" i="1"/>
  <c r="U3818" i="1"/>
  <c r="T3818" i="1"/>
  <c r="U3817" i="1"/>
  <c r="T3817" i="1"/>
  <c r="U3816" i="1"/>
  <c r="T3816" i="1"/>
  <c r="U3815" i="1"/>
  <c r="T3815" i="1"/>
  <c r="U3814" i="1"/>
  <c r="T3814" i="1"/>
  <c r="U3813" i="1"/>
  <c r="T3813" i="1"/>
  <c r="U3812" i="1"/>
  <c r="T3812" i="1"/>
  <c r="U3811" i="1"/>
  <c r="T3811" i="1"/>
  <c r="U3810" i="1"/>
  <c r="T3810" i="1"/>
  <c r="U3809" i="1"/>
  <c r="T3809" i="1"/>
  <c r="U3808" i="1"/>
  <c r="T3808" i="1"/>
  <c r="U3807" i="1"/>
  <c r="T3807" i="1"/>
  <c r="U3806" i="1"/>
  <c r="T3806" i="1"/>
  <c r="U3805" i="1"/>
  <c r="T3805" i="1"/>
  <c r="U3804" i="1"/>
  <c r="T3804" i="1"/>
  <c r="U3803" i="1"/>
  <c r="T3803" i="1"/>
  <c r="U3802" i="1"/>
  <c r="T3802" i="1"/>
  <c r="U3801" i="1"/>
  <c r="T3801" i="1"/>
  <c r="U3800" i="1"/>
  <c r="T3800" i="1"/>
  <c r="U3799" i="1"/>
  <c r="T3799" i="1"/>
  <c r="U3798" i="1"/>
  <c r="T3798" i="1"/>
  <c r="U3797" i="1"/>
  <c r="T3797" i="1"/>
  <c r="U3796" i="1"/>
  <c r="T3796" i="1"/>
  <c r="U3795" i="1"/>
  <c r="T3795" i="1"/>
  <c r="U3794" i="1"/>
  <c r="T3794" i="1"/>
  <c r="U3793" i="1"/>
  <c r="T3793" i="1"/>
  <c r="U3792" i="1"/>
  <c r="T3792" i="1"/>
  <c r="U3791" i="1"/>
  <c r="T3791" i="1"/>
  <c r="U3790" i="1"/>
  <c r="T3790" i="1"/>
  <c r="U3789" i="1"/>
  <c r="T3789" i="1"/>
  <c r="U3788" i="1"/>
  <c r="U3787" i="1"/>
  <c r="T3787" i="1"/>
  <c r="U3786" i="1"/>
  <c r="T3786" i="1"/>
  <c r="U3785" i="1"/>
  <c r="T3785" i="1"/>
  <c r="U3784" i="1"/>
  <c r="T3784" i="1"/>
  <c r="U3783" i="1"/>
  <c r="T3783" i="1"/>
  <c r="U3782" i="1"/>
  <c r="T3782" i="1"/>
  <c r="U3781" i="1"/>
  <c r="T3781" i="1"/>
  <c r="U3780" i="1"/>
  <c r="T3780" i="1"/>
  <c r="U3779" i="1"/>
  <c r="T3779" i="1"/>
  <c r="U3778" i="1"/>
  <c r="T3778" i="1"/>
  <c r="U3777" i="1"/>
  <c r="T3777" i="1"/>
  <c r="U3776" i="1"/>
  <c r="U3775" i="1"/>
  <c r="T3775" i="1"/>
  <c r="U3774" i="1"/>
  <c r="T3774" i="1"/>
  <c r="U3773" i="1"/>
  <c r="U3772" i="1"/>
  <c r="T3772" i="1"/>
  <c r="U3771" i="1"/>
  <c r="T3771" i="1"/>
  <c r="U3770" i="1"/>
  <c r="T3770" i="1"/>
  <c r="U3769" i="1"/>
  <c r="T3769" i="1"/>
  <c r="U3768" i="1"/>
  <c r="U3767" i="1"/>
  <c r="T3767" i="1"/>
  <c r="U3766" i="1"/>
  <c r="T3766" i="1"/>
  <c r="U3765" i="1"/>
  <c r="U3764" i="1"/>
  <c r="T3764" i="1"/>
  <c r="U3763" i="1"/>
  <c r="T3763" i="1"/>
  <c r="U3762" i="1"/>
  <c r="T3762" i="1"/>
  <c r="U3761" i="1"/>
  <c r="T3761" i="1"/>
  <c r="U3760" i="1"/>
  <c r="T3760" i="1"/>
  <c r="U3759" i="1"/>
  <c r="T3759" i="1"/>
  <c r="U3758" i="1"/>
  <c r="T3758" i="1"/>
  <c r="U3757" i="1"/>
  <c r="T3757" i="1"/>
  <c r="U3756" i="1"/>
  <c r="T3756" i="1"/>
  <c r="U3755" i="1"/>
  <c r="T3755" i="1"/>
  <c r="U3754" i="1"/>
  <c r="T3754" i="1"/>
  <c r="U3753" i="1"/>
  <c r="T3753" i="1"/>
  <c r="U3752" i="1"/>
  <c r="U3751" i="1"/>
  <c r="T3751" i="1"/>
  <c r="U3750" i="1"/>
  <c r="T3750" i="1"/>
  <c r="U3749" i="1"/>
  <c r="T3749" i="1"/>
  <c r="U3748" i="1"/>
  <c r="T3748" i="1"/>
  <c r="U3747" i="1"/>
  <c r="U3746" i="1"/>
  <c r="T3746" i="1"/>
  <c r="U3745" i="1"/>
  <c r="T3745" i="1"/>
  <c r="U3744" i="1"/>
  <c r="T3744" i="1"/>
  <c r="U3743" i="1"/>
  <c r="T3743" i="1"/>
  <c r="U3742" i="1"/>
  <c r="T3742" i="1"/>
  <c r="U3741" i="1"/>
  <c r="T3741" i="1"/>
  <c r="U3740" i="1"/>
  <c r="U3739" i="1"/>
  <c r="T3739" i="1"/>
  <c r="U3738" i="1"/>
  <c r="T3738" i="1"/>
  <c r="U3737" i="1"/>
  <c r="T3737" i="1"/>
  <c r="U3736" i="1"/>
  <c r="T3736" i="1"/>
  <c r="U3735" i="1"/>
  <c r="T3735" i="1"/>
  <c r="U3734" i="1"/>
  <c r="T3734" i="1"/>
  <c r="U3733" i="1"/>
  <c r="T3733" i="1"/>
  <c r="U3732" i="1"/>
  <c r="T3732" i="1"/>
  <c r="U3731" i="1"/>
  <c r="T3731" i="1"/>
  <c r="U3730" i="1"/>
  <c r="T3730" i="1"/>
  <c r="U3729" i="1"/>
  <c r="T3729" i="1"/>
  <c r="U3728" i="1"/>
  <c r="T3728" i="1"/>
  <c r="U3727" i="1"/>
  <c r="T3727" i="1"/>
  <c r="U3726" i="1"/>
  <c r="T3726" i="1"/>
  <c r="U3725" i="1"/>
  <c r="T3725" i="1"/>
  <c r="U3724" i="1"/>
  <c r="T3724" i="1"/>
  <c r="U3723" i="1"/>
  <c r="T3723" i="1"/>
  <c r="U3722" i="1"/>
  <c r="T3722" i="1"/>
  <c r="U3721" i="1"/>
  <c r="T3721" i="1"/>
  <c r="U3720" i="1"/>
  <c r="T3720" i="1"/>
  <c r="U3719" i="1"/>
  <c r="T3719" i="1"/>
  <c r="U3718" i="1"/>
  <c r="T3718" i="1"/>
  <c r="U3717" i="1"/>
  <c r="T3717" i="1"/>
  <c r="U3716" i="1"/>
  <c r="T3716" i="1"/>
  <c r="U3715" i="1"/>
  <c r="T3715" i="1"/>
  <c r="U3714" i="1"/>
  <c r="T3714" i="1"/>
  <c r="U3713" i="1"/>
  <c r="T3713" i="1"/>
  <c r="U3712" i="1"/>
  <c r="T3712" i="1"/>
  <c r="U3711" i="1"/>
  <c r="T3711" i="1"/>
  <c r="U3710" i="1"/>
  <c r="T3710" i="1"/>
  <c r="U3709" i="1"/>
  <c r="T3709" i="1"/>
  <c r="U3708" i="1"/>
  <c r="T3708" i="1"/>
  <c r="U3707" i="1"/>
  <c r="T3707" i="1"/>
  <c r="U3706" i="1"/>
  <c r="T3706" i="1"/>
  <c r="U3705" i="1"/>
  <c r="T3705" i="1"/>
  <c r="U3704" i="1"/>
  <c r="T3704" i="1"/>
  <c r="U3703" i="1"/>
  <c r="T3703" i="1"/>
  <c r="U3702" i="1"/>
  <c r="T3702" i="1"/>
  <c r="U3701" i="1"/>
  <c r="T3701" i="1"/>
  <c r="U3700" i="1"/>
  <c r="T3700" i="1"/>
  <c r="U3699" i="1"/>
  <c r="T3699" i="1"/>
  <c r="U3698" i="1"/>
  <c r="T3698" i="1"/>
  <c r="U3697" i="1"/>
  <c r="U3696" i="1"/>
  <c r="T3696" i="1"/>
  <c r="U3695" i="1"/>
  <c r="T3695" i="1"/>
  <c r="U3694" i="1"/>
  <c r="T3694" i="1"/>
  <c r="U3693" i="1"/>
  <c r="T3693" i="1"/>
  <c r="U3692" i="1"/>
  <c r="U3691" i="1"/>
  <c r="T3691" i="1"/>
  <c r="U3690" i="1"/>
  <c r="T3690" i="1"/>
  <c r="U3689" i="1"/>
  <c r="T3689" i="1"/>
  <c r="U3688" i="1"/>
  <c r="T3688" i="1"/>
  <c r="U3687" i="1"/>
  <c r="T3687" i="1"/>
  <c r="U3686" i="1"/>
  <c r="U3685" i="1"/>
  <c r="T3685" i="1"/>
  <c r="U3684" i="1"/>
  <c r="T3684" i="1"/>
  <c r="U3683" i="1"/>
  <c r="T3683" i="1"/>
  <c r="U3682" i="1"/>
  <c r="T3682" i="1"/>
  <c r="U3681" i="1"/>
  <c r="T3681" i="1"/>
  <c r="U3680" i="1"/>
  <c r="T3680" i="1"/>
  <c r="U3679" i="1"/>
  <c r="T3679" i="1"/>
  <c r="U3678" i="1"/>
  <c r="T3678" i="1"/>
  <c r="U3677" i="1"/>
  <c r="T3677" i="1"/>
  <c r="U3676" i="1"/>
  <c r="T3676" i="1"/>
  <c r="U3675" i="1"/>
  <c r="T3675" i="1"/>
  <c r="U3674" i="1"/>
  <c r="T3674" i="1"/>
  <c r="U3673" i="1"/>
  <c r="T3673" i="1"/>
  <c r="U3672" i="1"/>
  <c r="T3672" i="1"/>
  <c r="U3671" i="1"/>
  <c r="T3671" i="1"/>
  <c r="U3670" i="1"/>
  <c r="U3669" i="1"/>
  <c r="T3669" i="1"/>
  <c r="T3668" i="1"/>
  <c r="U3667" i="1"/>
  <c r="T3667" i="1"/>
  <c r="U3666" i="1"/>
  <c r="T3666" i="1"/>
  <c r="U3665" i="1"/>
  <c r="T3665" i="1"/>
  <c r="U3664" i="1"/>
  <c r="T3664" i="1"/>
  <c r="U3663" i="1"/>
  <c r="T3663" i="1"/>
  <c r="U3662" i="1"/>
  <c r="T3662" i="1"/>
  <c r="U3661" i="1"/>
  <c r="T3661" i="1"/>
  <c r="U3660" i="1"/>
  <c r="T3660" i="1"/>
  <c r="U3659" i="1"/>
  <c r="T3659" i="1"/>
  <c r="U3658" i="1"/>
  <c r="T3658" i="1"/>
  <c r="U3657" i="1"/>
  <c r="T3657" i="1"/>
  <c r="U3656" i="1"/>
  <c r="T3656" i="1"/>
  <c r="U3655" i="1"/>
  <c r="T3655" i="1"/>
  <c r="U3654" i="1"/>
  <c r="T3654" i="1"/>
  <c r="U3653" i="1"/>
  <c r="T3653" i="1"/>
  <c r="U3652" i="1"/>
  <c r="T3652" i="1"/>
  <c r="U3651" i="1"/>
  <c r="T3651" i="1"/>
  <c r="U3650" i="1"/>
  <c r="T3650" i="1"/>
  <c r="U3649" i="1"/>
  <c r="T3649" i="1"/>
  <c r="U3648" i="1"/>
  <c r="T3648" i="1"/>
  <c r="U3647" i="1"/>
  <c r="T3647" i="1"/>
  <c r="U3646" i="1"/>
  <c r="T3646" i="1"/>
  <c r="U3645" i="1"/>
  <c r="T3645" i="1"/>
  <c r="U3644" i="1"/>
  <c r="T3644" i="1"/>
  <c r="U3643" i="1"/>
  <c r="T3643" i="1"/>
  <c r="U3642" i="1"/>
  <c r="T3642" i="1"/>
  <c r="U3641" i="1"/>
  <c r="T3641" i="1"/>
  <c r="U3640" i="1"/>
  <c r="U3639" i="1"/>
  <c r="T3639" i="1"/>
  <c r="U3638" i="1"/>
  <c r="T3638" i="1"/>
  <c r="U3637" i="1"/>
  <c r="T3637" i="1"/>
  <c r="U3636" i="1"/>
  <c r="T3636" i="1"/>
  <c r="U3635" i="1"/>
  <c r="T3635" i="1"/>
  <c r="U3634" i="1"/>
  <c r="T3634" i="1"/>
  <c r="U3633" i="1"/>
  <c r="T3633" i="1"/>
  <c r="U3632" i="1"/>
  <c r="T3632" i="1"/>
  <c r="U3631" i="1"/>
  <c r="T3631" i="1"/>
  <c r="U3630" i="1"/>
  <c r="T3630" i="1"/>
  <c r="U3629" i="1"/>
  <c r="T3629" i="1"/>
  <c r="U3628" i="1"/>
  <c r="T3628" i="1"/>
  <c r="U3627" i="1"/>
  <c r="T3627" i="1"/>
  <c r="U3626" i="1"/>
  <c r="T3626" i="1"/>
  <c r="U3625" i="1"/>
  <c r="T3625" i="1"/>
  <c r="U3624" i="1"/>
  <c r="T3624" i="1"/>
  <c r="U3623" i="1"/>
  <c r="T3623" i="1"/>
  <c r="U3622" i="1"/>
  <c r="T3622" i="1"/>
  <c r="U3621" i="1"/>
  <c r="T3621" i="1"/>
  <c r="U3620" i="1"/>
  <c r="T3620" i="1"/>
  <c r="U3619" i="1"/>
  <c r="T3619" i="1"/>
  <c r="U3618" i="1"/>
  <c r="T3618" i="1"/>
  <c r="U3617" i="1"/>
  <c r="T3617" i="1"/>
  <c r="U3616" i="1"/>
  <c r="T3616" i="1"/>
  <c r="U3615" i="1"/>
  <c r="T3615" i="1"/>
  <c r="U3614" i="1"/>
  <c r="T3614" i="1"/>
  <c r="U3613" i="1"/>
  <c r="T3613" i="1"/>
  <c r="U3612" i="1"/>
  <c r="T3612" i="1"/>
  <c r="U3611" i="1"/>
  <c r="T3611" i="1"/>
  <c r="U3610" i="1"/>
  <c r="T3610" i="1"/>
  <c r="U3609" i="1"/>
  <c r="T3609" i="1"/>
  <c r="U3608" i="1"/>
  <c r="T3608" i="1"/>
  <c r="U3607" i="1"/>
  <c r="T3607" i="1"/>
  <c r="U3606" i="1"/>
  <c r="T3606" i="1"/>
  <c r="U3605" i="1"/>
  <c r="T3605" i="1"/>
  <c r="U3604" i="1"/>
  <c r="T3604" i="1"/>
  <c r="U3603" i="1"/>
  <c r="T3603" i="1"/>
  <c r="U3602" i="1"/>
  <c r="T3602" i="1"/>
  <c r="U3601" i="1"/>
  <c r="T3601" i="1"/>
  <c r="U3600" i="1"/>
  <c r="T3600" i="1"/>
  <c r="U3599" i="1"/>
  <c r="T3599" i="1"/>
  <c r="U3598" i="1"/>
  <c r="T3598" i="1"/>
  <c r="U3597" i="1"/>
  <c r="T3597" i="1"/>
  <c r="U3596" i="1"/>
  <c r="T3596" i="1"/>
  <c r="U3595" i="1"/>
  <c r="T3595" i="1"/>
  <c r="U3594" i="1"/>
  <c r="T3594" i="1"/>
  <c r="U3593" i="1"/>
  <c r="T3593" i="1"/>
  <c r="U3592" i="1"/>
  <c r="T3592" i="1"/>
  <c r="U3591" i="1"/>
  <c r="T3591" i="1"/>
  <c r="U3590" i="1"/>
  <c r="T3590" i="1"/>
  <c r="U3589" i="1"/>
  <c r="T3589" i="1"/>
  <c r="U3588" i="1"/>
  <c r="T3588" i="1"/>
  <c r="U3587" i="1"/>
  <c r="T3587" i="1"/>
  <c r="U3586" i="1"/>
  <c r="T3586" i="1"/>
  <c r="U3585" i="1"/>
  <c r="T3585" i="1"/>
  <c r="U3584" i="1"/>
  <c r="T3584" i="1"/>
  <c r="U3583" i="1"/>
  <c r="T3583" i="1"/>
  <c r="U3582" i="1"/>
  <c r="T3582" i="1"/>
  <c r="U3581" i="1"/>
  <c r="T3581" i="1"/>
  <c r="U3580" i="1"/>
  <c r="T3580" i="1"/>
  <c r="U3579" i="1"/>
  <c r="T3579" i="1"/>
  <c r="U3578" i="1"/>
  <c r="T3578" i="1"/>
  <c r="U3577" i="1"/>
  <c r="T3577" i="1"/>
  <c r="T3576" i="1"/>
  <c r="U3575" i="1"/>
  <c r="T3575" i="1"/>
  <c r="U3574" i="1"/>
  <c r="T3574" i="1"/>
  <c r="U3573" i="1"/>
  <c r="T3573" i="1"/>
  <c r="U3572" i="1"/>
  <c r="T3572" i="1"/>
  <c r="U3571" i="1"/>
  <c r="T3571" i="1"/>
  <c r="U3570" i="1"/>
  <c r="T3570" i="1"/>
  <c r="U3569" i="1"/>
  <c r="T3569" i="1"/>
  <c r="U3568" i="1"/>
  <c r="T3568" i="1"/>
  <c r="U3567" i="1"/>
  <c r="T3567" i="1"/>
  <c r="U3566" i="1"/>
  <c r="T3566" i="1"/>
  <c r="U3565" i="1"/>
  <c r="T3565" i="1"/>
  <c r="U3564" i="1"/>
  <c r="T3564" i="1"/>
  <c r="U3563" i="1"/>
  <c r="T3563" i="1"/>
  <c r="U3562" i="1"/>
  <c r="T3562" i="1"/>
  <c r="U3561" i="1"/>
  <c r="T3561" i="1"/>
  <c r="U3560" i="1"/>
  <c r="T3560" i="1"/>
  <c r="U3559" i="1"/>
  <c r="T3559" i="1"/>
  <c r="U3558" i="1"/>
  <c r="T3558" i="1"/>
  <c r="U3557" i="1"/>
  <c r="T3557" i="1"/>
  <c r="U3556" i="1"/>
  <c r="T3556" i="1"/>
  <c r="U3555" i="1"/>
  <c r="T3555" i="1"/>
  <c r="U3554" i="1"/>
  <c r="T3554" i="1"/>
  <c r="U3553" i="1"/>
  <c r="T3553" i="1"/>
  <c r="U3552" i="1"/>
  <c r="T3552" i="1"/>
  <c r="U3551" i="1"/>
  <c r="T3551" i="1"/>
  <c r="U3550" i="1"/>
  <c r="T3550" i="1"/>
  <c r="T3549" i="1"/>
  <c r="U3548" i="1"/>
  <c r="T3548" i="1"/>
  <c r="U3547" i="1"/>
  <c r="T3547" i="1"/>
  <c r="U3546" i="1"/>
  <c r="T3546" i="1"/>
  <c r="U3545" i="1"/>
  <c r="T3545" i="1"/>
  <c r="U3544" i="1"/>
  <c r="T3544" i="1"/>
  <c r="U3543" i="1"/>
  <c r="T3543" i="1"/>
  <c r="U3542" i="1"/>
  <c r="T3542" i="1"/>
  <c r="U3541" i="1"/>
  <c r="T3541" i="1"/>
  <c r="U3540" i="1"/>
  <c r="T3540" i="1"/>
  <c r="U3539" i="1"/>
  <c r="T3539" i="1"/>
  <c r="U3538" i="1"/>
  <c r="T3538" i="1"/>
  <c r="U3537" i="1"/>
  <c r="T3537" i="1"/>
  <c r="U3536" i="1"/>
  <c r="T3536" i="1"/>
  <c r="U3535" i="1"/>
  <c r="T3535" i="1"/>
  <c r="U3534" i="1"/>
  <c r="T3534" i="1"/>
  <c r="U3533" i="1"/>
  <c r="T3533" i="1"/>
  <c r="U3532" i="1"/>
  <c r="T3532" i="1"/>
  <c r="U3531" i="1"/>
  <c r="T3531" i="1"/>
  <c r="U3530" i="1"/>
  <c r="T3530" i="1"/>
  <c r="U3529" i="1"/>
  <c r="T3529" i="1"/>
  <c r="U3528" i="1"/>
  <c r="T3528" i="1"/>
  <c r="U3527" i="1"/>
  <c r="T3527" i="1"/>
  <c r="U3526" i="1"/>
  <c r="T3526" i="1"/>
  <c r="U3525" i="1"/>
  <c r="T3525" i="1"/>
  <c r="U3524" i="1"/>
  <c r="T3524" i="1"/>
  <c r="U3523" i="1"/>
  <c r="T3523" i="1"/>
  <c r="U3522" i="1"/>
  <c r="T3522" i="1"/>
  <c r="U3521" i="1"/>
  <c r="T3521" i="1"/>
  <c r="U3520" i="1"/>
  <c r="T3520" i="1"/>
  <c r="U3519" i="1"/>
  <c r="T3519" i="1"/>
  <c r="U3518" i="1"/>
  <c r="T3518" i="1"/>
  <c r="U3517" i="1"/>
  <c r="T3517" i="1"/>
  <c r="U3516" i="1"/>
  <c r="T3516" i="1"/>
  <c r="U3515" i="1"/>
  <c r="T3515" i="1"/>
  <c r="U3514" i="1"/>
  <c r="T3514" i="1"/>
  <c r="U3513" i="1"/>
  <c r="T3513" i="1"/>
  <c r="U3512" i="1"/>
  <c r="T3512" i="1"/>
  <c r="U3511" i="1"/>
  <c r="T3511" i="1"/>
  <c r="U3510" i="1"/>
  <c r="T3510" i="1"/>
  <c r="U3509" i="1"/>
  <c r="T3509" i="1"/>
  <c r="U3508" i="1"/>
  <c r="T3508" i="1"/>
  <c r="U3507" i="1"/>
  <c r="T3507" i="1"/>
  <c r="U3506" i="1"/>
  <c r="T3506" i="1"/>
  <c r="U3505" i="1"/>
  <c r="T3505" i="1"/>
  <c r="U3504" i="1"/>
  <c r="T3504" i="1"/>
  <c r="U3503" i="1"/>
  <c r="T3503" i="1"/>
  <c r="U3502" i="1"/>
  <c r="T3502" i="1"/>
  <c r="U3501" i="1"/>
  <c r="T3501" i="1"/>
  <c r="U3500" i="1"/>
  <c r="T3500" i="1"/>
  <c r="U3499" i="1"/>
  <c r="T3499" i="1"/>
  <c r="U3498" i="1"/>
  <c r="T3498" i="1"/>
  <c r="U3497" i="1"/>
  <c r="T3497" i="1"/>
  <c r="U3496" i="1"/>
  <c r="T3496" i="1"/>
  <c r="U3495" i="1"/>
  <c r="T3495" i="1"/>
  <c r="U3494" i="1"/>
  <c r="T3494" i="1"/>
  <c r="U3493" i="1"/>
  <c r="T3493" i="1"/>
  <c r="U3492" i="1"/>
  <c r="T3492" i="1"/>
  <c r="U3491" i="1"/>
  <c r="T3491" i="1"/>
  <c r="U3490" i="1"/>
  <c r="T3490" i="1"/>
  <c r="U3489" i="1"/>
  <c r="T3489" i="1"/>
  <c r="U3488" i="1"/>
  <c r="T3488" i="1"/>
  <c r="U3487" i="1"/>
  <c r="T3487" i="1"/>
  <c r="U3486" i="1"/>
  <c r="T3486" i="1"/>
  <c r="U3485" i="1"/>
  <c r="T3485" i="1"/>
  <c r="U3484" i="1"/>
  <c r="T3484" i="1"/>
  <c r="U3483" i="1"/>
  <c r="T3483" i="1"/>
  <c r="U3482" i="1"/>
  <c r="T3482" i="1"/>
  <c r="U3481" i="1"/>
  <c r="T3481" i="1"/>
  <c r="U3480" i="1"/>
  <c r="T3480" i="1"/>
  <c r="U3479" i="1"/>
  <c r="T3479" i="1"/>
  <c r="U3478" i="1"/>
  <c r="T3478" i="1"/>
  <c r="U3477" i="1"/>
  <c r="T3477" i="1"/>
  <c r="U3476" i="1"/>
  <c r="T3476" i="1"/>
  <c r="U3475" i="1"/>
  <c r="T3475" i="1"/>
  <c r="U3474" i="1"/>
  <c r="T3474" i="1"/>
  <c r="U3473" i="1"/>
  <c r="T3473" i="1"/>
  <c r="U3472" i="1"/>
  <c r="T3472" i="1"/>
  <c r="U3471" i="1"/>
  <c r="T3471" i="1"/>
  <c r="U3470" i="1"/>
  <c r="T3470" i="1"/>
  <c r="U3469" i="1"/>
  <c r="T3469" i="1"/>
  <c r="U3468" i="1"/>
  <c r="T3468" i="1"/>
  <c r="U3467" i="1"/>
  <c r="T3467" i="1"/>
  <c r="U3466" i="1"/>
  <c r="T3466" i="1"/>
  <c r="U3465" i="1"/>
  <c r="T3465" i="1"/>
  <c r="U3464" i="1"/>
  <c r="T3464" i="1"/>
  <c r="U3463" i="1"/>
  <c r="T3463" i="1"/>
  <c r="U3462" i="1"/>
  <c r="T3462" i="1"/>
  <c r="U3461" i="1"/>
  <c r="T3461" i="1"/>
  <c r="U3460" i="1"/>
  <c r="T3460" i="1"/>
  <c r="U3459" i="1"/>
  <c r="T3459" i="1"/>
  <c r="U3458" i="1"/>
  <c r="T3458" i="1"/>
  <c r="U3457" i="1"/>
  <c r="T3457" i="1"/>
  <c r="U3456" i="1"/>
  <c r="T3456" i="1"/>
  <c r="U3455" i="1"/>
  <c r="T3455" i="1"/>
  <c r="U3454" i="1"/>
  <c r="T3454" i="1"/>
  <c r="U3453" i="1"/>
  <c r="T3453" i="1"/>
  <c r="U3452" i="1"/>
  <c r="T3452" i="1"/>
  <c r="U3451" i="1"/>
  <c r="T3451" i="1"/>
  <c r="U3450" i="1"/>
  <c r="T3450" i="1"/>
  <c r="U3449" i="1"/>
  <c r="T3449" i="1"/>
  <c r="U3448" i="1"/>
  <c r="T3448" i="1"/>
  <c r="U3447" i="1"/>
  <c r="T3447" i="1"/>
  <c r="U3446" i="1"/>
  <c r="T3446" i="1"/>
  <c r="U3445" i="1"/>
  <c r="T3445" i="1"/>
  <c r="U3444" i="1"/>
  <c r="T3444" i="1"/>
  <c r="U3443" i="1"/>
  <c r="T3443" i="1"/>
  <c r="U3442" i="1"/>
  <c r="T3442" i="1"/>
  <c r="U3441" i="1"/>
  <c r="T3441" i="1"/>
  <c r="U3440" i="1"/>
  <c r="T3440" i="1"/>
  <c r="U3439" i="1"/>
  <c r="T3439" i="1"/>
  <c r="U3438" i="1"/>
  <c r="T3438" i="1"/>
  <c r="U3437" i="1"/>
  <c r="T3437" i="1"/>
  <c r="U3436" i="1"/>
  <c r="T3436" i="1"/>
  <c r="U3435" i="1"/>
  <c r="T3435" i="1"/>
  <c r="U3434" i="1"/>
  <c r="T3434" i="1"/>
  <c r="U3433" i="1"/>
  <c r="T3433" i="1"/>
  <c r="U3432" i="1"/>
  <c r="T3432" i="1"/>
  <c r="U3431" i="1"/>
  <c r="T3431" i="1"/>
  <c r="U3430" i="1"/>
  <c r="T3430" i="1"/>
  <c r="U3429" i="1"/>
  <c r="T3429" i="1"/>
  <c r="U3428" i="1"/>
  <c r="T3428" i="1"/>
  <c r="U3427" i="1"/>
  <c r="T3427" i="1"/>
  <c r="U3426" i="1"/>
  <c r="T3426" i="1"/>
  <c r="U3425" i="1"/>
  <c r="T3425" i="1"/>
  <c r="U3424" i="1"/>
  <c r="T3424" i="1"/>
  <c r="U3423" i="1"/>
  <c r="T3423" i="1"/>
  <c r="U3422" i="1"/>
  <c r="T3422" i="1"/>
  <c r="U3421" i="1"/>
  <c r="T3421" i="1"/>
  <c r="U3420" i="1"/>
  <c r="T3420" i="1"/>
  <c r="U3419" i="1"/>
  <c r="T3419" i="1"/>
  <c r="U3418" i="1"/>
  <c r="T3418" i="1"/>
  <c r="U3417" i="1"/>
  <c r="T3417" i="1"/>
  <c r="U3416" i="1"/>
  <c r="T3416" i="1"/>
  <c r="U3415" i="1"/>
  <c r="T3415" i="1"/>
  <c r="U3414" i="1"/>
  <c r="T3414" i="1"/>
  <c r="U3413" i="1"/>
  <c r="T3413" i="1"/>
  <c r="U3412" i="1"/>
  <c r="T3412" i="1"/>
  <c r="U3411" i="1"/>
  <c r="T3411" i="1"/>
  <c r="U3410" i="1"/>
  <c r="T3410" i="1"/>
  <c r="U3409" i="1"/>
  <c r="T3409" i="1"/>
  <c r="U3408" i="1"/>
  <c r="T3408" i="1"/>
  <c r="U3407" i="1"/>
  <c r="T3407" i="1"/>
  <c r="U3406" i="1"/>
  <c r="T3406" i="1"/>
  <c r="U3405" i="1"/>
  <c r="T3405" i="1"/>
  <c r="U3404" i="1"/>
  <c r="T3404" i="1"/>
  <c r="U3403" i="1"/>
  <c r="T3403" i="1"/>
  <c r="U3402" i="1"/>
  <c r="T3402" i="1"/>
  <c r="U3401" i="1"/>
  <c r="T3401" i="1"/>
  <c r="U3400" i="1"/>
  <c r="T3400" i="1"/>
  <c r="U3399" i="1"/>
  <c r="T3399" i="1"/>
  <c r="U3398" i="1"/>
  <c r="T3398" i="1"/>
  <c r="U3397" i="1"/>
  <c r="T3397" i="1"/>
  <c r="U3396" i="1"/>
  <c r="T3396" i="1"/>
  <c r="U3395" i="1"/>
  <c r="T3395" i="1"/>
  <c r="U3394" i="1"/>
  <c r="T3394" i="1"/>
  <c r="U3393" i="1"/>
  <c r="T3393" i="1"/>
  <c r="U3392" i="1"/>
  <c r="T3392" i="1"/>
  <c r="U3391" i="1"/>
  <c r="T3391" i="1"/>
  <c r="U3390" i="1"/>
  <c r="T3390" i="1"/>
  <c r="U3389" i="1"/>
  <c r="T3389" i="1"/>
  <c r="U3388" i="1"/>
  <c r="T3388" i="1"/>
  <c r="U3387" i="1"/>
  <c r="T3387" i="1"/>
  <c r="U3386" i="1"/>
  <c r="T3386" i="1"/>
  <c r="U3385" i="1"/>
  <c r="T3385" i="1"/>
  <c r="U3384" i="1"/>
  <c r="T3384" i="1"/>
  <c r="U3383" i="1"/>
  <c r="T3383" i="1"/>
  <c r="U3382" i="1"/>
  <c r="T3382" i="1"/>
  <c r="U3381" i="1"/>
  <c r="T3381" i="1"/>
  <c r="U3380" i="1"/>
  <c r="T3380" i="1"/>
  <c r="U3379" i="1"/>
  <c r="T3379" i="1"/>
  <c r="U3378" i="1"/>
  <c r="T3378" i="1"/>
  <c r="U3377" i="1"/>
  <c r="T3377" i="1"/>
  <c r="U3376" i="1"/>
  <c r="T3376" i="1"/>
  <c r="U3375" i="1"/>
  <c r="T3375" i="1"/>
  <c r="U3374" i="1"/>
  <c r="T3374" i="1"/>
  <c r="U3373" i="1"/>
  <c r="T3373" i="1"/>
  <c r="U3372" i="1"/>
  <c r="T3372" i="1"/>
  <c r="U3371" i="1"/>
  <c r="T3371" i="1"/>
  <c r="U3370" i="1"/>
  <c r="T3370" i="1"/>
  <c r="U3369" i="1"/>
  <c r="T3369" i="1"/>
  <c r="U3368" i="1"/>
  <c r="T3368" i="1"/>
  <c r="U3367" i="1"/>
  <c r="T3367" i="1"/>
  <c r="U3366" i="1"/>
  <c r="T3366" i="1"/>
  <c r="U3365" i="1"/>
  <c r="T3365" i="1"/>
  <c r="U3364" i="1"/>
  <c r="T3364" i="1"/>
  <c r="U3363" i="1"/>
  <c r="T3363" i="1"/>
  <c r="U3362" i="1"/>
  <c r="T3362" i="1"/>
  <c r="U3361" i="1"/>
  <c r="T3361" i="1"/>
  <c r="U3360" i="1"/>
  <c r="T3360" i="1"/>
  <c r="U3359" i="1"/>
  <c r="T3359" i="1"/>
  <c r="U3358" i="1"/>
  <c r="T3358" i="1"/>
  <c r="U3357" i="1"/>
  <c r="T3357" i="1"/>
  <c r="U3356" i="1"/>
  <c r="T3356" i="1"/>
  <c r="U3355" i="1"/>
  <c r="T3355" i="1"/>
  <c r="U3354" i="1"/>
  <c r="T3354" i="1"/>
  <c r="U3353" i="1"/>
  <c r="T3353" i="1"/>
  <c r="U3352" i="1"/>
  <c r="T3352" i="1"/>
  <c r="U3351" i="1"/>
  <c r="T3351" i="1"/>
  <c r="U3350" i="1"/>
  <c r="T3350" i="1"/>
  <c r="U3349" i="1"/>
  <c r="T3349" i="1"/>
  <c r="U3348" i="1"/>
  <c r="T3348" i="1"/>
  <c r="U3347" i="1"/>
  <c r="T3347" i="1"/>
  <c r="U3346" i="1"/>
  <c r="T3346" i="1"/>
  <c r="U3345" i="1"/>
  <c r="T3345" i="1"/>
  <c r="U3344" i="1"/>
  <c r="T3344" i="1"/>
  <c r="U3343" i="1"/>
  <c r="T3343" i="1"/>
  <c r="U3342" i="1"/>
  <c r="T3342" i="1"/>
  <c r="U3341" i="1"/>
  <c r="T3341" i="1"/>
  <c r="U3340" i="1"/>
  <c r="T3340" i="1"/>
  <c r="U3339" i="1"/>
  <c r="T3339" i="1"/>
  <c r="U3338" i="1"/>
  <c r="T3338" i="1"/>
  <c r="U3337" i="1"/>
  <c r="T3337" i="1"/>
  <c r="U3336" i="1"/>
  <c r="T3336" i="1"/>
  <c r="U3335" i="1"/>
  <c r="T3335" i="1"/>
  <c r="U3334" i="1"/>
  <c r="T3334" i="1"/>
  <c r="U3333" i="1"/>
  <c r="T3333" i="1"/>
  <c r="U3332" i="1"/>
  <c r="T3332" i="1"/>
  <c r="U3331" i="1"/>
  <c r="T3331" i="1"/>
  <c r="U3330" i="1"/>
  <c r="T3330" i="1"/>
  <c r="U3329" i="1"/>
  <c r="T3329" i="1"/>
  <c r="U3328" i="1"/>
  <c r="T3328" i="1"/>
  <c r="U3327" i="1"/>
  <c r="T3327" i="1"/>
  <c r="U3326" i="1"/>
  <c r="T3326" i="1"/>
  <c r="U3325" i="1"/>
  <c r="T3325" i="1"/>
  <c r="U3324" i="1"/>
  <c r="T3324" i="1"/>
  <c r="U3323" i="1"/>
  <c r="T3323" i="1"/>
  <c r="U3322" i="1"/>
  <c r="T3322" i="1"/>
  <c r="U3321" i="1"/>
  <c r="T3321" i="1"/>
  <c r="U3320" i="1"/>
  <c r="T3320" i="1"/>
  <c r="U3319" i="1"/>
  <c r="T3319" i="1"/>
  <c r="U3318" i="1"/>
  <c r="T3318" i="1"/>
  <c r="U3317" i="1"/>
  <c r="T3317" i="1"/>
  <c r="U3316" i="1"/>
  <c r="T3316" i="1"/>
  <c r="U3315" i="1"/>
  <c r="T3315" i="1"/>
  <c r="U3314" i="1"/>
  <c r="T3314" i="1"/>
  <c r="U3313" i="1"/>
  <c r="T3313" i="1"/>
  <c r="U3312" i="1"/>
  <c r="T3312" i="1"/>
  <c r="U3311" i="1"/>
  <c r="T3311" i="1"/>
  <c r="U3310" i="1"/>
  <c r="T3310" i="1"/>
  <c r="U3309" i="1"/>
  <c r="T3309" i="1"/>
  <c r="U3308" i="1"/>
  <c r="T3308" i="1"/>
  <c r="U3307" i="1"/>
  <c r="T3307" i="1"/>
  <c r="U3306" i="1"/>
  <c r="T3306" i="1"/>
  <c r="U3305" i="1"/>
  <c r="T3305" i="1"/>
  <c r="U3304" i="1"/>
  <c r="T3304" i="1"/>
  <c r="U3303" i="1"/>
  <c r="T3303" i="1"/>
  <c r="U3302" i="1"/>
  <c r="T3302" i="1"/>
  <c r="U3301" i="1"/>
  <c r="T3301" i="1"/>
  <c r="U3300" i="1"/>
  <c r="T3300" i="1"/>
  <c r="U3299" i="1"/>
  <c r="T3299" i="1"/>
  <c r="U3298" i="1"/>
  <c r="T3298" i="1"/>
  <c r="U3297" i="1"/>
  <c r="T3297" i="1"/>
  <c r="U3296" i="1"/>
  <c r="T3296" i="1"/>
  <c r="U3295" i="1"/>
  <c r="T3295" i="1"/>
  <c r="U3294" i="1"/>
  <c r="T3294" i="1"/>
  <c r="U3293" i="1"/>
  <c r="T3293" i="1"/>
  <c r="U3292" i="1"/>
  <c r="T3292" i="1"/>
  <c r="U3291" i="1"/>
  <c r="T3291" i="1"/>
  <c r="U3290" i="1"/>
  <c r="T3290" i="1"/>
  <c r="U3289" i="1"/>
  <c r="T3289" i="1"/>
  <c r="U3288" i="1"/>
  <c r="T3288" i="1"/>
  <c r="U3287" i="1"/>
  <c r="T3287" i="1"/>
  <c r="U3286" i="1"/>
  <c r="T3286" i="1"/>
  <c r="U3285" i="1"/>
  <c r="T3285" i="1"/>
  <c r="U3284" i="1"/>
  <c r="T3284" i="1"/>
  <c r="U3283" i="1"/>
  <c r="T3283" i="1"/>
  <c r="U3282" i="1"/>
  <c r="T3282" i="1"/>
  <c r="U3281" i="1"/>
  <c r="T3281" i="1"/>
  <c r="U3280" i="1"/>
  <c r="T3280" i="1"/>
  <c r="U3279" i="1"/>
  <c r="T3279" i="1"/>
  <c r="U3278" i="1"/>
  <c r="T3278" i="1"/>
  <c r="U3277" i="1"/>
  <c r="T3277" i="1"/>
  <c r="U3276" i="1"/>
  <c r="T3276" i="1"/>
  <c r="U3275" i="1"/>
  <c r="T3275" i="1"/>
  <c r="U3274" i="1"/>
  <c r="T3274" i="1"/>
  <c r="U3273" i="1"/>
  <c r="T3273" i="1"/>
  <c r="U3272" i="1"/>
  <c r="T3272" i="1"/>
  <c r="U3271" i="1"/>
  <c r="T3271" i="1"/>
  <c r="U3270" i="1"/>
  <c r="T3270" i="1"/>
  <c r="U3269" i="1"/>
  <c r="T3269" i="1"/>
  <c r="U3268" i="1"/>
  <c r="T3268" i="1"/>
  <c r="U3267" i="1"/>
  <c r="T3267" i="1"/>
  <c r="U3266" i="1"/>
  <c r="T3266" i="1"/>
  <c r="U3265" i="1"/>
  <c r="T3265" i="1"/>
  <c r="U3264" i="1"/>
  <c r="T3264" i="1"/>
  <c r="U3263" i="1"/>
  <c r="T3263" i="1"/>
  <c r="U3262" i="1"/>
  <c r="T3262" i="1"/>
  <c r="U3261" i="1"/>
  <c r="T3261" i="1"/>
  <c r="U3260" i="1"/>
  <c r="T3260" i="1"/>
  <c r="U3259" i="1"/>
  <c r="T3259" i="1"/>
  <c r="U3258" i="1"/>
  <c r="T3258" i="1"/>
  <c r="U3257" i="1"/>
  <c r="T3257" i="1"/>
  <c r="U3256" i="1"/>
  <c r="T3256" i="1"/>
  <c r="U3255" i="1"/>
  <c r="T3255" i="1"/>
  <c r="U3254" i="1"/>
  <c r="T3254" i="1"/>
  <c r="U3253" i="1"/>
  <c r="T3253" i="1"/>
  <c r="U3252" i="1"/>
  <c r="T3252" i="1"/>
  <c r="U3251" i="1"/>
  <c r="T3251" i="1"/>
  <c r="U3250" i="1"/>
  <c r="T3250" i="1"/>
  <c r="U3249" i="1"/>
  <c r="T3249" i="1"/>
  <c r="U3248" i="1"/>
  <c r="T3248" i="1"/>
  <c r="U3247" i="1"/>
  <c r="T3247" i="1"/>
  <c r="U3246" i="1"/>
  <c r="T3246" i="1"/>
  <c r="U3245" i="1"/>
  <c r="T3245" i="1"/>
  <c r="U3244" i="1"/>
  <c r="T3244" i="1"/>
  <c r="U3243" i="1"/>
  <c r="T3243" i="1"/>
  <c r="U3242" i="1"/>
  <c r="T3242" i="1"/>
  <c r="U3241" i="1"/>
  <c r="T3241" i="1"/>
  <c r="U3240" i="1"/>
  <c r="T3240" i="1"/>
  <c r="U3239" i="1"/>
  <c r="T3239" i="1"/>
  <c r="U3238" i="1"/>
  <c r="T3238" i="1"/>
  <c r="U3237" i="1"/>
  <c r="T3237" i="1"/>
  <c r="U3236" i="1"/>
  <c r="T3236" i="1"/>
  <c r="U3235" i="1"/>
  <c r="T3235" i="1"/>
  <c r="U3234" i="1"/>
  <c r="T3234" i="1"/>
  <c r="U3233" i="1"/>
  <c r="T3233" i="1"/>
  <c r="U3232" i="1"/>
  <c r="T3232" i="1"/>
  <c r="U3231" i="1"/>
  <c r="T3231" i="1"/>
  <c r="U3230" i="1"/>
  <c r="T3230" i="1"/>
  <c r="U3229" i="1"/>
  <c r="T3229" i="1"/>
  <c r="U3228" i="1"/>
  <c r="T3228" i="1"/>
  <c r="U3227" i="1"/>
  <c r="T3227" i="1"/>
  <c r="U3226" i="1"/>
  <c r="T3226" i="1"/>
  <c r="U3225" i="1"/>
  <c r="T3225" i="1"/>
  <c r="U3224" i="1"/>
  <c r="T3224" i="1"/>
  <c r="U3223" i="1"/>
  <c r="T3223" i="1"/>
  <c r="U3222" i="1"/>
  <c r="T3222" i="1"/>
  <c r="U3221" i="1"/>
  <c r="T3221" i="1"/>
  <c r="U3220" i="1"/>
  <c r="T3220" i="1"/>
  <c r="U3219" i="1"/>
  <c r="T3219" i="1"/>
  <c r="U3218" i="1"/>
  <c r="T3218" i="1"/>
  <c r="U3217" i="1"/>
  <c r="T3217" i="1"/>
  <c r="U3216" i="1"/>
  <c r="T3216" i="1"/>
  <c r="U3215" i="1"/>
  <c r="T3215" i="1"/>
  <c r="U3214" i="1"/>
  <c r="T3214" i="1"/>
  <c r="U3213" i="1"/>
  <c r="T3213" i="1"/>
  <c r="U3212" i="1"/>
  <c r="T3212" i="1"/>
  <c r="U3211" i="1"/>
  <c r="T3211" i="1"/>
  <c r="U3210" i="1"/>
  <c r="T3210" i="1"/>
  <c r="U3209" i="1"/>
  <c r="T3209" i="1"/>
  <c r="U3208" i="1"/>
  <c r="T3208" i="1"/>
  <c r="U3207" i="1"/>
  <c r="T3207" i="1"/>
  <c r="U3206" i="1"/>
  <c r="T3206" i="1"/>
  <c r="U3205" i="1"/>
  <c r="T3205" i="1"/>
  <c r="U3204" i="1"/>
  <c r="T3204" i="1"/>
  <c r="U3203" i="1"/>
  <c r="T3203" i="1"/>
  <c r="U3202" i="1"/>
  <c r="T3202" i="1"/>
  <c r="U3201" i="1"/>
  <c r="T3201" i="1"/>
  <c r="U3200" i="1"/>
  <c r="T3200" i="1"/>
  <c r="U3199" i="1"/>
  <c r="T3199" i="1"/>
  <c r="U3198" i="1"/>
  <c r="T3198" i="1"/>
  <c r="U3197" i="1"/>
  <c r="T3197" i="1"/>
  <c r="U3196" i="1"/>
  <c r="T3196" i="1"/>
  <c r="U3195" i="1"/>
  <c r="T3195" i="1"/>
  <c r="U3194" i="1"/>
  <c r="T3194" i="1"/>
  <c r="U3193" i="1"/>
  <c r="T3193" i="1"/>
  <c r="U3192" i="1"/>
  <c r="T3192" i="1"/>
  <c r="U3191" i="1"/>
  <c r="T3191" i="1"/>
  <c r="U3190" i="1"/>
  <c r="T3190" i="1"/>
  <c r="U3189" i="1"/>
  <c r="T3189" i="1"/>
  <c r="U3188" i="1"/>
  <c r="T3188" i="1"/>
  <c r="U3187" i="1"/>
  <c r="T3187" i="1"/>
  <c r="U3186" i="1"/>
  <c r="T3186" i="1"/>
  <c r="U3185" i="1"/>
  <c r="T3185" i="1"/>
  <c r="U3184" i="1"/>
  <c r="T3184" i="1"/>
  <c r="U3183" i="1"/>
  <c r="T3183" i="1"/>
  <c r="U3182" i="1"/>
  <c r="T3182" i="1"/>
  <c r="U3181" i="1"/>
  <c r="T3181" i="1"/>
  <c r="U3180" i="1"/>
  <c r="T3180" i="1"/>
  <c r="U3179" i="1"/>
  <c r="T3179" i="1"/>
  <c r="U3178" i="1"/>
  <c r="T3178" i="1"/>
  <c r="U3177" i="1"/>
  <c r="T3177" i="1"/>
  <c r="U3176" i="1"/>
  <c r="T3176" i="1"/>
  <c r="U3175" i="1"/>
  <c r="T3175" i="1"/>
  <c r="U3174" i="1"/>
  <c r="T3174" i="1"/>
  <c r="U3173" i="1"/>
  <c r="T3173" i="1"/>
  <c r="U3172" i="1"/>
  <c r="T3172" i="1"/>
  <c r="U3171" i="1"/>
  <c r="T3171" i="1"/>
  <c r="U3170" i="1"/>
  <c r="T3170" i="1"/>
  <c r="U3169" i="1"/>
  <c r="T3169" i="1"/>
  <c r="U3168" i="1"/>
  <c r="T3168" i="1"/>
  <c r="U3167" i="1"/>
  <c r="T3167" i="1"/>
  <c r="U3166" i="1"/>
  <c r="T3166" i="1"/>
  <c r="U3165" i="1"/>
  <c r="T3165" i="1"/>
  <c r="U3164" i="1"/>
  <c r="T3164" i="1"/>
  <c r="U3163" i="1"/>
  <c r="T3163" i="1"/>
  <c r="U3162" i="1"/>
  <c r="T3162" i="1"/>
  <c r="U3161" i="1"/>
  <c r="T3161" i="1"/>
  <c r="U3160" i="1"/>
  <c r="T3160" i="1"/>
  <c r="U3159" i="1"/>
  <c r="T3159" i="1"/>
  <c r="U3158" i="1"/>
  <c r="T3158" i="1"/>
  <c r="U3157" i="1"/>
  <c r="T3157" i="1"/>
  <c r="U3156" i="1"/>
  <c r="T3156" i="1"/>
  <c r="U3155" i="1"/>
  <c r="T3155" i="1"/>
  <c r="U3154" i="1"/>
  <c r="T3154" i="1"/>
  <c r="U3153" i="1"/>
  <c r="T3153" i="1"/>
  <c r="U3152" i="1"/>
  <c r="T3152" i="1"/>
  <c r="U3151" i="1"/>
  <c r="T3151" i="1"/>
  <c r="U3150" i="1"/>
  <c r="T3150" i="1"/>
  <c r="U3149" i="1"/>
  <c r="T3149" i="1"/>
  <c r="U3148" i="1"/>
  <c r="T3148" i="1"/>
  <c r="U3147" i="1"/>
  <c r="T3147" i="1"/>
  <c r="U3146" i="1"/>
  <c r="T3146" i="1"/>
  <c r="U3145" i="1"/>
  <c r="T3145" i="1"/>
  <c r="U3144" i="1"/>
  <c r="T3144" i="1"/>
  <c r="U3143" i="1"/>
  <c r="T3143" i="1"/>
  <c r="U3142" i="1"/>
  <c r="T3142" i="1"/>
  <c r="U3141" i="1"/>
  <c r="T3141" i="1"/>
  <c r="U3140" i="1"/>
  <c r="T3140" i="1"/>
  <c r="U3139" i="1"/>
  <c r="T3139" i="1"/>
  <c r="U3138" i="1"/>
  <c r="T3138" i="1"/>
  <c r="U3137" i="1"/>
  <c r="T3137" i="1"/>
  <c r="U3136" i="1"/>
  <c r="T3136" i="1"/>
  <c r="U3135" i="1"/>
  <c r="T3135" i="1"/>
  <c r="U3134" i="1"/>
  <c r="T3134" i="1"/>
  <c r="U3133" i="1"/>
  <c r="T3133" i="1"/>
  <c r="U3132" i="1"/>
  <c r="T3132" i="1"/>
  <c r="U3131" i="1"/>
  <c r="T3131" i="1"/>
  <c r="U3130" i="1"/>
  <c r="T3130" i="1"/>
  <c r="U3129" i="1"/>
  <c r="T3129" i="1"/>
  <c r="U3128" i="1"/>
  <c r="T3128" i="1"/>
  <c r="U3127" i="1"/>
  <c r="T3127" i="1"/>
  <c r="U3126" i="1"/>
  <c r="T3126" i="1"/>
  <c r="U3125" i="1"/>
  <c r="T3125" i="1"/>
  <c r="U3124" i="1"/>
  <c r="T3124" i="1"/>
  <c r="U3123" i="1"/>
  <c r="T3123" i="1"/>
  <c r="U3122" i="1"/>
  <c r="T3122" i="1"/>
  <c r="U3121" i="1"/>
  <c r="T3121" i="1"/>
  <c r="U3120" i="1"/>
  <c r="T3120" i="1"/>
  <c r="U3119" i="1"/>
  <c r="T3119" i="1"/>
  <c r="U3118" i="1"/>
  <c r="T3118" i="1"/>
  <c r="U3117" i="1"/>
  <c r="T3117" i="1"/>
  <c r="U3116" i="1"/>
  <c r="T3116" i="1"/>
  <c r="U3115" i="1"/>
  <c r="T3115" i="1"/>
  <c r="U3114" i="1"/>
  <c r="T3114" i="1"/>
  <c r="U3113" i="1"/>
  <c r="T3113" i="1"/>
  <c r="U3112" i="1"/>
  <c r="T3112" i="1"/>
  <c r="U3111" i="1"/>
  <c r="T3111" i="1"/>
  <c r="U3110" i="1"/>
  <c r="T3110" i="1"/>
  <c r="U3109" i="1"/>
  <c r="T3109" i="1"/>
  <c r="U3108" i="1"/>
  <c r="T3108" i="1"/>
  <c r="U3107" i="1"/>
  <c r="T3107" i="1"/>
  <c r="U3106" i="1"/>
  <c r="T3106" i="1"/>
  <c r="U3105" i="1"/>
  <c r="T3105" i="1"/>
  <c r="U3104" i="1"/>
  <c r="T3104" i="1"/>
  <c r="U3103" i="1"/>
  <c r="T3103" i="1"/>
  <c r="U3102" i="1"/>
  <c r="T3102" i="1"/>
  <c r="U3101" i="1"/>
  <c r="T3101" i="1"/>
  <c r="U3100" i="1"/>
  <c r="T3100" i="1"/>
  <c r="U3099" i="1"/>
  <c r="T3099" i="1"/>
  <c r="U3098" i="1"/>
  <c r="T3098" i="1"/>
  <c r="U3097" i="1"/>
  <c r="T3097" i="1"/>
  <c r="U3096" i="1"/>
  <c r="T3096" i="1"/>
  <c r="U3095" i="1"/>
  <c r="T3095" i="1"/>
  <c r="U3094" i="1"/>
  <c r="T3094" i="1"/>
  <c r="U3093" i="1"/>
  <c r="T3093" i="1"/>
  <c r="U3092" i="1"/>
  <c r="T3092" i="1"/>
  <c r="U3091" i="1"/>
  <c r="T3091" i="1"/>
  <c r="U3090" i="1"/>
  <c r="T3090" i="1"/>
  <c r="U3089" i="1"/>
  <c r="T3089" i="1"/>
  <c r="U3088" i="1"/>
  <c r="T3088" i="1"/>
  <c r="U3087" i="1"/>
  <c r="T3087" i="1"/>
  <c r="U3086" i="1"/>
  <c r="T3086" i="1"/>
  <c r="U3085" i="1"/>
  <c r="T3085" i="1"/>
  <c r="U3084" i="1"/>
  <c r="T3084" i="1"/>
  <c r="U3083" i="1"/>
  <c r="T3083" i="1"/>
  <c r="U3082" i="1"/>
  <c r="T3082" i="1"/>
  <c r="U3081" i="1"/>
  <c r="T3081" i="1"/>
  <c r="U3080" i="1"/>
  <c r="T3080" i="1"/>
  <c r="U3079" i="1"/>
  <c r="T3079" i="1"/>
  <c r="U3078" i="1"/>
  <c r="T3078" i="1"/>
  <c r="U3077" i="1"/>
  <c r="T3077" i="1"/>
  <c r="U3076" i="1"/>
  <c r="T3076" i="1"/>
  <c r="U3075" i="1"/>
  <c r="T3075" i="1"/>
  <c r="U3074" i="1"/>
  <c r="T3074" i="1"/>
  <c r="U3073" i="1"/>
  <c r="T3073" i="1"/>
  <c r="U3072" i="1"/>
  <c r="T3072" i="1"/>
  <c r="U3071" i="1"/>
  <c r="T3071" i="1"/>
  <c r="U3070" i="1"/>
  <c r="T3070" i="1"/>
  <c r="U3069" i="1"/>
  <c r="T3069" i="1"/>
  <c r="U3068" i="1"/>
  <c r="T3068" i="1"/>
  <c r="U3067" i="1"/>
  <c r="T3067" i="1"/>
  <c r="U3066" i="1"/>
  <c r="T3066" i="1"/>
  <c r="U3065" i="1"/>
  <c r="T3065" i="1"/>
  <c r="U3064" i="1"/>
  <c r="T3064" i="1"/>
  <c r="U3063" i="1"/>
  <c r="T3063" i="1"/>
  <c r="U3062" i="1"/>
  <c r="T3062" i="1"/>
  <c r="U3061" i="1"/>
  <c r="T3061" i="1"/>
  <c r="U3060" i="1"/>
  <c r="T3060" i="1"/>
  <c r="U3059" i="1"/>
  <c r="T3059" i="1"/>
  <c r="U3058" i="1"/>
  <c r="T3058" i="1"/>
  <c r="U3057" i="1"/>
  <c r="T3057" i="1"/>
  <c r="U3056" i="1"/>
  <c r="T3056" i="1"/>
  <c r="U3055" i="1"/>
  <c r="T3055" i="1"/>
  <c r="U3054" i="1"/>
  <c r="T3054" i="1"/>
  <c r="U3053" i="1"/>
  <c r="T3053" i="1"/>
  <c r="U3052" i="1"/>
  <c r="T3052" i="1"/>
  <c r="U3051" i="1"/>
  <c r="T3051" i="1"/>
  <c r="U3050" i="1"/>
  <c r="T3050" i="1"/>
  <c r="U3049" i="1"/>
  <c r="T3049" i="1"/>
  <c r="U3048" i="1"/>
  <c r="T3048" i="1"/>
  <c r="U3047" i="1"/>
  <c r="T3047" i="1"/>
  <c r="U3046" i="1"/>
  <c r="T3046" i="1"/>
  <c r="U3045" i="1"/>
  <c r="T3045" i="1"/>
  <c r="U3044" i="1"/>
  <c r="T3044" i="1"/>
  <c r="U3043" i="1"/>
  <c r="T3043" i="1"/>
  <c r="U3042" i="1"/>
  <c r="T3042" i="1"/>
  <c r="U3041" i="1"/>
  <c r="T3041" i="1"/>
  <c r="U3040" i="1"/>
  <c r="T3040" i="1"/>
  <c r="U3039" i="1"/>
  <c r="T3039" i="1"/>
  <c r="U3038" i="1"/>
  <c r="T3038" i="1"/>
  <c r="U3037" i="1"/>
  <c r="T3037" i="1"/>
  <c r="U3036" i="1"/>
  <c r="T3036" i="1"/>
  <c r="U3035" i="1"/>
  <c r="T3035" i="1"/>
  <c r="U3034" i="1"/>
  <c r="T3034" i="1"/>
  <c r="U3033" i="1"/>
  <c r="T3033" i="1"/>
  <c r="U3032" i="1"/>
  <c r="T3032" i="1"/>
  <c r="U3031" i="1"/>
  <c r="T3031" i="1"/>
  <c r="U3030" i="1"/>
  <c r="T3030" i="1"/>
  <c r="U3029" i="1"/>
  <c r="T3029" i="1"/>
  <c r="U3028" i="1"/>
  <c r="T3028" i="1"/>
  <c r="U3027" i="1"/>
  <c r="T3027" i="1"/>
  <c r="U3026" i="1"/>
  <c r="T3026" i="1"/>
  <c r="U3025" i="1"/>
  <c r="T3025" i="1"/>
  <c r="U3024" i="1"/>
  <c r="T3024" i="1"/>
  <c r="U3023" i="1"/>
  <c r="T3023" i="1"/>
  <c r="U3022" i="1"/>
  <c r="T3022" i="1"/>
  <c r="U3021" i="1"/>
  <c r="T3021" i="1"/>
  <c r="U3020" i="1"/>
  <c r="T3020" i="1"/>
  <c r="U3019" i="1"/>
  <c r="T3019" i="1"/>
  <c r="U3018" i="1"/>
  <c r="T3018" i="1"/>
  <c r="U3017" i="1"/>
  <c r="T3017" i="1"/>
  <c r="U3016" i="1"/>
  <c r="T3016" i="1"/>
  <c r="U3015" i="1"/>
  <c r="T3015" i="1"/>
  <c r="U3014" i="1"/>
  <c r="T3014" i="1"/>
  <c r="U3013" i="1"/>
  <c r="T3013" i="1"/>
  <c r="U3012" i="1"/>
  <c r="T3012" i="1"/>
  <c r="U3011" i="1"/>
  <c r="T3011" i="1"/>
  <c r="U3010" i="1"/>
  <c r="T3010" i="1"/>
  <c r="U3009" i="1"/>
  <c r="T3009" i="1"/>
  <c r="U3008" i="1"/>
  <c r="T3008" i="1"/>
  <c r="U3007" i="1"/>
  <c r="T3007" i="1"/>
  <c r="U3006" i="1"/>
  <c r="T3006" i="1"/>
  <c r="U3005" i="1"/>
  <c r="T3005" i="1"/>
  <c r="U3004" i="1"/>
  <c r="T3004" i="1"/>
  <c r="U3003" i="1"/>
  <c r="T3003" i="1"/>
  <c r="U3002" i="1"/>
  <c r="T3002" i="1"/>
  <c r="U3001" i="1"/>
  <c r="T3001" i="1"/>
  <c r="U3000" i="1"/>
  <c r="T3000" i="1"/>
  <c r="U2999" i="1"/>
  <c r="T2999" i="1"/>
  <c r="U2998" i="1"/>
  <c r="T2998" i="1"/>
  <c r="U2997" i="1"/>
  <c r="T2997" i="1"/>
  <c r="U2996" i="1"/>
  <c r="T2996" i="1"/>
  <c r="U2995" i="1"/>
  <c r="T2995" i="1"/>
  <c r="U2994" i="1"/>
  <c r="T2994" i="1"/>
  <c r="U2993" i="1"/>
  <c r="T2993" i="1"/>
  <c r="U2992" i="1"/>
  <c r="T2992" i="1"/>
  <c r="U2991" i="1"/>
  <c r="T2991" i="1"/>
  <c r="U2990" i="1"/>
  <c r="T2990" i="1"/>
  <c r="U2989" i="1"/>
  <c r="T2989" i="1"/>
  <c r="U2988" i="1"/>
  <c r="T2988" i="1"/>
  <c r="U2987" i="1"/>
  <c r="T2987" i="1"/>
  <c r="U2986" i="1"/>
  <c r="T2986" i="1"/>
  <c r="U2985" i="1"/>
  <c r="T2985" i="1"/>
  <c r="U2984" i="1"/>
  <c r="T2984" i="1"/>
  <c r="U2983" i="1"/>
  <c r="T2983" i="1"/>
  <c r="U2982" i="1"/>
  <c r="T2982" i="1"/>
  <c r="U2981" i="1"/>
  <c r="T2981" i="1"/>
  <c r="U2980" i="1"/>
  <c r="T2980" i="1"/>
  <c r="U2979" i="1"/>
  <c r="T2979" i="1"/>
  <c r="U2978" i="1"/>
  <c r="T2978" i="1"/>
  <c r="U2977" i="1"/>
  <c r="T2977" i="1"/>
  <c r="U2976" i="1"/>
  <c r="T2976" i="1"/>
  <c r="U2975" i="1"/>
  <c r="T2975" i="1"/>
  <c r="U2974" i="1"/>
  <c r="T2974" i="1"/>
  <c r="U2973" i="1"/>
  <c r="T2973" i="1"/>
  <c r="U2972" i="1"/>
  <c r="T2972" i="1"/>
  <c r="U2971" i="1"/>
  <c r="T2971" i="1"/>
  <c r="U2970" i="1"/>
  <c r="T2970" i="1"/>
  <c r="U2969" i="1"/>
  <c r="T2969" i="1"/>
  <c r="U2968" i="1"/>
  <c r="T2968" i="1"/>
  <c r="U2967" i="1"/>
  <c r="T2967" i="1"/>
  <c r="U2966" i="1"/>
  <c r="T2966" i="1"/>
  <c r="U2965" i="1"/>
  <c r="T2965" i="1"/>
  <c r="U2964" i="1"/>
  <c r="T2964" i="1"/>
  <c r="U2963" i="1"/>
  <c r="T2963" i="1"/>
  <c r="U2962" i="1"/>
  <c r="T2962" i="1"/>
  <c r="U2961" i="1"/>
  <c r="T2961" i="1"/>
  <c r="U2960" i="1"/>
  <c r="T2960" i="1"/>
  <c r="U2959" i="1"/>
  <c r="T2959" i="1"/>
  <c r="U2958" i="1"/>
  <c r="T2958" i="1"/>
  <c r="U2957" i="1"/>
  <c r="T2957" i="1"/>
  <c r="U2956" i="1"/>
  <c r="T2956" i="1"/>
  <c r="U2955" i="1"/>
  <c r="T2955" i="1"/>
  <c r="U2954" i="1"/>
  <c r="T2954" i="1"/>
  <c r="U2953" i="1"/>
  <c r="T2953" i="1"/>
  <c r="U2952" i="1"/>
  <c r="T2952" i="1"/>
  <c r="U2951" i="1"/>
  <c r="T2951" i="1"/>
  <c r="U2950" i="1"/>
  <c r="T2950" i="1"/>
  <c r="U2949" i="1"/>
  <c r="T2949" i="1"/>
  <c r="U2948" i="1"/>
  <c r="T2948" i="1"/>
  <c r="U2947" i="1"/>
  <c r="T2947" i="1"/>
  <c r="U2946" i="1"/>
  <c r="T2946" i="1"/>
  <c r="U2945" i="1"/>
  <c r="T2945" i="1"/>
  <c r="U2944" i="1"/>
  <c r="T2944" i="1"/>
  <c r="U2943" i="1"/>
  <c r="T2943" i="1"/>
  <c r="U2942" i="1"/>
  <c r="T2942" i="1"/>
  <c r="U2941" i="1"/>
  <c r="T2941" i="1"/>
  <c r="U2940" i="1"/>
  <c r="T2940" i="1"/>
  <c r="U2939" i="1"/>
  <c r="T2939" i="1"/>
  <c r="U2938" i="1"/>
  <c r="T2938" i="1"/>
  <c r="U2937" i="1"/>
  <c r="T2937" i="1"/>
  <c r="U2936" i="1"/>
  <c r="T2936" i="1"/>
  <c r="U2935" i="1"/>
  <c r="T2935" i="1"/>
  <c r="U2934" i="1"/>
  <c r="T2934" i="1"/>
  <c r="U2933" i="1"/>
  <c r="T2933" i="1"/>
  <c r="U2932" i="1"/>
  <c r="T2932" i="1"/>
  <c r="U2931" i="1"/>
  <c r="T2931" i="1"/>
  <c r="U2930" i="1"/>
  <c r="T2930" i="1"/>
  <c r="U2929" i="1"/>
  <c r="T2929" i="1"/>
  <c r="U2928" i="1"/>
  <c r="T2928" i="1"/>
  <c r="U2927" i="1"/>
  <c r="T2927" i="1"/>
  <c r="U2926" i="1"/>
  <c r="T2926" i="1"/>
  <c r="U2925" i="1"/>
  <c r="T2925" i="1"/>
  <c r="U2924" i="1"/>
  <c r="T2924" i="1"/>
  <c r="U2923" i="1"/>
  <c r="T2923" i="1"/>
  <c r="U2922" i="1"/>
  <c r="T2922" i="1"/>
  <c r="U2921" i="1"/>
  <c r="T2921" i="1"/>
  <c r="U2920" i="1"/>
  <c r="T2920" i="1"/>
  <c r="U2919" i="1"/>
  <c r="T2919" i="1"/>
  <c r="U2918" i="1"/>
  <c r="T2918" i="1"/>
  <c r="U2917" i="1"/>
  <c r="T2917" i="1"/>
  <c r="U2916" i="1"/>
  <c r="T2916" i="1"/>
  <c r="U2915" i="1"/>
  <c r="T2915" i="1"/>
  <c r="U2914" i="1"/>
  <c r="T2914" i="1"/>
  <c r="U2913" i="1"/>
  <c r="T2913" i="1"/>
  <c r="U2912" i="1"/>
  <c r="T2912" i="1"/>
  <c r="U2911" i="1"/>
  <c r="T2911" i="1"/>
  <c r="U2910" i="1"/>
  <c r="T2910" i="1"/>
  <c r="U2909" i="1"/>
  <c r="T2909" i="1"/>
  <c r="U2908" i="1"/>
  <c r="T2908" i="1"/>
  <c r="U2907" i="1"/>
  <c r="T2907" i="1"/>
  <c r="U2906" i="1"/>
  <c r="T2906" i="1"/>
  <c r="U2905" i="1"/>
  <c r="T2905" i="1"/>
  <c r="U2904" i="1"/>
  <c r="T2904" i="1"/>
  <c r="U2903" i="1"/>
  <c r="T2903" i="1"/>
  <c r="U2902" i="1"/>
  <c r="T2902" i="1"/>
  <c r="U2901" i="1"/>
  <c r="T2901" i="1"/>
  <c r="U2900" i="1"/>
  <c r="T2900" i="1"/>
  <c r="U2899" i="1"/>
  <c r="T2899" i="1"/>
  <c r="U2898" i="1"/>
  <c r="T2898" i="1"/>
  <c r="U2897" i="1"/>
  <c r="T2897" i="1"/>
  <c r="U2896" i="1"/>
  <c r="T2896" i="1"/>
  <c r="U2895" i="1"/>
  <c r="T2895" i="1"/>
  <c r="U2894" i="1"/>
  <c r="T2894" i="1"/>
  <c r="U2893" i="1"/>
  <c r="T2893" i="1"/>
  <c r="U2892" i="1"/>
  <c r="T2892" i="1"/>
  <c r="U2891" i="1"/>
  <c r="T2891" i="1"/>
  <c r="U2890" i="1"/>
  <c r="T2890" i="1"/>
  <c r="U2889" i="1"/>
  <c r="T2889" i="1"/>
  <c r="U2888" i="1"/>
  <c r="T2888" i="1"/>
  <c r="U2887" i="1"/>
  <c r="T2887" i="1"/>
  <c r="U2886" i="1"/>
  <c r="T2886" i="1"/>
  <c r="U2885" i="1"/>
  <c r="T2885" i="1"/>
  <c r="U2884" i="1"/>
  <c r="T2884" i="1"/>
  <c r="U2883" i="1"/>
  <c r="T2883" i="1"/>
  <c r="U2882" i="1"/>
  <c r="T2882" i="1"/>
  <c r="U2881" i="1"/>
  <c r="T2881" i="1"/>
  <c r="U2880" i="1"/>
  <c r="T2880" i="1"/>
  <c r="U2879" i="1"/>
  <c r="T2879" i="1"/>
  <c r="U2878" i="1"/>
  <c r="T2878" i="1"/>
  <c r="U2877" i="1"/>
  <c r="T2877" i="1"/>
  <c r="U2876" i="1"/>
  <c r="T2876" i="1"/>
  <c r="U2875" i="1"/>
  <c r="T2875" i="1"/>
  <c r="U2874" i="1"/>
  <c r="T2874" i="1"/>
  <c r="U2873" i="1"/>
  <c r="T2873" i="1"/>
  <c r="U2872" i="1"/>
  <c r="T2872" i="1"/>
  <c r="U2871" i="1"/>
  <c r="T2871" i="1"/>
  <c r="U2870" i="1"/>
  <c r="T2870" i="1"/>
  <c r="U2869" i="1"/>
  <c r="T2869" i="1"/>
  <c r="U2868" i="1"/>
  <c r="T2868" i="1"/>
  <c r="U2867" i="1"/>
  <c r="T2867" i="1"/>
  <c r="U2866" i="1"/>
  <c r="T2866" i="1"/>
  <c r="U2865" i="1"/>
  <c r="T2865" i="1"/>
  <c r="U2864" i="1"/>
  <c r="T2864" i="1"/>
  <c r="U2863" i="1"/>
  <c r="T2863" i="1"/>
  <c r="U2862" i="1"/>
  <c r="T2862" i="1"/>
  <c r="U2861" i="1"/>
  <c r="T2861" i="1"/>
  <c r="U2860" i="1"/>
  <c r="T2860" i="1"/>
  <c r="U2859" i="1"/>
  <c r="T2859" i="1"/>
  <c r="U2858" i="1"/>
  <c r="T2858" i="1"/>
  <c r="U2857" i="1"/>
  <c r="T2857" i="1"/>
  <c r="U2856" i="1"/>
  <c r="T2856" i="1"/>
  <c r="U2855" i="1"/>
  <c r="T2855" i="1"/>
  <c r="U2854" i="1"/>
  <c r="T2854" i="1"/>
  <c r="U2853" i="1"/>
  <c r="T2853" i="1"/>
  <c r="U2852" i="1"/>
  <c r="T2852" i="1"/>
  <c r="U2851" i="1"/>
  <c r="T2851" i="1"/>
  <c r="U2850" i="1"/>
  <c r="T2850" i="1"/>
  <c r="U2849" i="1"/>
  <c r="T2849" i="1"/>
  <c r="U2848" i="1"/>
  <c r="T2848" i="1"/>
  <c r="U2847" i="1"/>
  <c r="T2847" i="1"/>
  <c r="U2846" i="1"/>
  <c r="T2846" i="1"/>
  <c r="U2845" i="1"/>
  <c r="T2845" i="1"/>
  <c r="U2844" i="1"/>
  <c r="T2844" i="1"/>
  <c r="U2843" i="1"/>
  <c r="T2843" i="1"/>
  <c r="U2842" i="1"/>
  <c r="T2842" i="1"/>
  <c r="U2841" i="1"/>
  <c r="T2841" i="1"/>
  <c r="U2840" i="1"/>
  <c r="T2840" i="1"/>
  <c r="U2839" i="1"/>
  <c r="T2839" i="1"/>
  <c r="U2838" i="1"/>
  <c r="T2838" i="1"/>
  <c r="U2837" i="1"/>
  <c r="T2837" i="1"/>
  <c r="U2836" i="1"/>
  <c r="T2836" i="1"/>
  <c r="U2835" i="1"/>
  <c r="T2835" i="1"/>
  <c r="U2834" i="1"/>
  <c r="T2834" i="1"/>
  <c r="U2833" i="1"/>
  <c r="T2833" i="1"/>
  <c r="U2832" i="1"/>
  <c r="T2832" i="1"/>
  <c r="U2831" i="1"/>
  <c r="T2831" i="1"/>
  <c r="U2830" i="1"/>
  <c r="T2830" i="1"/>
  <c r="U2829" i="1"/>
  <c r="T2829" i="1"/>
  <c r="U2828" i="1"/>
  <c r="T2828" i="1"/>
  <c r="U2827" i="1"/>
  <c r="T2827" i="1"/>
  <c r="U2826" i="1"/>
  <c r="T2826" i="1"/>
  <c r="U2825" i="1"/>
  <c r="T2825" i="1"/>
  <c r="U2824" i="1"/>
  <c r="T2824" i="1"/>
  <c r="U2823" i="1"/>
  <c r="T2823" i="1"/>
  <c r="U2822" i="1"/>
  <c r="T2822" i="1"/>
  <c r="U2821" i="1"/>
  <c r="T2821" i="1"/>
  <c r="U2820" i="1"/>
  <c r="T2820" i="1"/>
  <c r="U2819" i="1"/>
  <c r="T2819" i="1"/>
  <c r="U2818" i="1"/>
  <c r="T2818" i="1"/>
  <c r="U2817" i="1"/>
  <c r="T2817" i="1"/>
  <c r="U2816" i="1"/>
  <c r="T2816" i="1"/>
  <c r="U2815" i="1"/>
  <c r="T2815" i="1"/>
  <c r="U2814" i="1"/>
  <c r="T2814" i="1"/>
  <c r="U2813" i="1"/>
  <c r="T2813" i="1"/>
  <c r="U2812" i="1"/>
  <c r="T2812" i="1"/>
  <c r="U2811" i="1"/>
  <c r="T2811" i="1"/>
  <c r="U2810" i="1"/>
  <c r="T2810" i="1"/>
  <c r="U2809" i="1"/>
  <c r="T2809" i="1"/>
  <c r="U2808" i="1"/>
  <c r="T2808" i="1"/>
  <c r="U2807" i="1"/>
  <c r="T2807" i="1"/>
  <c r="U2806" i="1"/>
  <c r="T2806" i="1"/>
  <c r="U2805" i="1"/>
  <c r="T2805" i="1"/>
  <c r="U2804" i="1"/>
  <c r="T2804" i="1"/>
  <c r="U2803" i="1"/>
  <c r="T2803" i="1"/>
  <c r="U2802" i="1"/>
  <c r="T2802" i="1"/>
  <c r="U2801" i="1"/>
  <c r="T2801" i="1"/>
  <c r="U2800" i="1"/>
  <c r="T2800" i="1"/>
  <c r="U2799" i="1"/>
  <c r="T2799" i="1"/>
  <c r="U2798" i="1"/>
  <c r="T2798" i="1"/>
  <c r="U2797" i="1"/>
  <c r="T2797" i="1"/>
  <c r="U2796" i="1"/>
  <c r="T2796" i="1"/>
  <c r="U2795" i="1"/>
  <c r="T2795" i="1"/>
  <c r="U2794" i="1"/>
  <c r="T2794" i="1"/>
  <c r="U2793" i="1"/>
  <c r="T2793" i="1"/>
  <c r="U2792" i="1"/>
  <c r="T2792" i="1"/>
  <c r="U2791" i="1"/>
  <c r="T2791" i="1"/>
  <c r="U2790" i="1"/>
  <c r="T2790" i="1"/>
  <c r="U2789" i="1"/>
  <c r="T2789" i="1"/>
  <c r="U2788" i="1"/>
  <c r="T2788" i="1"/>
  <c r="U2787" i="1"/>
  <c r="T2787" i="1"/>
  <c r="U2786" i="1"/>
  <c r="T2786" i="1"/>
  <c r="U2785" i="1"/>
  <c r="T2785" i="1"/>
  <c r="U2784" i="1"/>
  <c r="T2784" i="1"/>
  <c r="U2783" i="1"/>
  <c r="T2783" i="1"/>
  <c r="U2782" i="1"/>
  <c r="T2782" i="1"/>
  <c r="U2781" i="1"/>
  <c r="T2781" i="1"/>
  <c r="U2780" i="1"/>
  <c r="T2780" i="1"/>
  <c r="U2779" i="1"/>
  <c r="T2779" i="1"/>
  <c r="U2778" i="1"/>
  <c r="T2778" i="1"/>
  <c r="U2777" i="1"/>
  <c r="T2777" i="1"/>
  <c r="U2776" i="1"/>
  <c r="T2776" i="1"/>
  <c r="U2775" i="1"/>
  <c r="T2775" i="1"/>
  <c r="U2774" i="1"/>
  <c r="T2774" i="1"/>
  <c r="U2773" i="1"/>
  <c r="T2773" i="1"/>
  <c r="U2772" i="1"/>
  <c r="T2772" i="1"/>
  <c r="U2771" i="1"/>
  <c r="T2771" i="1"/>
  <c r="U2770" i="1"/>
  <c r="T2770" i="1"/>
  <c r="U2769" i="1"/>
  <c r="T2769" i="1"/>
  <c r="U2768" i="1"/>
  <c r="T2768" i="1"/>
  <c r="U2767" i="1"/>
  <c r="T2767" i="1"/>
  <c r="U2766" i="1"/>
  <c r="T2766" i="1"/>
  <c r="U2765" i="1"/>
  <c r="T2765" i="1"/>
  <c r="U2764" i="1"/>
  <c r="T2764" i="1"/>
  <c r="U2763" i="1"/>
  <c r="T2763" i="1"/>
  <c r="U2762" i="1"/>
  <c r="T2762" i="1"/>
  <c r="U2761" i="1"/>
  <c r="T2761" i="1"/>
  <c r="U2760" i="1"/>
  <c r="T2760" i="1"/>
  <c r="U2759" i="1"/>
  <c r="T2759" i="1"/>
  <c r="U2758" i="1"/>
  <c r="T2758" i="1"/>
  <c r="U2757" i="1"/>
  <c r="T2757" i="1"/>
  <c r="U2756" i="1"/>
  <c r="T2756" i="1"/>
  <c r="U2755" i="1"/>
  <c r="T2755" i="1"/>
  <c r="U2754" i="1"/>
  <c r="T2754" i="1"/>
  <c r="U2753" i="1"/>
  <c r="T2753" i="1"/>
  <c r="U2752" i="1"/>
  <c r="T2752" i="1"/>
  <c r="U2751" i="1"/>
  <c r="T2751" i="1"/>
  <c r="U2750" i="1"/>
  <c r="T2750" i="1"/>
  <c r="U2749" i="1"/>
  <c r="T2749" i="1"/>
  <c r="U2748" i="1"/>
  <c r="T2748" i="1"/>
  <c r="U2747" i="1"/>
  <c r="T2747" i="1"/>
  <c r="U2746" i="1"/>
  <c r="T2746" i="1"/>
  <c r="U2745" i="1"/>
  <c r="T2745" i="1"/>
  <c r="U2744" i="1"/>
  <c r="T2744" i="1"/>
  <c r="U2743" i="1"/>
  <c r="T2743" i="1"/>
  <c r="U2742" i="1"/>
  <c r="T2742" i="1"/>
  <c r="U2741" i="1"/>
  <c r="T2741" i="1"/>
  <c r="U2740" i="1"/>
  <c r="T2740" i="1"/>
  <c r="U2739" i="1"/>
  <c r="T2739" i="1"/>
  <c r="U2738" i="1"/>
  <c r="T2738" i="1"/>
  <c r="U2737" i="1"/>
  <c r="T2737" i="1"/>
  <c r="U2736" i="1"/>
  <c r="T2736" i="1"/>
  <c r="U2735" i="1"/>
  <c r="T2735" i="1"/>
  <c r="U2734" i="1"/>
  <c r="T2734" i="1"/>
  <c r="U2733" i="1"/>
  <c r="T2733" i="1"/>
  <c r="U2732" i="1"/>
  <c r="T2732" i="1"/>
  <c r="U2731" i="1"/>
  <c r="T2731" i="1"/>
  <c r="U2730" i="1"/>
  <c r="T2730" i="1"/>
  <c r="U2729" i="1"/>
  <c r="T2729" i="1"/>
  <c r="U2728" i="1"/>
  <c r="T2728" i="1"/>
  <c r="U2727" i="1"/>
  <c r="T2727" i="1"/>
  <c r="U2726" i="1"/>
  <c r="T2726" i="1"/>
  <c r="U2725" i="1"/>
  <c r="T2725" i="1"/>
  <c r="U2724" i="1"/>
  <c r="T2724" i="1"/>
  <c r="U2723" i="1"/>
  <c r="T2723" i="1"/>
  <c r="U2722" i="1"/>
  <c r="T2722" i="1"/>
  <c r="U2721" i="1"/>
  <c r="T2721" i="1"/>
  <c r="U2720" i="1"/>
  <c r="T2720" i="1"/>
  <c r="U2719" i="1"/>
  <c r="T2719" i="1"/>
  <c r="U2718" i="1"/>
  <c r="T2718" i="1"/>
  <c r="U2717" i="1"/>
  <c r="T2717" i="1"/>
  <c r="U2716" i="1"/>
  <c r="T2716" i="1"/>
  <c r="U2715" i="1"/>
  <c r="T2715" i="1"/>
  <c r="U2714" i="1"/>
  <c r="T2714" i="1"/>
  <c r="U2713" i="1"/>
  <c r="T2713" i="1"/>
  <c r="U2712" i="1"/>
  <c r="T2712" i="1"/>
  <c r="U2711" i="1"/>
  <c r="T2711" i="1"/>
  <c r="U2710" i="1"/>
  <c r="T2710" i="1"/>
  <c r="U2709" i="1"/>
  <c r="T2709" i="1"/>
  <c r="U2708" i="1"/>
  <c r="T2708" i="1"/>
  <c r="U2707" i="1"/>
  <c r="T2707" i="1"/>
  <c r="U2706" i="1"/>
  <c r="T2706" i="1"/>
  <c r="U2705" i="1"/>
  <c r="T2705" i="1"/>
  <c r="U2704" i="1"/>
  <c r="T2704" i="1"/>
  <c r="U2703" i="1"/>
  <c r="T2703" i="1"/>
  <c r="U2702" i="1"/>
  <c r="T2702" i="1"/>
  <c r="U2701" i="1"/>
  <c r="T2701" i="1"/>
  <c r="U2700" i="1"/>
  <c r="T2700" i="1"/>
  <c r="U2699" i="1"/>
  <c r="T2699" i="1"/>
  <c r="U2698" i="1"/>
  <c r="T2698" i="1"/>
  <c r="U2697" i="1"/>
  <c r="T2697" i="1"/>
  <c r="U2696" i="1"/>
  <c r="T2696" i="1"/>
  <c r="U2695" i="1"/>
  <c r="T2695" i="1"/>
  <c r="U2694" i="1"/>
  <c r="T2694" i="1"/>
  <c r="U2693" i="1"/>
  <c r="T2693" i="1"/>
  <c r="U2692" i="1"/>
  <c r="T2692" i="1"/>
  <c r="U2691" i="1"/>
  <c r="T2691" i="1"/>
  <c r="U2690" i="1"/>
  <c r="T2690" i="1"/>
  <c r="U2689" i="1"/>
  <c r="T2689" i="1"/>
  <c r="U2688" i="1"/>
  <c r="T2688" i="1"/>
  <c r="U2687" i="1"/>
  <c r="T2687" i="1"/>
  <c r="U2686" i="1"/>
  <c r="T2686" i="1"/>
  <c r="U2685" i="1"/>
  <c r="T2685" i="1"/>
  <c r="U2684" i="1"/>
  <c r="T2684" i="1"/>
  <c r="U2683" i="1"/>
  <c r="T2683" i="1"/>
  <c r="U2682" i="1"/>
  <c r="T2682" i="1"/>
  <c r="U2681" i="1"/>
  <c r="T2681" i="1"/>
  <c r="U2680" i="1"/>
  <c r="T2680" i="1"/>
  <c r="U2679" i="1"/>
  <c r="T2679" i="1"/>
  <c r="U2678" i="1"/>
  <c r="T2678" i="1"/>
  <c r="U2677" i="1"/>
  <c r="T2677" i="1"/>
  <c r="U2676" i="1"/>
  <c r="T2676" i="1"/>
  <c r="U2675" i="1"/>
  <c r="T2675" i="1"/>
  <c r="U2674" i="1"/>
  <c r="T2674" i="1"/>
  <c r="U2673" i="1"/>
  <c r="T2673" i="1"/>
  <c r="U2672" i="1"/>
  <c r="T2672" i="1"/>
  <c r="U2671" i="1"/>
  <c r="T2671" i="1"/>
  <c r="U2670" i="1"/>
  <c r="T2670" i="1"/>
  <c r="U2669" i="1"/>
  <c r="T2669" i="1"/>
  <c r="U2668" i="1"/>
  <c r="T2668" i="1"/>
  <c r="U2667" i="1"/>
  <c r="T2667" i="1"/>
  <c r="U2666" i="1"/>
  <c r="T2666" i="1"/>
  <c r="U2665" i="1"/>
  <c r="T2665" i="1"/>
  <c r="U2664" i="1"/>
  <c r="T2664" i="1"/>
  <c r="U2663" i="1"/>
  <c r="T2663" i="1"/>
  <c r="U2662" i="1"/>
  <c r="T2662" i="1"/>
  <c r="U2661" i="1"/>
  <c r="T2661" i="1"/>
  <c r="U2660" i="1"/>
  <c r="T2660" i="1"/>
  <c r="U2659" i="1"/>
  <c r="T2659" i="1"/>
  <c r="U2658" i="1"/>
  <c r="T2658" i="1"/>
  <c r="U2657" i="1"/>
  <c r="T2657" i="1"/>
  <c r="U2656" i="1"/>
  <c r="T2656" i="1"/>
  <c r="U2655" i="1"/>
  <c r="T2655" i="1"/>
  <c r="U2654" i="1"/>
  <c r="T2654" i="1"/>
  <c r="U2653" i="1"/>
  <c r="T2653" i="1"/>
  <c r="U2652" i="1"/>
  <c r="T2652" i="1"/>
  <c r="U2651" i="1"/>
  <c r="T2651" i="1"/>
  <c r="U2650" i="1"/>
  <c r="T2650" i="1"/>
  <c r="U2649" i="1"/>
  <c r="T2649" i="1"/>
  <c r="U2648" i="1"/>
  <c r="T2648" i="1"/>
  <c r="U2647" i="1"/>
  <c r="T2647" i="1"/>
  <c r="U2646" i="1"/>
  <c r="T2646" i="1"/>
  <c r="U2645" i="1"/>
  <c r="T2645" i="1"/>
  <c r="U2644" i="1"/>
  <c r="T2644" i="1"/>
  <c r="U2643" i="1"/>
  <c r="T2643" i="1"/>
  <c r="U2642" i="1"/>
  <c r="T2642" i="1"/>
  <c r="U2641" i="1"/>
  <c r="T2641" i="1"/>
  <c r="U2640" i="1"/>
  <c r="T2640" i="1"/>
  <c r="U2639" i="1"/>
  <c r="T2639" i="1"/>
  <c r="U2638" i="1"/>
  <c r="T2638" i="1"/>
  <c r="U2637" i="1"/>
  <c r="T2637" i="1"/>
  <c r="U2636" i="1"/>
  <c r="T2636" i="1"/>
  <c r="U2635" i="1"/>
  <c r="T2635" i="1"/>
  <c r="U2634" i="1"/>
  <c r="T2634" i="1"/>
  <c r="U2633" i="1"/>
  <c r="T2633" i="1"/>
  <c r="U2632" i="1"/>
  <c r="T2632" i="1"/>
  <c r="U2631" i="1"/>
  <c r="T2631" i="1"/>
  <c r="U2630" i="1"/>
  <c r="T2630" i="1"/>
  <c r="U2629" i="1"/>
  <c r="T2629" i="1"/>
  <c r="U2628" i="1"/>
  <c r="T2628" i="1"/>
  <c r="U2627" i="1"/>
  <c r="T2627" i="1"/>
  <c r="U2626" i="1"/>
  <c r="T2626" i="1"/>
  <c r="U2625" i="1"/>
  <c r="T2625" i="1"/>
  <c r="U2624" i="1"/>
  <c r="T2624" i="1"/>
  <c r="U2623" i="1"/>
  <c r="T2623" i="1"/>
  <c r="U2622" i="1"/>
  <c r="T2622" i="1"/>
  <c r="U2621" i="1"/>
  <c r="T2621" i="1"/>
  <c r="U2620" i="1"/>
  <c r="T2620" i="1"/>
  <c r="U2619" i="1"/>
  <c r="T2619" i="1"/>
  <c r="U2618" i="1"/>
  <c r="T2618" i="1"/>
  <c r="U2617" i="1"/>
  <c r="T2617" i="1"/>
  <c r="U2616" i="1"/>
  <c r="T2616" i="1"/>
  <c r="U2615" i="1"/>
  <c r="T2615" i="1"/>
  <c r="U2614" i="1"/>
  <c r="T2614" i="1"/>
  <c r="U2613" i="1"/>
  <c r="T2613" i="1"/>
  <c r="U2612" i="1"/>
  <c r="T2612" i="1"/>
  <c r="U2611" i="1"/>
  <c r="T2611" i="1"/>
  <c r="U2610" i="1"/>
  <c r="T2610" i="1"/>
  <c r="U2609" i="1"/>
  <c r="T2609" i="1"/>
  <c r="U2608" i="1"/>
  <c r="T2608" i="1"/>
  <c r="U2607" i="1"/>
  <c r="T2607" i="1"/>
  <c r="U2606" i="1"/>
  <c r="T2606" i="1"/>
  <c r="U2605" i="1"/>
  <c r="T2605" i="1"/>
  <c r="U2604" i="1"/>
  <c r="T2604" i="1"/>
  <c r="U2603" i="1"/>
  <c r="T2603" i="1"/>
  <c r="U2602" i="1"/>
  <c r="T2602" i="1"/>
  <c r="U2601" i="1"/>
  <c r="T2601" i="1"/>
  <c r="U2600" i="1"/>
  <c r="T2600" i="1"/>
  <c r="U2599" i="1"/>
  <c r="T2599" i="1"/>
  <c r="U2598" i="1"/>
  <c r="T2598" i="1"/>
  <c r="U2597" i="1"/>
  <c r="T2597" i="1"/>
  <c r="U2596" i="1"/>
  <c r="T2596" i="1"/>
  <c r="U2595" i="1"/>
  <c r="T2595" i="1"/>
  <c r="U2594" i="1"/>
  <c r="T2594" i="1"/>
  <c r="U2593" i="1"/>
  <c r="T2593" i="1"/>
  <c r="U2592" i="1"/>
  <c r="T2592" i="1"/>
  <c r="U2591" i="1"/>
  <c r="T2591" i="1"/>
  <c r="U2590" i="1"/>
  <c r="T2590" i="1"/>
  <c r="U2589" i="1"/>
  <c r="T2589" i="1"/>
  <c r="U2588" i="1"/>
  <c r="T2588" i="1"/>
  <c r="U2587" i="1"/>
  <c r="T2587" i="1"/>
  <c r="U2586" i="1"/>
  <c r="T2586" i="1"/>
  <c r="U2585" i="1"/>
  <c r="T2585" i="1"/>
  <c r="U2584" i="1"/>
  <c r="T2584" i="1"/>
  <c r="U2583" i="1"/>
  <c r="T2583" i="1"/>
  <c r="U2582" i="1"/>
  <c r="T2582" i="1"/>
  <c r="U2581" i="1"/>
  <c r="T2581" i="1"/>
  <c r="U2580" i="1"/>
  <c r="T2580" i="1"/>
  <c r="U2579" i="1"/>
  <c r="T2579" i="1"/>
  <c r="U2578" i="1"/>
  <c r="T2578" i="1"/>
  <c r="U2577" i="1"/>
  <c r="T2577" i="1"/>
  <c r="U2576" i="1"/>
  <c r="T2576" i="1"/>
  <c r="U2575" i="1"/>
  <c r="T2575" i="1"/>
  <c r="U2574" i="1"/>
  <c r="T2574" i="1"/>
  <c r="U2573" i="1"/>
  <c r="T2573" i="1"/>
  <c r="U2572" i="1"/>
  <c r="T2572" i="1"/>
  <c r="U2571" i="1"/>
  <c r="T2571" i="1"/>
  <c r="U2570" i="1"/>
  <c r="T2570" i="1"/>
  <c r="U2569" i="1"/>
  <c r="T2569" i="1"/>
  <c r="U2568" i="1"/>
  <c r="T2568" i="1"/>
  <c r="U2567" i="1"/>
  <c r="T2567" i="1"/>
  <c r="U2566" i="1"/>
  <c r="T2566" i="1"/>
  <c r="U2565" i="1"/>
  <c r="T2565" i="1"/>
  <c r="U2564" i="1"/>
  <c r="T2564" i="1"/>
  <c r="U2563" i="1"/>
  <c r="T2563" i="1"/>
  <c r="U2562" i="1"/>
  <c r="T2562" i="1"/>
  <c r="U2561" i="1"/>
  <c r="T2561" i="1"/>
  <c r="U2560" i="1"/>
  <c r="T2560" i="1"/>
  <c r="U2559" i="1"/>
  <c r="T2559" i="1"/>
  <c r="U2558" i="1"/>
  <c r="T2558" i="1"/>
  <c r="U2557" i="1"/>
  <c r="T2557" i="1"/>
  <c r="U2556" i="1"/>
  <c r="T2556" i="1"/>
  <c r="U2555" i="1"/>
  <c r="T2555" i="1"/>
  <c r="U2554" i="1"/>
  <c r="T2554" i="1"/>
  <c r="U2553" i="1"/>
  <c r="T2553" i="1"/>
  <c r="U2552" i="1"/>
  <c r="T2552" i="1"/>
  <c r="U2551" i="1"/>
  <c r="T2551" i="1"/>
  <c r="U2550" i="1"/>
  <c r="T2550" i="1"/>
  <c r="U2549" i="1"/>
  <c r="T2549" i="1"/>
  <c r="U2548" i="1"/>
  <c r="T2548" i="1"/>
  <c r="U2547" i="1"/>
  <c r="T2547" i="1"/>
  <c r="U2546" i="1"/>
  <c r="T2546" i="1"/>
  <c r="U2545" i="1"/>
  <c r="T2545" i="1"/>
  <c r="U2544" i="1"/>
  <c r="T2544" i="1"/>
  <c r="U2543" i="1"/>
  <c r="T2543" i="1"/>
  <c r="U2542" i="1"/>
  <c r="T2542" i="1"/>
  <c r="U2541" i="1"/>
  <c r="T2541" i="1"/>
  <c r="U2540" i="1"/>
  <c r="T2540" i="1"/>
  <c r="U2539" i="1"/>
  <c r="T2539" i="1"/>
  <c r="U2538" i="1"/>
  <c r="T2538" i="1"/>
  <c r="U2537" i="1"/>
  <c r="T2537" i="1"/>
  <c r="U2536" i="1"/>
  <c r="T2536" i="1"/>
  <c r="U2535" i="1"/>
  <c r="T2535" i="1"/>
  <c r="U2534" i="1"/>
  <c r="T2534" i="1"/>
  <c r="U2533" i="1"/>
  <c r="T2533" i="1"/>
  <c r="U2532" i="1"/>
  <c r="T2532" i="1"/>
  <c r="U2531" i="1"/>
  <c r="T2531" i="1"/>
  <c r="U2530" i="1"/>
  <c r="T2530" i="1"/>
  <c r="U2529" i="1"/>
  <c r="T2529" i="1"/>
  <c r="U2528" i="1"/>
  <c r="T2528" i="1"/>
  <c r="U2527" i="1"/>
  <c r="T2527" i="1"/>
  <c r="U2526" i="1"/>
  <c r="T2526" i="1"/>
  <c r="U2525" i="1"/>
  <c r="T2525" i="1"/>
  <c r="U2524" i="1"/>
  <c r="T2524" i="1"/>
  <c r="U2523" i="1"/>
  <c r="T2523" i="1"/>
  <c r="U2522" i="1"/>
  <c r="T2522" i="1"/>
  <c r="U2521" i="1"/>
  <c r="T2521" i="1"/>
  <c r="U2520" i="1"/>
  <c r="T2520" i="1"/>
  <c r="U2519" i="1"/>
  <c r="T2519" i="1"/>
  <c r="U2518" i="1"/>
  <c r="T2518" i="1"/>
  <c r="U2517" i="1"/>
  <c r="T2517" i="1"/>
  <c r="U2516" i="1"/>
  <c r="T2516" i="1"/>
  <c r="U2515" i="1"/>
  <c r="T2515" i="1"/>
  <c r="U2514" i="1"/>
  <c r="T2514" i="1"/>
  <c r="U2513" i="1"/>
  <c r="T2513" i="1"/>
  <c r="U2512" i="1"/>
  <c r="T2512" i="1"/>
  <c r="U2511" i="1"/>
  <c r="T2511" i="1"/>
  <c r="U2510" i="1"/>
  <c r="T2510" i="1"/>
  <c r="U2509" i="1"/>
  <c r="T2509" i="1"/>
  <c r="U2508" i="1"/>
  <c r="T2508" i="1"/>
  <c r="U2507" i="1"/>
  <c r="T2507" i="1"/>
  <c r="U2506" i="1"/>
  <c r="T2506" i="1"/>
  <c r="U2505" i="1"/>
  <c r="T2505" i="1"/>
  <c r="U2504" i="1"/>
  <c r="T2504" i="1"/>
  <c r="U2503" i="1"/>
  <c r="T2503" i="1"/>
  <c r="U2502" i="1"/>
  <c r="T2502" i="1"/>
  <c r="U2501" i="1"/>
  <c r="T2501" i="1"/>
  <c r="U2500" i="1"/>
  <c r="T2500" i="1"/>
  <c r="U2499" i="1"/>
  <c r="T2499" i="1"/>
  <c r="U2498" i="1"/>
  <c r="T2498" i="1"/>
  <c r="U2497" i="1"/>
  <c r="T2497" i="1"/>
  <c r="U2496" i="1"/>
  <c r="T2496" i="1"/>
  <c r="U2495" i="1"/>
  <c r="T2495" i="1"/>
  <c r="U2494" i="1"/>
  <c r="T2494" i="1"/>
  <c r="U2493" i="1"/>
  <c r="T2493" i="1"/>
  <c r="U2492" i="1"/>
  <c r="T2492" i="1"/>
  <c r="U2491" i="1"/>
  <c r="T2491" i="1"/>
  <c r="U2490" i="1"/>
  <c r="T2490" i="1"/>
  <c r="U2489" i="1"/>
  <c r="T2489" i="1"/>
  <c r="U2488" i="1"/>
  <c r="T2488" i="1"/>
  <c r="U2487" i="1"/>
  <c r="T2487" i="1"/>
  <c r="U2486" i="1"/>
  <c r="T2486" i="1"/>
  <c r="U2485" i="1"/>
  <c r="T2485" i="1"/>
  <c r="U2484" i="1"/>
  <c r="T2484" i="1"/>
  <c r="U2483" i="1"/>
  <c r="T2483" i="1"/>
  <c r="U2482" i="1"/>
  <c r="T2482" i="1"/>
  <c r="U2481" i="1"/>
  <c r="T2481" i="1"/>
  <c r="U2480" i="1"/>
  <c r="T2480" i="1"/>
  <c r="U2479" i="1"/>
  <c r="T2479" i="1"/>
  <c r="U2478" i="1"/>
  <c r="T2478" i="1"/>
  <c r="U2477" i="1"/>
  <c r="T2477" i="1"/>
  <c r="U2476" i="1"/>
  <c r="T2476" i="1"/>
  <c r="U2475" i="1"/>
  <c r="T2475" i="1"/>
  <c r="U2474" i="1"/>
  <c r="T2474" i="1"/>
  <c r="U2473" i="1"/>
  <c r="T2473" i="1"/>
  <c r="U2472" i="1"/>
  <c r="T2472" i="1"/>
  <c r="U2471" i="1"/>
  <c r="T2471" i="1"/>
  <c r="U2470" i="1"/>
  <c r="T2470" i="1"/>
  <c r="U2469" i="1"/>
  <c r="T2469" i="1"/>
  <c r="U2468" i="1"/>
  <c r="T2468" i="1"/>
  <c r="U2467" i="1"/>
  <c r="T2467" i="1"/>
  <c r="U2466" i="1"/>
  <c r="T2466" i="1"/>
  <c r="U2465" i="1"/>
  <c r="T2465" i="1"/>
  <c r="U2464" i="1"/>
  <c r="T2464" i="1"/>
  <c r="U2463" i="1"/>
  <c r="T2463" i="1"/>
  <c r="U2462" i="1"/>
  <c r="T2462" i="1"/>
  <c r="U2461" i="1"/>
  <c r="T2461" i="1"/>
  <c r="U2460" i="1"/>
  <c r="T2460" i="1"/>
  <c r="U2459" i="1"/>
  <c r="T2459" i="1"/>
  <c r="U2458" i="1"/>
  <c r="T2458" i="1"/>
  <c r="U2457" i="1"/>
  <c r="T2457" i="1"/>
  <c r="U2456" i="1"/>
  <c r="T2456" i="1"/>
  <c r="U2455" i="1"/>
  <c r="T2455" i="1"/>
  <c r="U2454" i="1"/>
  <c r="T2454" i="1"/>
  <c r="U2453" i="1"/>
  <c r="T2453" i="1"/>
  <c r="U2452" i="1"/>
  <c r="T2452" i="1"/>
  <c r="U2451" i="1"/>
  <c r="T2451" i="1"/>
  <c r="U2450" i="1"/>
  <c r="T2450" i="1"/>
  <c r="U2449" i="1"/>
  <c r="T2449" i="1"/>
  <c r="U2448" i="1"/>
  <c r="T2448" i="1"/>
  <c r="U2447" i="1"/>
  <c r="T2447" i="1"/>
  <c r="U2446" i="1"/>
  <c r="T2446" i="1"/>
  <c r="U2445" i="1"/>
  <c r="T2445" i="1"/>
  <c r="U2444" i="1"/>
  <c r="T2444" i="1"/>
  <c r="U2443" i="1"/>
  <c r="T2443" i="1"/>
  <c r="U2442" i="1"/>
  <c r="T2442" i="1"/>
  <c r="U2441" i="1"/>
  <c r="T2441" i="1"/>
  <c r="U2440" i="1"/>
  <c r="T2440" i="1"/>
  <c r="U2439" i="1"/>
  <c r="T2439" i="1"/>
  <c r="U2438" i="1"/>
  <c r="T2438" i="1"/>
  <c r="U2437" i="1"/>
  <c r="T2437" i="1"/>
  <c r="U2436" i="1"/>
  <c r="T2436" i="1"/>
  <c r="U2435" i="1"/>
  <c r="T2435" i="1"/>
  <c r="U2434" i="1"/>
  <c r="T2434" i="1"/>
  <c r="U2433" i="1"/>
  <c r="T2433" i="1"/>
  <c r="U2432" i="1"/>
  <c r="T2432" i="1"/>
  <c r="U2431" i="1"/>
  <c r="T2431" i="1"/>
  <c r="U2430" i="1"/>
  <c r="T2430" i="1"/>
  <c r="U2429" i="1"/>
  <c r="U2428" i="1"/>
  <c r="T2428" i="1"/>
  <c r="U2427" i="1"/>
  <c r="T2427" i="1"/>
  <c r="U2426" i="1"/>
  <c r="T2426" i="1"/>
  <c r="U2425" i="1"/>
  <c r="T2425" i="1"/>
  <c r="U2424" i="1"/>
  <c r="U2423" i="1"/>
  <c r="T2423" i="1"/>
  <c r="U2422" i="1"/>
  <c r="T2422" i="1"/>
  <c r="U2421" i="1"/>
  <c r="T2421" i="1"/>
  <c r="U2420" i="1"/>
  <c r="T2420" i="1"/>
  <c r="U2419" i="1"/>
  <c r="T2419" i="1"/>
  <c r="U2418" i="1"/>
  <c r="T2418" i="1"/>
  <c r="U2417" i="1"/>
  <c r="T2417" i="1"/>
  <c r="U2416" i="1"/>
  <c r="T2416" i="1"/>
  <c r="U2415" i="1"/>
  <c r="T2415" i="1"/>
  <c r="U2414" i="1"/>
  <c r="U2413" i="1"/>
  <c r="T2413" i="1"/>
  <c r="U2412" i="1"/>
  <c r="T2412" i="1"/>
  <c r="U2411" i="1"/>
  <c r="T2411" i="1"/>
  <c r="U2410" i="1"/>
  <c r="T2410" i="1"/>
  <c r="U2409" i="1"/>
  <c r="T2409" i="1"/>
  <c r="U2408" i="1"/>
  <c r="T2408" i="1"/>
  <c r="U2407" i="1"/>
  <c r="T2407" i="1"/>
  <c r="U2406" i="1"/>
  <c r="T2406" i="1"/>
  <c r="U2405" i="1"/>
  <c r="T2405" i="1"/>
  <c r="U2404" i="1"/>
  <c r="T2404" i="1"/>
  <c r="U2403" i="1"/>
  <c r="T2403" i="1"/>
  <c r="U2402" i="1"/>
  <c r="T2402" i="1"/>
  <c r="U2401" i="1"/>
  <c r="T2401" i="1"/>
  <c r="U2400" i="1"/>
  <c r="T2400" i="1"/>
  <c r="U2399" i="1"/>
  <c r="T2399" i="1"/>
  <c r="U2398" i="1"/>
  <c r="T2398" i="1"/>
  <c r="U2397" i="1"/>
  <c r="T2397" i="1"/>
  <c r="U2396" i="1"/>
  <c r="T2396" i="1"/>
  <c r="U2395" i="1"/>
  <c r="T2395" i="1"/>
  <c r="U2394" i="1"/>
  <c r="T2394" i="1"/>
  <c r="U2393" i="1"/>
  <c r="T2393" i="1"/>
  <c r="U2392" i="1"/>
  <c r="T2392" i="1"/>
  <c r="U2391" i="1"/>
  <c r="T2391" i="1"/>
  <c r="U2390" i="1"/>
  <c r="T2390" i="1"/>
  <c r="U2389" i="1"/>
  <c r="T2389" i="1"/>
  <c r="U2388" i="1"/>
  <c r="T2388" i="1"/>
  <c r="U2387" i="1"/>
  <c r="T2387" i="1"/>
  <c r="U2386" i="1"/>
  <c r="T2386" i="1"/>
  <c r="U2385" i="1"/>
  <c r="T2385" i="1"/>
  <c r="U2384" i="1"/>
  <c r="T2384" i="1"/>
  <c r="U2383" i="1"/>
  <c r="T2383" i="1"/>
  <c r="U2382" i="1"/>
  <c r="T2382" i="1"/>
  <c r="U2381" i="1"/>
  <c r="T2381" i="1"/>
  <c r="U2380" i="1"/>
  <c r="U2379" i="1"/>
  <c r="T2379" i="1"/>
  <c r="U2378" i="1"/>
  <c r="T2378" i="1"/>
  <c r="U2377" i="1"/>
  <c r="T2377" i="1"/>
  <c r="U2376" i="1"/>
  <c r="T2376" i="1"/>
  <c r="U2375" i="1"/>
  <c r="T2375" i="1"/>
  <c r="U2374" i="1"/>
  <c r="T2374" i="1"/>
  <c r="U2373" i="1"/>
  <c r="T2373" i="1"/>
  <c r="U2372" i="1"/>
  <c r="T2372" i="1"/>
  <c r="U2371" i="1"/>
  <c r="U2370" i="1"/>
  <c r="T2370" i="1"/>
  <c r="U2369" i="1"/>
  <c r="T2369" i="1"/>
  <c r="U2368" i="1"/>
  <c r="U2367" i="1"/>
  <c r="T2367" i="1"/>
  <c r="U2366" i="1"/>
  <c r="T2366" i="1"/>
  <c r="U2365" i="1"/>
  <c r="T2365" i="1"/>
  <c r="U2364" i="1"/>
  <c r="T2364" i="1"/>
  <c r="U2363" i="1"/>
  <c r="T2363" i="1"/>
  <c r="U2362" i="1"/>
  <c r="T2362" i="1"/>
  <c r="U2361" i="1"/>
  <c r="T2361" i="1"/>
  <c r="U2360" i="1"/>
  <c r="T2360" i="1"/>
  <c r="U2359" i="1"/>
  <c r="T2359" i="1"/>
  <c r="U2358" i="1"/>
  <c r="T2358" i="1"/>
  <c r="U2357" i="1"/>
  <c r="T2357" i="1"/>
  <c r="U2356" i="1"/>
  <c r="T2356" i="1"/>
  <c r="U2355" i="1"/>
  <c r="T2355" i="1"/>
  <c r="U2354" i="1"/>
  <c r="T2354" i="1"/>
  <c r="U2353" i="1"/>
  <c r="T2353" i="1"/>
  <c r="U2352" i="1"/>
  <c r="T2352" i="1"/>
  <c r="U2351" i="1"/>
  <c r="T2351" i="1"/>
  <c r="U2350" i="1"/>
  <c r="T2350" i="1"/>
  <c r="U2349" i="1"/>
  <c r="T2349" i="1"/>
  <c r="U2348" i="1"/>
  <c r="T2348" i="1"/>
  <c r="U2347" i="1"/>
  <c r="U2346" i="1"/>
  <c r="T2346" i="1"/>
  <c r="U2345" i="1"/>
  <c r="T2345" i="1"/>
  <c r="U2344" i="1"/>
  <c r="T2344" i="1"/>
  <c r="U2343" i="1"/>
  <c r="T2343" i="1"/>
  <c r="U2342" i="1"/>
  <c r="T2342" i="1"/>
  <c r="U2341" i="1"/>
  <c r="T2341" i="1"/>
  <c r="U2340" i="1"/>
  <c r="T2340" i="1"/>
  <c r="U2339" i="1"/>
  <c r="T2339" i="1"/>
  <c r="U2338" i="1"/>
  <c r="T2338" i="1"/>
  <c r="U2337" i="1"/>
  <c r="T2337" i="1"/>
  <c r="U2336" i="1"/>
  <c r="T2336" i="1"/>
  <c r="U2335" i="1"/>
  <c r="T2335" i="1"/>
  <c r="U2334" i="1"/>
  <c r="T2334" i="1"/>
  <c r="U2333" i="1"/>
  <c r="T2333" i="1"/>
  <c r="U2332" i="1"/>
  <c r="T2332" i="1"/>
  <c r="U2331" i="1"/>
  <c r="T2331" i="1"/>
  <c r="U2330" i="1"/>
  <c r="T2330" i="1"/>
  <c r="U2329" i="1"/>
  <c r="T2329" i="1"/>
  <c r="U2328" i="1"/>
  <c r="T2328" i="1"/>
  <c r="U2327" i="1"/>
  <c r="T2327" i="1"/>
  <c r="U2326" i="1"/>
  <c r="T2326" i="1"/>
  <c r="U2325" i="1"/>
  <c r="T2325" i="1"/>
  <c r="U2324" i="1"/>
  <c r="T2324" i="1"/>
  <c r="U2323" i="1"/>
  <c r="T2323" i="1"/>
  <c r="U2322" i="1"/>
  <c r="T2322" i="1"/>
  <c r="U2321" i="1"/>
  <c r="T2321" i="1"/>
  <c r="U2320" i="1"/>
  <c r="T2320" i="1"/>
  <c r="U2319" i="1"/>
  <c r="T2319" i="1"/>
  <c r="U2318" i="1"/>
  <c r="T2318" i="1"/>
  <c r="U2317" i="1"/>
  <c r="T2317" i="1"/>
  <c r="U2316" i="1"/>
  <c r="T2316" i="1"/>
  <c r="U2315" i="1"/>
  <c r="T2315" i="1"/>
  <c r="U2314" i="1"/>
  <c r="T2314" i="1"/>
  <c r="U2313" i="1"/>
  <c r="T2313" i="1"/>
  <c r="U2312" i="1"/>
  <c r="T2312" i="1"/>
  <c r="U2311" i="1"/>
  <c r="T2311" i="1"/>
  <c r="U2310" i="1"/>
  <c r="T2310" i="1"/>
  <c r="U2309" i="1"/>
  <c r="T2309" i="1"/>
  <c r="U2308" i="1"/>
  <c r="T2308" i="1"/>
  <c r="U2307" i="1"/>
  <c r="T2307" i="1"/>
  <c r="U2306" i="1"/>
  <c r="T2306" i="1"/>
  <c r="U2305" i="1"/>
  <c r="T2305" i="1"/>
  <c r="U2304" i="1"/>
  <c r="T2304" i="1"/>
  <c r="U2303" i="1"/>
  <c r="T2303" i="1"/>
  <c r="U2302" i="1"/>
  <c r="T2302" i="1"/>
  <c r="U2301" i="1"/>
  <c r="T2301" i="1"/>
  <c r="U2300" i="1"/>
  <c r="T2300" i="1"/>
  <c r="U2299" i="1"/>
  <c r="T2299" i="1"/>
  <c r="U2298" i="1"/>
  <c r="T2298" i="1"/>
  <c r="U2297" i="1"/>
  <c r="T2297" i="1"/>
  <c r="U2296" i="1"/>
  <c r="T2296" i="1"/>
  <c r="U2295" i="1"/>
  <c r="T2295" i="1"/>
  <c r="U2294" i="1"/>
  <c r="T2294" i="1"/>
  <c r="U2293" i="1"/>
  <c r="T2293" i="1"/>
  <c r="U2292" i="1"/>
  <c r="T2292" i="1"/>
  <c r="U2291" i="1"/>
  <c r="T2291" i="1"/>
  <c r="U2290" i="1"/>
  <c r="T2290" i="1"/>
  <c r="U2289" i="1"/>
  <c r="T2289" i="1"/>
  <c r="U2288" i="1"/>
  <c r="U2287" i="1"/>
  <c r="T2287" i="1"/>
  <c r="U2286" i="1"/>
  <c r="T2286" i="1"/>
  <c r="U2285" i="1"/>
  <c r="U2284" i="1"/>
  <c r="T2284" i="1"/>
  <c r="U2283" i="1"/>
  <c r="T2283" i="1"/>
  <c r="U2282" i="1"/>
  <c r="T2282" i="1"/>
  <c r="U2281" i="1"/>
  <c r="T2281" i="1"/>
  <c r="U2280" i="1"/>
  <c r="T2280" i="1"/>
  <c r="U2279" i="1"/>
  <c r="T2279" i="1"/>
  <c r="U2278" i="1"/>
  <c r="T2278" i="1"/>
  <c r="U2277" i="1"/>
  <c r="T2277" i="1"/>
  <c r="U2276" i="1"/>
  <c r="T2276" i="1"/>
  <c r="U2275" i="1"/>
  <c r="T2275" i="1"/>
  <c r="U2274" i="1"/>
  <c r="T2274" i="1"/>
  <c r="U2273" i="1"/>
  <c r="T2273" i="1"/>
  <c r="U2272" i="1"/>
  <c r="T2272" i="1"/>
  <c r="U2271" i="1"/>
  <c r="T2271" i="1"/>
  <c r="U2270" i="1"/>
  <c r="T2270" i="1"/>
  <c r="U2269" i="1"/>
  <c r="T2269" i="1"/>
  <c r="U2268" i="1"/>
  <c r="T2268" i="1"/>
  <c r="U2267" i="1"/>
  <c r="T2267" i="1"/>
  <c r="U2266" i="1"/>
  <c r="T2266" i="1"/>
  <c r="U2265" i="1"/>
  <c r="T2265" i="1"/>
  <c r="U2264" i="1"/>
  <c r="T2264" i="1"/>
  <c r="U2263" i="1"/>
  <c r="T2263" i="1"/>
  <c r="U2262" i="1"/>
  <c r="T2262" i="1"/>
  <c r="U2261" i="1"/>
  <c r="T2261" i="1"/>
  <c r="U2260" i="1"/>
  <c r="T2260" i="1"/>
  <c r="U2259" i="1"/>
  <c r="T2259" i="1"/>
  <c r="U2258" i="1"/>
  <c r="T2258" i="1"/>
  <c r="U2257" i="1"/>
  <c r="T2257" i="1"/>
  <c r="U2256" i="1"/>
  <c r="T2256" i="1"/>
  <c r="U2255" i="1"/>
  <c r="T2255" i="1"/>
  <c r="U2254" i="1"/>
  <c r="T2254" i="1"/>
  <c r="U2253" i="1"/>
  <c r="T2253" i="1"/>
  <c r="U2252" i="1"/>
  <c r="T2252" i="1"/>
  <c r="U2251" i="1"/>
  <c r="T2251" i="1"/>
  <c r="U2250" i="1"/>
  <c r="T2250" i="1"/>
  <c r="U2249" i="1"/>
  <c r="U2248" i="1"/>
  <c r="T2248" i="1"/>
  <c r="U2247" i="1"/>
  <c r="T2247" i="1"/>
  <c r="U2246" i="1"/>
  <c r="T2246" i="1"/>
  <c r="U2245" i="1"/>
  <c r="T2245" i="1"/>
  <c r="U2244" i="1"/>
  <c r="T2244" i="1"/>
  <c r="U2243" i="1"/>
  <c r="T2243" i="1"/>
  <c r="U2242" i="1"/>
  <c r="T2242" i="1"/>
  <c r="U2241" i="1"/>
  <c r="T2241" i="1"/>
  <c r="U2240" i="1"/>
  <c r="T2240" i="1"/>
  <c r="U2239" i="1"/>
  <c r="T2239" i="1"/>
  <c r="U2238" i="1"/>
  <c r="T2238" i="1"/>
  <c r="U2237" i="1"/>
  <c r="T2237" i="1"/>
  <c r="U2236" i="1"/>
  <c r="T2236" i="1"/>
  <c r="U2235" i="1"/>
  <c r="T2235" i="1"/>
  <c r="U2234" i="1"/>
  <c r="T2234" i="1"/>
  <c r="U2233" i="1"/>
  <c r="T2233" i="1"/>
  <c r="U2232" i="1"/>
  <c r="T2232" i="1"/>
  <c r="U2231" i="1"/>
  <c r="T2231" i="1"/>
  <c r="U2230" i="1"/>
  <c r="T2230" i="1"/>
  <c r="U2229" i="1"/>
  <c r="T2229" i="1"/>
  <c r="U2228" i="1"/>
  <c r="T2228" i="1"/>
  <c r="U2227" i="1"/>
  <c r="T2227" i="1"/>
  <c r="U2226" i="1"/>
  <c r="T2226" i="1"/>
  <c r="U2225" i="1"/>
  <c r="T2225" i="1"/>
  <c r="U2224" i="1"/>
  <c r="T2224" i="1"/>
  <c r="U2223" i="1"/>
  <c r="T2223" i="1"/>
  <c r="U2222" i="1"/>
  <c r="T2222" i="1"/>
  <c r="U2221" i="1"/>
  <c r="T2221" i="1"/>
  <c r="U2220" i="1"/>
  <c r="T2220" i="1"/>
  <c r="U2219" i="1"/>
  <c r="T2219" i="1"/>
  <c r="U2218" i="1"/>
  <c r="T2218" i="1"/>
  <c r="U2217" i="1"/>
  <c r="T2217" i="1"/>
  <c r="U2216" i="1"/>
  <c r="T2216" i="1"/>
  <c r="U2215" i="1"/>
  <c r="T2215" i="1"/>
  <c r="U2214" i="1"/>
  <c r="T2214" i="1"/>
  <c r="U2213" i="1"/>
  <c r="T2213" i="1"/>
  <c r="U2212" i="1"/>
  <c r="T2212" i="1"/>
  <c r="U2211" i="1"/>
  <c r="T2211" i="1"/>
  <c r="U2210" i="1"/>
  <c r="T2210" i="1"/>
  <c r="U2209" i="1"/>
  <c r="T2209" i="1"/>
  <c r="U2208" i="1"/>
  <c r="T2208" i="1"/>
  <c r="U2207" i="1"/>
  <c r="T2207" i="1"/>
  <c r="U2206" i="1"/>
  <c r="T2206" i="1"/>
  <c r="U2205" i="1"/>
  <c r="T2205" i="1"/>
  <c r="U2204" i="1"/>
  <c r="T2204" i="1"/>
  <c r="U2203" i="1"/>
  <c r="T2203" i="1"/>
  <c r="U2202" i="1"/>
  <c r="T2202" i="1"/>
  <c r="U2201" i="1"/>
  <c r="T2201" i="1"/>
  <c r="U2200" i="1"/>
  <c r="T2200" i="1"/>
  <c r="U2199" i="1"/>
  <c r="T2199" i="1"/>
  <c r="U2198" i="1"/>
  <c r="T2198" i="1"/>
  <c r="U2197" i="1"/>
  <c r="T2197" i="1"/>
  <c r="U2196" i="1"/>
  <c r="T2196" i="1"/>
  <c r="U2195" i="1"/>
  <c r="T2195" i="1"/>
  <c r="U2194" i="1"/>
  <c r="T2194" i="1"/>
  <c r="U2193" i="1"/>
  <c r="T2193" i="1"/>
  <c r="U2192" i="1"/>
  <c r="T2192" i="1"/>
  <c r="U2191" i="1"/>
  <c r="T2191" i="1"/>
  <c r="U2190" i="1"/>
  <c r="T2190" i="1"/>
  <c r="U2189" i="1"/>
  <c r="T2189" i="1"/>
  <c r="U2188" i="1"/>
  <c r="T2188" i="1"/>
  <c r="U2187" i="1"/>
  <c r="T2187" i="1"/>
  <c r="U2186" i="1"/>
  <c r="T2186" i="1"/>
  <c r="U2185" i="1"/>
  <c r="T2185" i="1"/>
  <c r="U2184" i="1"/>
  <c r="T2184" i="1"/>
  <c r="U2183" i="1"/>
  <c r="T2183" i="1"/>
  <c r="U2182" i="1"/>
  <c r="T2182" i="1"/>
  <c r="U2181" i="1"/>
  <c r="T2181" i="1"/>
  <c r="U2180" i="1"/>
  <c r="T2180" i="1"/>
  <c r="U2179" i="1"/>
  <c r="T2179" i="1"/>
  <c r="U2178" i="1"/>
  <c r="T2178" i="1"/>
  <c r="U2177" i="1"/>
  <c r="T2177" i="1"/>
  <c r="U2176" i="1"/>
  <c r="T2176" i="1"/>
  <c r="U2175" i="1"/>
  <c r="T2175" i="1"/>
  <c r="U2174" i="1"/>
  <c r="T2174" i="1"/>
  <c r="U2173" i="1"/>
  <c r="T2173" i="1"/>
  <c r="U2172" i="1"/>
  <c r="T2172" i="1"/>
  <c r="U2171" i="1"/>
  <c r="T2171" i="1"/>
  <c r="U2170" i="1"/>
  <c r="T2170" i="1"/>
  <c r="U2169" i="1"/>
  <c r="T2169" i="1"/>
  <c r="U2168" i="1"/>
  <c r="T2168" i="1"/>
  <c r="U2167" i="1"/>
  <c r="T2167" i="1"/>
  <c r="U2166" i="1"/>
  <c r="T2166" i="1"/>
  <c r="U2165" i="1"/>
  <c r="T2165" i="1"/>
  <c r="U2164" i="1"/>
  <c r="T2164" i="1"/>
  <c r="U2163" i="1"/>
  <c r="T2163" i="1"/>
  <c r="U2162" i="1"/>
  <c r="T2162" i="1"/>
  <c r="U2161" i="1"/>
  <c r="T2161" i="1"/>
  <c r="U2160" i="1"/>
  <c r="T2160" i="1"/>
  <c r="U2159" i="1"/>
  <c r="T2159" i="1"/>
  <c r="U2158" i="1"/>
  <c r="T2158" i="1"/>
  <c r="U2157" i="1"/>
  <c r="T2157" i="1"/>
  <c r="U2156" i="1"/>
  <c r="T2156" i="1"/>
  <c r="U2155" i="1"/>
  <c r="T2155" i="1"/>
  <c r="U2154" i="1"/>
  <c r="T2154" i="1"/>
  <c r="U2153" i="1"/>
  <c r="T2153" i="1"/>
  <c r="U2152" i="1"/>
  <c r="T2152" i="1"/>
  <c r="U2151" i="1"/>
  <c r="T2151" i="1"/>
  <c r="U2150" i="1"/>
  <c r="T2150" i="1"/>
  <c r="U2149" i="1"/>
  <c r="T2149" i="1"/>
  <c r="U2148" i="1"/>
  <c r="T2148" i="1"/>
  <c r="U2147" i="1"/>
  <c r="T2147" i="1"/>
  <c r="U2146" i="1"/>
  <c r="T2146" i="1"/>
  <c r="U2145" i="1"/>
  <c r="T2145" i="1"/>
  <c r="U2144" i="1"/>
  <c r="T2144" i="1"/>
  <c r="U2143" i="1"/>
  <c r="T2143" i="1"/>
  <c r="U2142" i="1"/>
  <c r="T2142" i="1"/>
  <c r="U2141" i="1"/>
  <c r="T2141" i="1"/>
  <c r="U2140" i="1"/>
  <c r="T2140" i="1"/>
  <c r="U2139" i="1"/>
  <c r="T2139" i="1"/>
  <c r="U2138" i="1"/>
  <c r="T2138" i="1"/>
  <c r="U2137" i="1"/>
  <c r="T2137" i="1"/>
  <c r="U2136" i="1"/>
  <c r="T2136" i="1"/>
  <c r="U2135" i="1"/>
  <c r="T2135" i="1"/>
  <c r="U2134" i="1"/>
  <c r="T2134" i="1"/>
  <c r="U2133" i="1"/>
  <c r="T2133" i="1"/>
  <c r="U2132" i="1"/>
  <c r="T2132" i="1"/>
  <c r="U2131" i="1"/>
  <c r="T2131" i="1"/>
  <c r="U2130" i="1"/>
  <c r="T2130" i="1"/>
  <c r="U2129" i="1"/>
  <c r="T2129" i="1"/>
  <c r="U2128" i="1"/>
  <c r="T2128" i="1"/>
  <c r="U2127" i="1"/>
  <c r="T2127" i="1"/>
  <c r="U2126" i="1"/>
  <c r="T2126" i="1"/>
  <c r="U2125" i="1"/>
  <c r="T2125" i="1"/>
  <c r="U2124" i="1"/>
  <c r="T2124" i="1"/>
  <c r="U2123" i="1"/>
  <c r="T2123" i="1"/>
  <c r="U2122" i="1"/>
  <c r="T2122" i="1"/>
  <c r="U2121" i="1"/>
  <c r="T2121" i="1"/>
  <c r="U2120" i="1"/>
  <c r="T2120" i="1"/>
  <c r="U2119" i="1"/>
  <c r="T2119" i="1"/>
  <c r="U2118" i="1"/>
  <c r="T2118" i="1"/>
  <c r="U2117" i="1"/>
  <c r="T2117" i="1"/>
  <c r="U2116" i="1"/>
  <c r="T2116" i="1"/>
  <c r="U2115" i="1"/>
  <c r="T2115" i="1"/>
  <c r="U2114" i="1"/>
  <c r="T2114" i="1"/>
  <c r="U2113" i="1"/>
  <c r="T2113" i="1"/>
  <c r="U2112" i="1"/>
  <c r="T2112" i="1"/>
  <c r="U2111" i="1"/>
  <c r="T2111" i="1"/>
  <c r="U2110" i="1"/>
  <c r="T2110" i="1"/>
  <c r="U2109" i="1"/>
  <c r="T2109" i="1"/>
  <c r="U2108" i="1"/>
  <c r="T2108" i="1"/>
  <c r="U2107" i="1"/>
  <c r="T2107" i="1"/>
  <c r="U2106" i="1"/>
  <c r="T2106" i="1"/>
  <c r="U2105" i="1"/>
  <c r="T2105" i="1"/>
  <c r="U2104" i="1"/>
  <c r="T2104" i="1"/>
  <c r="U2103" i="1"/>
  <c r="T2103" i="1"/>
  <c r="U2102" i="1"/>
  <c r="T2102" i="1"/>
  <c r="U2101" i="1"/>
  <c r="T2101" i="1"/>
  <c r="U2100" i="1"/>
  <c r="T2100" i="1"/>
  <c r="U2099" i="1"/>
  <c r="T2099" i="1"/>
  <c r="U2098" i="1"/>
  <c r="T2098" i="1"/>
  <c r="U2097" i="1"/>
  <c r="T2097" i="1"/>
  <c r="U2096" i="1"/>
  <c r="T2096" i="1"/>
  <c r="U2095" i="1"/>
  <c r="T2095" i="1"/>
  <c r="U2094" i="1"/>
  <c r="T2094" i="1"/>
  <c r="U2093" i="1"/>
  <c r="T2093" i="1"/>
  <c r="U2092" i="1"/>
  <c r="T2092" i="1"/>
  <c r="U2091" i="1"/>
  <c r="T2091" i="1"/>
  <c r="U2090" i="1"/>
  <c r="T2090" i="1"/>
  <c r="U2089" i="1"/>
  <c r="T2089" i="1"/>
  <c r="U2088" i="1"/>
  <c r="T2088" i="1"/>
  <c r="U2087" i="1"/>
  <c r="T2087" i="1"/>
  <c r="U2086" i="1"/>
  <c r="T2086" i="1"/>
  <c r="U2085" i="1"/>
  <c r="T2085" i="1"/>
  <c r="U2084" i="1"/>
  <c r="T2084" i="1"/>
  <c r="U2083" i="1"/>
  <c r="T2083" i="1"/>
  <c r="U2082" i="1"/>
  <c r="T2082" i="1"/>
  <c r="U2081" i="1"/>
  <c r="T2081" i="1"/>
  <c r="U2080" i="1"/>
  <c r="T2080" i="1"/>
  <c r="U2079" i="1"/>
  <c r="T2079" i="1"/>
  <c r="U2078" i="1"/>
  <c r="T2078" i="1"/>
  <c r="U2077" i="1"/>
  <c r="T2077" i="1"/>
  <c r="U2076" i="1"/>
  <c r="T2076" i="1"/>
  <c r="U2075" i="1"/>
  <c r="T2075" i="1"/>
  <c r="U2074" i="1"/>
  <c r="T2074" i="1"/>
  <c r="U2073" i="1"/>
  <c r="T2073" i="1"/>
  <c r="U2072" i="1"/>
  <c r="T2072" i="1"/>
  <c r="U2071" i="1"/>
  <c r="T2071" i="1"/>
  <c r="U2070" i="1"/>
  <c r="T2070" i="1"/>
  <c r="U2069" i="1"/>
  <c r="T2069" i="1"/>
  <c r="U2068" i="1"/>
  <c r="T2068" i="1"/>
  <c r="U2067" i="1"/>
  <c r="T2067" i="1"/>
  <c r="U2066" i="1"/>
  <c r="T2066" i="1"/>
  <c r="U2065" i="1"/>
  <c r="T2065" i="1"/>
  <c r="U2064" i="1"/>
  <c r="T2064" i="1"/>
  <c r="U2063" i="1"/>
  <c r="U2062" i="1"/>
  <c r="T2062" i="1"/>
  <c r="U2061" i="1"/>
  <c r="T2061" i="1"/>
  <c r="U2060" i="1"/>
  <c r="T2060" i="1"/>
  <c r="U2059" i="1"/>
  <c r="T2059" i="1"/>
  <c r="U2058" i="1"/>
  <c r="T2058" i="1"/>
  <c r="U2057" i="1"/>
  <c r="T2057" i="1"/>
  <c r="U2056" i="1"/>
  <c r="T2056" i="1"/>
  <c r="U2055" i="1"/>
  <c r="T2055" i="1"/>
  <c r="U2054" i="1"/>
  <c r="T2054" i="1"/>
  <c r="U2053" i="1"/>
  <c r="T2053" i="1"/>
  <c r="U2052" i="1"/>
  <c r="T2052" i="1"/>
  <c r="U2051" i="1"/>
  <c r="T2051" i="1"/>
  <c r="U2050" i="1"/>
  <c r="T2050" i="1"/>
  <c r="U2049" i="1"/>
  <c r="T2049" i="1"/>
  <c r="U2048" i="1"/>
  <c r="T2048" i="1"/>
  <c r="U2047" i="1"/>
  <c r="T2047" i="1"/>
  <c r="U2046" i="1"/>
  <c r="T2046" i="1"/>
  <c r="U2045" i="1"/>
  <c r="T2045" i="1"/>
  <c r="U2044" i="1"/>
  <c r="T2044" i="1"/>
  <c r="U2043" i="1"/>
  <c r="T2043" i="1"/>
  <c r="U2042" i="1"/>
  <c r="T2042" i="1"/>
  <c r="U2041" i="1"/>
  <c r="T2041" i="1"/>
  <c r="U2040" i="1"/>
  <c r="T2040" i="1"/>
  <c r="U2039" i="1"/>
  <c r="T2039" i="1"/>
  <c r="U2038" i="1"/>
  <c r="T2038" i="1"/>
  <c r="U2037" i="1"/>
  <c r="T2037" i="1"/>
  <c r="U2036" i="1"/>
  <c r="T2036" i="1"/>
  <c r="U2035" i="1"/>
  <c r="T2035" i="1"/>
  <c r="U2034" i="1"/>
  <c r="T2034" i="1"/>
  <c r="U2033" i="1"/>
  <c r="T2033" i="1"/>
  <c r="U2032" i="1"/>
  <c r="T2032" i="1"/>
  <c r="U2031" i="1"/>
  <c r="T2031" i="1"/>
  <c r="U2030" i="1"/>
  <c r="T2030" i="1"/>
  <c r="U2029" i="1"/>
  <c r="T2029" i="1"/>
  <c r="U2028" i="1"/>
  <c r="T2028" i="1"/>
  <c r="U2027" i="1"/>
  <c r="T2027" i="1"/>
  <c r="U2026" i="1"/>
  <c r="T2026" i="1"/>
  <c r="U2025" i="1"/>
  <c r="T2025" i="1"/>
  <c r="U2024" i="1"/>
  <c r="T2024" i="1"/>
  <c r="U2023" i="1"/>
  <c r="T2023" i="1"/>
  <c r="U2022" i="1"/>
  <c r="T2022" i="1"/>
  <c r="U2021" i="1"/>
  <c r="T2021" i="1"/>
  <c r="U2020" i="1"/>
  <c r="T2020" i="1"/>
  <c r="U2019" i="1"/>
  <c r="T2019" i="1"/>
  <c r="U2018" i="1"/>
  <c r="T2018" i="1"/>
  <c r="U2017" i="1"/>
  <c r="T2017" i="1"/>
  <c r="U2016" i="1"/>
  <c r="T2016" i="1"/>
  <c r="U2015" i="1"/>
  <c r="T2015" i="1"/>
  <c r="U2014" i="1"/>
  <c r="T2014" i="1"/>
  <c r="U2013" i="1"/>
  <c r="T2013" i="1"/>
  <c r="U2012" i="1"/>
  <c r="T2012" i="1"/>
  <c r="U2011" i="1"/>
  <c r="T2011" i="1"/>
  <c r="U2010" i="1"/>
  <c r="T2010" i="1"/>
  <c r="U2009" i="1"/>
  <c r="T2009" i="1"/>
  <c r="U2008" i="1"/>
  <c r="T2008" i="1"/>
  <c r="U2007" i="1"/>
  <c r="T2007" i="1"/>
  <c r="U2006" i="1"/>
  <c r="T2006" i="1"/>
  <c r="U2005" i="1"/>
  <c r="T2005" i="1"/>
  <c r="U2004" i="1"/>
  <c r="T2004" i="1"/>
  <c r="U2003" i="1"/>
  <c r="T2003" i="1"/>
  <c r="U2002" i="1"/>
  <c r="T2002" i="1"/>
  <c r="U2001" i="1"/>
  <c r="T2001" i="1"/>
  <c r="U2000" i="1"/>
  <c r="T2000" i="1"/>
  <c r="U1999" i="1"/>
  <c r="T1999" i="1"/>
  <c r="U1998" i="1"/>
  <c r="T1998" i="1"/>
  <c r="U1997" i="1"/>
  <c r="T1997" i="1"/>
  <c r="U1996" i="1"/>
  <c r="T1996" i="1"/>
  <c r="U1995" i="1"/>
  <c r="T1995" i="1"/>
  <c r="U1994" i="1"/>
  <c r="T1994" i="1"/>
  <c r="U1993" i="1"/>
  <c r="U1992" i="1"/>
  <c r="T1992" i="1"/>
  <c r="U1991" i="1"/>
  <c r="T1991" i="1"/>
  <c r="U1990" i="1"/>
  <c r="T1990" i="1"/>
  <c r="U1989" i="1"/>
  <c r="T1989" i="1"/>
  <c r="U1988" i="1"/>
  <c r="T1988" i="1"/>
  <c r="U1987" i="1"/>
  <c r="T1987" i="1"/>
  <c r="U1986" i="1"/>
  <c r="T1986" i="1"/>
  <c r="U1985" i="1"/>
  <c r="T1985" i="1"/>
  <c r="U1984" i="1"/>
  <c r="T1984" i="1"/>
  <c r="U1983" i="1"/>
  <c r="T1983" i="1"/>
  <c r="U1982" i="1"/>
  <c r="T1982" i="1"/>
  <c r="U1981" i="1"/>
  <c r="T1981" i="1"/>
  <c r="U1980" i="1"/>
  <c r="T1980" i="1"/>
  <c r="U1979" i="1"/>
  <c r="T1979" i="1"/>
  <c r="U1978" i="1"/>
  <c r="T1978" i="1"/>
  <c r="U1977" i="1"/>
  <c r="T1977" i="1"/>
  <c r="U1976" i="1"/>
  <c r="T1976" i="1"/>
  <c r="U1975" i="1"/>
  <c r="T1975" i="1"/>
  <c r="U1974" i="1"/>
  <c r="T1974" i="1"/>
  <c r="U1973" i="1"/>
  <c r="T1973" i="1"/>
  <c r="U1972" i="1"/>
  <c r="T1972" i="1"/>
  <c r="U1971" i="1"/>
  <c r="T1971" i="1"/>
  <c r="U1970" i="1"/>
  <c r="T1970" i="1"/>
  <c r="U1969" i="1"/>
  <c r="T1969" i="1"/>
  <c r="U1968" i="1"/>
  <c r="T1968" i="1"/>
  <c r="U1967" i="1"/>
  <c r="T1967" i="1"/>
  <c r="U1966" i="1"/>
  <c r="T1966" i="1"/>
  <c r="U1965" i="1"/>
  <c r="T1965" i="1"/>
  <c r="U1964" i="1"/>
  <c r="T1964" i="1"/>
  <c r="U1963" i="1"/>
  <c r="T1963" i="1"/>
  <c r="U1962" i="1"/>
  <c r="T1962" i="1"/>
  <c r="U1961" i="1"/>
  <c r="T1961" i="1"/>
  <c r="U1960" i="1"/>
  <c r="T1960" i="1"/>
  <c r="U1959" i="1"/>
  <c r="T1959" i="1"/>
  <c r="U1958" i="1"/>
  <c r="T1958" i="1"/>
  <c r="U1957" i="1"/>
  <c r="T1957" i="1"/>
  <c r="U1956" i="1"/>
  <c r="T1956" i="1"/>
  <c r="U1955" i="1"/>
  <c r="T1955" i="1"/>
  <c r="U1954" i="1"/>
  <c r="T1954" i="1"/>
  <c r="U1953" i="1"/>
  <c r="T1953" i="1"/>
  <c r="U1952" i="1"/>
  <c r="T1952" i="1"/>
  <c r="U1951" i="1"/>
  <c r="T1951" i="1"/>
  <c r="U1950" i="1"/>
  <c r="T1950" i="1"/>
  <c r="U1949" i="1"/>
  <c r="T1949" i="1"/>
  <c r="U1948" i="1"/>
  <c r="T1948" i="1"/>
  <c r="U1947" i="1"/>
  <c r="T1947" i="1"/>
  <c r="U1946" i="1"/>
  <c r="T1946" i="1"/>
  <c r="U1945" i="1"/>
  <c r="T1945" i="1"/>
  <c r="U1944" i="1"/>
  <c r="T1944" i="1"/>
  <c r="U1943" i="1"/>
  <c r="T1943" i="1"/>
  <c r="U1942" i="1"/>
  <c r="T1942" i="1"/>
  <c r="U1941" i="1"/>
  <c r="T1941" i="1"/>
  <c r="U1940" i="1"/>
  <c r="T1940" i="1"/>
  <c r="U1939" i="1"/>
  <c r="T1939" i="1"/>
  <c r="U1938" i="1"/>
  <c r="T1938" i="1"/>
  <c r="U1937" i="1"/>
  <c r="T1937" i="1"/>
  <c r="U1936" i="1"/>
  <c r="T1936" i="1"/>
  <c r="U1935" i="1"/>
  <c r="T1935" i="1"/>
  <c r="U1934" i="1"/>
  <c r="T1934" i="1"/>
  <c r="U1933" i="1"/>
  <c r="T1933" i="1"/>
  <c r="U1932" i="1"/>
  <c r="T1932" i="1"/>
  <c r="U1931" i="1"/>
  <c r="T1931" i="1"/>
  <c r="U1930" i="1"/>
  <c r="T1930" i="1"/>
  <c r="U1929" i="1"/>
  <c r="T1929" i="1"/>
  <c r="U1928" i="1"/>
  <c r="T1928" i="1"/>
  <c r="U1927" i="1"/>
  <c r="T1927" i="1"/>
  <c r="U1926" i="1"/>
  <c r="T1926" i="1"/>
  <c r="U1925" i="1"/>
  <c r="T1925" i="1"/>
  <c r="U1924" i="1"/>
  <c r="T1924" i="1"/>
  <c r="U1923" i="1"/>
  <c r="T1923" i="1"/>
  <c r="U1922" i="1"/>
  <c r="T1922" i="1"/>
  <c r="U1921" i="1"/>
  <c r="T1921" i="1"/>
  <c r="U1920" i="1"/>
  <c r="T1920" i="1"/>
  <c r="U1919" i="1"/>
  <c r="T1919" i="1"/>
  <c r="U1918" i="1"/>
  <c r="T1918" i="1"/>
  <c r="U1917" i="1"/>
  <c r="T1917" i="1"/>
  <c r="U1916" i="1"/>
  <c r="T1916" i="1"/>
  <c r="U1915" i="1"/>
  <c r="T1915" i="1"/>
  <c r="U1914" i="1"/>
  <c r="T1914" i="1"/>
  <c r="U1913" i="1"/>
  <c r="T1913" i="1"/>
  <c r="U1912" i="1"/>
  <c r="T1912" i="1"/>
  <c r="U1911" i="1"/>
  <c r="T1911" i="1"/>
  <c r="U1910" i="1"/>
  <c r="T1910" i="1"/>
  <c r="U1909" i="1"/>
  <c r="T1909" i="1"/>
  <c r="U1908" i="1"/>
  <c r="T1908" i="1"/>
  <c r="U1907" i="1"/>
  <c r="T1907" i="1"/>
  <c r="U1906" i="1"/>
  <c r="T1906" i="1"/>
  <c r="U1905" i="1"/>
  <c r="T1905" i="1"/>
  <c r="U1904" i="1"/>
  <c r="T1904" i="1"/>
  <c r="U1903" i="1"/>
  <c r="T1903" i="1"/>
  <c r="U1902" i="1"/>
  <c r="T1902" i="1"/>
  <c r="U1901" i="1"/>
  <c r="T1901" i="1"/>
  <c r="U1900" i="1"/>
  <c r="T1900" i="1"/>
  <c r="U1899" i="1"/>
  <c r="T1899" i="1"/>
  <c r="U1898" i="1"/>
  <c r="T1898" i="1"/>
  <c r="U1897" i="1"/>
  <c r="T1897" i="1"/>
  <c r="U1896" i="1"/>
  <c r="T1896" i="1"/>
  <c r="U1895" i="1"/>
  <c r="T1895" i="1"/>
  <c r="U1894" i="1"/>
  <c r="T1894" i="1"/>
  <c r="U1893" i="1"/>
  <c r="T1893" i="1"/>
  <c r="U1892" i="1"/>
  <c r="T1892" i="1"/>
  <c r="U1891" i="1"/>
  <c r="T1891" i="1"/>
  <c r="U1890" i="1"/>
  <c r="T1890" i="1"/>
  <c r="U1889" i="1"/>
  <c r="T1889" i="1"/>
  <c r="U1888" i="1"/>
  <c r="T1888" i="1"/>
  <c r="U1887" i="1"/>
  <c r="T1887" i="1"/>
  <c r="U1886" i="1"/>
  <c r="T1886" i="1"/>
  <c r="U1885" i="1"/>
  <c r="T1885" i="1"/>
  <c r="U1884" i="1"/>
  <c r="T1884" i="1"/>
  <c r="U1883" i="1"/>
  <c r="T1883" i="1"/>
  <c r="U1882" i="1"/>
  <c r="T1882" i="1"/>
  <c r="U1881" i="1"/>
  <c r="T1881" i="1"/>
  <c r="U1880" i="1"/>
  <c r="T1880" i="1"/>
  <c r="U1879" i="1"/>
  <c r="T1879" i="1"/>
  <c r="U1878" i="1"/>
  <c r="T1878" i="1"/>
  <c r="U1877" i="1"/>
  <c r="T1877" i="1"/>
  <c r="U1876" i="1"/>
  <c r="T1876" i="1"/>
  <c r="U1875" i="1"/>
  <c r="T1875" i="1"/>
  <c r="U1874" i="1"/>
  <c r="T1874" i="1"/>
  <c r="U1873" i="1"/>
  <c r="T1873" i="1"/>
  <c r="U1872" i="1"/>
  <c r="T1872" i="1"/>
  <c r="U1871" i="1"/>
  <c r="T1871" i="1"/>
  <c r="U1870" i="1"/>
  <c r="T1870" i="1"/>
  <c r="U1869" i="1"/>
  <c r="T1869" i="1"/>
  <c r="U1868" i="1"/>
  <c r="T1868" i="1"/>
  <c r="U1867" i="1"/>
  <c r="T1867" i="1"/>
  <c r="U1866" i="1"/>
  <c r="T1866" i="1"/>
  <c r="U1865" i="1"/>
  <c r="T1865" i="1"/>
  <c r="U1864" i="1"/>
  <c r="T1864" i="1"/>
  <c r="U1863" i="1"/>
  <c r="T1863" i="1"/>
  <c r="U1862" i="1"/>
  <c r="T1862" i="1"/>
  <c r="U1861" i="1"/>
  <c r="T1861" i="1"/>
  <c r="U1860" i="1"/>
  <c r="T1860" i="1"/>
  <c r="U1859" i="1"/>
  <c r="T1859" i="1"/>
  <c r="U1858" i="1"/>
  <c r="T1858" i="1"/>
  <c r="U1857" i="1"/>
  <c r="T1857" i="1"/>
  <c r="U1856" i="1"/>
  <c r="T1856" i="1"/>
  <c r="U1855" i="1"/>
  <c r="T1855" i="1"/>
  <c r="U1854" i="1"/>
  <c r="T1854" i="1"/>
  <c r="U1853" i="1"/>
  <c r="T1853" i="1"/>
  <c r="U1852" i="1"/>
  <c r="T1852" i="1"/>
  <c r="U1851" i="1"/>
  <c r="T1851" i="1"/>
  <c r="U1850" i="1"/>
  <c r="T1850" i="1"/>
  <c r="U1849" i="1"/>
  <c r="T1849" i="1"/>
  <c r="U1848" i="1"/>
  <c r="T1848" i="1"/>
  <c r="U1847" i="1"/>
  <c r="T1847" i="1"/>
  <c r="U1846" i="1"/>
  <c r="T1846" i="1"/>
  <c r="U1845" i="1"/>
  <c r="T1845" i="1"/>
  <c r="U1844" i="1"/>
  <c r="T1844" i="1"/>
  <c r="U1843" i="1"/>
  <c r="T1843" i="1"/>
  <c r="U1842" i="1"/>
  <c r="T1842" i="1"/>
  <c r="U1841" i="1"/>
  <c r="T1841" i="1"/>
  <c r="U1840" i="1"/>
  <c r="T1840" i="1"/>
  <c r="U1839" i="1"/>
  <c r="T1839" i="1"/>
  <c r="U1838" i="1"/>
  <c r="T1838" i="1"/>
  <c r="U1837" i="1"/>
  <c r="T1837" i="1"/>
  <c r="U1836" i="1"/>
  <c r="T1836" i="1"/>
  <c r="U1835" i="1"/>
  <c r="U1834" i="1"/>
  <c r="U1833" i="1"/>
  <c r="T1833" i="1"/>
  <c r="U1832" i="1"/>
  <c r="T1832" i="1"/>
  <c r="U1831" i="1"/>
  <c r="T1831" i="1"/>
  <c r="U1830" i="1"/>
  <c r="T1830" i="1"/>
  <c r="U1829" i="1"/>
  <c r="T1829" i="1"/>
  <c r="U1828" i="1"/>
  <c r="T1828" i="1"/>
  <c r="U1827" i="1"/>
  <c r="T1827" i="1"/>
  <c r="U1826" i="1"/>
  <c r="T1826" i="1"/>
  <c r="U1825" i="1"/>
  <c r="T1825" i="1"/>
  <c r="U1824" i="1"/>
  <c r="T1824" i="1"/>
  <c r="U1823" i="1"/>
  <c r="T1823" i="1"/>
  <c r="U1822" i="1"/>
  <c r="T1822" i="1"/>
  <c r="U1821" i="1"/>
  <c r="T1821" i="1"/>
  <c r="U1820" i="1"/>
  <c r="T1820" i="1"/>
  <c r="U1819" i="1"/>
  <c r="T1819" i="1"/>
  <c r="U1818" i="1"/>
  <c r="U1817" i="1"/>
  <c r="T1817" i="1"/>
  <c r="U1816" i="1"/>
  <c r="U1815" i="1"/>
  <c r="U1814" i="1"/>
  <c r="T1814" i="1"/>
  <c r="U1813" i="1"/>
  <c r="T1813" i="1"/>
  <c r="U1812" i="1"/>
  <c r="U1811" i="1"/>
  <c r="T1811" i="1"/>
  <c r="U1810" i="1"/>
  <c r="T1810" i="1"/>
  <c r="U1809" i="1"/>
  <c r="T1809" i="1"/>
  <c r="U1808" i="1"/>
  <c r="U1807" i="1"/>
  <c r="T1807" i="1"/>
  <c r="U1806" i="1"/>
  <c r="T1806" i="1"/>
  <c r="U1805" i="1"/>
  <c r="T1805" i="1"/>
  <c r="U1804" i="1"/>
  <c r="T1804" i="1"/>
  <c r="U1803" i="1"/>
  <c r="T1803" i="1"/>
  <c r="U1802" i="1"/>
  <c r="U1801" i="1"/>
  <c r="U1800" i="1"/>
  <c r="T1800" i="1"/>
  <c r="U1799" i="1"/>
  <c r="T1799" i="1"/>
  <c r="U1798" i="1"/>
  <c r="T1798" i="1"/>
  <c r="U1797" i="1"/>
  <c r="T1797" i="1"/>
  <c r="U1796" i="1"/>
  <c r="T1796" i="1"/>
  <c r="U1795" i="1"/>
  <c r="T1795" i="1"/>
  <c r="U1794" i="1"/>
  <c r="T1794" i="1"/>
  <c r="U1793" i="1"/>
  <c r="T1793" i="1"/>
  <c r="U1792" i="1"/>
  <c r="T1792" i="1"/>
  <c r="U1791" i="1"/>
  <c r="T1791" i="1"/>
  <c r="U1790" i="1"/>
  <c r="T1790" i="1"/>
  <c r="U1788" i="1"/>
  <c r="T1788" i="1"/>
  <c r="U1787" i="1"/>
  <c r="T1787" i="1"/>
  <c r="U1786" i="1"/>
  <c r="T1786" i="1"/>
  <c r="U1785" i="1"/>
  <c r="T1785" i="1"/>
  <c r="U1784" i="1"/>
  <c r="T1784" i="1"/>
  <c r="U1783" i="1"/>
  <c r="T1783" i="1"/>
  <c r="U1782" i="1"/>
  <c r="T1782" i="1"/>
  <c r="U1781" i="1"/>
  <c r="T1781" i="1"/>
  <c r="U1780" i="1"/>
  <c r="T1780" i="1"/>
  <c r="U1779" i="1"/>
  <c r="T1779" i="1"/>
  <c r="U1778" i="1"/>
  <c r="T1778" i="1"/>
  <c r="U1777" i="1"/>
  <c r="T1777" i="1"/>
  <c r="U1776" i="1"/>
  <c r="T1776" i="1"/>
  <c r="U1775" i="1"/>
  <c r="T1775" i="1"/>
  <c r="U1774" i="1"/>
  <c r="T1774" i="1"/>
  <c r="U1773" i="1"/>
  <c r="T1773" i="1"/>
  <c r="U1772" i="1"/>
  <c r="T1772" i="1"/>
  <c r="U1771" i="1"/>
  <c r="T1771" i="1"/>
  <c r="U1770" i="1"/>
  <c r="T1770" i="1"/>
  <c r="U1769" i="1"/>
  <c r="T1769" i="1"/>
  <c r="U1768" i="1"/>
  <c r="T1768" i="1"/>
  <c r="U1767" i="1"/>
  <c r="T1767" i="1"/>
  <c r="U1766" i="1"/>
  <c r="T1766" i="1"/>
  <c r="U1765" i="1"/>
  <c r="U1764" i="1"/>
  <c r="T1764" i="1"/>
  <c r="U1763" i="1"/>
  <c r="T1763" i="1"/>
  <c r="U1762" i="1"/>
  <c r="T1762" i="1"/>
  <c r="U1761" i="1"/>
  <c r="T1761" i="1"/>
  <c r="U1760" i="1"/>
  <c r="T1760" i="1"/>
  <c r="U1759" i="1"/>
  <c r="T1759" i="1"/>
  <c r="U1758" i="1"/>
  <c r="U1757" i="1"/>
  <c r="T1757" i="1"/>
  <c r="U1756" i="1"/>
  <c r="T1756" i="1"/>
  <c r="U1755" i="1"/>
  <c r="T1755" i="1"/>
  <c r="U1754" i="1"/>
  <c r="T1754" i="1"/>
  <c r="U1753" i="1"/>
  <c r="T1753" i="1"/>
  <c r="U1752" i="1"/>
  <c r="U1751" i="1"/>
  <c r="T1751" i="1"/>
  <c r="U1750" i="1"/>
  <c r="T1750" i="1"/>
  <c r="U1749" i="1"/>
  <c r="T1749" i="1"/>
  <c r="U1748" i="1"/>
  <c r="T1748" i="1"/>
  <c r="U1747" i="1"/>
  <c r="T1747" i="1"/>
  <c r="U1746" i="1"/>
  <c r="T1746" i="1"/>
  <c r="U1745" i="1"/>
  <c r="T1745" i="1"/>
  <c r="U1744" i="1"/>
  <c r="T1744" i="1"/>
  <c r="U1743" i="1"/>
  <c r="T1743" i="1"/>
  <c r="U1742" i="1"/>
  <c r="T1742" i="1"/>
  <c r="U1741" i="1"/>
  <c r="T1741" i="1"/>
  <c r="U1740" i="1"/>
  <c r="T1740" i="1"/>
  <c r="U1739" i="1"/>
  <c r="U1738" i="1"/>
  <c r="T1738" i="1"/>
  <c r="U1737" i="1"/>
  <c r="T1737" i="1"/>
  <c r="U1736" i="1"/>
  <c r="U1735" i="1"/>
  <c r="T1735" i="1"/>
  <c r="U1734" i="1"/>
  <c r="T1734" i="1"/>
  <c r="U1733" i="1"/>
  <c r="T1733" i="1"/>
  <c r="U1732" i="1"/>
  <c r="T1732" i="1"/>
  <c r="U1731" i="1"/>
  <c r="T1731" i="1"/>
  <c r="U1730" i="1"/>
  <c r="T1730" i="1"/>
  <c r="U1729" i="1"/>
  <c r="T1729" i="1"/>
  <c r="U1728" i="1"/>
  <c r="T1728" i="1"/>
  <c r="U1727" i="1"/>
  <c r="T1727" i="1"/>
  <c r="U1726" i="1"/>
  <c r="T1726" i="1"/>
  <c r="U1725" i="1"/>
  <c r="U1724" i="1"/>
  <c r="T1724" i="1"/>
  <c r="U1723" i="1"/>
  <c r="T1723" i="1"/>
  <c r="U1722" i="1"/>
  <c r="T1722" i="1"/>
  <c r="U1721" i="1"/>
  <c r="T1721" i="1"/>
  <c r="U1720" i="1"/>
  <c r="T1720" i="1"/>
  <c r="U1719" i="1"/>
  <c r="T1719" i="1"/>
  <c r="U1718" i="1"/>
  <c r="T1718" i="1"/>
  <c r="U1717" i="1"/>
  <c r="T1717" i="1"/>
  <c r="U1716" i="1"/>
  <c r="T1716" i="1"/>
  <c r="U1715" i="1"/>
  <c r="T1715" i="1"/>
  <c r="U1714" i="1"/>
  <c r="T1714" i="1"/>
  <c r="U1713" i="1"/>
  <c r="T1713" i="1"/>
  <c r="U1712" i="1"/>
  <c r="U1711" i="1"/>
  <c r="T1711" i="1"/>
  <c r="U1710" i="1"/>
  <c r="T1710" i="1"/>
  <c r="U1709" i="1"/>
  <c r="T1709" i="1"/>
  <c r="U1708" i="1"/>
  <c r="T1708" i="1"/>
  <c r="U1707" i="1"/>
  <c r="T1707" i="1"/>
  <c r="U1706" i="1"/>
  <c r="U1705" i="1"/>
  <c r="T1705" i="1"/>
  <c r="U1704" i="1"/>
  <c r="T1704" i="1"/>
  <c r="U1703" i="1"/>
  <c r="T1703" i="1"/>
  <c r="U1702" i="1"/>
  <c r="T1702" i="1"/>
  <c r="U1701" i="1"/>
  <c r="T1701" i="1"/>
  <c r="U1700" i="1"/>
  <c r="T1700" i="1"/>
  <c r="U1699" i="1"/>
  <c r="T1699" i="1"/>
  <c r="U1698" i="1"/>
  <c r="T1698" i="1"/>
  <c r="U1697" i="1"/>
  <c r="T1697" i="1"/>
  <c r="U1696" i="1"/>
  <c r="T1696" i="1"/>
  <c r="U1695" i="1"/>
  <c r="U1694" i="1"/>
  <c r="T1694" i="1"/>
  <c r="U1693" i="1"/>
  <c r="T1693" i="1"/>
  <c r="U1692" i="1"/>
  <c r="T1692" i="1"/>
  <c r="U1691" i="1"/>
  <c r="T1691" i="1"/>
  <c r="U1690" i="1"/>
  <c r="U1689" i="1"/>
  <c r="T1689" i="1"/>
  <c r="U1688" i="1"/>
  <c r="T1688" i="1"/>
  <c r="U1687" i="1"/>
  <c r="T1687" i="1"/>
  <c r="U1686" i="1"/>
  <c r="T1686" i="1"/>
  <c r="U1685" i="1"/>
  <c r="T1685" i="1"/>
  <c r="U1684" i="1"/>
  <c r="T1684" i="1"/>
  <c r="U1683" i="1"/>
  <c r="T1683" i="1"/>
  <c r="U1682" i="1"/>
  <c r="T1682" i="1"/>
  <c r="U1681" i="1"/>
  <c r="T1681" i="1"/>
  <c r="U1680" i="1"/>
  <c r="T1680" i="1"/>
  <c r="U1679" i="1"/>
  <c r="T1679" i="1"/>
  <c r="U1678" i="1"/>
  <c r="T1678" i="1"/>
  <c r="U1677" i="1"/>
  <c r="T1677" i="1"/>
  <c r="U1676" i="1"/>
  <c r="T1676" i="1"/>
  <c r="U1675" i="1"/>
  <c r="T1675" i="1"/>
  <c r="U1674" i="1"/>
  <c r="T1674" i="1"/>
  <c r="U1673" i="1"/>
  <c r="T1673" i="1"/>
  <c r="U1672" i="1"/>
  <c r="T1672" i="1"/>
  <c r="U1671" i="1"/>
  <c r="T1671" i="1"/>
  <c r="U1670" i="1"/>
  <c r="T1670" i="1"/>
  <c r="U1669" i="1"/>
  <c r="T1669" i="1"/>
  <c r="U1668" i="1"/>
  <c r="T1668" i="1"/>
  <c r="U1667" i="1"/>
  <c r="T1667" i="1"/>
  <c r="U1666" i="1"/>
  <c r="T1666" i="1"/>
  <c r="U1665" i="1"/>
  <c r="T1665" i="1"/>
  <c r="U1664" i="1"/>
  <c r="T1664" i="1"/>
  <c r="U1663" i="1"/>
  <c r="T1663" i="1"/>
  <c r="U1662" i="1"/>
  <c r="T1662" i="1"/>
  <c r="U1661" i="1"/>
  <c r="T1661" i="1"/>
  <c r="U1660" i="1"/>
  <c r="T1660" i="1"/>
  <c r="U1659" i="1"/>
  <c r="T1659" i="1"/>
  <c r="U1658" i="1"/>
  <c r="T1658" i="1"/>
  <c r="U1657" i="1"/>
  <c r="T1657" i="1"/>
  <c r="U1656" i="1"/>
  <c r="T1656" i="1"/>
  <c r="U1655" i="1"/>
  <c r="T1655" i="1"/>
  <c r="U1654" i="1"/>
  <c r="T1654" i="1"/>
  <c r="U1653" i="1"/>
  <c r="T1653" i="1"/>
  <c r="U1652" i="1"/>
  <c r="T1652" i="1"/>
  <c r="U1651" i="1"/>
  <c r="T1651" i="1"/>
  <c r="U1650" i="1"/>
  <c r="T1650" i="1"/>
  <c r="U1649" i="1"/>
  <c r="T1649" i="1"/>
  <c r="U1648" i="1"/>
  <c r="T1648" i="1"/>
  <c r="U1647" i="1"/>
  <c r="T1647" i="1"/>
  <c r="U1646" i="1"/>
  <c r="T1646" i="1"/>
  <c r="U1645" i="1"/>
  <c r="T1645" i="1"/>
  <c r="U1644" i="1"/>
  <c r="T1644" i="1"/>
  <c r="U1643" i="1"/>
  <c r="T1643" i="1"/>
  <c r="U1642" i="1"/>
  <c r="T1642" i="1"/>
  <c r="U1641" i="1"/>
  <c r="T1641" i="1"/>
  <c r="U1640" i="1"/>
  <c r="T1640" i="1"/>
  <c r="U1639" i="1"/>
  <c r="T1639" i="1"/>
  <c r="U1638" i="1"/>
  <c r="T1638" i="1"/>
  <c r="U1637" i="1"/>
  <c r="T1637" i="1"/>
  <c r="U1636" i="1"/>
  <c r="T1636" i="1"/>
  <c r="U1635" i="1"/>
  <c r="T1635" i="1"/>
  <c r="U1634" i="1"/>
  <c r="T1634" i="1"/>
  <c r="U1633" i="1"/>
  <c r="T1633" i="1"/>
  <c r="U1632" i="1"/>
  <c r="T1632" i="1"/>
  <c r="U1631" i="1"/>
  <c r="T1631" i="1"/>
  <c r="U1630" i="1"/>
  <c r="T1630" i="1"/>
  <c r="U1629" i="1"/>
  <c r="T1629" i="1"/>
  <c r="U1628" i="1"/>
  <c r="T1628" i="1"/>
  <c r="U1627" i="1"/>
  <c r="T1627" i="1"/>
  <c r="U1626" i="1"/>
  <c r="T1626" i="1"/>
  <c r="U1625" i="1"/>
  <c r="T1625" i="1"/>
  <c r="U1624" i="1"/>
  <c r="T1624" i="1"/>
  <c r="U1623" i="1"/>
  <c r="T1623" i="1"/>
  <c r="U1622" i="1"/>
  <c r="T1622" i="1"/>
  <c r="U1621" i="1"/>
  <c r="T1621" i="1"/>
  <c r="U1620" i="1"/>
  <c r="T1620" i="1"/>
  <c r="U1619" i="1"/>
  <c r="T1619" i="1"/>
  <c r="U1618" i="1"/>
  <c r="T1618" i="1"/>
  <c r="U1617" i="1"/>
  <c r="T1617" i="1"/>
  <c r="U1616" i="1"/>
  <c r="T1616" i="1"/>
  <c r="U1615" i="1"/>
  <c r="T1615" i="1"/>
  <c r="U1614" i="1"/>
  <c r="T1614" i="1"/>
  <c r="U1613" i="1"/>
  <c r="T1613" i="1"/>
  <c r="U1612" i="1"/>
  <c r="T1612" i="1"/>
  <c r="U1611" i="1"/>
  <c r="T1611" i="1"/>
  <c r="U1610" i="1"/>
  <c r="T1610" i="1"/>
  <c r="U1609" i="1"/>
  <c r="T1609" i="1"/>
  <c r="U1608" i="1"/>
  <c r="T1608" i="1"/>
  <c r="U1607" i="1"/>
  <c r="T1607" i="1"/>
  <c r="U1606" i="1"/>
  <c r="T1606" i="1"/>
  <c r="U1605" i="1"/>
  <c r="T1605" i="1"/>
  <c r="U1604" i="1"/>
  <c r="T1604" i="1"/>
  <c r="U1603" i="1"/>
  <c r="T1603" i="1"/>
  <c r="U1602" i="1"/>
  <c r="T1602" i="1"/>
  <c r="U1601" i="1"/>
  <c r="T1601" i="1"/>
  <c r="U1600" i="1"/>
  <c r="T1600" i="1"/>
  <c r="U1599" i="1"/>
  <c r="T1599" i="1"/>
  <c r="U1598" i="1"/>
  <c r="T1598" i="1"/>
  <c r="U1597" i="1"/>
  <c r="T1597" i="1"/>
  <c r="U1596" i="1"/>
  <c r="T1596" i="1"/>
  <c r="U1595" i="1"/>
  <c r="T1595" i="1"/>
  <c r="U1594" i="1"/>
  <c r="T1594" i="1"/>
  <c r="U1593" i="1"/>
  <c r="T1593" i="1"/>
  <c r="U1592" i="1"/>
  <c r="T1592" i="1"/>
  <c r="U1591" i="1"/>
  <c r="T1591" i="1"/>
  <c r="U1590" i="1"/>
  <c r="T1590" i="1"/>
  <c r="U1589" i="1"/>
  <c r="U1588" i="1"/>
  <c r="T1588" i="1"/>
  <c r="U1587" i="1"/>
  <c r="T1587" i="1"/>
  <c r="U1586" i="1"/>
  <c r="T1586" i="1"/>
  <c r="U1585" i="1"/>
  <c r="T1585" i="1"/>
  <c r="U1584" i="1"/>
  <c r="T1584" i="1"/>
  <c r="U1583" i="1"/>
  <c r="T1583" i="1"/>
  <c r="U1582" i="1"/>
  <c r="T1582" i="1"/>
  <c r="U1581" i="1"/>
  <c r="T1581" i="1"/>
  <c r="U1580" i="1"/>
  <c r="T1580" i="1"/>
  <c r="U1579" i="1"/>
  <c r="T1579" i="1"/>
  <c r="U1578" i="1"/>
  <c r="T1578" i="1"/>
  <c r="U1577" i="1"/>
  <c r="T1577" i="1"/>
  <c r="U1576" i="1"/>
  <c r="T1576" i="1"/>
  <c r="U1575" i="1"/>
  <c r="T1575" i="1"/>
  <c r="U1574" i="1"/>
  <c r="T1574" i="1"/>
  <c r="U1573" i="1"/>
  <c r="T1573" i="1"/>
  <c r="U1572" i="1"/>
  <c r="T1572" i="1"/>
  <c r="U1571" i="1"/>
  <c r="T1571" i="1"/>
  <c r="U1570" i="1"/>
  <c r="T1570" i="1"/>
  <c r="U1569" i="1"/>
  <c r="T1569" i="1"/>
  <c r="U1568" i="1"/>
  <c r="T1568" i="1"/>
  <c r="U1567" i="1"/>
  <c r="T1567" i="1"/>
  <c r="U1566" i="1"/>
  <c r="T1566" i="1"/>
  <c r="U1565" i="1"/>
  <c r="T1565" i="1"/>
  <c r="U1564" i="1"/>
  <c r="T1564" i="1"/>
  <c r="U1563" i="1"/>
  <c r="T1563" i="1"/>
  <c r="U1562" i="1"/>
  <c r="T1562" i="1"/>
  <c r="U1561" i="1"/>
  <c r="T1561" i="1"/>
  <c r="U1560" i="1"/>
  <c r="T1560" i="1"/>
  <c r="U1559" i="1"/>
  <c r="T1559" i="1"/>
  <c r="U1558" i="1"/>
  <c r="T1558" i="1"/>
  <c r="U1557" i="1"/>
  <c r="T1557" i="1"/>
  <c r="U1556" i="1"/>
  <c r="T1556" i="1"/>
  <c r="U1555" i="1"/>
  <c r="T1555" i="1"/>
  <c r="U1554" i="1"/>
  <c r="T1554" i="1"/>
  <c r="U1553" i="1"/>
  <c r="T1553" i="1"/>
  <c r="U1552" i="1"/>
  <c r="T1552" i="1"/>
  <c r="U1551" i="1"/>
  <c r="T1551" i="1"/>
  <c r="U1550" i="1"/>
  <c r="T1550" i="1"/>
  <c r="U1549" i="1"/>
  <c r="T1549" i="1"/>
  <c r="U1548" i="1"/>
  <c r="T1548" i="1"/>
  <c r="U1547" i="1"/>
  <c r="T1547" i="1"/>
  <c r="U1546" i="1"/>
  <c r="T1546" i="1"/>
  <c r="U1545" i="1"/>
  <c r="T1545" i="1"/>
  <c r="U1544" i="1"/>
  <c r="T1544" i="1"/>
  <c r="U1543" i="1"/>
  <c r="T1543" i="1"/>
  <c r="U1542" i="1"/>
  <c r="T1542" i="1"/>
  <c r="U1541" i="1"/>
  <c r="T1541" i="1"/>
  <c r="U1540" i="1"/>
  <c r="T1540" i="1"/>
  <c r="U1539" i="1"/>
  <c r="T1539" i="1"/>
  <c r="U1538" i="1"/>
  <c r="T1538" i="1"/>
  <c r="U1537" i="1"/>
  <c r="T1537" i="1"/>
  <c r="U1536" i="1"/>
  <c r="T1536" i="1"/>
  <c r="U1535" i="1"/>
  <c r="T1535" i="1"/>
  <c r="U1534" i="1"/>
  <c r="T1534" i="1"/>
  <c r="U1533" i="1"/>
  <c r="T1533" i="1"/>
  <c r="U1532" i="1"/>
  <c r="T1532" i="1"/>
  <c r="U1531" i="1"/>
  <c r="T1531" i="1"/>
  <c r="U1530" i="1"/>
  <c r="T1530" i="1"/>
  <c r="U1529" i="1"/>
  <c r="T1529" i="1"/>
  <c r="U1528" i="1"/>
  <c r="T1528" i="1"/>
  <c r="U1527" i="1"/>
  <c r="T1527" i="1"/>
  <c r="U1526" i="1"/>
  <c r="T1526" i="1"/>
  <c r="U1525" i="1"/>
  <c r="T1525" i="1"/>
  <c r="U1524" i="1"/>
  <c r="T1524" i="1"/>
  <c r="U1523" i="1"/>
  <c r="T1523" i="1"/>
  <c r="U1522" i="1"/>
  <c r="T1522" i="1"/>
  <c r="U1521" i="1"/>
  <c r="T1521" i="1"/>
  <c r="U1520" i="1"/>
  <c r="T1520" i="1"/>
  <c r="U1519" i="1"/>
  <c r="T1519" i="1"/>
  <c r="U1518" i="1"/>
  <c r="T1518" i="1"/>
  <c r="U1517" i="1"/>
  <c r="T1517" i="1"/>
  <c r="U1516" i="1"/>
  <c r="T1516" i="1"/>
  <c r="U1515" i="1"/>
  <c r="T1515" i="1"/>
  <c r="U1514" i="1"/>
  <c r="T1514" i="1"/>
  <c r="U1513" i="1"/>
  <c r="T1513" i="1"/>
  <c r="U1512" i="1"/>
  <c r="T1512" i="1"/>
  <c r="U1511" i="1"/>
  <c r="T1511" i="1"/>
  <c r="U1510" i="1"/>
  <c r="T1510" i="1"/>
  <c r="U1509" i="1"/>
  <c r="T1509" i="1"/>
  <c r="U1508" i="1"/>
  <c r="T1508" i="1"/>
  <c r="U1507" i="1"/>
  <c r="T1507" i="1"/>
  <c r="U1506" i="1"/>
  <c r="T1506" i="1"/>
  <c r="U1505" i="1"/>
  <c r="T1505" i="1"/>
  <c r="U1504" i="1"/>
  <c r="T1504" i="1"/>
  <c r="U1503" i="1"/>
  <c r="T1503" i="1"/>
  <c r="U1502" i="1"/>
  <c r="T1502" i="1"/>
  <c r="U1501" i="1"/>
  <c r="T1501" i="1"/>
  <c r="U1500" i="1"/>
  <c r="T1500" i="1"/>
  <c r="U1499" i="1"/>
  <c r="U1498" i="1"/>
  <c r="T1498" i="1"/>
  <c r="U1497" i="1"/>
  <c r="T1497" i="1"/>
  <c r="U1496" i="1"/>
  <c r="T1496" i="1"/>
  <c r="U1495" i="1"/>
  <c r="T1495" i="1"/>
  <c r="U1494" i="1"/>
  <c r="T1494" i="1"/>
  <c r="U1493" i="1"/>
  <c r="T1493" i="1"/>
  <c r="U1492" i="1"/>
  <c r="T1492" i="1"/>
  <c r="U1491" i="1"/>
  <c r="T1491" i="1"/>
  <c r="U1490" i="1"/>
  <c r="T1490" i="1"/>
  <c r="U1489" i="1"/>
  <c r="T1489" i="1"/>
  <c r="U1488" i="1"/>
  <c r="T1488" i="1"/>
  <c r="U1487" i="1"/>
  <c r="T1487" i="1"/>
  <c r="U1486" i="1"/>
  <c r="T1486" i="1"/>
  <c r="U1485" i="1"/>
  <c r="T1485" i="1"/>
  <c r="U1484" i="1"/>
  <c r="T1484" i="1"/>
  <c r="U1483" i="1"/>
  <c r="T1483" i="1"/>
  <c r="U1482" i="1"/>
  <c r="T1482" i="1"/>
  <c r="U1481" i="1"/>
  <c r="T1481" i="1"/>
  <c r="U1480" i="1"/>
  <c r="T1480" i="1"/>
  <c r="U1479" i="1"/>
  <c r="T1479" i="1"/>
  <c r="U1478" i="1"/>
  <c r="T1478" i="1"/>
  <c r="U1477" i="1"/>
  <c r="T1477" i="1"/>
  <c r="U1476" i="1"/>
  <c r="T1476" i="1"/>
  <c r="U1475" i="1"/>
  <c r="T1475" i="1"/>
  <c r="U1474" i="1"/>
  <c r="T1474" i="1"/>
  <c r="U1473" i="1"/>
  <c r="T1473" i="1"/>
  <c r="U1472" i="1"/>
  <c r="T1472" i="1"/>
  <c r="U1471" i="1"/>
  <c r="T1471" i="1"/>
  <c r="U1470" i="1"/>
  <c r="T1470" i="1"/>
  <c r="U1469" i="1"/>
  <c r="T1469" i="1"/>
  <c r="U1468" i="1"/>
  <c r="T1468" i="1"/>
  <c r="U1467" i="1"/>
  <c r="T1467" i="1"/>
  <c r="U1466" i="1"/>
  <c r="T1466" i="1"/>
  <c r="U1465" i="1"/>
  <c r="T1465" i="1"/>
  <c r="U1464" i="1"/>
  <c r="T1464" i="1"/>
  <c r="U1463" i="1"/>
  <c r="T1463" i="1"/>
  <c r="U1462" i="1"/>
  <c r="T1462" i="1"/>
  <c r="U1461" i="1"/>
  <c r="T1461" i="1"/>
  <c r="U1460" i="1"/>
  <c r="T1460" i="1"/>
  <c r="U1459" i="1"/>
  <c r="T1459" i="1"/>
  <c r="U1458" i="1"/>
  <c r="T1458" i="1"/>
  <c r="U1457" i="1"/>
  <c r="T1457" i="1"/>
  <c r="U1456" i="1"/>
  <c r="T1456" i="1"/>
  <c r="U1455" i="1"/>
  <c r="T1455" i="1"/>
  <c r="U1454" i="1"/>
  <c r="T1454" i="1"/>
  <c r="U1453" i="1"/>
  <c r="T1453" i="1"/>
  <c r="U1452" i="1"/>
  <c r="T1452" i="1"/>
  <c r="U1451" i="1"/>
  <c r="T1451" i="1"/>
  <c r="U1450" i="1"/>
  <c r="T1450" i="1"/>
  <c r="U1449" i="1"/>
  <c r="T1449" i="1"/>
  <c r="U1448" i="1"/>
  <c r="T1448" i="1"/>
  <c r="U1447" i="1"/>
  <c r="T1447" i="1"/>
  <c r="U1446" i="1"/>
  <c r="T1446" i="1"/>
  <c r="U1445" i="1"/>
  <c r="T1445" i="1"/>
  <c r="U1444" i="1"/>
  <c r="T1444" i="1"/>
  <c r="U1443" i="1"/>
  <c r="T1443" i="1"/>
  <c r="U1442" i="1"/>
  <c r="T1442" i="1"/>
  <c r="U1441" i="1"/>
  <c r="T1441" i="1"/>
  <c r="U1440" i="1"/>
  <c r="T1440" i="1"/>
  <c r="U1439" i="1"/>
  <c r="T1439" i="1"/>
  <c r="U1438" i="1"/>
  <c r="T1438" i="1"/>
  <c r="U1437" i="1"/>
  <c r="T1437" i="1"/>
  <c r="U1436" i="1"/>
  <c r="T1436" i="1"/>
  <c r="U1435" i="1"/>
  <c r="T1435" i="1"/>
  <c r="U1434" i="1"/>
  <c r="T1434" i="1"/>
  <c r="U1433" i="1"/>
  <c r="T1433" i="1"/>
  <c r="U1432" i="1"/>
  <c r="T1432" i="1"/>
  <c r="U1431" i="1"/>
  <c r="T1431" i="1"/>
  <c r="U1430" i="1"/>
  <c r="T1430" i="1"/>
  <c r="U1429" i="1"/>
  <c r="T1429" i="1"/>
  <c r="U1428" i="1"/>
  <c r="T1428" i="1"/>
  <c r="U1427" i="1"/>
  <c r="T1427" i="1"/>
  <c r="U1426" i="1"/>
  <c r="T1426" i="1"/>
  <c r="U1425" i="1"/>
  <c r="T1425" i="1"/>
  <c r="U1424" i="1"/>
  <c r="T1424" i="1"/>
  <c r="U1423" i="1"/>
  <c r="T1423" i="1"/>
  <c r="U1422" i="1"/>
  <c r="T1422" i="1"/>
  <c r="U1421" i="1"/>
  <c r="T1421" i="1"/>
  <c r="U1420" i="1"/>
  <c r="T1420" i="1"/>
  <c r="U1419" i="1"/>
  <c r="T1419" i="1"/>
  <c r="U1418" i="1"/>
  <c r="U1417" i="1"/>
  <c r="T1417" i="1"/>
  <c r="U1416" i="1"/>
  <c r="T1416" i="1"/>
  <c r="U1415" i="1"/>
  <c r="U1414" i="1"/>
  <c r="T1414" i="1"/>
  <c r="U1413" i="1"/>
  <c r="T1413" i="1"/>
  <c r="U1412" i="1"/>
  <c r="T1412" i="1"/>
  <c r="U1411" i="1"/>
  <c r="T1411" i="1"/>
  <c r="U1410" i="1"/>
  <c r="T1410" i="1"/>
  <c r="U1409" i="1"/>
  <c r="T1409" i="1"/>
  <c r="U1408" i="1"/>
  <c r="T1408" i="1"/>
  <c r="U1407" i="1"/>
  <c r="T1407" i="1"/>
  <c r="U1406" i="1"/>
  <c r="T1406" i="1"/>
  <c r="U1405" i="1"/>
  <c r="T1405" i="1"/>
  <c r="U1404" i="1"/>
  <c r="T1404" i="1"/>
  <c r="U1403" i="1"/>
  <c r="T1403" i="1"/>
  <c r="U1402" i="1"/>
  <c r="T1402" i="1"/>
  <c r="U1401" i="1"/>
  <c r="T1401" i="1"/>
  <c r="U1400" i="1"/>
  <c r="T1400" i="1"/>
  <c r="U1399" i="1"/>
  <c r="T1399" i="1"/>
  <c r="U1398" i="1"/>
  <c r="T1398" i="1"/>
  <c r="U1397" i="1"/>
  <c r="T1397" i="1"/>
  <c r="U1396" i="1"/>
  <c r="T1396" i="1"/>
  <c r="U1395" i="1"/>
  <c r="T1395" i="1"/>
  <c r="U1394" i="1"/>
  <c r="T1394" i="1"/>
  <c r="U1393" i="1"/>
  <c r="T1393" i="1"/>
  <c r="U1392" i="1"/>
  <c r="T1392" i="1"/>
  <c r="U1391" i="1"/>
  <c r="T1391" i="1"/>
  <c r="U1390" i="1"/>
  <c r="T1390" i="1"/>
  <c r="U1389" i="1"/>
  <c r="T1389" i="1"/>
  <c r="U1388" i="1"/>
  <c r="T1388" i="1"/>
  <c r="U1387" i="1"/>
  <c r="T1387" i="1"/>
  <c r="U1386" i="1"/>
  <c r="U1385" i="1"/>
  <c r="T1385" i="1"/>
  <c r="U1384" i="1"/>
  <c r="T1384" i="1"/>
  <c r="U1383" i="1"/>
  <c r="T1383" i="1"/>
  <c r="U1382" i="1"/>
  <c r="U1381" i="1"/>
  <c r="T1381" i="1"/>
  <c r="U1380" i="1"/>
  <c r="T1380" i="1"/>
  <c r="U1379" i="1"/>
  <c r="T1379" i="1"/>
  <c r="U1378" i="1"/>
  <c r="T1378" i="1"/>
  <c r="U1377" i="1"/>
  <c r="T1377" i="1"/>
  <c r="U1376" i="1"/>
  <c r="T1376" i="1"/>
  <c r="U1375" i="1"/>
  <c r="T1375" i="1"/>
  <c r="U1374" i="1"/>
  <c r="T1374" i="1"/>
  <c r="U1373" i="1"/>
  <c r="T1373" i="1"/>
  <c r="U1372" i="1"/>
  <c r="T1372" i="1"/>
  <c r="U1371" i="1"/>
  <c r="T1371" i="1"/>
  <c r="U1370" i="1"/>
  <c r="T1370" i="1"/>
  <c r="U1369" i="1"/>
  <c r="T1369" i="1"/>
  <c r="U1368" i="1"/>
  <c r="T1368" i="1"/>
  <c r="U1367" i="1"/>
  <c r="T1367" i="1"/>
  <c r="U1366" i="1"/>
  <c r="T1366" i="1"/>
  <c r="U1365" i="1"/>
  <c r="T1365" i="1"/>
  <c r="U1364" i="1"/>
  <c r="T1364" i="1"/>
  <c r="U1363" i="1"/>
  <c r="T1363" i="1"/>
  <c r="U1362" i="1"/>
  <c r="T1362" i="1"/>
  <c r="U1361" i="1"/>
  <c r="T1361" i="1"/>
  <c r="U1360" i="1"/>
  <c r="T1360" i="1"/>
  <c r="U1359" i="1"/>
  <c r="T1359" i="1"/>
  <c r="U1358" i="1"/>
  <c r="T1358" i="1"/>
  <c r="U1357" i="1"/>
  <c r="T1357" i="1"/>
  <c r="U1356" i="1"/>
  <c r="T1356" i="1"/>
  <c r="U1355" i="1"/>
  <c r="T1355" i="1"/>
  <c r="U1354" i="1"/>
  <c r="T1354" i="1"/>
  <c r="U1353" i="1"/>
  <c r="T1353" i="1"/>
  <c r="U1352" i="1"/>
  <c r="T1352" i="1"/>
  <c r="U1351" i="1"/>
  <c r="T1351" i="1"/>
  <c r="U1350" i="1"/>
  <c r="T1350" i="1"/>
  <c r="U1349" i="1"/>
  <c r="T1349" i="1"/>
  <c r="U1348" i="1"/>
  <c r="T1348" i="1"/>
  <c r="U1347" i="1"/>
  <c r="U1346" i="1"/>
  <c r="U1345" i="1"/>
  <c r="T1345" i="1"/>
  <c r="U1344" i="1"/>
  <c r="T1344" i="1"/>
  <c r="U1343" i="1"/>
  <c r="T1343" i="1"/>
  <c r="U1342" i="1"/>
  <c r="T1342" i="1"/>
  <c r="U1341" i="1"/>
  <c r="T1341" i="1"/>
  <c r="U1340" i="1"/>
  <c r="T1340" i="1"/>
  <c r="U1339" i="1"/>
  <c r="T1339" i="1"/>
  <c r="U1338" i="1"/>
  <c r="T1338" i="1"/>
  <c r="U1337" i="1"/>
  <c r="T1337" i="1"/>
  <c r="U1336" i="1"/>
  <c r="T1336" i="1"/>
  <c r="U1335" i="1"/>
  <c r="T1335" i="1"/>
  <c r="U1334" i="1"/>
  <c r="T1334" i="1"/>
  <c r="U1333" i="1"/>
  <c r="T1333" i="1"/>
  <c r="U1332" i="1"/>
  <c r="T1332" i="1"/>
  <c r="U1331" i="1"/>
  <c r="T1331" i="1"/>
  <c r="U1330" i="1"/>
  <c r="T1330" i="1"/>
  <c r="U1329" i="1"/>
  <c r="T1329" i="1"/>
  <c r="U1328" i="1"/>
  <c r="T1328" i="1"/>
  <c r="U1327" i="1"/>
  <c r="U1326" i="1"/>
  <c r="T1326" i="1"/>
  <c r="U1325" i="1"/>
  <c r="T1325" i="1"/>
  <c r="U1324" i="1"/>
  <c r="T1324" i="1"/>
  <c r="U1323" i="1"/>
  <c r="T1323" i="1"/>
  <c r="U1322" i="1"/>
  <c r="T1322" i="1"/>
  <c r="U1321" i="1"/>
  <c r="T1321" i="1"/>
  <c r="U1320" i="1"/>
  <c r="T1320" i="1"/>
  <c r="U1319" i="1"/>
  <c r="T1319" i="1"/>
  <c r="U1318" i="1"/>
  <c r="U1317" i="1"/>
  <c r="T1317" i="1"/>
  <c r="U1316" i="1"/>
  <c r="T1316" i="1"/>
  <c r="U1315" i="1"/>
  <c r="T1315" i="1"/>
  <c r="U1314" i="1"/>
  <c r="T1314" i="1"/>
  <c r="U1313" i="1"/>
  <c r="T1313" i="1"/>
  <c r="U1312" i="1"/>
  <c r="T1312" i="1"/>
  <c r="U1311" i="1"/>
  <c r="T1311" i="1"/>
  <c r="U1310" i="1"/>
  <c r="T1310" i="1"/>
  <c r="U1309" i="1"/>
  <c r="T1309" i="1"/>
  <c r="U1308" i="1"/>
  <c r="T1308" i="1"/>
  <c r="U1307" i="1"/>
  <c r="U1306" i="1"/>
  <c r="T1306" i="1"/>
  <c r="U1305" i="1"/>
  <c r="T1305" i="1"/>
  <c r="U1304" i="1"/>
  <c r="T1304" i="1"/>
  <c r="U1303" i="1"/>
  <c r="T1303" i="1"/>
  <c r="U1302" i="1"/>
  <c r="T1302" i="1"/>
  <c r="U1301" i="1"/>
  <c r="T1301" i="1"/>
  <c r="U1300" i="1"/>
  <c r="T1300" i="1"/>
  <c r="U1299" i="1"/>
  <c r="T1299" i="1"/>
  <c r="U1298" i="1"/>
  <c r="T1298" i="1"/>
  <c r="U1297" i="1"/>
  <c r="T1297" i="1"/>
  <c r="U1296" i="1"/>
  <c r="T1296" i="1"/>
  <c r="U1295" i="1"/>
  <c r="T1295" i="1"/>
  <c r="U1294" i="1"/>
  <c r="T1294" i="1"/>
  <c r="U1293" i="1"/>
  <c r="T1293" i="1"/>
  <c r="U1292" i="1"/>
  <c r="T1292" i="1"/>
  <c r="U1291" i="1"/>
  <c r="T1291" i="1"/>
  <c r="U1290" i="1"/>
  <c r="T1290" i="1"/>
  <c r="U1289" i="1"/>
  <c r="T1289" i="1"/>
  <c r="U1288" i="1"/>
  <c r="T1288" i="1"/>
  <c r="U1287" i="1"/>
  <c r="T1287" i="1"/>
  <c r="U1286" i="1"/>
  <c r="T1286" i="1"/>
  <c r="U1285" i="1"/>
  <c r="T1285" i="1"/>
  <c r="U1284" i="1"/>
  <c r="T1284" i="1"/>
  <c r="U1283" i="1"/>
  <c r="T1283" i="1"/>
  <c r="U1282" i="1"/>
  <c r="T1282" i="1"/>
  <c r="U1281" i="1"/>
  <c r="T1281" i="1"/>
  <c r="U1280" i="1"/>
  <c r="T1280" i="1"/>
  <c r="U1279" i="1"/>
  <c r="T1279" i="1"/>
  <c r="U1278" i="1"/>
  <c r="T1278" i="1"/>
  <c r="U1277" i="1"/>
  <c r="T1277" i="1"/>
  <c r="U1276" i="1"/>
  <c r="T1276" i="1"/>
  <c r="U1275" i="1"/>
  <c r="T1275" i="1"/>
  <c r="U1274" i="1"/>
  <c r="T1274" i="1"/>
  <c r="U1273" i="1"/>
  <c r="T1273" i="1"/>
  <c r="U1272" i="1"/>
  <c r="T1272" i="1"/>
  <c r="U1271" i="1"/>
  <c r="T1271" i="1"/>
  <c r="U1270" i="1"/>
  <c r="T1270" i="1"/>
  <c r="U1269" i="1"/>
  <c r="T1269" i="1"/>
  <c r="U1268" i="1"/>
  <c r="T1268" i="1"/>
  <c r="U1267" i="1"/>
  <c r="T1267" i="1"/>
  <c r="U1266" i="1"/>
  <c r="T1266" i="1"/>
  <c r="U1265" i="1"/>
  <c r="T1265" i="1"/>
  <c r="U1264" i="1"/>
  <c r="T1264" i="1"/>
  <c r="U1263" i="1"/>
  <c r="T1263" i="1"/>
  <c r="U1262" i="1"/>
  <c r="T1262" i="1"/>
  <c r="U1261" i="1"/>
  <c r="T1261" i="1"/>
  <c r="U1260" i="1"/>
  <c r="T1260" i="1"/>
  <c r="U1259" i="1"/>
  <c r="T1259" i="1"/>
  <c r="U1258" i="1"/>
  <c r="T1258" i="1"/>
  <c r="U1257" i="1"/>
  <c r="T1257" i="1"/>
  <c r="U1256" i="1"/>
  <c r="U1255" i="1"/>
  <c r="T1255" i="1"/>
  <c r="U1254" i="1"/>
  <c r="T1254" i="1"/>
  <c r="U1253" i="1"/>
  <c r="T1253" i="1"/>
  <c r="U1252" i="1"/>
  <c r="T1252" i="1"/>
  <c r="U1251" i="1"/>
  <c r="U1250" i="1"/>
  <c r="T1250" i="1"/>
  <c r="U1249" i="1"/>
  <c r="T1249" i="1"/>
  <c r="U1248" i="1"/>
  <c r="T1248" i="1"/>
  <c r="U1247" i="1"/>
  <c r="T1247" i="1"/>
  <c r="U1246" i="1"/>
  <c r="T1246" i="1"/>
  <c r="U1245" i="1"/>
  <c r="T1245" i="1"/>
  <c r="U1244" i="1"/>
  <c r="U1243" i="1"/>
  <c r="T1243" i="1"/>
  <c r="U1242" i="1"/>
  <c r="T1242" i="1"/>
  <c r="U1241" i="1"/>
  <c r="U1240" i="1"/>
  <c r="U1239" i="1"/>
  <c r="T1239" i="1"/>
  <c r="U1238" i="1"/>
  <c r="U1237" i="1"/>
  <c r="T1237" i="1"/>
  <c r="U1236" i="1"/>
  <c r="T1236" i="1"/>
  <c r="U1235" i="1"/>
  <c r="T1235" i="1"/>
  <c r="U1234" i="1"/>
  <c r="T1234" i="1"/>
  <c r="U1233" i="1"/>
  <c r="T1233" i="1"/>
  <c r="U1232" i="1"/>
  <c r="T1232" i="1"/>
  <c r="U1231" i="1"/>
  <c r="U1230" i="1"/>
  <c r="T1230" i="1"/>
  <c r="U1229" i="1"/>
  <c r="T1229" i="1"/>
  <c r="U1228" i="1"/>
  <c r="T1228" i="1"/>
  <c r="U1227" i="1"/>
  <c r="T1227" i="1"/>
  <c r="U1226" i="1"/>
  <c r="U1225" i="1"/>
  <c r="U1224" i="1"/>
  <c r="U1223" i="1"/>
  <c r="T1223" i="1"/>
  <c r="U1222" i="1"/>
  <c r="U1221" i="1"/>
  <c r="T1221" i="1"/>
  <c r="U1220" i="1"/>
  <c r="U1219" i="1"/>
  <c r="T1219" i="1"/>
  <c r="U1218" i="1"/>
  <c r="U1217" i="1"/>
  <c r="U1216" i="1"/>
  <c r="T1216" i="1"/>
  <c r="U1215" i="1"/>
  <c r="U1214" i="1"/>
  <c r="U1213" i="1"/>
  <c r="U1212" i="1"/>
  <c r="T1212" i="1"/>
  <c r="U1211" i="1"/>
  <c r="U1210" i="1"/>
  <c r="U1209" i="1"/>
  <c r="T1209" i="1"/>
  <c r="U1208" i="1"/>
  <c r="U1207" i="1"/>
  <c r="U1206" i="1"/>
  <c r="T1206" i="1"/>
  <c r="U1205" i="1"/>
  <c r="T1205" i="1"/>
  <c r="U1204" i="1"/>
  <c r="T1204" i="1"/>
  <c r="U1203" i="1"/>
  <c r="T1203" i="1"/>
  <c r="U1202" i="1"/>
  <c r="U1201" i="1"/>
  <c r="U1200" i="1"/>
  <c r="U1199" i="1"/>
  <c r="T1199" i="1"/>
  <c r="U1198" i="1"/>
  <c r="T1198" i="1"/>
  <c r="U1197" i="1"/>
  <c r="T1197" i="1"/>
  <c r="U1196" i="1"/>
  <c r="U1195" i="1"/>
  <c r="U1194" i="1"/>
  <c r="T1194" i="1"/>
  <c r="U1193" i="1"/>
  <c r="T1193" i="1"/>
  <c r="U1192" i="1"/>
  <c r="T1192" i="1"/>
  <c r="U1191" i="1"/>
  <c r="U1190" i="1"/>
  <c r="T1190" i="1"/>
  <c r="U1189" i="1"/>
  <c r="U1188" i="1"/>
  <c r="T1188" i="1"/>
  <c r="U1187" i="1"/>
  <c r="U1186" i="1"/>
  <c r="U1185" i="1"/>
  <c r="T1185" i="1"/>
  <c r="U1184" i="1"/>
  <c r="T1184" i="1"/>
  <c r="U1183" i="1"/>
  <c r="U1182" i="1"/>
  <c r="U1181" i="1"/>
  <c r="T1181" i="1"/>
  <c r="U1180" i="1"/>
  <c r="T1180" i="1"/>
  <c r="U1179" i="1"/>
  <c r="T1179" i="1"/>
  <c r="U1178" i="1"/>
  <c r="U1177" i="1"/>
  <c r="T1177" i="1"/>
  <c r="U1176" i="1"/>
  <c r="U1175" i="1"/>
  <c r="U1174" i="1"/>
  <c r="U1173" i="1"/>
  <c r="U1172" i="1"/>
  <c r="T1172" i="1"/>
  <c r="U1171" i="1"/>
  <c r="T1171" i="1"/>
  <c r="U1170" i="1"/>
  <c r="U1169" i="1"/>
  <c r="U1168" i="1"/>
  <c r="U1167" i="1"/>
  <c r="T1167" i="1"/>
  <c r="U1166" i="1"/>
  <c r="U1165" i="1"/>
  <c r="T1165" i="1"/>
  <c r="U1164" i="1"/>
  <c r="U1163" i="1"/>
  <c r="T1163" i="1"/>
  <c r="U1162" i="1"/>
  <c r="T1162" i="1"/>
  <c r="U1161" i="1"/>
  <c r="T1161" i="1"/>
  <c r="U1160" i="1"/>
  <c r="T1160" i="1"/>
  <c r="U1159" i="1"/>
  <c r="T1159" i="1"/>
  <c r="U1158" i="1"/>
  <c r="T1158" i="1"/>
  <c r="U1157" i="1"/>
  <c r="U1156" i="1"/>
  <c r="T1156" i="1"/>
  <c r="U1155" i="1"/>
  <c r="T1155" i="1"/>
  <c r="U1154" i="1"/>
  <c r="T1154" i="1"/>
  <c r="U1153" i="1"/>
  <c r="T1153" i="1"/>
  <c r="U1152" i="1"/>
  <c r="U1151" i="1"/>
  <c r="T1151" i="1"/>
  <c r="U1150" i="1"/>
  <c r="T1150" i="1"/>
  <c r="U1149" i="1"/>
  <c r="T1149" i="1"/>
  <c r="U1148" i="1"/>
  <c r="T1148" i="1"/>
  <c r="U1147" i="1"/>
  <c r="T1147" i="1"/>
  <c r="U1146" i="1"/>
  <c r="U1145" i="1"/>
  <c r="T1145" i="1"/>
  <c r="U1144" i="1"/>
  <c r="U1143" i="1"/>
  <c r="T1143" i="1"/>
  <c r="U1142" i="1"/>
  <c r="T1142" i="1"/>
  <c r="U1141" i="1"/>
  <c r="T1141" i="1"/>
  <c r="U1140" i="1"/>
  <c r="T1140" i="1"/>
  <c r="U1139" i="1"/>
  <c r="T1139" i="1"/>
  <c r="U1138" i="1"/>
  <c r="T1138" i="1"/>
  <c r="U1137" i="1"/>
  <c r="T1137" i="1"/>
  <c r="U1136" i="1"/>
  <c r="T1136" i="1"/>
  <c r="U1135" i="1"/>
  <c r="U1134" i="1"/>
  <c r="T1134" i="1"/>
  <c r="U1133" i="1"/>
  <c r="T1133" i="1"/>
  <c r="U1132" i="1"/>
  <c r="T1132" i="1"/>
  <c r="U1131" i="1"/>
  <c r="T1131" i="1"/>
  <c r="U1130" i="1"/>
  <c r="T1130" i="1"/>
  <c r="U1129" i="1"/>
  <c r="T1129" i="1"/>
  <c r="U1128" i="1"/>
  <c r="T1128" i="1"/>
  <c r="U1127" i="1"/>
  <c r="T1127" i="1"/>
  <c r="U1126" i="1"/>
  <c r="T1126" i="1"/>
  <c r="U1125" i="1"/>
  <c r="T1125" i="1"/>
  <c r="U1124" i="1"/>
  <c r="T1124" i="1"/>
  <c r="U1123" i="1"/>
  <c r="T1123" i="1"/>
  <c r="U1122" i="1"/>
  <c r="T1122" i="1"/>
  <c r="U1121" i="1"/>
  <c r="T1121" i="1"/>
  <c r="U1120" i="1"/>
  <c r="T1120" i="1"/>
  <c r="U1119" i="1"/>
  <c r="T1119" i="1"/>
  <c r="U1118" i="1"/>
  <c r="T1118" i="1"/>
  <c r="U1117" i="1"/>
  <c r="T1117" i="1"/>
  <c r="U1116" i="1"/>
  <c r="U1115" i="1"/>
  <c r="T1115" i="1"/>
  <c r="U1114" i="1"/>
  <c r="T1114" i="1"/>
  <c r="U1113" i="1"/>
  <c r="T1113" i="1"/>
  <c r="U1112" i="1"/>
  <c r="T1112" i="1"/>
  <c r="U1111" i="1"/>
  <c r="T1111" i="1"/>
  <c r="U1110" i="1"/>
  <c r="T1110" i="1"/>
  <c r="U1109" i="1"/>
  <c r="T1109" i="1"/>
  <c r="U1108" i="1"/>
  <c r="T1108" i="1"/>
  <c r="U1107" i="1"/>
  <c r="T1107" i="1"/>
  <c r="U1106" i="1"/>
  <c r="T1106" i="1"/>
  <c r="U1105" i="1"/>
  <c r="T1105" i="1"/>
  <c r="U1104" i="1"/>
  <c r="T1104" i="1"/>
  <c r="U1103" i="1"/>
  <c r="T1103" i="1"/>
  <c r="U1102" i="1"/>
  <c r="T1102" i="1"/>
  <c r="U1101" i="1"/>
  <c r="T1101" i="1"/>
  <c r="U1100" i="1"/>
  <c r="T1100" i="1"/>
  <c r="U1099" i="1"/>
  <c r="T1099" i="1"/>
  <c r="U1098" i="1"/>
  <c r="T1098" i="1"/>
  <c r="U1097" i="1"/>
  <c r="T1097" i="1"/>
  <c r="U1096" i="1"/>
  <c r="T1096" i="1"/>
  <c r="U1095" i="1"/>
  <c r="T1095" i="1"/>
  <c r="U1094" i="1"/>
  <c r="U1093" i="1"/>
  <c r="U1092" i="1"/>
  <c r="U1091" i="1"/>
  <c r="U1090" i="1"/>
  <c r="U1089" i="1"/>
  <c r="U1088" i="1"/>
  <c r="U1087" i="1"/>
  <c r="U1086" i="1"/>
  <c r="U1085" i="1"/>
  <c r="U1084" i="1"/>
  <c r="U1083" i="1"/>
  <c r="T1083" i="1"/>
  <c r="U1082" i="1"/>
  <c r="T1082" i="1"/>
  <c r="U1081" i="1"/>
  <c r="T1081" i="1"/>
  <c r="U1080" i="1"/>
  <c r="T1080" i="1"/>
  <c r="U1079" i="1"/>
  <c r="T1079" i="1"/>
  <c r="U1078" i="1"/>
  <c r="T1078" i="1"/>
  <c r="U1077" i="1"/>
  <c r="T1077" i="1"/>
  <c r="U1076" i="1"/>
  <c r="T1076" i="1"/>
  <c r="U1075" i="1"/>
  <c r="T1075" i="1"/>
  <c r="U1074" i="1"/>
  <c r="T1074" i="1"/>
  <c r="U1073" i="1"/>
  <c r="T1073" i="1"/>
  <c r="U1072" i="1"/>
  <c r="T1072" i="1"/>
  <c r="U1071" i="1"/>
  <c r="T1071" i="1"/>
  <c r="U1070" i="1"/>
  <c r="T1070" i="1"/>
  <c r="U1069" i="1"/>
  <c r="T1069" i="1"/>
  <c r="U1068" i="1"/>
  <c r="T1068" i="1"/>
  <c r="U1067" i="1"/>
  <c r="T1067" i="1"/>
  <c r="U1066" i="1"/>
  <c r="T1066" i="1"/>
  <c r="U1065" i="1"/>
  <c r="T1065" i="1"/>
  <c r="U1064" i="1"/>
  <c r="T1064" i="1"/>
  <c r="U1063" i="1"/>
  <c r="T1063" i="1"/>
  <c r="U1062" i="1"/>
  <c r="T1062" i="1"/>
  <c r="U1061" i="1"/>
  <c r="T1061" i="1"/>
  <c r="U1060" i="1"/>
  <c r="T1060" i="1"/>
  <c r="U1059" i="1"/>
  <c r="T1059" i="1"/>
  <c r="U1058" i="1"/>
  <c r="T1058" i="1"/>
  <c r="U1057" i="1"/>
  <c r="T1057" i="1"/>
  <c r="U1056" i="1"/>
  <c r="T1056" i="1"/>
  <c r="U1055" i="1"/>
  <c r="T1055" i="1"/>
  <c r="U1054" i="1"/>
  <c r="T1054" i="1"/>
  <c r="U1053" i="1"/>
  <c r="T1053" i="1"/>
  <c r="U1052" i="1"/>
  <c r="T1052" i="1"/>
  <c r="U1051" i="1"/>
  <c r="T1051" i="1"/>
  <c r="U1050" i="1"/>
  <c r="T1050" i="1"/>
  <c r="U1049" i="1"/>
  <c r="T1049" i="1"/>
  <c r="U1048" i="1"/>
  <c r="T1048" i="1"/>
  <c r="U1047" i="1"/>
  <c r="T1047" i="1"/>
  <c r="U1046" i="1"/>
  <c r="T1046" i="1"/>
  <c r="U1045" i="1"/>
  <c r="T1045" i="1"/>
  <c r="U1044" i="1"/>
  <c r="T1044" i="1"/>
  <c r="U1043" i="1"/>
  <c r="T1043" i="1"/>
  <c r="U1042" i="1"/>
  <c r="T1042" i="1"/>
  <c r="U1041" i="1"/>
  <c r="T1041" i="1"/>
  <c r="U1040" i="1"/>
  <c r="T1040" i="1"/>
  <c r="U1039" i="1"/>
  <c r="T1039" i="1"/>
  <c r="U1038" i="1"/>
  <c r="T1038" i="1"/>
  <c r="U1037" i="1"/>
  <c r="T1037" i="1"/>
  <c r="U1036" i="1"/>
  <c r="T1036" i="1"/>
  <c r="U1035" i="1"/>
  <c r="T1035" i="1"/>
  <c r="U1034" i="1"/>
  <c r="T1034" i="1"/>
  <c r="U1033" i="1"/>
  <c r="T1033" i="1"/>
  <c r="U1032" i="1"/>
  <c r="T1032" i="1"/>
  <c r="U1031" i="1"/>
  <c r="T1031" i="1"/>
  <c r="U1030" i="1"/>
  <c r="T1030" i="1"/>
  <c r="U1029" i="1"/>
  <c r="T1029" i="1"/>
  <c r="U1028" i="1"/>
  <c r="T1028" i="1"/>
  <c r="U1027" i="1"/>
  <c r="T1027" i="1"/>
  <c r="U1026" i="1"/>
  <c r="T1026" i="1"/>
  <c r="U1025" i="1"/>
  <c r="T1025" i="1"/>
  <c r="U1024" i="1"/>
  <c r="T1024" i="1"/>
  <c r="U1023" i="1"/>
  <c r="T1023" i="1"/>
  <c r="U1022" i="1"/>
  <c r="T1022" i="1"/>
  <c r="U1021" i="1"/>
  <c r="T1021" i="1"/>
  <c r="U1020" i="1"/>
  <c r="T1020" i="1"/>
  <c r="U1019" i="1"/>
  <c r="T1019" i="1"/>
  <c r="U1018" i="1"/>
  <c r="T1018" i="1"/>
  <c r="U1017" i="1"/>
  <c r="T1017" i="1"/>
  <c r="U1016" i="1"/>
  <c r="T1016" i="1"/>
  <c r="U1015" i="1"/>
  <c r="T1015" i="1"/>
  <c r="U1014" i="1"/>
  <c r="T1014" i="1"/>
  <c r="U1013" i="1"/>
  <c r="T1013" i="1"/>
  <c r="U1012" i="1"/>
  <c r="T1012" i="1"/>
  <c r="U1011" i="1"/>
  <c r="T1011" i="1"/>
  <c r="U1010" i="1"/>
  <c r="T1010" i="1"/>
  <c r="U1009" i="1"/>
  <c r="T1009" i="1"/>
  <c r="U1008" i="1"/>
  <c r="T1008" i="1"/>
  <c r="U1007" i="1"/>
  <c r="T1007" i="1"/>
  <c r="U1006" i="1"/>
  <c r="T1006" i="1"/>
  <c r="U1005" i="1"/>
  <c r="T1005" i="1"/>
  <c r="U1004" i="1"/>
  <c r="T1004" i="1"/>
  <c r="U1003" i="1"/>
  <c r="T1003" i="1"/>
  <c r="U1002" i="1"/>
  <c r="T1002" i="1"/>
  <c r="U1001" i="1"/>
  <c r="T1001" i="1"/>
  <c r="U1000" i="1"/>
  <c r="T1000" i="1"/>
  <c r="U999" i="1"/>
  <c r="T999" i="1"/>
  <c r="U998" i="1"/>
  <c r="T998" i="1"/>
  <c r="U997" i="1"/>
  <c r="T997" i="1"/>
  <c r="U996" i="1"/>
  <c r="T996" i="1"/>
  <c r="U995" i="1"/>
  <c r="T995" i="1"/>
  <c r="U994" i="1"/>
  <c r="T994" i="1"/>
  <c r="U993" i="1"/>
  <c r="T993" i="1"/>
  <c r="U992" i="1"/>
  <c r="T992" i="1"/>
  <c r="U991" i="1"/>
  <c r="T991" i="1"/>
  <c r="U990" i="1"/>
  <c r="T990" i="1"/>
  <c r="U989" i="1"/>
  <c r="T989" i="1"/>
  <c r="U988" i="1"/>
  <c r="T988" i="1"/>
  <c r="U987" i="1"/>
  <c r="T987" i="1"/>
  <c r="U986" i="1"/>
  <c r="T986" i="1"/>
  <c r="U985" i="1"/>
  <c r="T985" i="1"/>
  <c r="U984" i="1"/>
  <c r="T984" i="1"/>
  <c r="U983" i="1"/>
  <c r="T983" i="1"/>
  <c r="U982" i="1"/>
  <c r="T982" i="1"/>
  <c r="U981" i="1"/>
  <c r="T981" i="1"/>
  <c r="U980" i="1"/>
  <c r="T980" i="1"/>
  <c r="U979" i="1"/>
  <c r="T979" i="1"/>
  <c r="U978" i="1"/>
  <c r="T978" i="1"/>
  <c r="U977" i="1"/>
  <c r="T977" i="1"/>
  <c r="U976" i="1"/>
  <c r="T976" i="1"/>
  <c r="U975" i="1"/>
  <c r="T975" i="1"/>
  <c r="U974" i="1"/>
  <c r="T974" i="1"/>
  <c r="U973" i="1"/>
  <c r="T973" i="1"/>
  <c r="U972" i="1"/>
  <c r="T972" i="1"/>
  <c r="U971" i="1"/>
  <c r="T971" i="1"/>
  <c r="U970" i="1"/>
  <c r="T970" i="1"/>
  <c r="U969" i="1"/>
  <c r="T969" i="1"/>
  <c r="U968" i="1"/>
  <c r="T968" i="1"/>
  <c r="U967" i="1"/>
  <c r="T967" i="1"/>
  <c r="U966" i="1"/>
  <c r="U965" i="1"/>
  <c r="T965" i="1"/>
  <c r="U964" i="1"/>
  <c r="T964" i="1"/>
  <c r="U963" i="1"/>
  <c r="T963" i="1"/>
  <c r="U962" i="1"/>
  <c r="T962" i="1"/>
  <c r="U961" i="1"/>
  <c r="T961" i="1"/>
  <c r="U960" i="1"/>
  <c r="T960" i="1"/>
  <c r="U959" i="1"/>
  <c r="T959" i="1"/>
  <c r="U958" i="1"/>
  <c r="T958" i="1"/>
  <c r="U957" i="1"/>
  <c r="T957" i="1"/>
  <c r="U956" i="1"/>
  <c r="T956" i="1"/>
  <c r="U955" i="1"/>
  <c r="T955" i="1"/>
  <c r="U954" i="1"/>
  <c r="T954" i="1"/>
  <c r="U953" i="1"/>
  <c r="T953" i="1"/>
  <c r="U952" i="1"/>
  <c r="T952" i="1"/>
  <c r="U951" i="1"/>
  <c r="T951" i="1"/>
  <c r="U950" i="1"/>
  <c r="T950" i="1"/>
  <c r="U949" i="1"/>
  <c r="T949" i="1"/>
  <c r="U948" i="1"/>
  <c r="T948" i="1"/>
  <c r="U947" i="1"/>
  <c r="T947" i="1"/>
  <c r="U946" i="1"/>
  <c r="T946" i="1"/>
  <c r="U945" i="1"/>
  <c r="T945" i="1"/>
  <c r="U944" i="1"/>
  <c r="T944" i="1"/>
  <c r="U943" i="1"/>
  <c r="T943" i="1"/>
  <c r="U942" i="1"/>
  <c r="T942" i="1"/>
  <c r="U941" i="1"/>
  <c r="T941" i="1"/>
  <c r="U940" i="1"/>
  <c r="T940" i="1"/>
  <c r="U939" i="1"/>
  <c r="T939" i="1"/>
  <c r="U938" i="1"/>
  <c r="T938" i="1"/>
  <c r="U937" i="1"/>
  <c r="T937" i="1"/>
  <c r="U936" i="1"/>
  <c r="T936" i="1"/>
  <c r="U935" i="1"/>
  <c r="T935" i="1"/>
  <c r="U934" i="1"/>
  <c r="T934" i="1"/>
  <c r="U933" i="1"/>
  <c r="T933" i="1"/>
  <c r="U932" i="1"/>
  <c r="T932" i="1"/>
  <c r="U931" i="1"/>
  <c r="T931" i="1"/>
  <c r="U930" i="1"/>
  <c r="T930" i="1"/>
  <c r="U929" i="1"/>
  <c r="T929" i="1"/>
  <c r="U928" i="1"/>
  <c r="T928" i="1"/>
  <c r="U927" i="1"/>
  <c r="T927" i="1"/>
  <c r="U926" i="1"/>
  <c r="T926" i="1"/>
  <c r="U925" i="1"/>
  <c r="T925" i="1"/>
  <c r="U924" i="1"/>
  <c r="T924" i="1"/>
  <c r="U923" i="1"/>
  <c r="T923" i="1"/>
  <c r="U922" i="1"/>
  <c r="T922" i="1"/>
  <c r="U921" i="1"/>
  <c r="T921" i="1"/>
  <c r="U920" i="1"/>
  <c r="T920" i="1"/>
  <c r="U919" i="1"/>
  <c r="T919" i="1"/>
  <c r="U918" i="1"/>
  <c r="T918" i="1"/>
  <c r="U917" i="1"/>
  <c r="T917" i="1"/>
  <c r="U916" i="1"/>
  <c r="T916" i="1"/>
  <c r="U915" i="1"/>
  <c r="T915" i="1"/>
  <c r="U914" i="1"/>
  <c r="T914" i="1"/>
  <c r="U913" i="1"/>
  <c r="T913" i="1"/>
  <c r="U912" i="1"/>
  <c r="T912" i="1"/>
  <c r="U911" i="1"/>
  <c r="T911" i="1"/>
  <c r="U910" i="1"/>
  <c r="T910" i="1"/>
  <c r="U909" i="1"/>
  <c r="T909" i="1"/>
  <c r="U908" i="1"/>
  <c r="T908" i="1"/>
  <c r="U907" i="1"/>
  <c r="T907" i="1"/>
  <c r="U906" i="1"/>
  <c r="T906" i="1"/>
  <c r="U905" i="1"/>
  <c r="T905" i="1"/>
  <c r="U904" i="1"/>
  <c r="T904" i="1"/>
  <c r="U903" i="1"/>
  <c r="T903" i="1"/>
  <c r="U902" i="1"/>
  <c r="T902" i="1"/>
  <c r="U901" i="1"/>
  <c r="T901" i="1"/>
  <c r="U900" i="1"/>
  <c r="T900" i="1"/>
  <c r="U899" i="1"/>
  <c r="T899" i="1"/>
  <c r="U898" i="1"/>
  <c r="T898" i="1"/>
  <c r="U897" i="1"/>
  <c r="T897" i="1"/>
  <c r="U896" i="1"/>
  <c r="T896" i="1"/>
  <c r="U895" i="1"/>
  <c r="T895" i="1"/>
  <c r="U894" i="1"/>
  <c r="T894" i="1"/>
  <c r="U893" i="1"/>
  <c r="T893" i="1"/>
  <c r="U892" i="1"/>
  <c r="T892" i="1"/>
  <c r="U891" i="1"/>
  <c r="T891" i="1"/>
  <c r="U890" i="1"/>
  <c r="T890" i="1"/>
  <c r="U889" i="1"/>
  <c r="T889" i="1"/>
  <c r="U888" i="1"/>
  <c r="T888" i="1"/>
  <c r="U887" i="1"/>
  <c r="T887" i="1"/>
  <c r="U886" i="1"/>
  <c r="T886" i="1"/>
  <c r="U885" i="1"/>
  <c r="T885" i="1"/>
  <c r="U884" i="1"/>
  <c r="T884" i="1"/>
  <c r="U883" i="1"/>
  <c r="T883" i="1"/>
  <c r="U882" i="1"/>
  <c r="T882" i="1"/>
  <c r="U881" i="1"/>
  <c r="T881" i="1"/>
  <c r="U880" i="1"/>
  <c r="T880" i="1"/>
  <c r="U879" i="1"/>
  <c r="T879" i="1"/>
  <c r="U878" i="1"/>
  <c r="T878" i="1"/>
  <c r="U877" i="1"/>
  <c r="T877" i="1"/>
  <c r="U876" i="1"/>
  <c r="T876" i="1"/>
  <c r="U875" i="1"/>
  <c r="T875" i="1"/>
  <c r="U874" i="1"/>
  <c r="T874" i="1"/>
  <c r="U873" i="1"/>
  <c r="T873" i="1"/>
  <c r="U872" i="1"/>
  <c r="T872" i="1"/>
  <c r="U871" i="1"/>
  <c r="T871" i="1"/>
  <c r="U870" i="1"/>
  <c r="T870" i="1"/>
  <c r="U869" i="1"/>
  <c r="T869" i="1"/>
  <c r="U868" i="1"/>
  <c r="T868" i="1"/>
  <c r="U867" i="1"/>
  <c r="T867" i="1"/>
  <c r="U866" i="1"/>
  <c r="T866" i="1"/>
  <c r="U865" i="1"/>
  <c r="T865" i="1"/>
  <c r="U864" i="1"/>
  <c r="T864" i="1"/>
  <c r="U863" i="1"/>
  <c r="T863" i="1"/>
  <c r="U862" i="1"/>
  <c r="T862" i="1"/>
  <c r="U861" i="1"/>
  <c r="T861" i="1"/>
  <c r="U860" i="1"/>
  <c r="T860" i="1"/>
  <c r="U859" i="1"/>
  <c r="T859" i="1"/>
  <c r="U858" i="1"/>
  <c r="T858" i="1"/>
  <c r="U857" i="1"/>
  <c r="T857" i="1"/>
  <c r="U856" i="1"/>
  <c r="T856" i="1"/>
  <c r="U855" i="1"/>
  <c r="T855" i="1"/>
  <c r="U854" i="1"/>
  <c r="T854" i="1"/>
  <c r="U853" i="1"/>
  <c r="T853" i="1"/>
  <c r="U852" i="1"/>
  <c r="T852" i="1"/>
  <c r="U851" i="1"/>
  <c r="T851" i="1"/>
  <c r="U850" i="1"/>
  <c r="T850" i="1"/>
  <c r="U849" i="1"/>
  <c r="T849" i="1"/>
  <c r="U848" i="1"/>
  <c r="T848" i="1"/>
  <c r="U847" i="1"/>
  <c r="T847" i="1"/>
  <c r="U846" i="1"/>
  <c r="T846" i="1"/>
  <c r="U845" i="1"/>
  <c r="T845" i="1"/>
  <c r="U844" i="1"/>
  <c r="T844" i="1"/>
  <c r="U843" i="1"/>
  <c r="T843" i="1"/>
  <c r="U842" i="1"/>
  <c r="T842" i="1"/>
  <c r="U841" i="1"/>
  <c r="T841" i="1"/>
  <c r="U840" i="1"/>
  <c r="T840" i="1"/>
  <c r="U839" i="1"/>
  <c r="T839" i="1"/>
  <c r="U838" i="1"/>
  <c r="T838" i="1"/>
  <c r="U837" i="1"/>
  <c r="T837" i="1"/>
  <c r="U836" i="1"/>
  <c r="T836" i="1"/>
  <c r="U835" i="1"/>
  <c r="T835" i="1"/>
  <c r="U834" i="1"/>
  <c r="T834" i="1"/>
  <c r="U833" i="1"/>
  <c r="T833" i="1"/>
  <c r="U832" i="1"/>
  <c r="T832" i="1"/>
  <c r="U831" i="1"/>
  <c r="T831" i="1"/>
  <c r="U830" i="1"/>
  <c r="T830" i="1"/>
  <c r="U829" i="1"/>
  <c r="T829" i="1"/>
  <c r="U828" i="1"/>
  <c r="T828" i="1"/>
  <c r="U827" i="1"/>
  <c r="T827" i="1"/>
  <c r="U826" i="1"/>
  <c r="T826" i="1"/>
  <c r="U825" i="1"/>
  <c r="T825" i="1"/>
  <c r="U824" i="1"/>
  <c r="T824" i="1"/>
  <c r="U823" i="1"/>
  <c r="T823" i="1"/>
  <c r="U822" i="1"/>
  <c r="T822" i="1"/>
  <c r="U821" i="1"/>
  <c r="T821" i="1"/>
  <c r="U820" i="1"/>
  <c r="T820" i="1"/>
  <c r="U819" i="1"/>
  <c r="T819" i="1"/>
  <c r="U818" i="1"/>
  <c r="T818" i="1"/>
  <c r="U817" i="1"/>
  <c r="T817" i="1"/>
  <c r="U816" i="1"/>
  <c r="T816" i="1"/>
  <c r="U815" i="1"/>
  <c r="T815" i="1"/>
  <c r="U814" i="1"/>
  <c r="T814" i="1"/>
  <c r="U813" i="1"/>
  <c r="T813" i="1"/>
  <c r="U812" i="1"/>
  <c r="T812" i="1"/>
  <c r="U811" i="1"/>
  <c r="T811" i="1"/>
  <c r="U810" i="1"/>
  <c r="T810" i="1"/>
  <c r="U809" i="1"/>
  <c r="T809" i="1"/>
  <c r="U808" i="1"/>
  <c r="T808" i="1"/>
  <c r="U807" i="1"/>
  <c r="T807" i="1"/>
  <c r="U806" i="1"/>
  <c r="T806" i="1"/>
  <c r="U805" i="1"/>
  <c r="T805" i="1"/>
  <c r="U804" i="1"/>
  <c r="T804" i="1"/>
  <c r="U803" i="1"/>
  <c r="T803" i="1"/>
  <c r="U802" i="1"/>
  <c r="T802" i="1"/>
  <c r="U801" i="1"/>
  <c r="T801" i="1"/>
  <c r="U800" i="1"/>
  <c r="T800" i="1"/>
  <c r="U799" i="1"/>
  <c r="T799" i="1"/>
  <c r="U798" i="1"/>
  <c r="T798" i="1"/>
  <c r="U797" i="1"/>
  <c r="T797" i="1"/>
  <c r="U796" i="1"/>
  <c r="T796" i="1"/>
  <c r="U795" i="1"/>
  <c r="T795" i="1"/>
  <c r="U794" i="1"/>
  <c r="T794" i="1"/>
  <c r="U793" i="1"/>
  <c r="T793" i="1"/>
  <c r="U792" i="1"/>
  <c r="T792" i="1"/>
  <c r="U791" i="1"/>
  <c r="T791" i="1"/>
  <c r="U790" i="1"/>
  <c r="T790" i="1"/>
  <c r="U789" i="1"/>
  <c r="T789" i="1"/>
  <c r="U788" i="1"/>
  <c r="T788" i="1"/>
  <c r="U787" i="1"/>
  <c r="T787" i="1"/>
  <c r="U786" i="1"/>
  <c r="T786" i="1"/>
  <c r="U785" i="1"/>
  <c r="T785" i="1"/>
  <c r="U784" i="1"/>
  <c r="T784" i="1"/>
  <c r="U783" i="1"/>
  <c r="T783" i="1"/>
  <c r="U782" i="1"/>
  <c r="T782" i="1"/>
  <c r="U781" i="1"/>
  <c r="T781" i="1"/>
  <c r="U780" i="1"/>
  <c r="T780" i="1"/>
  <c r="U779" i="1"/>
  <c r="T779" i="1"/>
  <c r="U778" i="1"/>
  <c r="T778" i="1"/>
  <c r="U777" i="1"/>
  <c r="T777" i="1"/>
  <c r="U776" i="1"/>
  <c r="T776" i="1"/>
  <c r="U775" i="1"/>
  <c r="T775" i="1"/>
  <c r="U774" i="1"/>
  <c r="T774" i="1"/>
  <c r="U773" i="1"/>
  <c r="T773" i="1"/>
  <c r="U772" i="1"/>
  <c r="T772" i="1"/>
  <c r="U771" i="1"/>
  <c r="T771" i="1"/>
  <c r="U770" i="1"/>
  <c r="U769" i="1"/>
  <c r="U768" i="1"/>
  <c r="U767" i="1"/>
  <c r="U766" i="1"/>
  <c r="U765" i="1"/>
  <c r="U764" i="1"/>
  <c r="U763" i="1"/>
  <c r="U762" i="1"/>
  <c r="U761" i="1"/>
  <c r="U760" i="1"/>
  <c r="U759" i="1"/>
  <c r="U758" i="1"/>
  <c r="U757" i="1"/>
  <c r="U756" i="1"/>
  <c r="U755" i="1"/>
  <c r="T755" i="1"/>
  <c r="U754" i="1"/>
  <c r="T754" i="1"/>
  <c r="U753" i="1"/>
  <c r="T753" i="1"/>
  <c r="U752" i="1"/>
  <c r="T752" i="1"/>
  <c r="U751" i="1"/>
  <c r="T751" i="1"/>
  <c r="U750" i="1"/>
  <c r="T750" i="1"/>
  <c r="U749" i="1"/>
  <c r="T749" i="1"/>
  <c r="U748" i="1"/>
  <c r="T748" i="1"/>
  <c r="U747" i="1"/>
  <c r="T747" i="1"/>
  <c r="U746" i="1"/>
  <c r="T746" i="1"/>
  <c r="U745" i="1"/>
  <c r="T745" i="1"/>
  <c r="U744" i="1"/>
  <c r="T744" i="1"/>
  <c r="U743" i="1"/>
  <c r="T743" i="1"/>
  <c r="U742" i="1"/>
  <c r="T742" i="1"/>
  <c r="U741" i="1"/>
  <c r="T741" i="1"/>
  <c r="U740" i="1"/>
  <c r="T740" i="1"/>
  <c r="U739" i="1"/>
  <c r="T739" i="1"/>
  <c r="U738" i="1"/>
  <c r="T738" i="1"/>
  <c r="U737" i="1"/>
  <c r="T737" i="1"/>
  <c r="U736" i="1"/>
  <c r="T736" i="1"/>
  <c r="U735" i="1"/>
  <c r="T735" i="1"/>
  <c r="U734" i="1"/>
  <c r="T734" i="1"/>
  <c r="U733" i="1"/>
  <c r="T733" i="1"/>
  <c r="U732" i="1"/>
  <c r="T732" i="1"/>
  <c r="U731" i="1"/>
  <c r="T731" i="1"/>
  <c r="U730" i="1"/>
  <c r="T730" i="1"/>
  <c r="U729" i="1"/>
  <c r="T729" i="1"/>
  <c r="U728" i="1"/>
  <c r="T728" i="1"/>
  <c r="U727" i="1"/>
  <c r="T727" i="1"/>
  <c r="U726" i="1"/>
  <c r="T726" i="1"/>
  <c r="U725" i="1"/>
  <c r="T725" i="1"/>
  <c r="U724" i="1"/>
  <c r="T724" i="1"/>
  <c r="U723" i="1"/>
  <c r="T723" i="1"/>
  <c r="U722" i="1"/>
  <c r="T722" i="1"/>
  <c r="U721" i="1"/>
  <c r="T721" i="1"/>
  <c r="U720" i="1"/>
  <c r="T720" i="1"/>
  <c r="U719" i="1"/>
  <c r="T719" i="1"/>
  <c r="U718" i="1"/>
  <c r="T718" i="1"/>
  <c r="U717" i="1"/>
  <c r="T717" i="1"/>
  <c r="U716" i="1"/>
  <c r="T716" i="1"/>
  <c r="U715" i="1"/>
  <c r="T715" i="1"/>
  <c r="U714" i="1"/>
  <c r="T714" i="1"/>
  <c r="U713" i="1"/>
  <c r="T713" i="1"/>
  <c r="U712" i="1"/>
  <c r="T712" i="1"/>
  <c r="U711" i="1"/>
  <c r="T711" i="1"/>
  <c r="U710" i="1"/>
  <c r="T710" i="1"/>
  <c r="U709" i="1"/>
  <c r="T709" i="1"/>
  <c r="U708" i="1"/>
  <c r="T708" i="1"/>
  <c r="U707" i="1"/>
  <c r="T707" i="1"/>
  <c r="U706" i="1"/>
  <c r="T706" i="1"/>
  <c r="U705" i="1"/>
  <c r="T705" i="1"/>
  <c r="U704" i="1"/>
  <c r="T704" i="1"/>
  <c r="U703" i="1"/>
  <c r="T703" i="1"/>
  <c r="U702" i="1"/>
  <c r="T702" i="1"/>
  <c r="U701" i="1"/>
  <c r="T701" i="1"/>
  <c r="U700" i="1"/>
  <c r="T700" i="1"/>
  <c r="U699" i="1"/>
  <c r="T699" i="1"/>
  <c r="U698" i="1"/>
  <c r="T698" i="1"/>
  <c r="U697" i="1"/>
  <c r="T697" i="1"/>
  <c r="U696" i="1"/>
  <c r="T696" i="1"/>
  <c r="U695" i="1"/>
  <c r="T695" i="1"/>
  <c r="U694" i="1"/>
  <c r="T694" i="1"/>
  <c r="U693" i="1"/>
  <c r="T693" i="1"/>
  <c r="U692" i="1"/>
  <c r="T692" i="1"/>
  <c r="U691" i="1"/>
  <c r="T691" i="1"/>
  <c r="U690" i="1"/>
  <c r="T690" i="1"/>
  <c r="U689" i="1"/>
  <c r="T689" i="1"/>
  <c r="U688" i="1"/>
  <c r="T688" i="1"/>
  <c r="U687" i="1"/>
  <c r="T687" i="1"/>
  <c r="U686" i="1"/>
  <c r="T686" i="1"/>
  <c r="U685" i="1"/>
  <c r="T685" i="1"/>
  <c r="U684" i="1"/>
  <c r="T684" i="1"/>
  <c r="U683" i="1"/>
  <c r="T683" i="1"/>
  <c r="U682" i="1"/>
  <c r="T682" i="1"/>
  <c r="U681" i="1"/>
  <c r="U680" i="1"/>
  <c r="T680" i="1"/>
  <c r="U679" i="1"/>
  <c r="T679" i="1"/>
  <c r="U678" i="1"/>
  <c r="T678" i="1"/>
  <c r="U677" i="1"/>
  <c r="T677" i="1"/>
  <c r="U676" i="1"/>
  <c r="T676" i="1"/>
  <c r="U675" i="1"/>
  <c r="T675" i="1"/>
  <c r="U674" i="1"/>
  <c r="U673" i="1"/>
  <c r="U672" i="1"/>
  <c r="U671" i="1"/>
  <c r="U670" i="1"/>
  <c r="U669" i="1"/>
  <c r="T669" i="1"/>
  <c r="U668" i="1"/>
  <c r="U667" i="1"/>
  <c r="T667" i="1"/>
  <c r="U666" i="1"/>
  <c r="T666" i="1"/>
  <c r="U665" i="1"/>
  <c r="T665" i="1"/>
  <c r="U664" i="1"/>
  <c r="T664" i="1"/>
  <c r="U663" i="1"/>
  <c r="T663" i="1"/>
  <c r="U662" i="1"/>
  <c r="T662" i="1"/>
  <c r="U661" i="1"/>
  <c r="T661" i="1"/>
  <c r="U660" i="1"/>
  <c r="T660" i="1"/>
  <c r="U659" i="1"/>
  <c r="T659" i="1"/>
  <c r="U658" i="1"/>
  <c r="T658" i="1"/>
  <c r="U657" i="1"/>
  <c r="T657" i="1"/>
  <c r="U656" i="1"/>
  <c r="T656" i="1"/>
  <c r="U655" i="1"/>
  <c r="T655" i="1"/>
  <c r="U654" i="1"/>
  <c r="T654" i="1"/>
  <c r="U653" i="1"/>
  <c r="T653" i="1"/>
  <c r="U652" i="1"/>
  <c r="T652" i="1"/>
  <c r="U651" i="1"/>
  <c r="T651" i="1"/>
  <c r="U650" i="1"/>
  <c r="T650" i="1"/>
  <c r="U649" i="1"/>
  <c r="T649" i="1"/>
  <c r="U648" i="1"/>
  <c r="T648" i="1"/>
  <c r="U647" i="1"/>
  <c r="T647" i="1"/>
  <c r="U646" i="1"/>
  <c r="T646" i="1"/>
  <c r="U645" i="1"/>
  <c r="T645" i="1"/>
  <c r="U644" i="1"/>
  <c r="T644" i="1"/>
  <c r="U643" i="1"/>
  <c r="T643" i="1"/>
  <c r="U642" i="1"/>
  <c r="T642" i="1"/>
  <c r="U641" i="1"/>
  <c r="T641" i="1"/>
  <c r="U640" i="1"/>
  <c r="T640" i="1"/>
  <c r="U639" i="1"/>
  <c r="T639" i="1"/>
  <c r="U638" i="1"/>
  <c r="T638" i="1"/>
  <c r="U637" i="1"/>
  <c r="T637" i="1"/>
  <c r="U636" i="1"/>
  <c r="T636" i="1"/>
  <c r="U635" i="1"/>
  <c r="T635" i="1"/>
  <c r="U634" i="1"/>
  <c r="T634" i="1"/>
  <c r="U633" i="1"/>
  <c r="T633" i="1"/>
  <c r="U632" i="1"/>
  <c r="T632" i="1"/>
  <c r="U631" i="1"/>
  <c r="T631" i="1"/>
  <c r="U630" i="1"/>
  <c r="T630" i="1"/>
  <c r="U629" i="1"/>
  <c r="T629" i="1"/>
  <c r="U628" i="1"/>
  <c r="T628" i="1"/>
  <c r="U627" i="1"/>
  <c r="T627" i="1"/>
  <c r="U626" i="1"/>
  <c r="T626" i="1"/>
  <c r="U625" i="1"/>
  <c r="U624" i="1"/>
  <c r="U623" i="1"/>
  <c r="T623" i="1"/>
  <c r="U622" i="1"/>
  <c r="T622" i="1"/>
  <c r="U621" i="1"/>
  <c r="U620" i="1"/>
  <c r="T620" i="1"/>
  <c r="U619" i="1"/>
  <c r="T619" i="1"/>
  <c r="U618" i="1"/>
  <c r="T618" i="1"/>
  <c r="U617" i="1"/>
  <c r="T617" i="1"/>
  <c r="U616" i="1"/>
  <c r="T616" i="1"/>
  <c r="U615" i="1"/>
  <c r="T615" i="1"/>
  <c r="U614" i="1"/>
  <c r="T614" i="1"/>
  <c r="U613" i="1"/>
  <c r="T613" i="1"/>
  <c r="U612" i="1"/>
  <c r="T612" i="1"/>
  <c r="U611" i="1"/>
  <c r="T611" i="1"/>
  <c r="U610" i="1"/>
  <c r="T610" i="1"/>
  <c r="U609" i="1"/>
  <c r="T609" i="1"/>
  <c r="U608" i="1"/>
  <c r="T608" i="1"/>
  <c r="U607" i="1"/>
  <c r="T607" i="1"/>
  <c r="U606" i="1"/>
  <c r="T606" i="1"/>
  <c r="U605" i="1"/>
  <c r="T605" i="1"/>
  <c r="U604" i="1"/>
  <c r="T604" i="1"/>
  <c r="U603" i="1"/>
  <c r="T603" i="1"/>
  <c r="U602" i="1"/>
  <c r="T602" i="1"/>
  <c r="U601" i="1"/>
  <c r="T601" i="1"/>
  <c r="U600" i="1"/>
  <c r="T600" i="1"/>
  <c r="U599" i="1"/>
  <c r="T599" i="1"/>
  <c r="U598" i="1"/>
  <c r="T598" i="1"/>
  <c r="U597" i="1"/>
  <c r="T597" i="1"/>
  <c r="U596" i="1"/>
  <c r="T596" i="1"/>
  <c r="U595" i="1"/>
  <c r="T595" i="1"/>
  <c r="U594" i="1"/>
  <c r="T594" i="1"/>
  <c r="U593" i="1"/>
  <c r="T593" i="1"/>
  <c r="U592" i="1"/>
  <c r="T592" i="1"/>
  <c r="U591" i="1"/>
  <c r="T591" i="1"/>
  <c r="U590" i="1"/>
  <c r="T590" i="1"/>
  <c r="U589" i="1"/>
  <c r="T589" i="1"/>
  <c r="U588" i="1"/>
  <c r="T588" i="1"/>
  <c r="U587" i="1"/>
  <c r="T587" i="1"/>
  <c r="U586" i="1"/>
  <c r="T586" i="1"/>
  <c r="U585" i="1"/>
  <c r="T585" i="1"/>
  <c r="U584" i="1"/>
  <c r="T584" i="1"/>
  <c r="U583" i="1"/>
  <c r="T583" i="1"/>
  <c r="U582" i="1"/>
  <c r="T582" i="1"/>
  <c r="U581" i="1"/>
  <c r="T581" i="1"/>
  <c r="U580" i="1"/>
  <c r="T580" i="1"/>
  <c r="U579" i="1"/>
  <c r="T579" i="1"/>
  <c r="U578" i="1"/>
  <c r="T578" i="1"/>
  <c r="U577" i="1"/>
  <c r="T577" i="1"/>
  <c r="U576" i="1"/>
  <c r="T576" i="1"/>
  <c r="U575" i="1"/>
  <c r="T575" i="1"/>
  <c r="U574" i="1"/>
  <c r="T574" i="1"/>
  <c r="U573" i="1"/>
  <c r="T573" i="1"/>
  <c r="U572" i="1"/>
  <c r="T572" i="1"/>
  <c r="U571" i="1"/>
  <c r="T571" i="1"/>
  <c r="U570" i="1"/>
  <c r="T570" i="1"/>
  <c r="U569" i="1"/>
  <c r="T569" i="1"/>
  <c r="U568" i="1"/>
  <c r="T568" i="1"/>
  <c r="U567" i="1"/>
  <c r="T567" i="1"/>
  <c r="U566" i="1"/>
  <c r="T566" i="1"/>
  <c r="U565" i="1"/>
  <c r="T565" i="1"/>
  <c r="U564" i="1"/>
  <c r="T564" i="1"/>
  <c r="U563" i="1"/>
  <c r="T563" i="1"/>
  <c r="U562" i="1"/>
  <c r="T562" i="1"/>
  <c r="U561" i="1"/>
  <c r="T561" i="1"/>
  <c r="U560" i="1"/>
  <c r="T560" i="1"/>
  <c r="U559" i="1"/>
  <c r="T559" i="1"/>
  <c r="U558" i="1"/>
  <c r="T558" i="1"/>
  <c r="U557" i="1"/>
  <c r="T557" i="1"/>
  <c r="U556" i="1"/>
  <c r="T556" i="1"/>
  <c r="U555" i="1"/>
  <c r="T555" i="1"/>
  <c r="U554" i="1"/>
  <c r="T554" i="1"/>
  <c r="U553" i="1"/>
  <c r="T553" i="1"/>
  <c r="U552" i="1"/>
  <c r="T552" i="1"/>
  <c r="U551" i="1"/>
  <c r="T551" i="1"/>
  <c r="U550" i="1"/>
  <c r="T550" i="1"/>
  <c r="U549" i="1"/>
  <c r="T549" i="1"/>
  <c r="U548" i="1"/>
  <c r="T548" i="1"/>
  <c r="U547" i="1"/>
  <c r="T547" i="1"/>
  <c r="U546" i="1"/>
  <c r="T546" i="1"/>
  <c r="U545" i="1"/>
  <c r="T545" i="1"/>
  <c r="U544" i="1"/>
  <c r="T544" i="1"/>
  <c r="U543" i="1"/>
  <c r="T543" i="1"/>
  <c r="U542" i="1"/>
  <c r="T542" i="1"/>
  <c r="U541" i="1"/>
  <c r="T541" i="1"/>
  <c r="U540" i="1"/>
  <c r="T540" i="1"/>
  <c r="U539" i="1"/>
  <c r="T539" i="1"/>
  <c r="U538" i="1"/>
  <c r="T538" i="1"/>
  <c r="U537" i="1"/>
  <c r="T537" i="1"/>
  <c r="U536" i="1"/>
  <c r="T536" i="1"/>
  <c r="U535" i="1"/>
  <c r="T535" i="1"/>
  <c r="U534" i="1"/>
  <c r="T534" i="1"/>
  <c r="U533" i="1"/>
  <c r="T533" i="1"/>
  <c r="U532" i="1"/>
  <c r="T532" i="1"/>
  <c r="U531" i="1"/>
  <c r="T531" i="1"/>
  <c r="U530" i="1"/>
  <c r="T530" i="1"/>
  <c r="U529" i="1"/>
  <c r="T529" i="1"/>
  <c r="U528" i="1"/>
  <c r="T528" i="1"/>
  <c r="U527" i="1"/>
  <c r="T527" i="1"/>
  <c r="U526" i="1"/>
  <c r="T526" i="1"/>
  <c r="U525" i="1"/>
  <c r="T525" i="1"/>
  <c r="U524" i="1"/>
  <c r="T524" i="1"/>
  <c r="U523" i="1"/>
  <c r="T523" i="1"/>
  <c r="U522" i="1"/>
  <c r="T522" i="1"/>
  <c r="U521" i="1"/>
  <c r="T521" i="1"/>
  <c r="U520" i="1"/>
  <c r="T520" i="1"/>
  <c r="U519" i="1"/>
  <c r="T519" i="1"/>
  <c r="U518" i="1"/>
  <c r="T518" i="1"/>
  <c r="U517" i="1"/>
  <c r="T517" i="1"/>
  <c r="U516" i="1"/>
  <c r="T516" i="1"/>
  <c r="U515" i="1"/>
  <c r="T515" i="1"/>
  <c r="U514" i="1"/>
  <c r="T514" i="1"/>
  <c r="U513" i="1"/>
  <c r="T513" i="1"/>
  <c r="U512" i="1"/>
  <c r="T512" i="1"/>
  <c r="U511" i="1"/>
  <c r="T511" i="1"/>
  <c r="U510" i="1"/>
  <c r="T510" i="1"/>
  <c r="U509" i="1"/>
  <c r="T509" i="1"/>
  <c r="U508" i="1"/>
  <c r="T508" i="1"/>
  <c r="U507" i="1"/>
  <c r="T507" i="1"/>
  <c r="U506" i="1"/>
  <c r="T506" i="1"/>
  <c r="U505" i="1"/>
  <c r="T505" i="1"/>
  <c r="U504" i="1"/>
  <c r="T504" i="1"/>
  <c r="U503" i="1"/>
  <c r="T503" i="1"/>
  <c r="U502" i="1"/>
  <c r="T502" i="1"/>
  <c r="U501" i="1"/>
  <c r="T501" i="1"/>
  <c r="U500" i="1"/>
  <c r="T500" i="1"/>
  <c r="U499" i="1"/>
  <c r="T499" i="1"/>
  <c r="U498" i="1"/>
  <c r="T498" i="1"/>
  <c r="U497" i="1"/>
  <c r="T497" i="1"/>
  <c r="U496" i="1"/>
  <c r="T496" i="1"/>
  <c r="U495" i="1"/>
  <c r="T495" i="1"/>
  <c r="U494" i="1"/>
  <c r="T494" i="1"/>
  <c r="U493" i="1"/>
  <c r="T493" i="1"/>
  <c r="U492" i="1"/>
  <c r="T492" i="1"/>
  <c r="U491" i="1"/>
  <c r="T491" i="1"/>
  <c r="U490" i="1"/>
  <c r="T490" i="1"/>
  <c r="U489" i="1"/>
  <c r="T489" i="1"/>
  <c r="U488" i="1"/>
  <c r="T488" i="1"/>
  <c r="U487" i="1"/>
  <c r="T487" i="1"/>
  <c r="U486" i="1"/>
  <c r="T486" i="1"/>
  <c r="U485" i="1"/>
  <c r="T485" i="1"/>
  <c r="U484" i="1"/>
  <c r="T484" i="1"/>
  <c r="U483" i="1"/>
  <c r="T483" i="1"/>
  <c r="U482" i="1"/>
  <c r="T482" i="1"/>
  <c r="U481" i="1"/>
  <c r="T481" i="1"/>
  <c r="U480" i="1"/>
  <c r="T480" i="1"/>
  <c r="U479" i="1"/>
  <c r="T479" i="1"/>
  <c r="U478" i="1"/>
  <c r="T478" i="1"/>
  <c r="U477" i="1"/>
  <c r="T477" i="1"/>
  <c r="U476" i="1"/>
  <c r="T476" i="1"/>
  <c r="U475" i="1"/>
  <c r="T475" i="1"/>
  <c r="U474" i="1"/>
  <c r="T474" i="1"/>
  <c r="U473" i="1"/>
  <c r="T473" i="1"/>
  <c r="U472" i="1"/>
  <c r="T472" i="1"/>
  <c r="U471" i="1"/>
  <c r="T471" i="1"/>
  <c r="U470" i="1"/>
  <c r="T470" i="1"/>
  <c r="U469" i="1"/>
  <c r="T469" i="1"/>
  <c r="U468" i="1"/>
  <c r="T468" i="1"/>
  <c r="U467" i="1"/>
  <c r="T467" i="1"/>
  <c r="U466" i="1"/>
  <c r="T466" i="1"/>
  <c r="U465" i="1"/>
  <c r="T465" i="1"/>
  <c r="U464" i="1"/>
  <c r="T464" i="1"/>
  <c r="U463" i="1"/>
  <c r="T463" i="1"/>
  <c r="U462" i="1"/>
  <c r="T462" i="1"/>
  <c r="U461" i="1"/>
  <c r="T461" i="1"/>
  <c r="U460" i="1"/>
  <c r="T460" i="1"/>
  <c r="U459" i="1"/>
  <c r="T459" i="1"/>
  <c r="U458" i="1"/>
  <c r="T458" i="1"/>
  <c r="U457" i="1"/>
  <c r="T457" i="1"/>
  <c r="U456" i="1"/>
  <c r="T456" i="1"/>
  <c r="U455" i="1"/>
  <c r="T455" i="1"/>
  <c r="U454" i="1"/>
  <c r="T454" i="1"/>
  <c r="U453" i="1"/>
  <c r="T453" i="1"/>
  <c r="U452" i="1"/>
  <c r="T452" i="1"/>
  <c r="U451" i="1"/>
  <c r="T451" i="1"/>
  <c r="U450" i="1"/>
  <c r="T450" i="1"/>
  <c r="U449" i="1"/>
  <c r="T449" i="1"/>
  <c r="U448" i="1"/>
  <c r="T448" i="1"/>
  <c r="U447" i="1"/>
  <c r="T447" i="1"/>
  <c r="U446" i="1"/>
  <c r="T446" i="1"/>
  <c r="U445" i="1"/>
  <c r="T445" i="1"/>
  <c r="U444" i="1"/>
  <c r="T444" i="1"/>
  <c r="U443" i="1"/>
  <c r="T443" i="1"/>
  <c r="U442" i="1"/>
  <c r="T442" i="1"/>
  <c r="U441" i="1"/>
  <c r="T441" i="1"/>
  <c r="U440" i="1"/>
  <c r="T440" i="1"/>
  <c r="U439" i="1"/>
  <c r="T439" i="1"/>
  <c r="U438" i="1"/>
  <c r="T438" i="1"/>
  <c r="U437" i="1"/>
  <c r="T437" i="1"/>
  <c r="U436" i="1"/>
  <c r="T436" i="1"/>
  <c r="U435" i="1"/>
  <c r="T435" i="1"/>
  <c r="U434" i="1"/>
  <c r="T434" i="1"/>
  <c r="U433" i="1"/>
  <c r="T433" i="1"/>
  <c r="U432" i="1"/>
  <c r="T432" i="1"/>
  <c r="U431" i="1"/>
  <c r="T431" i="1"/>
  <c r="U430" i="1"/>
  <c r="T430" i="1"/>
  <c r="U429" i="1"/>
  <c r="T429" i="1"/>
  <c r="U428" i="1"/>
  <c r="T428" i="1"/>
  <c r="U427" i="1"/>
  <c r="T427" i="1"/>
  <c r="U426" i="1"/>
  <c r="T426" i="1"/>
  <c r="U425" i="1"/>
  <c r="T425" i="1"/>
  <c r="U424" i="1"/>
  <c r="T424" i="1"/>
  <c r="U423" i="1"/>
  <c r="T423" i="1"/>
  <c r="U422" i="1"/>
  <c r="T422" i="1"/>
  <c r="U421" i="1"/>
  <c r="T421" i="1"/>
  <c r="U420" i="1"/>
  <c r="T420" i="1"/>
  <c r="U419" i="1"/>
  <c r="T419" i="1"/>
  <c r="U418" i="1"/>
  <c r="T418" i="1"/>
  <c r="U417" i="1"/>
  <c r="T417" i="1"/>
  <c r="U416" i="1"/>
  <c r="T416" i="1"/>
  <c r="U415" i="1"/>
  <c r="T415" i="1"/>
  <c r="U414" i="1"/>
  <c r="T414" i="1"/>
  <c r="U413" i="1"/>
  <c r="T413" i="1"/>
  <c r="U412" i="1"/>
  <c r="T412" i="1"/>
  <c r="U411" i="1"/>
  <c r="T411" i="1"/>
  <c r="U410" i="1"/>
  <c r="T410" i="1"/>
  <c r="U409" i="1"/>
  <c r="T409" i="1"/>
  <c r="U408" i="1"/>
  <c r="T408" i="1"/>
  <c r="U407" i="1"/>
  <c r="T407" i="1"/>
  <c r="U406" i="1"/>
  <c r="T406" i="1"/>
  <c r="U405" i="1"/>
  <c r="T405" i="1"/>
  <c r="U404" i="1"/>
  <c r="T404" i="1"/>
  <c r="U403" i="1"/>
  <c r="T403" i="1"/>
  <c r="U402" i="1"/>
  <c r="T402" i="1"/>
  <c r="U401" i="1"/>
  <c r="T401" i="1"/>
  <c r="U400" i="1"/>
  <c r="T400" i="1"/>
  <c r="U399" i="1"/>
  <c r="T399" i="1"/>
  <c r="U398" i="1"/>
  <c r="T398" i="1"/>
  <c r="U397" i="1"/>
  <c r="T397" i="1"/>
  <c r="U396" i="1"/>
  <c r="T396" i="1"/>
  <c r="U395" i="1"/>
  <c r="T395" i="1"/>
  <c r="U394" i="1"/>
  <c r="T394" i="1"/>
  <c r="U393" i="1"/>
  <c r="T393" i="1"/>
  <c r="U392" i="1"/>
  <c r="T392" i="1"/>
  <c r="U391" i="1"/>
  <c r="T391" i="1"/>
  <c r="U390" i="1"/>
  <c r="T390" i="1"/>
  <c r="U389" i="1"/>
  <c r="T389" i="1"/>
  <c r="U388" i="1"/>
  <c r="T388" i="1"/>
  <c r="U387" i="1"/>
  <c r="T387" i="1"/>
  <c r="U386" i="1"/>
  <c r="T386" i="1"/>
  <c r="U385" i="1"/>
  <c r="T385" i="1"/>
  <c r="U384" i="1"/>
  <c r="T384" i="1"/>
  <c r="U383" i="1"/>
  <c r="T383" i="1"/>
  <c r="U382" i="1"/>
  <c r="T382" i="1"/>
  <c r="U381" i="1"/>
  <c r="T381" i="1"/>
  <c r="U380" i="1"/>
  <c r="T380" i="1"/>
  <c r="U379" i="1"/>
  <c r="T379" i="1"/>
  <c r="U378" i="1"/>
  <c r="T378" i="1"/>
  <c r="U377" i="1"/>
  <c r="T377" i="1"/>
  <c r="U376" i="1"/>
  <c r="T376" i="1"/>
  <c r="U375" i="1"/>
  <c r="T375" i="1"/>
  <c r="U374" i="1"/>
  <c r="T374" i="1"/>
  <c r="U373" i="1"/>
  <c r="T373" i="1"/>
  <c r="U372" i="1"/>
  <c r="T372" i="1"/>
  <c r="U371" i="1"/>
  <c r="T371" i="1"/>
  <c r="U370" i="1"/>
  <c r="T370" i="1"/>
  <c r="U369" i="1"/>
  <c r="T369" i="1"/>
  <c r="U368" i="1"/>
  <c r="T368" i="1"/>
  <c r="U367" i="1"/>
  <c r="T367" i="1"/>
  <c r="U366" i="1"/>
  <c r="T366" i="1"/>
  <c r="U365" i="1"/>
  <c r="T365" i="1"/>
  <c r="U364" i="1"/>
  <c r="T364" i="1"/>
  <c r="U363" i="1"/>
  <c r="T363" i="1"/>
  <c r="U362" i="1"/>
  <c r="T362" i="1"/>
  <c r="U361" i="1"/>
  <c r="T361" i="1"/>
  <c r="U360" i="1"/>
  <c r="T360" i="1"/>
  <c r="U359" i="1"/>
  <c r="T359" i="1"/>
  <c r="U358" i="1"/>
  <c r="T358" i="1"/>
  <c r="U357" i="1"/>
  <c r="T357" i="1"/>
  <c r="U356" i="1"/>
  <c r="T356" i="1"/>
  <c r="U355" i="1"/>
  <c r="T355" i="1"/>
  <c r="U354" i="1"/>
  <c r="T354" i="1"/>
  <c r="U353" i="1"/>
  <c r="T353" i="1"/>
  <c r="U352" i="1"/>
  <c r="T352" i="1"/>
  <c r="U351" i="1"/>
  <c r="T351" i="1"/>
  <c r="U350" i="1"/>
  <c r="T350" i="1"/>
  <c r="U349" i="1"/>
  <c r="T349" i="1"/>
  <c r="U348" i="1"/>
  <c r="T348" i="1"/>
  <c r="U347" i="1"/>
  <c r="T347" i="1"/>
  <c r="U346" i="1"/>
  <c r="T346" i="1"/>
  <c r="U345" i="1"/>
  <c r="T345" i="1"/>
  <c r="U344" i="1"/>
  <c r="T344" i="1"/>
  <c r="U343" i="1"/>
  <c r="T343" i="1"/>
  <c r="U342" i="1"/>
  <c r="T342" i="1"/>
  <c r="U341" i="1"/>
  <c r="T341" i="1"/>
  <c r="U340" i="1"/>
  <c r="T340" i="1"/>
  <c r="U339" i="1"/>
  <c r="T339" i="1"/>
  <c r="U338" i="1"/>
  <c r="T338" i="1"/>
  <c r="U337" i="1"/>
  <c r="T337" i="1"/>
  <c r="U336" i="1"/>
  <c r="T336" i="1"/>
  <c r="U335" i="1"/>
  <c r="T335" i="1"/>
  <c r="U334" i="1"/>
  <c r="T334" i="1"/>
  <c r="U333" i="1"/>
  <c r="T333" i="1"/>
  <c r="U332" i="1"/>
  <c r="T332" i="1"/>
  <c r="U331" i="1"/>
  <c r="T331" i="1"/>
  <c r="U330" i="1"/>
  <c r="T330" i="1"/>
  <c r="U329" i="1"/>
  <c r="T329" i="1"/>
  <c r="U328" i="1"/>
  <c r="T328" i="1"/>
  <c r="U327" i="1"/>
  <c r="T327" i="1"/>
  <c r="U326" i="1"/>
  <c r="T326" i="1"/>
  <c r="U325" i="1"/>
  <c r="T325" i="1"/>
  <c r="U324" i="1"/>
  <c r="T324" i="1"/>
  <c r="U323" i="1"/>
  <c r="T323" i="1"/>
  <c r="U322" i="1"/>
  <c r="T322" i="1"/>
  <c r="U321" i="1"/>
  <c r="T321" i="1"/>
  <c r="U320" i="1"/>
  <c r="T320" i="1"/>
  <c r="U319" i="1"/>
  <c r="T319" i="1"/>
  <c r="U318" i="1"/>
  <c r="T318" i="1"/>
  <c r="U317" i="1"/>
  <c r="T317" i="1"/>
  <c r="U316" i="1"/>
  <c r="T316" i="1"/>
  <c r="U315" i="1"/>
  <c r="T315" i="1"/>
  <c r="U314" i="1"/>
  <c r="T314" i="1"/>
  <c r="U313" i="1"/>
  <c r="T313" i="1"/>
  <c r="U312" i="1"/>
  <c r="T312" i="1"/>
  <c r="U311" i="1"/>
  <c r="T311" i="1"/>
  <c r="U310" i="1"/>
  <c r="T310" i="1"/>
  <c r="U309" i="1"/>
  <c r="T309" i="1"/>
  <c r="U308" i="1"/>
  <c r="T308" i="1"/>
  <c r="U307" i="1"/>
  <c r="T307" i="1"/>
  <c r="U306" i="1"/>
  <c r="T306" i="1"/>
  <c r="U305" i="1"/>
  <c r="T305" i="1"/>
  <c r="U304" i="1"/>
  <c r="T304" i="1"/>
  <c r="U303" i="1"/>
  <c r="T303" i="1"/>
  <c r="U302" i="1"/>
  <c r="T302" i="1"/>
  <c r="U301" i="1"/>
  <c r="T301" i="1"/>
  <c r="U300" i="1"/>
  <c r="T300" i="1"/>
  <c r="U299" i="1"/>
  <c r="T299" i="1"/>
  <c r="U298" i="1"/>
  <c r="T298" i="1"/>
  <c r="U297" i="1"/>
  <c r="T297" i="1"/>
  <c r="U296" i="1"/>
  <c r="T296" i="1"/>
  <c r="U295" i="1"/>
  <c r="T295" i="1"/>
  <c r="U294" i="1"/>
  <c r="T294" i="1"/>
  <c r="U293" i="1"/>
  <c r="T293" i="1"/>
  <c r="U292" i="1"/>
  <c r="T292" i="1"/>
  <c r="U291" i="1"/>
  <c r="T291" i="1"/>
  <c r="U290" i="1"/>
  <c r="T290" i="1"/>
  <c r="U289" i="1"/>
  <c r="T289" i="1"/>
  <c r="U288" i="1"/>
  <c r="T288" i="1"/>
  <c r="U287" i="1"/>
  <c r="T287" i="1"/>
  <c r="U286" i="1"/>
  <c r="T286" i="1"/>
  <c r="U285" i="1"/>
  <c r="T285" i="1"/>
  <c r="U284" i="1"/>
  <c r="T284" i="1"/>
  <c r="U283" i="1"/>
  <c r="T283" i="1"/>
  <c r="U282" i="1"/>
  <c r="T282" i="1"/>
  <c r="U281" i="1"/>
  <c r="T281" i="1"/>
  <c r="U280" i="1"/>
  <c r="T280" i="1"/>
  <c r="U279" i="1"/>
  <c r="T279" i="1"/>
  <c r="U278" i="1"/>
  <c r="T278" i="1"/>
  <c r="U277" i="1"/>
  <c r="T277" i="1"/>
  <c r="U276" i="1"/>
  <c r="T276" i="1"/>
  <c r="U275" i="1"/>
  <c r="T275" i="1"/>
  <c r="U274" i="1"/>
  <c r="T274" i="1"/>
  <c r="U273" i="1"/>
  <c r="T273" i="1"/>
  <c r="U272" i="1"/>
  <c r="T272" i="1"/>
  <c r="U271" i="1"/>
  <c r="T271" i="1"/>
  <c r="U270" i="1"/>
  <c r="T270" i="1"/>
  <c r="U269" i="1"/>
  <c r="T269" i="1"/>
  <c r="U268" i="1"/>
  <c r="T268" i="1"/>
  <c r="U267" i="1"/>
  <c r="T267" i="1"/>
  <c r="U266" i="1"/>
  <c r="T266" i="1"/>
  <c r="U265" i="1"/>
  <c r="T265" i="1"/>
  <c r="U264" i="1"/>
  <c r="T264" i="1"/>
  <c r="U263" i="1"/>
  <c r="T263" i="1"/>
  <c r="U262" i="1"/>
  <c r="T262" i="1"/>
  <c r="U261" i="1"/>
  <c r="T261" i="1"/>
  <c r="U260" i="1"/>
  <c r="T260" i="1"/>
  <c r="U259" i="1"/>
  <c r="T259" i="1"/>
  <c r="U258" i="1"/>
  <c r="T258" i="1"/>
  <c r="U257" i="1"/>
  <c r="T257" i="1"/>
  <c r="U256" i="1"/>
  <c r="T256" i="1"/>
  <c r="U255" i="1"/>
  <c r="T255" i="1"/>
  <c r="U254" i="1"/>
  <c r="T254" i="1"/>
  <c r="U253" i="1"/>
  <c r="T253" i="1"/>
  <c r="U252" i="1"/>
  <c r="T252" i="1"/>
  <c r="U251" i="1"/>
  <c r="T251" i="1"/>
  <c r="U250" i="1"/>
  <c r="T250" i="1"/>
  <c r="U249" i="1"/>
  <c r="T249" i="1"/>
  <c r="U248" i="1"/>
  <c r="T248" i="1"/>
  <c r="U247" i="1"/>
  <c r="T247" i="1"/>
  <c r="U246" i="1"/>
  <c r="T246" i="1"/>
  <c r="U245" i="1"/>
  <c r="T245" i="1"/>
  <c r="U244" i="1"/>
  <c r="T244" i="1"/>
  <c r="U243" i="1"/>
  <c r="T243" i="1"/>
  <c r="U242" i="1"/>
  <c r="T242" i="1"/>
  <c r="U241" i="1"/>
  <c r="T241" i="1"/>
  <c r="U240" i="1"/>
  <c r="T240" i="1"/>
  <c r="U239" i="1"/>
  <c r="T239" i="1"/>
  <c r="U238" i="1"/>
  <c r="T238" i="1"/>
  <c r="U237" i="1"/>
  <c r="T237" i="1"/>
  <c r="U236" i="1"/>
  <c r="T236" i="1"/>
  <c r="U235" i="1"/>
  <c r="T235" i="1"/>
  <c r="U234" i="1"/>
  <c r="T234" i="1"/>
  <c r="U233" i="1"/>
  <c r="T233" i="1"/>
  <c r="U232" i="1"/>
  <c r="T232" i="1"/>
  <c r="U231" i="1"/>
  <c r="T231" i="1"/>
  <c r="U230" i="1"/>
  <c r="T230" i="1"/>
  <c r="U229" i="1"/>
  <c r="T229" i="1"/>
  <c r="U228" i="1"/>
  <c r="T228" i="1"/>
  <c r="U227" i="1"/>
  <c r="T227" i="1"/>
  <c r="U226" i="1"/>
  <c r="T226" i="1"/>
  <c r="U225" i="1"/>
  <c r="T225" i="1"/>
  <c r="U224" i="1"/>
  <c r="T224" i="1"/>
  <c r="U223" i="1"/>
  <c r="T223" i="1"/>
  <c r="U222" i="1"/>
  <c r="T222" i="1"/>
  <c r="U221" i="1"/>
  <c r="T221" i="1"/>
  <c r="U220" i="1"/>
  <c r="T220" i="1"/>
  <c r="U219" i="1"/>
  <c r="T219" i="1"/>
  <c r="U218" i="1"/>
  <c r="T218" i="1"/>
  <c r="U217" i="1"/>
  <c r="T217" i="1"/>
  <c r="U216" i="1"/>
  <c r="T216" i="1"/>
  <c r="U215" i="1"/>
  <c r="T215" i="1"/>
  <c r="U214" i="1"/>
  <c r="T214" i="1"/>
  <c r="U213" i="1"/>
  <c r="T213" i="1"/>
  <c r="U212" i="1"/>
  <c r="T212" i="1"/>
  <c r="U211" i="1"/>
  <c r="T211" i="1"/>
  <c r="U210" i="1"/>
  <c r="T210" i="1"/>
  <c r="U209" i="1"/>
  <c r="T209" i="1"/>
  <c r="U208" i="1"/>
  <c r="T208" i="1"/>
  <c r="U207" i="1"/>
  <c r="T207" i="1"/>
  <c r="U206" i="1"/>
  <c r="T206" i="1"/>
  <c r="U205" i="1"/>
  <c r="T205" i="1"/>
  <c r="U204" i="1"/>
  <c r="T204" i="1"/>
  <c r="U203" i="1"/>
  <c r="T203" i="1"/>
  <c r="U202" i="1"/>
  <c r="T202" i="1"/>
  <c r="U201" i="1"/>
  <c r="T201" i="1"/>
  <c r="U200" i="1"/>
  <c r="T200" i="1"/>
  <c r="U199" i="1"/>
  <c r="T199" i="1"/>
  <c r="U198" i="1"/>
  <c r="T198" i="1"/>
  <c r="U197" i="1"/>
  <c r="T197" i="1"/>
  <c r="U196" i="1"/>
  <c r="T196" i="1"/>
  <c r="U195" i="1"/>
  <c r="T195" i="1"/>
  <c r="U194" i="1"/>
  <c r="T194" i="1"/>
  <c r="U193" i="1"/>
  <c r="T193" i="1"/>
  <c r="U192" i="1"/>
  <c r="T192" i="1"/>
  <c r="U191" i="1"/>
  <c r="T191" i="1"/>
  <c r="T190" i="1"/>
  <c r="U189" i="1"/>
  <c r="T189" i="1"/>
  <c r="U188" i="1"/>
  <c r="T188" i="1"/>
  <c r="U187" i="1"/>
  <c r="T187" i="1"/>
  <c r="U186" i="1"/>
  <c r="T186" i="1"/>
  <c r="U185" i="1"/>
  <c r="T185" i="1"/>
  <c r="U184" i="1"/>
  <c r="T184" i="1"/>
  <c r="U183" i="1"/>
  <c r="T183" i="1"/>
  <c r="U182" i="1"/>
  <c r="T182" i="1"/>
  <c r="U181" i="1"/>
  <c r="T181" i="1"/>
  <c r="U180" i="1"/>
  <c r="T180" i="1"/>
  <c r="U179" i="1"/>
  <c r="T179" i="1"/>
  <c r="U178" i="1"/>
  <c r="T178" i="1"/>
  <c r="U177" i="1"/>
  <c r="T177" i="1"/>
  <c r="U176" i="1"/>
  <c r="T176" i="1"/>
  <c r="U175" i="1"/>
  <c r="T175" i="1"/>
  <c r="U174" i="1"/>
  <c r="T174" i="1"/>
  <c r="U173" i="1"/>
  <c r="T173" i="1"/>
  <c r="U172" i="1"/>
  <c r="T172" i="1"/>
  <c r="U171" i="1"/>
  <c r="T171" i="1"/>
  <c r="U170" i="1"/>
  <c r="T170" i="1"/>
  <c r="U169" i="1"/>
  <c r="T169" i="1"/>
  <c r="U168" i="1"/>
  <c r="T168" i="1"/>
  <c r="U167" i="1"/>
  <c r="T167" i="1"/>
  <c r="U166" i="1"/>
  <c r="T166" i="1"/>
  <c r="U165" i="1"/>
  <c r="T165" i="1"/>
  <c r="U164" i="1"/>
  <c r="T164" i="1"/>
  <c r="U163" i="1"/>
  <c r="T163" i="1"/>
  <c r="U162" i="1"/>
  <c r="T162" i="1"/>
  <c r="U161" i="1"/>
  <c r="T161" i="1"/>
  <c r="U160" i="1"/>
  <c r="T160" i="1"/>
  <c r="U159" i="1"/>
  <c r="T159" i="1"/>
  <c r="U158" i="1"/>
  <c r="T158" i="1"/>
  <c r="U157" i="1"/>
  <c r="T157" i="1"/>
  <c r="U156" i="1"/>
  <c r="T156" i="1"/>
  <c r="U155" i="1"/>
  <c r="T155" i="1"/>
  <c r="U154" i="1"/>
  <c r="T154" i="1"/>
  <c r="U153" i="1"/>
  <c r="T153" i="1"/>
  <c r="U152" i="1"/>
  <c r="T152" i="1"/>
  <c r="U151" i="1"/>
  <c r="T151" i="1"/>
  <c r="U150" i="1"/>
  <c r="T150" i="1"/>
  <c r="U149" i="1"/>
  <c r="T149" i="1"/>
  <c r="U148" i="1"/>
  <c r="T148" i="1"/>
  <c r="U147" i="1"/>
  <c r="T147" i="1"/>
  <c r="U146" i="1"/>
  <c r="T146" i="1"/>
  <c r="U145" i="1"/>
  <c r="T145" i="1"/>
  <c r="U144" i="1"/>
  <c r="T144" i="1"/>
  <c r="U143" i="1"/>
  <c r="T143" i="1"/>
  <c r="U142" i="1"/>
  <c r="T142" i="1"/>
  <c r="U141" i="1"/>
  <c r="T141" i="1"/>
  <c r="U140" i="1"/>
  <c r="T140" i="1"/>
  <c r="U139" i="1"/>
  <c r="T139" i="1"/>
  <c r="U138" i="1"/>
  <c r="T138" i="1"/>
  <c r="U137" i="1"/>
  <c r="T137" i="1"/>
  <c r="U136" i="1"/>
  <c r="T136" i="1"/>
  <c r="U135" i="1"/>
  <c r="T135" i="1"/>
  <c r="U134" i="1"/>
  <c r="T134" i="1"/>
  <c r="U133" i="1"/>
  <c r="T133" i="1"/>
  <c r="U132" i="1"/>
  <c r="T132" i="1"/>
  <c r="U131" i="1"/>
  <c r="T131" i="1"/>
  <c r="U130" i="1"/>
  <c r="T130" i="1"/>
  <c r="U129" i="1"/>
  <c r="T129" i="1"/>
  <c r="U128" i="1"/>
  <c r="T128" i="1"/>
  <c r="U127" i="1"/>
  <c r="T127" i="1"/>
  <c r="U126" i="1"/>
  <c r="T126" i="1"/>
  <c r="U125" i="1"/>
  <c r="T125" i="1"/>
  <c r="U124" i="1"/>
  <c r="T124" i="1"/>
  <c r="U123" i="1"/>
  <c r="T123" i="1"/>
  <c r="U122" i="1"/>
  <c r="T122" i="1"/>
  <c r="U121" i="1"/>
  <c r="T121" i="1"/>
  <c r="U120" i="1"/>
  <c r="T120" i="1"/>
  <c r="U119" i="1"/>
  <c r="T119" i="1"/>
  <c r="U118" i="1"/>
  <c r="T118" i="1"/>
  <c r="U117" i="1"/>
  <c r="U116" i="1"/>
  <c r="T116" i="1"/>
  <c r="U115" i="1"/>
  <c r="T115" i="1"/>
  <c r="U114" i="1"/>
  <c r="T114" i="1"/>
  <c r="U113" i="1"/>
  <c r="T113" i="1"/>
  <c r="U112" i="1"/>
  <c r="T112" i="1"/>
  <c r="U111" i="1"/>
  <c r="T111" i="1"/>
  <c r="U110" i="1"/>
  <c r="T110" i="1"/>
  <c r="U109" i="1"/>
  <c r="T109" i="1"/>
  <c r="U108" i="1"/>
  <c r="T108" i="1"/>
  <c r="U107" i="1"/>
  <c r="T107" i="1"/>
  <c r="U106" i="1"/>
  <c r="T106" i="1"/>
  <c r="U105" i="1"/>
  <c r="T105" i="1"/>
  <c r="U104" i="1"/>
  <c r="T104" i="1"/>
  <c r="U103" i="1"/>
  <c r="T103" i="1"/>
  <c r="U102" i="1"/>
  <c r="T102" i="1"/>
  <c r="U101" i="1"/>
  <c r="T101" i="1"/>
  <c r="U100" i="1"/>
  <c r="T100" i="1"/>
  <c r="U99" i="1"/>
  <c r="T99" i="1"/>
  <c r="U98" i="1"/>
  <c r="T98" i="1"/>
  <c r="U97" i="1"/>
  <c r="T97" i="1"/>
  <c r="U96" i="1"/>
  <c r="T96" i="1"/>
  <c r="U95" i="1"/>
  <c r="T95" i="1"/>
  <c r="U94" i="1"/>
  <c r="T94" i="1"/>
  <c r="U93" i="1"/>
  <c r="T93" i="1"/>
  <c r="U92" i="1"/>
  <c r="T92" i="1"/>
  <c r="U91" i="1"/>
  <c r="T91" i="1"/>
  <c r="U90" i="1"/>
  <c r="T90" i="1"/>
  <c r="U89" i="1"/>
  <c r="U88" i="1"/>
  <c r="T88" i="1"/>
  <c r="U87" i="1"/>
  <c r="T87" i="1"/>
  <c r="U86" i="1"/>
  <c r="T86" i="1"/>
  <c r="U85" i="1"/>
  <c r="T85" i="1"/>
  <c r="U84" i="1"/>
  <c r="T84" i="1"/>
  <c r="U83" i="1"/>
  <c r="T83" i="1"/>
  <c r="U82" i="1"/>
  <c r="T82" i="1"/>
  <c r="U81" i="1"/>
  <c r="T81" i="1"/>
  <c r="U80" i="1"/>
  <c r="T80" i="1"/>
  <c r="U79" i="1"/>
  <c r="T79" i="1"/>
  <c r="U78" i="1"/>
  <c r="T78" i="1"/>
  <c r="U77" i="1"/>
  <c r="T77" i="1"/>
  <c r="U76" i="1"/>
  <c r="T76" i="1"/>
  <c r="U75" i="1"/>
  <c r="T75" i="1"/>
  <c r="U74" i="1"/>
  <c r="U73" i="1"/>
  <c r="T73" i="1"/>
  <c r="U72" i="1"/>
  <c r="T72" i="1"/>
  <c r="U71" i="1"/>
  <c r="U70" i="1"/>
  <c r="T70" i="1"/>
  <c r="U69" i="1"/>
  <c r="T69" i="1"/>
  <c r="U68" i="1"/>
  <c r="T68" i="1"/>
  <c r="U67" i="1"/>
  <c r="T67" i="1"/>
  <c r="U66" i="1"/>
  <c r="T66" i="1"/>
  <c r="U65" i="1"/>
  <c r="T65" i="1"/>
  <c r="U64" i="1"/>
  <c r="T64" i="1"/>
  <c r="U63" i="1"/>
  <c r="T63" i="1"/>
  <c r="U62" i="1"/>
  <c r="T62" i="1"/>
  <c r="U61" i="1"/>
  <c r="T61" i="1"/>
  <c r="U60" i="1"/>
  <c r="T60" i="1"/>
  <c r="U59" i="1"/>
  <c r="T59" i="1"/>
  <c r="U58" i="1"/>
  <c r="T58" i="1"/>
  <c r="U57" i="1"/>
  <c r="T57" i="1"/>
  <c r="U56" i="1"/>
  <c r="T56" i="1"/>
  <c r="U55" i="1"/>
  <c r="T55" i="1"/>
  <c r="U54" i="1"/>
  <c r="T54" i="1"/>
  <c r="U53" i="1"/>
  <c r="T53" i="1"/>
  <c r="U52" i="1"/>
  <c r="T52" i="1"/>
  <c r="U51" i="1"/>
  <c r="T51" i="1"/>
  <c r="U50" i="1"/>
  <c r="T50" i="1"/>
  <c r="U49" i="1"/>
  <c r="T49" i="1"/>
  <c r="U48" i="1"/>
  <c r="T48" i="1"/>
  <c r="U47" i="1"/>
  <c r="T47" i="1"/>
  <c r="U46" i="1"/>
  <c r="T46" i="1"/>
  <c r="U45" i="1"/>
  <c r="T45" i="1"/>
  <c r="U44" i="1"/>
  <c r="T44" i="1"/>
  <c r="U43" i="1"/>
  <c r="T43" i="1"/>
  <c r="U42" i="1"/>
  <c r="T42" i="1"/>
  <c r="U41" i="1"/>
  <c r="T41" i="1"/>
  <c r="U40" i="1"/>
  <c r="T40" i="1"/>
  <c r="U39" i="1"/>
  <c r="T39" i="1"/>
  <c r="U38" i="1"/>
  <c r="T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U21" i="1"/>
  <c r="T21" i="1"/>
  <c r="U20" i="1"/>
  <c r="T20" i="1"/>
  <c r="U19" i="1"/>
  <c r="T19" i="1"/>
  <c r="U18" i="1"/>
  <c r="T18" i="1"/>
  <c r="U17" i="1"/>
  <c r="T17" i="1"/>
  <c r="U16" i="1"/>
  <c r="T16" i="1"/>
  <c r="U15" i="1"/>
  <c r="T15" i="1"/>
  <c r="U14" i="1"/>
  <c r="T14" i="1"/>
  <c r="U13" i="1"/>
  <c r="T13" i="1"/>
  <c r="U12" i="1"/>
  <c r="T12" i="1"/>
  <c r="U11" i="1"/>
  <c r="T11" i="1"/>
  <c r="U10" i="1"/>
  <c r="T10" i="1"/>
  <c r="U9" i="1"/>
  <c r="T9" i="1"/>
  <c r="U8" i="1"/>
  <c r="T8" i="1"/>
  <c r="U7" i="1"/>
  <c r="T7" i="1"/>
  <c r="U6" i="1"/>
  <c r="T6" i="1"/>
  <c r="U5" i="1"/>
  <c r="T5" i="1"/>
  <c r="U4" i="1"/>
  <c r="T4" i="1"/>
  <c r="U3" i="1"/>
  <c r="T3" i="1"/>
  <c r="U2" i="1"/>
  <c r="T2" i="1"/>
  <c r="L3904" i="1"/>
  <c r="T3904" i="1" s="1"/>
  <c r="L3903" i="1"/>
  <c r="L3900" i="1"/>
  <c r="T3900" i="1" s="1"/>
  <c r="L3894" i="1"/>
  <c r="T3894" i="1" s="1"/>
  <c r="L3891" i="1"/>
  <c r="L3890" i="1"/>
  <c r="T3890" i="1" s="1"/>
  <c r="L3886" i="1"/>
  <c r="T3886" i="1" s="1"/>
  <c r="L3884" i="1"/>
  <c r="T3884" i="1" s="1"/>
  <c r="L3877" i="1"/>
  <c r="T3877" i="1" s="1"/>
  <c r="L3872" i="1"/>
  <c r="T3872" i="1" s="1"/>
  <c r="L3869" i="1"/>
  <c r="T3869" i="1" s="1"/>
  <c r="L3864" i="1"/>
  <c r="T3864" i="1" s="1"/>
  <c r="L3862" i="1"/>
  <c r="T3862" i="1" s="1"/>
  <c r="L3860" i="1"/>
  <c r="T3860" i="1" s="1"/>
  <c r="L3854" i="1"/>
  <c r="T3854" i="1" s="1"/>
  <c r="L3852" i="1"/>
  <c r="T3852" i="1" s="1"/>
  <c r="L3850" i="1"/>
  <c r="T3850" i="1" s="1"/>
  <c r="L3848" i="1"/>
  <c r="T3848" i="1" s="1"/>
  <c r="L3846" i="1"/>
  <c r="T3846" i="1" s="1"/>
  <c r="L3844" i="1"/>
  <c r="T3844" i="1" s="1"/>
  <c r="L3788" i="1"/>
  <c r="T3788" i="1" s="1"/>
  <c r="L3779" i="1"/>
  <c r="L3776" i="1"/>
  <c r="T3776" i="1" s="1"/>
  <c r="L3773" i="1"/>
  <c r="T3773" i="1" s="1"/>
  <c r="L3768" i="1"/>
  <c r="T3768" i="1" s="1"/>
  <c r="L3765" i="1"/>
  <c r="T3765" i="1" s="1"/>
  <c r="L3752" i="1"/>
  <c r="T3752" i="1" s="1"/>
  <c r="L3747" i="1"/>
  <c r="T3747" i="1" s="1"/>
  <c r="L3740" i="1"/>
  <c r="T3740" i="1" s="1"/>
  <c r="L3727" i="1"/>
  <c r="L3697" i="1"/>
  <c r="T3697" i="1" s="1"/>
  <c r="L3692" i="1"/>
  <c r="T3692" i="1" s="1"/>
  <c r="L3687" i="1"/>
  <c r="L3686" i="1"/>
  <c r="T3686" i="1" s="1"/>
  <c r="L3670" i="1"/>
  <c r="T3670" i="1" s="1"/>
  <c r="L3640" i="1"/>
  <c r="T3640" i="1" s="1"/>
  <c r="L2559" i="1"/>
  <c r="L2429" i="1"/>
  <c r="T2429" i="1" s="1"/>
  <c r="L2424" i="1"/>
  <c r="T2424" i="1" s="1"/>
  <c r="L2415" i="1"/>
  <c r="L2414" i="1"/>
  <c r="T2414" i="1" s="1"/>
  <c r="L2380" i="1"/>
  <c r="T2380" i="1" s="1"/>
  <c r="L2371" i="1"/>
  <c r="T2371" i="1" s="1"/>
  <c r="L2368" i="1"/>
  <c r="T2368" i="1" s="1"/>
  <c r="L2347" i="1"/>
  <c r="T2347" i="1" s="1"/>
  <c r="L2302" i="1"/>
  <c r="L2288" i="1"/>
  <c r="T2288" i="1" s="1"/>
  <c r="L2285" i="1"/>
  <c r="T2285" i="1" s="1"/>
  <c r="L2249" i="1"/>
  <c r="T2249" i="1" s="1"/>
  <c r="L2063" i="1"/>
  <c r="T2063" i="1" s="1"/>
  <c r="L1993" i="1"/>
  <c r="T1993" i="1" s="1"/>
  <c r="L1835" i="1"/>
  <c r="T1835" i="1" s="1"/>
  <c r="L1834" i="1"/>
  <c r="T1834" i="1" s="1"/>
  <c r="L1818" i="1"/>
  <c r="T1818" i="1" s="1"/>
  <c r="L1816" i="1"/>
  <c r="T1816" i="1" s="1"/>
  <c r="L1815" i="1"/>
  <c r="T1815" i="1" s="1"/>
  <c r="L1812" i="1"/>
  <c r="T1812" i="1" s="1"/>
  <c r="L1808" i="1"/>
  <c r="T1808" i="1" s="1"/>
  <c r="L1802" i="1"/>
  <c r="T1802" i="1" s="1"/>
  <c r="L1801" i="1"/>
  <c r="T1801" i="1" s="1"/>
  <c r="L1789" i="1"/>
  <c r="T1789" i="1" s="1"/>
  <c r="L1765" i="1"/>
  <c r="T1765" i="1" s="1"/>
  <c r="L1758" i="1"/>
  <c r="T1758" i="1" s="1"/>
  <c r="L1752" i="1"/>
  <c r="T1752" i="1" s="1"/>
  <c r="L1739" i="1"/>
  <c r="T1739" i="1" s="1"/>
  <c r="L1736" i="1"/>
  <c r="T1736" i="1" s="1"/>
  <c r="L1725" i="1"/>
  <c r="T1725" i="1" s="1"/>
  <c r="L1712" i="1"/>
  <c r="T1712" i="1" s="1"/>
  <c r="L1706" i="1"/>
  <c r="T1706" i="1" s="1"/>
  <c r="L1695" i="1"/>
  <c r="T1695" i="1" s="1"/>
  <c r="L1690" i="1"/>
  <c r="T1690" i="1" s="1"/>
  <c r="L1589" i="1"/>
  <c r="T1589" i="1" s="1"/>
  <c r="L1499" i="1"/>
  <c r="T1499" i="1" s="1"/>
  <c r="L1418" i="1"/>
  <c r="T1418" i="1" s="1"/>
  <c r="L1415" i="1"/>
  <c r="T1415" i="1" s="1"/>
  <c r="L1386" i="1"/>
  <c r="T1386" i="1" s="1"/>
  <c r="L1382" i="1"/>
  <c r="T1382" i="1" s="1"/>
  <c r="L1347" i="1"/>
  <c r="T1347" i="1" s="1"/>
  <c r="L1346" i="1"/>
  <c r="T1346" i="1" s="1"/>
  <c r="L1327" i="1"/>
  <c r="T1327" i="1" s="1"/>
  <c r="L1318" i="1"/>
  <c r="T1318" i="1" s="1"/>
  <c r="L1307" i="1"/>
  <c r="T1307" i="1" s="1"/>
  <c r="L1256" i="1"/>
  <c r="T1256" i="1" s="1"/>
  <c r="L1251" i="1"/>
  <c r="T1251" i="1" s="1"/>
  <c r="L1244" i="1"/>
  <c r="T1244" i="1" s="1"/>
  <c r="L1241" i="1"/>
  <c r="T1241" i="1" s="1"/>
  <c r="L1240" i="1"/>
  <c r="T1240" i="1" s="1"/>
  <c r="L1238" i="1"/>
  <c r="T1238" i="1" s="1"/>
  <c r="L1231" i="1"/>
  <c r="T1231" i="1" s="1"/>
  <c r="L1226" i="1"/>
  <c r="T1226" i="1" s="1"/>
  <c r="L1225" i="1"/>
  <c r="T1225" i="1" s="1"/>
  <c r="L1224" i="1"/>
  <c r="T1224" i="1" s="1"/>
  <c r="L1222" i="1"/>
  <c r="T1222" i="1" s="1"/>
  <c r="L1220" i="1"/>
  <c r="T1220" i="1" s="1"/>
  <c r="L1218" i="1"/>
  <c r="T1218" i="1" s="1"/>
  <c r="L1217" i="1"/>
  <c r="T1217" i="1" s="1"/>
  <c r="L1215" i="1"/>
  <c r="T1215" i="1" s="1"/>
  <c r="L1214" i="1"/>
  <c r="T1214" i="1" s="1"/>
  <c r="L1213" i="1"/>
  <c r="T1213" i="1" s="1"/>
  <c r="L1211" i="1"/>
  <c r="T1211" i="1" s="1"/>
  <c r="L1210" i="1"/>
  <c r="T1210" i="1" s="1"/>
  <c r="L1208" i="1"/>
  <c r="T1208" i="1" s="1"/>
  <c r="L1207" i="1"/>
  <c r="T1207" i="1" s="1"/>
  <c r="L1202" i="1"/>
  <c r="T1202" i="1" s="1"/>
  <c r="L1201" i="1"/>
  <c r="T1201" i="1" s="1"/>
  <c r="L1200" i="1"/>
  <c r="T1200" i="1" s="1"/>
  <c r="L1196" i="1"/>
  <c r="T1196" i="1" s="1"/>
  <c r="L1195" i="1"/>
  <c r="T1195" i="1" s="1"/>
  <c r="L1191" i="1"/>
  <c r="T1191" i="1" s="1"/>
  <c r="L1189" i="1"/>
  <c r="T1189" i="1" s="1"/>
  <c r="L1187" i="1"/>
  <c r="T1187" i="1" s="1"/>
  <c r="L1186" i="1"/>
  <c r="T1186" i="1" s="1"/>
  <c r="L1183" i="1"/>
  <c r="T1183" i="1" s="1"/>
  <c r="L1182" i="1"/>
  <c r="T1182" i="1" s="1"/>
  <c r="L1178" i="1"/>
  <c r="T1178" i="1" s="1"/>
  <c r="L1176" i="1"/>
  <c r="T1176" i="1" s="1"/>
  <c r="L1175" i="1"/>
  <c r="T1175" i="1" s="1"/>
  <c r="L1174" i="1"/>
  <c r="T1174" i="1" s="1"/>
  <c r="L1173" i="1"/>
  <c r="T1173" i="1" s="1"/>
  <c r="L1170" i="1"/>
  <c r="T1170" i="1" s="1"/>
  <c r="L1169" i="1"/>
  <c r="T1169" i="1" s="1"/>
  <c r="L1168" i="1"/>
  <c r="T1168" i="1" s="1"/>
  <c r="L1166" i="1"/>
  <c r="T1166" i="1" s="1"/>
  <c r="L1164" i="1"/>
  <c r="T1164" i="1" s="1"/>
  <c r="L1157" i="1"/>
  <c r="T1157" i="1" s="1"/>
  <c r="L1152" i="1"/>
  <c r="T1152" i="1" s="1"/>
  <c r="L1146" i="1"/>
  <c r="T1146" i="1" s="1"/>
  <c r="L1144" i="1"/>
  <c r="T1144" i="1" s="1"/>
  <c r="L1135" i="1"/>
  <c r="T1135" i="1" s="1"/>
  <c r="L1116" i="1"/>
  <c r="T1116" i="1" s="1"/>
  <c r="L1094" i="1"/>
  <c r="T1094" i="1" s="1"/>
  <c r="L1093" i="1"/>
  <c r="T1093" i="1" s="1"/>
  <c r="L1092" i="1"/>
  <c r="T1092" i="1" s="1"/>
  <c r="L1091" i="1"/>
  <c r="T1091" i="1" s="1"/>
  <c r="L1090" i="1"/>
  <c r="T1090" i="1" s="1"/>
  <c r="L1089" i="1"/>
  <c r="T1089" i="1" s="1"/>
  <c r="L1088" i="1"/>
  <c r="T1088" i="1" s="1"/>
  <c r="L1087" i="1"/>
  <c r="T1087" i="1" s="1"/>
  <c r="L1086" i="1"/>
  <c r="T1086" i="1" s="1"/>
  <c r="L1085" i="1"/>
  <c r="T1085" i="1" s="1"/>
  <c r="L1084" i="1"/>
  <c r="T1084" i="1" s="1"/>
  <c r="L966" i="1"/>
  <c r="T966" i="1" s="1"/>
  <c r="L770" i="1"/>
  <c r="T770" i="1" s="1"/>
  <c r="L769" i="1"/>
  <c r="T769" i="1" s="1"/>
  <c r="L768" i="1"/>
  <c r="T768" i="1" s="1"/>
  <c r="L767" i="1"/>
  <c r="T767" i="1" s="1"/>
  <c r="L766" i="1"/>
  <c r="T766" i="1" s="1"/>
  <c r="L765" i="1"/>
  <c r="T765" i="1" s="1"/>
  <c r="L764" i="1"/>
  <c r="T764" i="1" s="1"/>
  <c r="L763" i="1"/>
  <c r="T763" i="1" s="1"/>
  <c r="L762" i="1"/>
  <c r="T762" i="1" s="1"/>
  <c r="L761" i="1"/>
  <c r="T761" i="1" s="1"/>
  <c r="L760" i="1"/>
  <c r="T760" i="1" s="1"/>
  <c r="L759" i="1"/>
  <c r="T759" i="1" s="1"/>
  <c r="L758" i="1"/>
  <c r="T758" i="1" s="1"/>
  <c r="L757" i="1"/>
  <c r="T757" i="1" s="1"/>
  <c r="L756" i="1"/>
  <c r="T756" i="1" s="1"/>
  <c r="L681" i="1"/>
  <c r="T681" i="1" s="1"/>
  <c r="L674" i="1"/>
  <c r="T674" i="1" s="1"/>
  <c r="L673" i="1"/>
  <c r="T673" i="1" s="1"/>
  <c r="L672" i="1"/>
  <c r="T672" i="1" s="1"/>
  <c r="L671" i="1"/>
  <c r="T671" i="1" s="1"/>
  <c r="L670" i="1"/>
  <c r="T670" i="1" s="1"/>
  <c r="L668" i="1"/>
  <c r="T668" i="1" s="1"/>
  <c r="L625" i="1"/>
  <c r="T625" i="1" s="1"/>
  <c r="L624" i="1"/>
  <c r="T624" i="1" s="1"/>
  <c r="L621" i="1"/>
  <c r="T621" i="1" s="1"/>
  <c r="L117" i="1"/>
  <c r="T117" i="1" s="1"/>
  <c r="L89" i="1"/>
  <c r="T89" i="1" s="1"/>
  <c r="L74" i="1"/>
  <c r="T74" i="1" s="1"/>
  <c r="L71" i="1"/>
  <c r="T71" i="1" s="1"/>
  <c r="O3668" i="1"/>
  <c r="U3668" i="1" s="1"/>
  <c r="M3576" i="1"/>
  <c r="U3576" i="1" s="1"/>
  <c r="M3549" i="1"/>
  <c r="U3549" i="1" s="1"/>
  <c r="R2768" i="1"/>
  <c r="R2766" i="1"/>
  <c r="R2761" i="1"/>
  <c r="R2759" i="1"/>
  <c r="R2758" i="1"/>
  <c r="R2757" i="1"/>
  <c r="R2756" i="1"/>
  <c r="R2755" i="1"/>
  <c r="R2754" i="1"/>
  <c r="R2753" i="1"/>
  <c r="R2752" i="1"/>
  <c r="R2751" i="1"/>
  <c r="R2749" i="1"/>
  <c r="R2748" i="1"/>
  <c r="R2747" i="1"/>
  <c r="R2744" i="1"/>
  <c r="R2742" i="1"/>
  <c r="R2737" i="1"/>
  <c r="R2734" i="1"/>
  <c r="R2726" i="1"/>
  <c r="R2721" i="1"/>
  <c r="R2625" i="1"/>
  <c r="R2620" i="1"/>
  <c r="R2613" i="1"/>
  <c r="R2610" i="1"/>
  <c r="R2609" i="1"/>
  <c r="R2608" i="1"/>
  <c r="R2606" i="1"/>
  <c r="R2597" i="1"/>
  <c r="R2596" i="1"/>
  <c r="R2593" i="1"/>
  <c r="R2578" i="1"/>
  <c r="R2573" i="1"/>
  <c r="R2572" i="1"/>
  <c r="R2571" i="1"/>
  <c r="R2568" i="1"/>
  <c r="R2567" i="1"/>
  <c r="R2564" i="1"/>
  <c r="R2558" i="1"/>
  <c r="R2556" i="1"/>
  <c r="R2555" i="1"/>
  <c r="R2548" i="1"/>
  <c r="R2540" i="1"/>
  <c r="R2532" i="1"/>
  <c r="R2530" i="1"/>
  <c r="R2526" i="1"/>
  <c r="R2524" i="1"/>
  <c r="R2523" i="1"/>
  <c r="R2522" i="1"/>
  <c r="R2521" i="1"/>
  <c r="R2389" i="1"/>
  <c r="R2360" i="1"/>
  <c r="R2344" i="1"/>
  <c r="R2342" i="1"/>
  <c r="R2339" i="1"/>
  <c r="R2337" i="1"/>
  <c r="R2334" i="1"/>
  <c r="R2318" i="1"/>
  <c r="R2290" i="1"/>
  <c r="R2266" i="1"/>
  <c r="R2236" i="1"/>
  <c r="R2235" i="1"/>
  <c r="R2234" i="1"/>
  <c r="R2231" i="1"/>
  <c r="R2230" i="1"/>
  <c r="R2229" i="1"/>
  <c r="R2228" i="1"/>
  <c r="R2227" i="1"/>
  <c r="R2224" i="1"/>
  <c r="R2222" i="1"/>
  <c r="R2221" i="1"/>
  <c r="R2219" i="1"/>
  <c r="R2218" i="1"/>
  <c r="R2213" i="1"/>
  <c r="R2210" i="1"/>
  <c r="R2198" i="1"/>
  <c r="R2182" i="1"/>
  <c r="R2154" i="1"/>
  <c r="R2123" i="1"/>
  <c r="R2095" i="1"/>
  <c r="R2094" i="1"/>
  <c r="R2093" i="1"/>
  <c r="R2092" i="1"/>
  <c r="R2091" i="1"/>
  <c r="R2089" i="1"/>
  <c r="R2086" i="1"/>
  <c r="R2083" i="1"/>
  <c r="R2082" i="1"/>
  <c r="R2081" i="1"/>
  <c r="R2079" i="1"/>
  <c r="R2078" i="1"/>
  <c r="R2076" i="1"/>
  <c r="R2074" i="1"/>
  <c r="R2073" i="1"/>
  <c r="R2070" i="1"/>
  <c r="R2069" i="1"/>
  <c r="R2068" i="1"/>
  <c r="R2066" i="1"/>
  <c r="R2062" i="1"/>
  <c r="R2060" i="1"/>
  <c r="R2059" i="1"/>
  <c r="R2057" i="1"/>
  <c r="R2056" i="1"/>
  <c r="R2054" i="1"/>
  <c r="R2052" i="1"/>
  <c r="R2051" i="1"/>
  <c r="R2050" i="1"/>
  <c r="R2049" i="1"/>
  <c r="R2048" i="1"/>
  <c r="R2046" i="1"/>
  <c r="R2044" i="1"/>
  <c r="R2040" i="1"/>
  <c r="R2039" i="1"/>
  <c r="R2038" i="1"/>
  <c r="R2037" i="1"/>
  <c r="R2036" i="1"/>
  <c r="R2033" i="1"/>
  <c r="R2032" i="1"/>
  <c r="R2031" i="1"/>
  <c r="R2028" i="1"/>
  <c r="R2027" i="1"/>
  <c r="R2026" i="1"/>
  <c r="R2025" i="1"/>
  <c r="R2024" i="1"/>
  <c r="R2023" i="1"/>
  <c r="R2020" i="1"/>
  <c r="R2019" i="1"/>
  <c r="R2017" i="1"/>
  <c r="R2016" i="1"/>
  <c r="R2015" i="1"/>
  <c r="R2014" i="1"/>
  <c r="R2013" i="1"/>
  <c r="B2012" i="1"/>
  <c r="R2010" i="1"/>
  <c r="R2009" i="1"/>
  <c r="R2008" i="1"/>
  <c r="R2007" i="1"/>
  <c r="R2006" i="1"/>
  <c r="R2005" i="1"/>
  <c r="R2004" i="1"/>
  <c r="R2003" i="1"/>
  <c r="R2002" i="1"/>
  <c r="R2000" i="1"/>
  <c r="R1996" i="1"/>
  <c r="R1995" i="1"/>
  <c r="R1993" i="1"/>
  <c r="R1992" i="1"/>
  <c r="R1991" i="1"/>
  <c r="R1990" i="1"/>
  <c r="R1989" i="1"/>
  <c r="R1988" i="1"/>
  <c r="R1958" i="1"/>
  <c r="B1863" i="1"/>
  <c r="B1827" i="1"/>
  <c r="R1813" i="1"/>
  <c r="M1789" i="1"/>
  <c r="U1789" i="1" s="1"/>
  <c r="R1720" i="1"/>
  <c r="B1686" i="1"/>
  <c r="R1676" i="1"/>
  <c r="R1674" i="1"/>
  <c r="R1671" i="1"/>
  <c r="R1584" i="1"/>
  <c r="R1558" i="1"/>
  <c r="R1499" i="1"/>
  <c r="R1487" i="1"/>
  <c r="R1484" i="1"/>
  <c r="R1477" i="1"/>
  <c r="R1472" i="1"/>
  <c r="R1464" i="1"/>
  <c r="R1461" i="1"/>
  <c r="R1459" i="1"/>
  <c r="R1458" i="1"/>
  <c r="R1457" i="1"/>
  <c r="R1456" i="1"/>
  <c r="R1455" i="1"/>
  <c r="R1453" i="1"/>
  <c r="R1452" i="1"/>
  <c r="R1449" i="1"/>
  <c r="R1440" i="1"/>
  <c r="R1439" i="1"/>
  <c r="R1438" i="1"/>
  <c r="R1437" i="1"/>
  <c r="R1436" i="1"/>
  <c r="R1435" i="1"/>
  <c r="R1434" i="1"/>
  <c r="R1433" i="1"/>
  <c r="R1432" i="1"/>
  <c r="R1431" i="1"/>
  <c r="R1430" i="1"/>
  <c r="R1429" i="1"/>
  <c r="R1428" i="1"/>
  <c r="R1427" i="1"/>
  <c r="R1426" i="1"/>
  <c r="R1425" i="1"/>
  <c r="R1424" i="1"/>
  <c r="R1423" i="1"/>
  <c r="R1422" i="1"/>
  <c r="R1421" i="1"/>
  <c r="R1420" i="1"/>
  <c r="R1415" i="1"/>
  <c r="R1414" i="1"/>
  <c r="R1413" i="1"/>
  <c r="R1410" i="1"/>
  <c r="R1409" i="1"/>
  <c r="R1405" i="1"/>
  <c r="R1404" i="1"/>
  <c r="R1403" i="1"/>
  <c r="R1402" i="1"/>
  <c r="R1401" i="1"/>
  <c r="R1399" i="1"/>
  <c r="R1397" i="1"/>
  <c r="R1396" i="1"/>
  <c r="R1395" i="1"/>
  <c r="R1394" i="1"/>
  <c r="R1392" i="1"/>
  <c r="R1391" i="1"/>
  <c r="R1390" i="1"/>
  <c r="R1389" i="1"/>
  <c r="R1388" i="1"/>
  <c r="R1386" i="1"/>
  <c r="R1385" i="1"/>
  <c r="R1380" i="1"/>
  <c r="R1379" i="1"/>
  <c r="R1378" i="1"/>
  <c r="R1377" i="1"/>
  <c r="R1375" i="1"/>
  <c r="R1374" i="1"/>
  <c r="R1373" i="1"/>
  <c r="R1372" i="1"/>
  <c r="R1371" i="1"/>
  <c r="R1370" i="1"/>
  <c r="R1369" i="1"/>
  <c r="R1368" i="1"/>
  <c r="R1367" i="1"/>
  <c r="R1366" i="1"/>
  <c r="R1365" i="1"/>
  <c r="R1364" i="1"/>
  <c r="R1362" i="1"/>
  <c r="R1361" i="1"/>
  <c r="R1360" i="1"/>
  <c r="R1359" i="1"/>
  <c r="R1356" i="1"/>
  <c r="R1355" i="1"/>
  <c r="R1354" i="1"/>
  <c r="R1351" i="1"/>
  <c r="R1348" i="1"/>
  <c r="R1346" i="1"/>
  <c r="R1345" i="1"/>
  <c r="R1343" i="1"/>
  <c r="R1342" i="1"/>
  <c r="R1341" i="1"/>
  <c r="R1338" i="1"/>
  <c r="R1337" i="1"/>
  <c r="R1335" i="1"/>
  <c r="R1334" i="1"/>
  <c r="R1333" i="1"/>
  <c r="R1332" i="1"/>
  <c r="R1331" i="1"/>
  <c r="R1330" i="1"/>
  <c r="R1329" i="1"/>
  <c r="S1318" i="1"/>
  <c r="R1310" i="1"/>
  <c r="R1245" i="1"/>
  <c r="M1245" i="1"/>
  <c r="S1239" i="1"/>
  <c r="I1239" i="1"/>
  <c r="S1238" i="1"/>
  <c r="I1238" i="1"/>
  <c r="J1229" i="1"/>
  <c r="J1230" i="1" s="1"/>
  <c r="S1225" i="1"/>
  <c r="I1225" i="1"/>
  <c r="I1220" i="1"/>
  <c r="S1218" i="1"/>
  <c r="S1214" i="1"/>
  <c r="S1211" i="1"/>
  <c r="S1208" i="1"/>
  <c r="I1208" i="1"/>
  <c r="S1207" i="1"/>
  <c r="I1207" i="1"/>
  <c r="S1200" i="1"/>
  <c r="S1196" i="1"/>
  <c r="S1195" i="1"/>
  <c r="S1186" i="1"/>
  <c r="S1178" i="1"/>
  <c r="S1168" i="1"/>
  <c r="S1164" i="1"/>
  <c r="S1162" i="1"/>
  <c r="S1161" i="1"/>
  <c r="S1157" i="1"/>
  <c r="S1144" i="1"/>
  <c r="S1112" i="1"/>
  <c r="B1082" i="1"/>
  <c r="R1070" i="1"/>
  <c r="B1065" i="1"/>
  <c r="B1064" i="1"/>
  <c r="B1063" i="1"/>
  <c r="B1062" i="1"/>
  <c r="B1061" i="1"/>
  <c r="B1060" i="1"/>
  <c r="B1023" i="1"/>
  <c r="B985" i="1"/>
  <c r="B969" i="1"/>
  <c r="B968" i="1"/>
  <c r="B967" i="1"/>
  <c r="B966" i="1"/>
  <c r="B965" i="1"/>
  <c r="B964" i="1"/>
  <c r="B963" i="1"/>
  <c r="B962" i="1"/>
  <c r="B955" i="1"/>
  <c r="B945" i="1"/>
  <c r="B907" i="1"/>
  <c r="B906" i="1"/>
  <c r="B904" i="1"/>
  <c r="B903" i="1"/>
  <c r="B902" i="1"/>
  <c r="B901" i="1"/>
  <c r="B898" i="1"/>
  <c r="B897" i="1"/>
  <c r="B896" i="1"/>
  <c r="B895" i="1"/>
  <c r="B894" i="1"/>
  <c r="B893" i="1"/>
  <c r="B892" i="1"/>
  <c r="B891" i="1"/>
  <c r="B888" i="1"/>
  <c r="B887" i="1"/>
  <c r="B886" i="1"/>
  <c r="B885" i="1"/>
  <c r="B883" i="1"/>
  <c r="B882" i="1"/>
  <c r="B880" i="1"/>
  <c r="B879" i="1"/>
  <c r="B877" i="1"/>
  <c r="B876" i="1"/>
  <c r="B875" i="1"/>
  <c r="B874" i="1"/>
  <c r="B873" i="1"/>
  <c r="B872" i="1"/>
  <c r="B868" i="1"/>
  <c r="B867" i="1"/>
  <c r="B866" i="1"/>
  <c r="B865" i="1"/>
  <c r="B863" i="1"/>
  <c r="B862" i="1"/>
  <c r="B861" i="1"/>
  <c r="B860" i="1"/>
  <c r="B859" i="1"/>
  <c r="B858" i="1"/>
  <c r="B857" i="1"/>
  <c r="B856" i="1"/>
  <c r="B855" i="1"/>
  <c r="B854" i="1"/>
  <c r="B833" i="1"/>
  <c r="B809" i="1"/>
  <c r="B783" i="1"/>
  <c r="B782" i="1"/>
  <c r="B780" i="1"/>
  <c r="B779" i="1"/>
  <c r="B778" i="1"/>
  <c r="B754" i="1"/>
  <c r="B753" i="1"/>
  <c r="B752" i="1"/>
  <c r="R239" i="1"/>
  <c r="M190" i="1"/>
  <c r="U190" i="1" s="1"/>
  <c r="R155" i="1"/>
  <c r="R151" i="1"/>
  <c r="R145" i="1"/>
  <c r="R141" i="1"/>
  <c r="R136" i="1"/>
  <c r="R132" i="1"/>
  <c r="R126" i="1"/>
  <c r="R125" i="1"/>
  <c r="R115" i="1"/>
  <c r="R113" i="1"/>
  <c r="R96" i="1"/>
  <c r="R91" i="1"/>
  <c r="R87" i="1"/>
  <c r="R85" i="1"/>
  <c r="R84" i="1"/>
  <c r="R78" i="1"/>
  <c r="R75" i="1"/>
  <c r="R74" i="1"/>
  <c r="R54" i="1"/>
  <c r="R40" i="1"/>
  <c r="J1237" i="1" l="1"/>
  <c r="J1244" i="1" s="1"/>
  <c r="J1235" i="1"/>
  <c r="J1222" i="1"/>
  <c r="J1223" i="1" s="1"/>
  <c r="J122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Marín Cambranis Rafael Humberto</author>
    <author>Lic. Rosa Reyes Rodríguez</author>
  </authors>
  <commentList>
    <comment ref="I2117" authorId="0" shapeId="0" xr:uid="{00000000-0006-0000-0000-000001000000}">
      <text>
        <r>
          <rPr>
            <sz val="9"/>
            <color indexed="81"/>
            <rFont val="Tahoma"/>
            <family val="2"/>
          </rPr>
          <t xml:space="preserve">son 19 municipios afectados del Estado de San Luis Potosí
</t>
        </r>
      </text>
    </comment>
    <comment ref="I2119" authorId="0" shapeId="0" xr:uid="{00000000-0006-0000-0000-000002000000}">
      <text>
        <r>
          <rPr>
            <sz val="9"/>
            <color indexed="81"/>
            <rFont val="Tahoma"/>
            <family val="2"/>
          </rPr>
          <t xml:space="preserve">En Tamaulipas existen 43 municipios afectados
</t>
        </r>
      </text>
    </comment>
    <comment ref="I2122" authorId="0" shapeId="0" xr:uid="{00000000-0006-0000-0000-000003000000}">
      <text>
        <r>
          <rPr>
            <sz val="9"/>
            <color indexed="81"/>
            <rFont val="Tahoma"/>
            <family val="2"/>
          </rPr>
          <t xml:space="preserve">13 MUNICIPIOS AFECTADOS EN CHIHUAHUA
</t>
        </r>
      </text>
    </comment>
    <comment ref="I2123" authorId="0" shapeId="0" xr:uid="{00000000-0006-0000-0000-000004000000}">
      <text>
        <r>
          <rPr>
            <sz val="9"/>
            <color indexed="81"/>
            <rFont val="Tahoma"/>
            <family val="2"/>
          </rPr>
          <t xml:space="preserve">38 municipios afectados en Veracruz
</t>
        </r>
      </text>
    </comment>
    <comment ref="I2126" authorId="0" shapeId="0" xr:uid="{00000000-0006-0000-0000-000005000000}">
      <text>
        <r>
          <rPr>
            <sz val="9"/>
            <color indexed="81"/>
            <rFont val="Tahoma"/>
            <family val="2"/>
          </rPr>
          <t>EN GUANAJUATO 39 MUNICIPIOS DAÑADOS</t>
        </r>
      </text>
    </comment>
    <comment ref="I2129" authorId="0" shapeId="0" xr:uid="{00000000-0006-0000-0000-000006000000}">
      <text>
        <r>
          <rPr>
            <sz val="9"/>
            <color indexed="81"/>
            <rFont val="Tahoma"/>
            <family val="2"/>
          </rPr>
          <t xml:space="preserve">EN TOTAL SON 51 MUNICIPIOS AFECTADOS EN MICOACAN OCAMPO
</t>
        </r>
      </text>
    </comment>
    <comment ref="I2133" authorId="0" shapeId="0" xr:uid="{00000000-0006-0000-0000-000007000000}">
      <text>
        <r>
          <rPr>
            <b/>
            <sz val="9"/>
            <color indexed="81"/>
            <rFont val="Tahoma"/>
            <family val="2"/>
          </rPr>
          <t>SON MAS DE 10 MUNICIPIOS AFECTADOS</t>
        </r>
        <r>
          <rPr>
            <sz val="9"/>
            <color indexed="81"/>
            <rFont val="Tahoma"/>
            <family val="2"/>
          </rPr>
          <t xml:space="preserve">
</t>
        </r>
      </text>
    </comment>
    <comment ref="I2137" authorId="0" shapeId="0" xr:uid="{00000000-0006-0000-0000-000008000000}">
      <text>
        <r>
          <rPr>
            <sz val="9"/>
            <color indexed="81"/>
            <rFont val="Tahoma"/>
            <family val="2"/>
          </rPr>
          <t xml:space="preserve">SON 38 MUNICIPOS AFECTADOS
</t>
        </r>
      </text>
    </comment>
    <comment ref="J2240" authorId="1" shapeId="0" xr:uid="{00000000-0006-0000-0000-000009000000}">
      <text>
        <r>
          <rPr>
            <b/>
            <sz val="9"/>
            <color indexed="81"/>
            <rFont val="Tahoma"/>
            <family val="2"/>
          </rPr>
          <t>Corroborar si hubo declaratoria de emergencia o desastres.</t>
        </r>
      </text>
    </comment>
  </commentList>
</comments>
</file>

<file path=xl/sharedStrings.xml><?xml version="1.0" encoding="utf-8"?>
<sst xmlns="http://schemas.openxmlformats.org/spreadsheetml/2006/main" count="23912" uniqueCount="6268">
  <si>
    <t>Fecha de Inicio</t>
  </si>
  <si>
    <t>Fecha de Fin</t>
  </si>
  <si>
    <t>Año</t>
  </si>
  <si>
    <t>Clasificación del fenómeno</t>
  </si>
  <si>
    <t>Tipo de fenómeno</t>
  </si>
  <si>
    <t>Estado</t>
  </si>
  <si>
    <t>Municipios Afectados</t>
  </si>
  <si>
    <t>Descripcion general de los daños</t>
  </si>
  <si>
    <t>Defunciones</t>
  </si>
  <si>
    <t xml:space="preserve">Población afectada </t>
  </si>
  <si>
    <t>Viviendas dañadas</t>
  </si>
  <si>
    <t>Escuelas</t>
  </si>
  <si>
    <t xml:space="preserve">Hospitales </t>
  </si>
  <si>
    <t>Comercios</t>
  </si>
  <si>
    <t>Area de cultivo dañada / pastizales (h)</t>
  </si>
  <si>
    <t>Total de daños (millones de pesos)</t>
  </si>
  <si>
    <t>Fuente</t>
  </si>
  <si>
    <t xml:space="preserve">Geológico </t>
  </si>
  <si>
    <t>CDMX, Estado de Mexico, Morelos, Puebla, Tlaxcala</t>
  </si>
  <si>
    <t>Amecameca</t>
  </si>
  <si>
    <t>El Actividad Volcanica Popocatépetl hizo erupcion con una fuerza que no se registraba hace por lo menos 500 años. Una sucesion de explosiones hicieron volar en pedazos una porcion pequeña del domo del crater. Lanzo toneladas de piedras y rocas al rojo vivo, lava y cenizas ardientes, y derramo por la ladera este una profusa cantidad de material incandescente. se aplicara plan DN-III.</t>
  </si>
  <si>
    <t>CENAPRED</t>
  </si>
  <si>
    <t>Hidrometeorológico</t>
  </si>
  <si>
    <t>Sequía</t>
  </si>
  <si>
    <t>Aguascalientes</t>
  </si>
  <si>
    <t>Varios Municipios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</si>
  <si>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asigno a este estado una cantidad de 25, 112 miles de pesos, para solventar los daños, por este fenomeno.</t>
  </si>
  <si>
    <t>Baja California</t>
  </si>
  <si>
    <t>Baja California Sur</t>
  </si>
  <si>
    <t>Los Cabos, La Paz</t>
  </si>
  <si>
    <t>La Tormenta Tropical Miriam, afecto Severamente las costas de este Estado, por lo que se le destino un total de 7, 038 miles de pesos, para mitigar los daños causados por este fenomeno</t>
  </si>
  <si>
    <t>Chiapas</t>
  </si>
  <si>
    <t xml:space="preserve">El Huracan Keith se acerco peligrosamente a los costas de Quintana Roo, que por la intensidad de sus vientos acompañados con lluvias llego a categoria 3 estos tambien afectaron la parte norte de Chiapas. </t>
  </si>
  <si>
    <t xml:space="preserve">Reportado como otros </t>
  </si>
  <si>
    <t>Chihuahua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</si>
  <si>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120, 000 miles de pesos, para solventar los daños, por este fenomeno.</t>
  </si>
  <si>
    <t>La temperatura promedio durante todo el mes fue de 2° C, esto ocasiono la muerte de 70 personas, es decir por hipotermia e intoxicación de Gas butano, quemaduras y otras, que generalmente se presentaron en grupos sociales con pobreza</t>
  </si>
  <si>
    <t>Coahuila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</si>
  <si>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62, 000 miles de pesos, para solventar los daños, por este fenomeno.</t>
  </si>
  <si>
    <t>Colima</t>
  </si>
  <si>
    <t>La depresion y tormenta Tropical Norman, causo los dañosen viviendas, caminos y servicios, que afectaron los vientos de 55 Km/h y rachas de 75 Km/h.</t>
  </si>
  <si>
    <t>Durango</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</si>
  <si>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45, 000 miles de pesos, para solventar los daños, por este fenomeno.</t>
  </si>
  <si>
    <t>México</t>
  </si>
  <si>
    <t>Valle de Chalco Solidaridad, Chalco, Ixtapaluca</t>
  </si>
  <si>
    <t>El Bordo izquierdo del Río de la Conmpañia se erosiono, provocando que rompiera aguas abajo del cruce con la autopista Mexico-Puebla e inundando 80ha de las colonias vecinas, afectando a 2,000 personas , en total se destinaron 1, 086 miles de pesos, para la resurcion de los daños.</t>
  </si>
  <si>
    <t>Guanajuato</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</si>
  <si>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73, 994 miles de pesos, para solventar los daños, por este fenomeno.</t>
  </si>
  <si>
    <t>Guerrero</t>
  </si>
  <si>
    <t>81 municipios</t>
  </si>
  <si>
    <t>Afectaciones por la interacción de los huracanes Ingrid Manuel en el estado de Guerrero. Fueron dos declaratorias de desastres una por 56 municipios y otra por 25, es decir por una total de 81 municpios, la totalidad del estado.</t>
  </si>
  <si>
    <t>Jalisco</t>
  </si>
  <si>
    <t>Michoacán</t>
  </si>
  <si>
    <t>La depresion y tormenta Tropical Norman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</si>
  <si>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9, 320 miles de pesos, para solventar los daños, por este fenomeno.</t>
  </si>
  <si>
    <t>Morelos</t>
  </si>
  <si>
    <t>Nayarit</t>
  </si>
  <si>
    <t>Nuevo León</t>
  </si>
  <si>
    <t>Allende, Anahuac, Apodaca, Gral. Escobedo, Gral. Teran, Guadalupe, Linares, Monterrey, Sabinas Hidalgo, San Pedro Garza Garcia, Santa. Catarina, Santiago</t>
  </si>
  <si>
    <t>Las remanencias del Huracan Keith, junto con la entrada del Frente Frío No. 4 causaron que se dieran graves lluvias, las cuales provocaron severas inundaciones, deslaves, desbordamiento en presas e interrupcion en los servicios. Afortunadamente no se registraron Perdidas Humanas, un total de 130 personas fueron rescatadas y mas de 5 mil personas fueron evacuadas. En total los daños ascienden a 115.6 millones de pesos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</si>
  <si>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51 825 miles de pesos, para solventar los daños, por este fenomeno.</t>
  </si>
  <si>
    <t>Oaxaca</t>
  </si>
  <si>
    <t>Puerto Angel</t>
  </si>
  <si>
    <t>La tormenta Tropiccal Rosa, con vientos de 50 Km/h al acercarse a la costa, se disipo a 15 Km de ella, esto garantizo para que no hubiera mas daño a la region, pues se le destino 254.2 miles de pesos para la recontruccion</t>
  </si>
  <si>
    <t>Puebla</t>
  </si>
  <si>
    <t>Tras la presencia intensa de temperaturas bajas todo el mes de diciembre se decidio destinar 9, 829 miles de pesos para resarcir los daños provocados, por las Bajas Temperaturas.</t>
  </si>
  <si>
    <t>Querétaro</t>
  </si>
  <si>
    <t>Amealco de Bonfil y Tolimán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</si>
  <si>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14, 193 miles de pesos, para solventar los daños, por este fenomeno.</t>
  </si>
  <si>
    <t>Quintana Roo</t>
  </si>
  <si>
    <t>San Luis Potosí</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</si>
  <si>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16, 289 miles de pesos, para solventar los daños, por este fenomeno.</t>
  </si>
  <si>
    <t>Sinaloa</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</si>
  <si>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53, 441 miles de pesos, para solventar los daños, por este fenomeno.</t>
  </si>
  <si>
    <t>Sonora</t>
  </si>
  <si>
    <t>Alconchi, Alamos, Altar,  Arizpe, Atil, Bacoachi, Banamichi, Baviacora, Benjamin Hill, Caborca, Carbo, Cucurpe, Guaymas, Hermosillo, Huepac, Huatabampo, Magdalena, Nogales, Apodepe, Pitiquito, Rayon, San Felipe de Jesus, San Miguel de orcasitas, Santa Ana, Santa Cruz, Trincheras, Tubutama, Ures</t>
  </si>
  <si>
    <t>El Frente frío no. 6 ocasionó lluvias en promedio de 20 a 40 mm afectando a varios sectores de la población</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</si>
  <si>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56, 080 miles de pesos, para solventar los daños, por este fenomeno.</t>
  </si>
  <si>
    <t>Tamaulipas</t>
  </si>
  <si>
    <t>Carbonera, Pesca, Carrizo</t>
  </si>
  <si>
    <t>Con vientos maximos de 75 Km/h el Huracan Beryl, provoco daños a la infraestructura de la region y severos daños a los servicios. Afortunadamente no se presento ninguna calamidad</t>
  </si>
  <si>
    <t>Tamaulipas, Veracruz</t>
  </si>
  <si>
    <t>Gomez Farias, Ocampo, Xicotencatl, El Mante, Llera, Victoria, Tampico, Gonzalez</t>
  </si>
  <si>
    <t>El Huracan Keith, perdio fuerza en lo que se internaba a estos estados, por lo que la maxima de vientos fue de 90Km por hora, que ocasiono daños moderados a estos estados, sin consecuencias humanas, el total de fondos pedidos al FONDEN fue de 117,167 miles de pesos</t>
  </si>
  <si>
    <t>Tlaxcala</t>
  </si>
  <si>
    <t>Tras la presencia intensa de temperaturas bajas todo el mes de diciembre se decidio destinar 4, 777 miles de pesos para resarcir los daños provocados, por las Bajas Temperaturas.</t>
  </si>
  <si>
    <t>Varios Estados</t>
  </si>
  <si>
    <t>Suministros y equipamiento de diversas dependencias</t>
  </si>
  <si>
    <t>Zacatecas</t>
  </si>
  <si>
    <t>Las sequias se forman con lentitud, afectan mas vidas, que es dificil estimar cuanta gente es afectada pues afecta generalmente a regiones muy grandes, ademas las cosechas se pierden, los precios de los alimentos se disparan, el ganado muere de hambre, los mantos freaticos desaparecen y los incendios estallan, por eso se le asigo a este estado una cantidad de 42, 278 miles de pesos, para solventar los daños, por este fenomeno.</t>
  </si>
  <si>
    <t>Las intensas sequias afectaron considerablemente las actividades ganaderas, agrícolas y comerciales, en este Estado por lo que se destino la cantidad de 44.3 millones de pesos, del FONDEN.</t>
  </si>
  <si>
    <t>Las intensas sequias afectaron considerablemente las actividades ganaderas, agrícolas y comerciales, en este Estado, por lo que se destino la cantidad de 185.9 millones de pesos, del FONDEN.</t>
  </si>
  <si>
    <t>Las intensas sequias afectaron considerablemente las actividades ganaderas, agrícolas y comerciales, en este Estado, por lo que se destino la cantidad de 4.8 millones de pesos, del FONDEN.</t>
  </si>
  <si>
    <t>Acapulco de Juárez, Atoyac de Álvarez, 
Coahuayutla de José María Izazaga, Coyuca de Benítez, Florencio Villarreal, Iliatenco, La Unión de
Isidoro Montes de Oca, Marquelia, Ometepec y Zihuatanejo de Azueta</t>
  </si>
  <si>
    <t>Se registro la entrega de insumos debido a la presencia de lluvia severa en el estado. Debido a los efectos sobre en la infraestructura se solicitó la declartoria de desastre para los municipios de :Acapulco de Juárez, Atoyac de Álvarez, Azoyú, Benito Juárez, Coyuca de Benítez, Florencio Villareal, Iliatenco, Ometepec</t>
  </si>
  <si>
    <t>SD</t>
  </si>
  <si>
    <t>SINAPROC FONDEN</t>
  </si>
  <si>
    <t>Chiapas, Michoacan, Nuevo Leon, Quintana Roo</t>
  </si>
  <si>
    <t>. En el mes de Septiembre  fue el mes que se pesento con mayor intensidad el fenomeno, provocando un total  de 95 personas muertas entre los 4 estados, Chiapas, Quintana Roo, Michoacan y Nuevo Leon con una poblacion afectada de 126, 954 personas, un total de de 14,102 viviendas dañadas, 18 escuelas afectadas, 10000 ha de area de cultivo y 800 Km de carreteras dañadas y 57 brotes de paludismo.</t>
  </si>
  <si>
    <t>Guaymas, Sahuaripa, Puerto Peñasco, Benito Juarez, San Ignacio Rio Muerto, Benjamin Hill, Hermosillo, Caborca, Alamos, Bacum, Huatabampo, Magdalena, Empalme, Cajeme,  Etchojoa, Alamos, Navojoa, Quiriego, Huatabampo</t>
  </si>
  <si>
    <t>El Huracan Juliette, llego a Sonora como categoria 1 en la  escala Saffir-Simpson, la maxima categoria fue 4, esto no impidio que vientos de 120 Km/h afectaran al Estado, provocando lluvias e inundaciones, esto se complico tambien debido al saturamiento de las presas y el resurgimiento de antiguos arroyos, el total de daños se estimo en  905.15 millones de pesos, el 75% fueron perdidas en infraestructura y el 25% restante en Produccion agricola y pesquera.</t>
  </si>
  <si>
    <t>Mulege, Loreto, Comundu, La Paz, Los Cabos</t>
  </si>
  <si>
    <t>El Huaracan Juliette dejo gastos por daños de 850.15 millones de pesos, 2 decesos, 58 934 personas afectadas, 3529 viviendas afectadas, 138 escuelas dañadas y 2,296.10 Km de carrtera y caminos rurales afectados, ademas se afectaron una aprox. de 2,600 hectareas de cultivo, los albergues dieron atencion a 6,000 personas</t>
  </si>
  <si>
    <t>Los efectos del Huracan Iris, fue la muerte de 23 personas, 2100 personas afectadas, 884 viviendas afectadas, así como dos escuelas y un area decultivo de 240 ha.afectadas</t>
  </si>
  <si>
    <t>Los efectos del Huracan Iris, provocaron daños a la infraestructura del lugar, inundaciones e interrupcion de servicios, por lo que 2,500 personas tuvieron que ser evacuadas</t>
  </si>
  <si>
    <t>Las consecuencia de las fuertes nubosidades, del Huracan Iris, provocaron que por las fuertes lluvias se perdieran 11 200 ha de cultivo, por lo que se le asigno la cantidad de 13.4 millones de pesos, para cubrir los daños</t>
  </si>
  <si>
    <t>Se presentaron fuertes lluvias, debido a los desprendimientos del Huracan Iris y a los vientos del huracan  Chantal, lo que causo daños en la infraestructura ganadera y productiva, como daños en viviendas de la Region, por lo cual se le asigno una cantidad de 185 millones de pesos</t>
  </si>
  <si>
    <t>Chihuahua, Durango, Estado de Mexico, Puebla, Sonora, Tlaxcala</t>
  </si>
  <si>
    <t>Se dieron 36 muertos, 2637 casos de enfermedades respiratorias y 886 personas sufrieron algun incidente causado por las bajas temperaturas.</t>
  </si>
  <si>
    <t xml:space="preserve">19 municipios afectados </t>
  </si>
  <si>
    <t xml:space="preserve">El sismo del 19 de septiembre de 2017 ocurrió exactamente a las 13:14:40, tuvo su epicentro en la latitud 18.40 norte, longitud 98.72 oeste, a una profundidad de 57 kilómetros, a 12 kilómetros al sureste de Axochiapan, Morelos, en el límite con el estado de Puebla.
</t>
  </si>
  <si>
    <t>FONDEN/CENAPRED</t>
  </si>
  <si>
    <t xml:space="preserve">Campeche </t>
  </si>
  <si>
    <t xml:space="preserve"> Cármen, Atasta y Escárcega.</t>
  </si>
  <si>
    <t>Los municipios afectados son Cármen, Atasta y Escárcega.</t>
  </si>
  <si>
    <t>CENACOM</t>
  </si>
  <si>
    <t>Angostura, Guasave y el Valle del Carrizo</t>
  </si>
  <si>
    <t>Los cultivos afectados son de maíz, frijol y legumbres pertenecientes a los municipios de Angostura, Guasave y el Valle del Carrizo.</t>
  </si>
  <si>
    <t xml:space="preserve">Ciudad de México </t>
  </si>
  <si>
    <t>Tlalpan</t>
  </si>
  <si>
    <t>Los poblados afectados son Santo Tomás Ajusco, San Andrés Toltepec, San Miguel Xicalco, Magdalena Pletacalco, San Pedro Martir y San Miguel Ajusco (delegación Tlalpan).</t>
  </si>
  <si>
    <t>Hidalgo</t>
  </si>
  <si>
    <t>Pachuca.</t>
  </si>
  <si>
    <t>Las colonias afectadas son Villas del Álamo, La Providencia, Mineral de la Reforma, Unión Chacón, Real de Minas, Francisco I. Madero y Felipe Ángeles; dentro del municipio de Pachuca.</t>
  </si>
  <si>
    <t>Yucatán</t>
  </si>
  <si>
    <t>-</t>
  </si>
  <si>
    <t>Morelia</t>
  </si>
  <si>
    <t>Daños en las vías de acceso de la ciudad de Morelia.</t>
  </si>
  <si>
    <t>Entre los municipios afectados se encuentra San Fernando.</t>
  </si>
  <si>
    <t>Acapulco, Zihuatanejo, Atoyac de Álvarez, Benito Juárez, Chilpancingo, Técpan de Galeana, Ometepec, Cuajinicuilapa, Tierra Colorada y Alcozauca. (54 mun en total)</t>
  </si>
  <si>
    <t>TT Narda: 1 persona desaparecida. - 52 municipios con reportes de daños. - 21 personas rescatadas. - 2,294 viviendas con inundación. - 20 colapsos en viviendas. - 215 viviendas dañadas por deslaves de cerros. - 321 viviendas con daños en techos. - 23 afectaciones en escuelas SEG. - 1 inundación de hospital. - 1 inundación de catedral. - 251 enramadas. - 376 árboles caídos. - 3 incendios de palmeras por caída de rayos. - 19 bardas caídas. - 34 postes caídos. - 6 espectaculares caídos. - 23 puentes colapsados. - 249 derrumbes. - 41 deslizamientos de rocas. - 32 deslizamientos / socavones. - 10 ríos desbordados. - 10 municipios incomunicados. 41 personas en algún refugio temporal. Daños en vías de comunicación en proceso de atención</t>
  </si>
  <si>
    <t>CENACOM-FONDEN</t>
  </si>
  <si>
    <t>Almoloya de Juárez</t>
  </si>
  <si>
    <t>En Ecatepec afectaciones en 12 viviendas, 7 de ellas con pérdida total por ser de material endeble. En Almoloya de Juárez inundaciones en algunas viviendas</t>
  </si>
  <si>
    <t>Inundaciones en viviendas con pérdida de techos de material endeble. Derrumbes en bardas y deslaves, acumulación de lodo. La creciente del río Chico arrastró un vehículo. No se cuantifican los daños materiales</t>
  </si>
  <si>
    <t>En Morelia, pérdida de techos de material endeble de algunas viviendas. Se instaló un albergue para atender a 70 personas que vieron afectadas sus viviendas.</t>
  </si>
  <si>
    <t>Fresnillo</t>
  </si>
  <si>
    <t>Fresnillo. Inundaciones en 4 viviendas y en una escuela secundaria. Guadalupe. Encharcamiento y acumulación de lodo afectando a 150 viviendas y algunos caminos. Desbordamiento de la presa El Infalte. Panuco.Inundación de 400 viviendas y afectaciones a cultivos. Entrega de 400 cobertores, 300 despensas y 100 catres. Cañitas. Afectación en la presa de Boquilla de abajo. No se tiene el dato de las viviendas afectadas por las inundaciones. Morelos. Encharcamiento e inundación a un gran número de viviendas no cuantificadas. Caída de varios postes de energía eléctrica. Calera.Encharcamiento e inundación a un gran número de viviendas no cuantificadas. Zacatecas. Se afectaron dos viviendas en la comunidad El Lorito. Pánfilo Natera. Han resultado 10 mil personas afectadas en el municipio.</t>
  </si>
  <si>
    <t>os Alicantes</t>
  </si>
  <si>
    <t>Pérdida total de los cultivos del municipio de Los Alicantes.</t>
  </si>
  <si>
    <t>Desbordamiento de varias presas.</t>
  </si>
  <si>
    <t>Fresnillo, Pánuco, Cañitas, Morelos, Calera, Genaro Codina, Pánfilo Natera, Zacatecas, Guadalupe, Vetagrande, Ojocaliente y Loreto</t>
  </si>
  <si>
    <t>Los municipios de Fresnillo, Pánuco, Cañitas, Morelos, Calera, Genaro Codina, Pánfilo Natera, Zacatecas, Guadalupe, Vetagrande, Ojocaliente y Loreto resultaron afectados.</t>
  </si>
  <si>
    <t>Hecelchakán.</t>
  </si>
  <si>
    <t>Inundaciones en los domicilios de 18 familias en el municipio de Hecelchakán.</t>
  </si>
  <si>
    <t>Deslave de un cerro.</t>
  </si>
  <si>
    <t>29 municipios por el sismo y 9 mas por las replicas</t>
  </si>
  <si>
    <t>En el estado de Guerrero, el sismo se presentaron afectaciones principalmente en los sectores sociales, de los que las viviendas sufrieron los mayores efectos, presentando fisuras menores.</t>
  </si>
  <si>
    <t>Viviendas inundadas en las comunidades de Villa Flores y San Critóbal. Daño a 29 viviendas en sus techos de material endeble principalmente por la granizada.</t>
  </si>
  <si>
    <t>FONDEN</t>
  </si>
  <si>
    <t>Los daños ocurrieron el Teul González de Ortega.</t>
  </si>
  <si>
    <t>Las lluvias provocaron apagones en diversas colonias de la ciudad y dejaron decenas de vehículos varados.</t>
  </si>
  <si>
    <t>Afectaciones a 64 domicilios en los barrios de Sausal, Bonampak y Nuevo.</t>
  </si>
  <si>
    <t>Afectación de 5 viviendas en la localidad de La Cruz, una de ellas de pérdida total.</t>
  </si>
  <si>
    <t>Tamazunchale</t>
  </si>
  <si>
    <t>Tamazunchale, evacuación por la posibilidad de deslaves. Posible reubicación de domicilios debido al costo que representa dinamitar un cerro de riesgo.</t>
  </si>
  <si>
    <t>Acapulco de Juárez, Benito Juárez, Coyuca de Benítez, Atoyac de Álvarez, Zihuatanejo, Ometepec, Marquelia, Iguala, Juchitán, San Luis Catalán, Florencio Villareal, San Marcos, Cuajinicuilapa, Azoyú, Cuautepec y Tecoanapa.</t>
  </si>
  <si>
    <t xml:space="preserve">Derivado del paso del ciclón tropical Max, por el estado de Guerrero, se presentan las siguientes afectaciones a consecuencia de las lluvias e inundaciones generadas:  •             Se reportan 439 viviendas con penetración de agua y 4 colapsadas. •   4 escuelas con penetración de agua y 1 con caída de barda. •   9 ríos desbordados. •    5 localidades incomunicadas. • 2 derrumbes sobre caminos. •          1 puente colapsado en Bocanita, municipio de Cuautepec. •     1 socavón. •      Cortes intermitentes de energía eléctrica. •     65 Árboles caídos.  Se están realizando las siguientes acciones:  •                Se han evacuado 59 familias. Están habilitados 15 refugios temporales en la zona de la costa chica, de los cuales 8 ya están activos con 58 personas. •               </t>
  </si>
  <si>
    <t>FONDEN-CENACOM</t>
  </si>
  <si>
    <t>Calakmul</t>
  </si>
  <si>
    <t>La comunidad de Pioneros del  Río, en el municipio de Calakmul parcialmente incomunicada. Sin cuantificar los daños a la infraestrutura dañada.</t>
  </si>
  <si>
    <t>La Cruz</t>
  </si>
  <si>
    <t>Los daños ocurrieron en el poblado de Los Alicantes en el municipio de La Cruz.</t>
  </si>
  <si>
    <t xml:space="preserve">Entrega de 251 despensas y 16 cobertores en varias comunidades debido a que se encuentran incomunicadas ya que la carretera principal sufrió daños. </t>
  </si>
  <si>
    <t>Afectación de 60 viviendas, 10 de ellas con pérdida total. El 50% de la población de Javier Mina se enuentra sin energía eléctrica y el 30% de la cabecera municipal. Además se registró daño parcial a 5 puentes y daño total en uno. Afectación de la red de agua potable y en la red carretera de Zaragoza al entronque a la carretera a Puebla</t>
  </si>
  <si>
    <t>Encharcamiento en viviendas y avenidas, los cuales fueron atendidos por los bomberos.</t>
  </si>
  <si>
    <t>Huajuapan de León</t>
  </si>
  <si>
    <t>El incidente se reportó en Huajuapan de León.</t>
  </si>
  <si>
    <t>En Morelia, problemas de inundaciones y tránsito vehicular. Afectaciones en viviendas de material endeble.</t>
  </si>
  <si>
    <t>En Tlatelulco se reportó la caída de dos postes de energía eléctrica y obstrucción en la autopista vía corta Santa Ana-Puebla.</t>
  </si>
  <si>
    <t>Iztapalapa</t>
  </si>
  <si>
    <t>Suspensión de la línea 2 del metro en si tramo Xola-Taxqueña. Daños en la vialidad y en automóviles a causa de las inundaciones en algunas avenidas. Apagones en diversas colonias. En la delegación Iztapalapa se afectaron algunos domicilios por encharcamientos.</t>
  </si>
  <si>
    <t>Se reportaron  65 viviendas afectadas en la col. El Rincón de los Lagos. Los daños fueron ocasionados por la caída de una barda.</t>
  </si>
  <si>
    <t xml:space="preserve">CENAPRED </t>
  </si>
  <si>
    <t>Veracruz</t>
  </si>
  <si>
    <t>Los daños se concentraron en Jamapa, Alvarado y Boca del Río.</t>
  </si>
  <si>
    <t>25 t de hortalizas y cítricos.</t>
  </si>
  <si>
    <t>Se reportaron daños inmuebles públicos, tal es el caso de la iglesia de la población y la presidencia municipal. Además, decenas de hectáreas de cultivos también resultaron afectadas, principalmente de maíz.</t>
  </si>
  <si>
    <t>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</si>
  <si>
    <t>El secretario general de Gobierno en Nuevo León, José Mario Garza Benavides, dijo que las lluvias afectaron infraestructuras diversas, lo cual rebasa la capacidad operativa y financiera del estado. Los municipios afectados se encuentran en la zona metropolitana: Monterrey, Guadalupe, San Nicolás de los Garza, San Pedro Garza García, Escobedo, Apodaca y Santa Catarina.Otras localidades afectadas son: Allende, Doctor Arroyo, Benito Juárez, Galeana, García, Hidalgo, Hualahuices, Iturbide, Linares, Los Herrera, Marín, Montemorelos, Sabinas Hidalgo y Vallecillo.</t>
  </si>
  <si>
    <t xml:space="preserve">Derrumbe del puente vehicular ubicado en la carretera Dolores Hidalgo-San Miguel de Allende. Se abrieron vías alternas. </t>
  </si>
  <si>
    <t>Se reportaron siete personas en un albergue. Problemas de inundaciones y de tránsito.</t>
  </si>
  <si>
    <t>Dolores Hidalgo</t>
  </si>
  <si>
    <t>En el municipio de Dolores Hidalgo las fuertes lluvias incrementaron el nivel del Río  Laja, lo que reblandeció el terreno y se derrumbó el puendo vehicular ubicado en la carretera Dolores Hidalgo - San Miguel de Allende en el km 74+ 500 a la altura de la comunidad La Venta.</t>
  </si>
  <si>
    <t>Charcas</t>
  </si>
  <si>
    <t>En la comunidad de Caña Verde en el municipio de Charcas las fuertes lluvias y vientos dañaron los techos de las viviendas.</t>
  </si>
  <si>
    <t>La Ventilla, que fue construida hace más de una centuria, quedó inservible, según técnicos de Protección Civil estatal y la CNA, quienes estimaron que al momento del colapso, el vaso tenía 2.5 millones de metros cúbicos de agua. Al reventar la cortina dejó un boquete de aproximadamente 20 metros y la presa se vació. Protección Civil del estado estimó que en una noche y un día llovió el nivel de precipitaciones que normalmente se presenta en todo un mes, lo que provocó escurrimientos de agua de cerros cercanos a la presa. La corriente llevaba troncos, piedras y otros materiales pesados que incrementaron su fuerza y rompieron la cortina.</t>
  </si>
  <si>
    <t xml:space="preserve"> Villa García</t>
  </si>
  <si>
    <t>La presa El Capulín se encuentra a tres kilómetros de la cabecera municipal de Villa García y al reventarse estaba a su tope de capacidad (1.2 millones de metros cúbicos), las presas de Malpaso y Santa Rosa, en los municipios de Villanueva y Jerez, se desbordaron</t>
  </si>
  <si>
    <t>Diversas comunidades  y 200 viviendas fueron afectadas por fuertes lluvias. Sagarpa dio a conocer que 6 mil 320 hectáreas de cultivos de maíz, fríjol, avena y sorgo, localizadas en por lo menos 38 comunidades de 9 municipios, habían sido dañadas por las lluvias, y mil 217 productores afectados en sus parcelas.</t>
  </si>
  <si>
    <t>Tepeapulco</t>
  </si>
  <si>
    <t>En el municipio de Tepeapulco, se informa de afectaciones en viviendas, y no se implementaron refugios temporales existen 12 familias afectadas y 12 viviendas</t>
  </si>
  <si>
    <t>Gómez Palacio</t>
  </si>
  <si>
    <t>Los daños ocurrieron en el municipio de Gómez Palacio a causa de fuertes lluvias. La Secretaría de Gobernación emitió por este concepto el estado de emergencia. La situación se evaluó en la última reunión del Consejo Estatal de Protección Civil, que presidió el gobernador Ángel Sergio Guerrero Mier.</t>
  </si>
  <si>
    <t>Coahuayana</t>
  </si>
  <si>
    <t xml:space="preserve">En el municipio de Coahuayana por efectos del huracán Hernán, en el poblado de Boca Apiza perteneciente al municipio de Coahuayana, se registraron altas marejadas invadiendo las enramadas y las personas que habitan la zonano querían salirse, que en promedio son 30 </t>
  </si>
  <si>
    <t>Tapachula</t>
  </si>
  <si>
    <t>En el municipio de Tapachula a causa de la fuertes lluvias se reportaron daños en 200 casas afectadas</t>
  </si>
  <si>
    <t>San Miguel de Horasillas</t>
  </si>
  <si>
    <t>En el municipio de San Miguel de Horasillas, a causa de una fuerte lluvia con vientos fuertes se registraron 2 viviendas con perdida total y varias en formas parcial, así como la caída de árboles, letreros, y cables de energía eléctrica. Y  las familias afectadas recibieron atados de laminas para sus techos.</t>
  </si>
  <si>
    <t>En diversas colonias a causa de las fuertes lluvias se reportaron daños materiales en 150 vehículos, 6 árboles y 2 transformadores. Los trabajos de desazolve y limpieza concluyeron por a madrugada</t>
  </si>
  <si>
    <t>Matías Romero</t>
  </si>
  <si>
    <t>En el municipio de Matías Romero, se vieron dañadas 4 viviendas y 1 escuela primaria, a causa de las fuertes lluvias. La personas que se encontraban en los refugios temporales regresaron a sus domicilios</t>
  </si>
  <si>
    <t>Un chubasco mezclado con granizo se precipitó sobre el estado de Aguascalientes el cual provocó caos vial e incertidumbre entre los habitantes de la capital. Unas 400 casas inundadas, el derrumbe de una oficina, árboles arrancados de raíz y centenares de vehículos atrapados y arrastrados por la corriente de agua que se concentró principalmente en la avenida Adolfo López Mateos que atraviesa la ciudad capital de oriente a poniente, fue el saldo negativo que arrojo la pertinaz lluvia, además de millonarias pérdidas materiales.</t>
  </si>
  <si>
    <t xml:space="preserve"> Francisco I. Madero</t>
  </si>
  <si>
    <t>Un aguacero causó inundaciones en el centro del municipio de Francisco I. Madero, Hidalgo, donde cinco familias fueron desalojadas e instaladas en un albergue que se improvisó en una biblioteca.</t>
  </si>
  <si>
    <t>Victoria y Reynosa</t>
  </si>
  <si>
    <t>En el municipio de Ciudad Victoria y Reynosa se registraron 8 lesionados a causa de las grandes lluvias. Las personas que se encontraban refugiadas en el municipio de Reynosa, regresaron a sus viviendas un día después del siniestro, al mismo tiempo s e reporta el regreso a la normalidad en Ciudad Victoria</t>
  </si>
  <si>
    <t xml:space="preserve"> Esperanza</t>
  </si>
  <si>
    <t>Al menos 140 familias del municipio de Esperanza, en el estado de Puebla resultaron afectadas por la tromba y tormentas eléctricas que azotaron esta comunidad. La intensa lluvia tuvo lugar en la región tlaxcalteca luego que ésta atravesó por una severa época de sequía. El cambio en el clima provocó daños a viviendas de tres colonias de la cabecera municipal, por lo cual 700 personas tuvieron que ser desalojados y reubicados en casas de parientes o albergues. Cincuenta viviendas resultaron dañadas.</t>
  </si>
  <si>
    <t xml:space="preserve">Tras una tormenta registrada en la madrugada del lunes, una intensa corriente de agua que bajó del Cerro Gordo arrastró toneladas de lodo, con piedras y basura; asimismo, los arroyos Mariches y La Patiña se desbordaron, y se inundaron cinco colonias residenciales. </t>
  </si>
  <si>
    <t>La Paz</t>
  </si>
  <si>
    <t>En la Paz, Baja California Sur, los remanentes de la depresión 11-E dejaron más de 10 mil líneas afectadas, suspensión por más de seis horas del tránsito en la transpeninsular "Benito Juárez", 50 viviendas inundadas, así como daños en avenidas y carreteras.</t>
  </si>
  <si>
    <t>Güemez</t>
  </si>
  <si>
    <t xml:space="preserve">Al menos 30 estudiantes resultaron lesionadas, ocho de gravedad, cuando una tempestad provocó el desprendimiento del techo de uno de los dormitorios de la escuela normal rural femenil de San José de las Flores, municipio de Güemez, Tamaulipas. La Dirección Estatal de Protección Civil informó que el fenómeno, derivado de la tormenta Fay, que afecta el golfo de México, causó el percance. La tormenta provocó además inundaciones en cinco colonias de Reynosa, donde se incendiaron tres postes y explotó un transformador por la tormenta eléctrica. De la colonia Integración Familiar fueron desalojadas 20 personas, y se suspendieron actividades en las escuelas secundarias Lázaro Cárdenas y Enrique Carmona, debido a que los salones amanecieron anegados. </t>
  </si>
  <si>
    <t>En el municipio de Tapachula a causa de la fuertes lluvias se reportaron daños en 71 viviendas, y se realizaron trabajos de limpieza y esazolve en las viviendas dañadas</t>
  </si>
  <si>
    <t xml:space="preserve">En Nayarit, en tanto, una depresión tropical causó fuertes tormentas que provocaron el desbordamiento del río Ameca y la inundación de las comunidades El Porvenir y San Vicente, en el municipio Bahía de Banderas. 
El fenómeno no provocó pérdidas humanas. </t>
  </si>
  <si>
    <t>A causa de las fuertes lluvias en diversos municipios se vieron dañadas alrededor de 30 viviendas, por la madrugada se realizaron trabajos de desazolve</t>
  </si>
  <si>
    <t xml:space="preserve">Producto de los remanentes de la tormenta tropical "Fay", Monterrey sufrió los estragos de una intensa lluvia registrada en el área metropolitana y el norte del estado con una precipitación promedio de 76.2 milímetros. En Guadalupe, uno de los municipios más afectados, registró numerosas colonias inundadas. Ocho escuelas fueran evacuados por encontrarse en cañadas o áreas inundables.
Alrededor de 800 familias en el área metropolitana quedaron sin energía eléctrica a causa de la lluvia, informó CFE. </t>
  </si>
  <si>
    <t xml:space="preserve"> Nuevo Laredo</t>
  </si>
  <si>
    <t>Los remanentes de la tormenta "Fay", en Nuevo Laredo, Tamaulipas, dejó ayer más de 100 familias evacuadas, 120 personas en albergues, 10 árboles caídos, incontables calles y viviendas inundadas, fallas en celulares y cientos de vehículos averiados. Protección Civil, declaró que aunque no hubo daños en personas sí hubo pérdidas materiales, especialmente en aquellas viviendas donde la corriente se llevó uno o más cuartos, y el caso de 300 familias que no podrán regresar a sus casas porque surgieron arroyos naturales.</t>
  </si>
  <si>
    <t>Rosario</t>
  </si>
  <si>
    <t>En el municipio del Rosario por causa de las fuertes lluvias se registraron 70 viviendas dañadas, pero a pesar de los daños no fue necesario instalar un refugio temporal.</t>
  </si>
  <si>
    <t>Saltillo</t>
  </si>
  <si>
    <t>En Saltillo, Coahuila, tras un día de lluvia, una mujer fue arrastrada con todo y su auto por la corriente del arroyo La Tórtola en el paso por Los Rodríguez la noche del martes, pero hasta ayer por la mañana su cuerpo fue localizado unos cinco kilómetros más abajo de donde quedó el vehículo. En Monclova, las lluvias causaron daños en el pavimento, calles inundadas y riesgo en varias colonias de la ciudad, por el desborde de un arroyo del sector sur de la ciudad.
Las familias de las colonias Chinameca y Guerrero fueron auxiliadas por elementos policíacos y Protección Civil ya que el agua acumulada de las lluvias alcanzó a penetrar en algunos hogares</t>
  </si>
  <si>
    <t>Carmen Tequexquitla</t>
  </si>
  <si>
    <t>En el municipio de Carmen Tequexquitla se registraron fuertes lluvias afectando a 18 viviendas</t>
  </si>
  <si>
    <t>Huejutla</t>
  </si>
  <si>
    <t>En diversos municipio de Huejutla se registraron fuertes lluvias afectando a 160 viviendas</t>
  </si>
  <si>
    <t>Más de 500 trabajadores de Protección Civil del estado de México trabajaron para desalojar el agua pluvial que se acumuló en más de 500 hogares de seis colonias urbanas, donde el nivel del agua subió de 10 a 20 centímetros, mientras que en las calles rebasó los 30 centímetros de altura. Además, el hospital José María Rodríguez también había resultado afectado con inundaciones. se informó que en total hay 30 colonias afectadas por la intensa lluvia que por hora y media azotó la región, sin embargo, señaló que hay 6 o 7 que se encuentran en estado crítico.</t>
  </si>
  <si>
    <t>En Querétaro las constantes lluvias han provocado diversos deslaves e inundaciones en diferentes municipios. Protección Civil en Querétaro, informó que Antonio Martínez Luna, de 25 años, perdió la vida cuando circulaba con su bicicleta bajo la lluvia lo que provocó que cayera. Así mismo, las precipitaciones han provocado deslaves en diversas vías carreteras del estado</t>
  </si>
  <si>
    <t>Pantepec</t>
  </si>
  <si>
    <t>El Sistema de Protección Civil en Puebla informó que 30 viviendas del ejido Colotla, municipio de Pantepec, en la sierra norte resultaron afectadas por un fuerte tromba que destruyó las láminas de cartón y provocó afectaciones en las casas de los campesinos.
La lluvia provocó una creciente en el río y afectó cultivos, pero hasta el momento no se han contabilizado los daños debido a que es una de las regiones más lejanas a la capital y su geografía es muy difícil.
Las personas afectadas fueron evacuadas y trasladadas a un albergue.</t>
  </si>
  <si>
    <t>Esperanza</t>
  </si>
  <si>
    <t>En Puebla, el municipio de Esperanza una tromba que cayó la tarde del domingo provocó la inundación de 145 viviendas y dejó importantes pérdidas a sus ocupantes.
Sé informó que el municipio permaneció siete horas sin servicio eléctrico, lo cual dificultó las labores de auxilio, sólo dos familias aceptaron ser albergadas.
La colonia más afectada fue Guadalupe, donde casi la mitad de los inmuebles, esto es alrededor de 80, registraron inundaciones de entre 60 y 80 centímetros; en La Vía 50 casas resultaron afectadas y en Tres Cruces se inundaron al menos 15 domicilios.</t>
  </si>
  <si>
    <t>Malinaltepec, Tlacoapa, Ometepec, Cuautepec.</t>
  </si>
  <si>
    <t>Como resultado de las lluvias que se presentaron en el estado, se tienen los daños que se presentan en las columnas correspondientes, obtenidos del boletín de actualización del 29-08 a las 22 horas</t>
  </si>
  <si>
    <t>Tepeyehualco</t>
  </si>
  <si>
    <t>En el municipio de Tepeyehualco de Hidalgo, se registraron tirantes de 15 cm, afectando las viviendas con ligeros encharcamientos, los afectados fueron temporalmente refugiados con familiares y amigos</t>
  </si>
  <si>
    <t xml:space="preserve">Alrededor de 600 viviendas en Iztapalapa se inundaron de aguas negras, a causa de la intensa lluvia durante la noche del jueves, la madrugada de ayer y a lo largo del día. </t>
  </si>
  <si>
    <t>La carretera federal México-Tampico quedó cerrada en uno de sus carriles a partir de las 4:00 horas del viernes, luego de que se registraran derrumbes en los kilómetros 151 y 170, a causa de las lluvias en la zona huasteca durante las últimas 48 horas.
Al mismo tiempo se reportó que en el Barrio Bajo del municipio de Atlapexco, en la misma región, una vivienda fue arrastrada por la creciente del río del mismo nombre y otras nueve casas sufrieron severos daños.
Así mismo se reportan problemas de derrumbes en la carretera intermunicipal Cardonal-Nicolás Flores. 
Además, en San Felipe Orizatlán, en la región Huasteca, se reportó un derrumbe a la altura del lugar denominado El Salto de Tigre, que obstruye los dos carriles de esa vialidad.
Por otra parte, en Calnali las tres vías a ese municipio serrano presentan derrumbes, mientras en Tianguistengo, en la misma región, está obstruido un tramo del camino Matelatenco-Pemuxco.</t>
  </si>
  <si>
    <t xml:space="preserve">Ejido el Carrizal, se vieron afectadas 29 familias por inundaciones en sus domicilios a raíz de fuertes lluvias. </t>
  </si>
  <si>
    <t xml:space="preserve"> Pantepec y Tlaxco</t>
  </si>
  <si>
    <t>En el municipio de Pantepec y Tlaxco en diversas colonias, a causa de las fuertes lluvias se reportaron 93 viviendas dañadas y se vieron afectadas varias familias, de las cuales 5 perdieron totalmente sus viviendas</t>
  </si>
  <si>
    <t>Tlanepantla</t>
  </si>
  <si>
    <t>En el municipio de Tlanepantla, en la colonias Valle dorado y el centro, a causa de las fuertes lluvias se registraron 180 viviendas dañadas registrando anegaciones a sus interiores entre 5 y 120 cm de altura</t>
  </si>
  <si>
    <t>El área metropolitana y algunos municipios rurales recibieron ayer otro "golpe" a causa de la lluvia, que dejó como saldo tres muertos, miles de personas evacuadas y damnificadas, deslaves en la sierra, cierre de vialidades, accidentes automovilísticos y personas desaparecidas.
La lluvia impactó también en el área de Santiago, Cadereyta, San Agustín, San Pedro, y el sur de Monterrey, donde un reporte preliminar indica que hay algunos domicilios inundados.
Protección Civil de Monterrey informó que cinco familias ubicadas en el cauce de arroyo Seco fueron evacuadas.
Del lecho del Santa Catarina fueron evacuadas mil 500 personas que acudieron a una función de circo y cerca de 500 comerciantes.
En la colonia Colinas de San Jerónimo un niño de 12 años falleció al ser arrastrado por el agua de la lluvia, 
En Guadalupe, el desbordamiento del arroyo Las Tinajas provocó que 25 familias de colonias aledañas tuvieran que ser evacuadas.</t>
  </si>
  <si>
    <t>El Márquez y San Juan del Río</t>
  </si>
  <si>
    <t>En los municipios de "El Márquez" y "San Juan del Río", a causa de las fuertes lluvias se registraron 18 viviendas dañadas , así como 5 hectáreas de maíz afectadas y una persona muerta.</t>
  </si>
  <si>
    <t>En diversos municipios a causa de las fuertes lluvias, se vieron dañadas 31 bardas y diversas viviendas, dejando un muerto</t>
  </si>
  <si>
    <t>Acacoyagua y Escuintla Acapetahua</t>
  </si>
  <si>
    <t>En los municipios de Acacoyagua y Escuintla Acapetahua,, en las zonas cercanas al río Doña María a causa de las fuertes lluvias se vieron dañadas 100 viviendas y 343 personas fueron ubicadas en refugios temporales. Se origino el colapso de 2 puentes</t>
  </si>
  <si>
    <t>Cinco municipios de la Huasteca hidalguense fueron afectados por las intensas lluvias, la cual inició el lunes a las 11:30 horas y permaneció durante 12 horas, lo que ocasionó el crecimiento del río Chinguiñoso e inundaciones en al menos 10 colonias de los municipios de Huejutla, San Felipe Orizatlán, Jaltocán, Atlapexco y Tlanchinol. Más de 100 personas fueron trasladadas a dos albergues ubicados en los municipios de Huejutla y Atlapexco, agregó.</t>
  </si>
  <si>
    <t>lalnepantla, Atizapán y Cuautitlán Izcalli</t>
  </si>
  <si>
    <t>Con el lodo hasta la cocina amanecieron casi un centenar de familias del fraccionamiento Las Arboledas, San Javier y Jardines de Atizapán luego de la tormenta que inundó gran parte de Tlalnepantla, Atizapán y Cuautitlán Izcalli, en donde casi 40 vehículos quedaron atrapados en la lateral de la autopista México-Querétaro, al tiempo que la lluvia provocó accidentes automovilísticos y un deslave con una familia atrapada entre piedras y tierra con un saldo de cinco personas lesionadas.</t>
  </si>
  <si>
    <t>Mainero</t>
  </si>
  <si>
    <t xml:space="preserve">Un puente se derrumbó en el municipio de Mainero, Tamaulipas, a causa de las fuertes lluvias que cayeron en esa entidad, lo que causó la muerte a tres personas. Se desconoce el paradero de otras dos, informó Protección Civil local. </t>
  </si>
  <si>
    <t>Tetepango</t>
  </si>
  <si>
    <t xml:space="preserve">En el municipio de Tetepango a causa de las fuertes lluvias en diversas colonias de este municipio se reportaron daños materiales por 100 viviendas dañadas, un vehículo y 2 bardas </t>
  </si>
  <si>
    <t>Villanueva y Saín Alto</t>
  </si>
  <si>
    <t xml:space="preserve">Hay alerta en Zacatecas por las lluvias registradas durante las últimas horas, las cuales han afectado a cuatro municipios (Río Grande, Villa González Ortega, Villanueva, Saín Alto). Según los reportes oficiales, en el municipio de Villa González Ortega el agua alcanzó hasta 80 centímetros de altura, pues las lluvias propiciaron estas condiciones en al menos la mitad de la cabecera municipal.
En los municipios de Villanueva y Saín Alto las medidas de precaución contra las lluvias siguen vigentes, pues se esperan nuevas precipitaciones pluviales.
El Gobernador dijo que en los municipios de Río Grande, Villanueva y Villa González Ortega se han habilitado albergues para la población afectada por las condiciones lluviosas. </t>
  </si>
  <si>
    <t>Por lo menos 15 familias evacuadas, 23 colonias inundadas y 36 accidentes automovilísticos fue el saldo que dejaron ayer en la capital de Sinaloa las fuertes lluvias por efecto directo de la cercanía de la tormenta tropical "Iselle".</t>
  </si>
  <si>
    <t xml:space="preserve">Entre el 20 y 24 del  mes de Septiembre la península de Yucatán fue afectada por uno de los huracanes más fuertes de los que se tienen registro, ya que las ráfagas de viento alcanzaron los 250 km/h, afectando los estado de Yucatán y Campeche, donde los daños registrados afectaron la economía de sendos estados. El número de viviendas dañadas así como de postes caídos no tuvo precedente alguno. </t>
  </si>
  <si>
    <t xml:space="preserve">Como consecuencia del Huracán "Isidore" varios municipios se encontraban incomunicados ya que por las características del terreno y del fenómeno en sí, se registraron diversas inundaciones que afectaron las actividades económicas y el entorno social de la región. En este estado los daños resultaron de gran cuantía casi comparables con las ocurridas en Yucatán. </t>
  </si>
  <si>
    <t>17 municipios en emergencia y 44 municipios en desastre</t>
  </si>
  <si>
    <t xml:space="preserve">Sismo de 7.2 grados con epicentro al Sur de Petatlan, a las 09:27 hrs. Resultando 6,314 viviendas afectadas, 1 puente, 8 hospitales, 59 escuelas, 17 iglesias, 12 edificios publicos, 4 hoteles, 1 aeropuerto, 2 muelles, asi como 13 derrumbes carreteros, 3 postes caidos y 5 bardas caidas.Los sismos de Magnitud 7.2 ocurrido el 18 de abril y el de magnitud 6.4 ocurrido el dia 8 de mayo afectaron a los sectores educativo, salud, vivieda y carretero en los municipios de Ajuchitan del Pogreso, Arcelia, Atenango del Rio, Atoyac de Alvarez, Benito Juarez, Chilapa de Alvarez, Chilpancingo de los Bravo y Coahuayutla
</t>
  </si>
  <si>
    <t>Pinotepa NacionaL</t>
  </si>
  <si>
    <t>En el municipio de Pinotepa Nacional se reportaron fuertes lluvias dañando 51 viviendas</t>
  </si>
  <si>
    <t>Se presentaron precipitaciones de 146 mm en 16 colonias de las cuales 7 fueron evacuadas, creándose 3 refugios temporales</t>
  </si>
  <si>
    <t>San Blas, Santiago Ixcuintla</t>
  </si>
  <si>
    <t xml:space="preserve">Los efectos del Huracán Kenna fueron devastadores en las costas de Nayarit afectando principalmente los municipios de San Blas, Santiago Ixcuintla, y en general todos los municipios costeros. En este caso el sector mas dañado fue la vivienda y las actividades económicas como la agricultura. </t>
  </si>
  <si>
    <t>Puerto Vallarta</t>
  </si>
  <si>
    <t xml:space="preserve">El huracán Kenna azotó las costas de Jalisco afectando principalmente al municipio de Puerto Vallarta, donde las afectaciones se registraron principalmente en la infraestructura hotelera y comercial situada en la ciudad.  </t>
  </si>
  <si>
    <t>En el Km.42 de la carretera Tenancingo, entre los parajes San Martín y los Morales se registro  un derrumbe ocasionados por las constantes lluvias que se presentaron en el lugar. Al presentarse el derrumbe una camioneta quedo sepultada.</t>
  </si>
  <si>
    <t>Pichucalco</t>
  </si>
  <si>
    <t xml:space="preserve">Debido a las intensas lluvias en el ejido de Nuevo Nicapa en el municipio de Pichucalco, se registro el desbordamiento  del rió del mismo nombre lo cual ocasiono inundaciones en al menos 15 viviendas.  </t>
  </si>
  <si>
    <t xml:space="preserve">Se registraron temperaturas extremas en varias localidades ,se presentaron lluvias generalizadas y  nevadas, como resultado  quedaron incomunicadas 750 familias. </t>
  </si>
  <si>
    <t>Se contempla un programa de empleo temporal, el cual proporcionará 1 millón de jornales</t>
  </si>
  <si>
    <t>1000 cabezas de ganado han perecido a raíz de la sequía en algunas zonas de Veracruz.</t>
  </si>
  <si>
    <t xml:space="preserve">15 mil productores tlaxcaltecas han resultado afectados ante la prolongada sequía que afecta al agro local, lo cual podría propiciar que 30 por ciento del total de las hectáreas cultivables con maíz dejen de producir este año. </t>
  </si>
  <si>
    <t>Muerte del 3% del ganado de la entidad: 3,000 cabezas de ganado caprino y 1,000 de bovino</t>
  </si>
  <si>
    <t>6000 cabezas de ganado</t>
  </si>
  <si>
    <t>400 cabezas de ganado</t>
  </si>
  <si>
    <t xml:space="preserve">10 municipios son declarados zona de desastre </t>
  </si>
  <si>
    <t>Suspensión de la generación de enegía eléctrica en tres plantas. Muerte de 190 cabezas de ganado</t>
  </si>
  <si>
    <t xml:space="preserve">El representante de la Asociación de Agricultores del Centro de Michoacán, Rufino Mendoza Aparicio, dijo que debido a las heladas se perdieron 500 hectáreas de diversos cultivos en la entidad. Señaló que las siembras más afectadas fueron granos y frutales, las cuales se echaron a perder en 80 por ciento . </t>
  </si>
  <si>
    <t>Municipios afectados de Cosío, San José de Gracia, Calvillo, Tepezalá y Rincón de Romos. Pérdidas en el 80% de los cultivos</t>
  </si>
  <si>
    <t>Desperfectos en transformadores, cuchillas y líneas de conducción provocaron un apagón de más de 20 h</t>
  </si>
  <si>
    <t>Daños en pastizales y arbustos</t>
  </si>
  <si>
    <t>12 comunidades incomunicadas</t>
  </si>
  <si>
    <t>Por hundimientos en el subsuelo en la estación terminal de Pantitlán donde convergen cuatro rutas del Metro, y por una grieta subterránea en la estación de Oceanía, en la línea 5, las autoridades capitalinas estudian la posibilidad de suspender temporalmente el servicio.</t>
  </si>
  <si>
    <t>El sismo de 5.1 grados Richter, con epicentro entre Tuxtepec y Loma Bonita, en la Cuenca del Papaloapan y límites con Veracruz, causó fisuras en techos y paredes de un hospital, un palacio municipal y dos edificios públicos de la región.</t>
  </si>
  <si>
    <r>
      <t xml:space="preserve">Abundante exhalación de piedras incandescentes y vapor de agua que el </t>
    </r>
    <r>
      <rPr>
        <i/>
        <sz val="9"/>
        <rFont val="Arial"/>
        <family val="2"/>
      </rPr>
      <t>Volcán de Fuego.</t>
    </r>
    <r>
      <rPr>
        <sz val="9"/>
        <rFont val="Arial"/>
        <family val="2"/>
      </rPr>
      <t xml:space="preserve"> </t>
    </r>
  </si>
  <si>
    <t>Cuarteaduras en la clínica de salud de la comunidad de Laguna Kana. En la comunidad de El Ramonal se registraron fracturas de algunas viviendas, el desplome de una loza y daños en la telesecundaria.</t>
  </si>
  <si>
    <t>Benito Juárez, Coahuayutla de José María Izazaga, Zihuatanejo de Azueta, Petatlán, Técpan de Galeana y La Unión de Isidoro Montes de Oca</t>
  </si>
  <si>
    <t>Huracán "Rick" categoría 2, vientos fuertes, lluvia severa e inundación fluvial y pluvial ocurrida del 23 al 25 de octubre de 2021</t>
  </si>
  <si>
    <t xml:space="preserve">FONDEN: insumos, reconstrucción </t>
  </si>
  <si>
    <t>Se reporto el hundimiento del  suelo en un estacionamiento de la zona rosa, afectando tan solo a tres automóviles que se encontraban en el lugar.</t>
  </si>
  <si>
    <t>Se registro un deslave por el reblandecimiento del suelo, afectando a la carretera Campeche- Islahuada, dañando  la cinta asfáltica en un área de 2  metros de ancho por 3 de profundidad</t>
  </si>
  <si>
    <t>Salamanca</t>
  </si>
  <si>
    <t>León</t>
  </si>
  <si>
    <t>Ensenada</t>
  </si>
  <si>
    <t>Xochimilco</t>
  </si>
  <si>
    <t>Huitzilac</t>
  </si>
  <si>
    <t>Pachuca</t>
  </si>
  <si>
    <t>Ixtapaluca</t>
  </si>
  <si>
    <t>Jocotepec</t>
  </si>
  <si>
    <t>Cuitzeo</t>
  </si>
  <si>
    <t>Huamantla</t>
  </si>
  <si>
    <t>San Luis de la Paz</t>
  </si>
  <si>
    <t>Acapulco</t>
  </si>
  <si>
    <t>Atizapan</t>
  </si>
  <si>
    <t>San Cristóbal de las Casas</t>
  </si>
  <si>
    <t>Gustavo A. Madero</t>
  </si>
  <si>
    <t>Mexicali, Tijuana</t>
  </si>
  <si>
    <t>Se registraron lluvias moderadas en diversos municipios del Estado, reportandose varias colonias con encharcamientos, principalmente en Mexicali y Tijuana.</t>
  </si>
  <si>
    <t>Se reportaron lluvias fuertes acompañadas de granizo en varios municipios, afectando algunas viviendas de material endeble, asi como la caída de árboles y anuncios espectaculares.</t>
  </si>
  <si>
    <t xml:space="preserve">Varios Municipios </t>
  </si>
  <si>
    <t>Se registraron fuertes lluvias en varios municipios del Estado, causando diversos daños: Caída de 9 árboles, 28 viviendas afectadas, asi como inundaciones.</t>
  </si>
  <si>
    <t xml:space="preserve">Varios municipios </t>
  </si>
  <si>
    <t>Se registraron lluvias muy fuertes y granizadas en varios municipios, afectando 9 domicilios, 2 escuelas, una antena, y provocando fallas en el sistema eléctrico.</t>
  </si>
  <si>
    <t>Tizayuca y Tolcayuca</t>
  </si>
  <si>
    <t>Se registro una fuerte lluvia acompañada de granizo que afecto los municipios de Tizayuca y Tolcayuca, el agua alcanzó niveles de 30 a 70cm de alto por lo que algunas viviendas resultaron dañadas. Se instalo un albergue en el cual s encuntran 20 personas.</t>
  </si>
  <si>
    <t>Se registraron fuertes vientos en áreas urbanas, como consecuencia 30 casas perdieron sus techos y dos escuelas también.  Protección Civil apoyo a los damnificados con colchonetas, cobertores y láminas de cartón.</t>
  </si>
  <si>
    <t>Se registraron alguna lluvias con granizo en distintos puntos de la ciudad. Se reportan 12 personas lesionadas que se resguardaban de la lluvia bajo una lona que cayó, fueon atendidas en el lugar.</t>
  </si>
  <si>
    <t>San Marcos, Teconapa, Juan R. Escudero y Zirándaro de los Chávez</t>
  </si>
  <si>
    <t>Debido a la sequía se declaró en desastre natural en el sector agropecuario, acuícola y pesquero a cuatro municipios del estado de Guerrero por la pérdida de 6,528 hectáreas de calabaza y 1,693 hectáreas de sorgo lo que afectó a 8,221 productores.</t>
  </si>
  <si>
    <t>SAGARPA</t>
  </si>
  <si>
    <t xml:space="preserve">Venustiano Carranza </t>
  </si>
  <si>
    <t>Se registraron varios daños en el municipio de Venustiano Carranza a consecuencia de una granizada que afectó a 204 viviendas. Protección Civil apoyo con atados de láminas a las familias afectadas.</t>
  </si>
  <si>
    <t>Villaflores.</t>
  </si>
  <si>
    <t>Debido a las granizadas del 18 y 20 de mayo se reportaron afectaciones en 77 viviendas en el municipio de Villaflores. Protección civil apoyara a las familias afectadas con láminas de cartón, cobertores y despensas.</t>
  </si>
  <si>
    <t xml:space="preserve"> Metapa Domínguez</t>
  </si>
  <si>
    <t>Se registraron fuertes lluvias en el municipio de Metapa Domínguez ocasionando el destechamiento de 33 viviendas. No se reportan personas lesionadas. Se les proporciono apoyo con láminas de zinc a las familias afectadas-</t>
  </si>
  <si>
    <t>Chalchicomula,</t>
  </si>
  <si>
    <t>Se registro una granizada en el municipio de Chalchicomula, lo que ocasiono afectaciones en los techos de 50 viviendas, Protección Civil apoyo con láminas de cartón, despensas, cobertores y colchonetas a las personas afectadas.</t>
  </si>
  <si>
    <t>Acapulco de Juárez, Chilpancingo de los Bravo, Coyuca de Benítez, Atoyac, Petatlán, Chilapa de Álvarez, Tierra Colorada, Juan R. Escudero, Eduardo Neri, Mártir de Cuilapan, Tixtla de Guerrero, Chilapa de Álvarez, San Marcos, San Luis Acatlán, Ayutla de los Libres, José Joaquín de Herrera, Ometepec, Acatepec, Huitzuco de los Figueroa, General Heliodoro Castillo, Mochitlán, Zitlala, Ahuacuotzingo, Leonardo Bravo, Tlacoapa, Metlatonoc, Xalpatlahuac, Chalpatlahuac, Ileatenco, Copanatoyac, Cochoapa el Grande, Iguala de la Independencia, Taxco de Alarcón, Copalillo, Pilcaya, Arcelia, Malinaltepec</t>
  </si>
  <si>
    <t xml:space="preserve">NOTA: Cifra de CENACOM traslados, vehiculos dañados.  Percepción: Regiones Acapulco, Costa Grande, Costa Chica, Centro, Norte, Tierra Caliente y Montaña.
Resumen de afectaciones Guerrero
•              3 fallecidos  
•              1 lesionado (1 Acapulco de Juárez) 
•              2 refugios temporales activos
•              74 personas refugiadas
o             7,727 viviendas afectadas 
o     603 departamentos / Unidades Habitacionales 
•              27 hospitales afectados
•              47 planteles educativos
•              13 hoteles / plazas
•              5 vehículos dañados
Acapulco de Juárez: 1 fallecido (tras el colapso de un muro, falleció en una Clínica de Xialtianguis), 1 fallecido (lesionado por colapso de muro en el poblado La Poza, murió en el Hospital Vicente Guerrero), 1 lesionado por caída (elemento de la Policía Estatal en el Cereso de Acapulco), 4 refugios temporales activos con 24 personas en la Unidad deportiva Acapulco, Unidad deportiva Vicente Suárez, Unidad deportiva Jorge Campos, 4,549 viviendas afectadas, 600 departamentos afectados, 7 bardas caídas,  8 hospitales afectados, 5 planteles educativos afectados, 5 edificios públicos afectados, 5 vehículos dañados, 3 centros religiosos, 5 hoteles/plazas y 2 postes caídos. 
Hospital Militar Regional Acapulco SEDENA: Afectaciones estructurales del inmueble, los pacientes han sido evacuados.
Hospital General del ISSSTE: Afectaciones estructurales del inmueble, los pacientes han sido evacuados
Hospital General del Renacimiento: Afectaciones estructurales del inmueble, los pacientes han sido evacuados
Chilpancingo de los Bravo: 107 viviendas afectadas, *3 departamentos afectados. 4 planteles educativos afectados, 1 centro religioso, 8 edificios públicos afectados, 2 derrumbes carreteros.
             Hospital del ISSSTE: Afectaciones estructurales del inmueble, los pacientes han sido evacuados.
             Zona Habitacional del INFONAVIT: Resultaron 3 edificios con alto daño estructural, quedando inhabitables. Evacuación preventiva de 8 familias, las cuales optaron por acudir con familiares.
Coyuca de Benítez: 1 fallecido (masculino de 19 años) que cayó de su motocicleta al perder el control durante el sismo, en la localidad de Luces del Mar, 1,154 viviendas afectadas y 1 derrumbe carretero.
Atoyac: 17 viviendas afectadas y *1 derrumbe carretero.
Benito Juárez: 1 derrumbe carretero.
Petatlán: 1 derrumbe carretero. 
Tlapa de Comonfort: 2 viviendas.
Chilapa de Álvarez: 3 viviendas afectadas Derrumbe en la carretera Chilapa - Chilpancingo.
Tierra Colorada: Derrumbe en la carretera Tierra Colorada-Ocotito.
Juan R. Escudero: 3 derrumbes en carretera federal Acapulco – Chilpancingo, a autopista del Sol México Acapulco km 326 (afecta la circulación hacia Acapulco) y carretera federal Tierra Colorada - Cruz Grande,  171 viviendas afectadas.
Eduardo Neri: 36 viviendas afectadas, 5 bardas caídas, 1 hospital afectado, 2 planteles educativos afectados, 6 derrumbes carreteros y 1 centro religioso.
Mártir de Cuilapan: 1 vivienda afectada y 2 bardas caídas.
Tixtla de Guerrero: 1 plantel educativo.
Chilapa de Álvarez: 38 viviendas afectadas, 14 hospitales, 12 planteles educativos, 6 centros religiosos y 4 derrumbes carreteros.
San Marcos: 634 viviendas.
San Luis Acatlán: 5 viviendas. 
Ayutla de los Libres: 1 centro religioso. 
José Joaquín de Herrera: 61 viviendas afectadas. 
Ometepec: 2 hospitales afectados.  
Acatepec: 9 planteles educativos afectados, 824 viviendas afectadas y 1 centro religioso.
Huitzuco de los Figueroa: 1 hospital afectado. 
General Heliodoro Castillo: 1 vivienda afectada y 1 plantel educativo.
Mochitlán: 7 viviendas afectadas y 3 planteles educativos.
Quechultenango: 1 derrumbe. 
Zitlala: 1 derrumbe.
Ahuacuotzingo: 1 derrumbe.
Leonardo Bravo: *2 planteles educativos. 
Tlacoapa: 23 viviendas afectadas.
Metlatonoc: 13 viviendas afectadas. 
Xalpatlahuac: 1 vivienda afectada.
Chalpatlahuac: 1 viviendas afectadas
Ileatenco: 1 vivienda afectada.
Copanatoyac: 4 viviendas afectadas.
Cochoapa el Grande: 3 viviendas afectadas.
Iguala de la Independencia: 3 viviendas afectadas.
Taxco de Alarcón: 2 viviendas afectadas y 1 plantel educativo afectado.
Copalillo: 13 viviendas afectadas.
Pilcaya: 10 viviendas afectadas y 9 planteles educativos.
Arcelia: 1 hospital afectado.
Malinaltepec: 1 derrumbe. </t>
  </si>
  <si>
    <t xml:space="preserve">CENACOM, FONDEN: insumos, recosntruccion </t>
  </si>
  <si>
    <t>Anáhuac</t>
  </si>
  <si>
    <t>Debido a las fuertes lluvias registradas en el municipio de Anáhuac se registrarón 3 viviendas dañadas, una de ellas con derrumbe total lo cual dejo como saldo a 6 personas heridas, 37 personas fueron evacuadas.</t>
  </si>
  <si>
    <t>Molango,</t>
  </si>
  <si>
    <t>Debido a fuertes vientos registrados en la madrugada en el municipio de Molango, se desprendió el techo de la presidencia municipal, afectando a 4 vehículos.</t>
  </si>
  <si>
    <t>Concepción del Oro y Mazapil</t>
  </si>
  <si>
    <t>Debido  a las fuertes lluvias varias viviendas sufrieron afectaciones en los municipios de Concepción del oro y Mazapil, se instalaron albergues temporales en los cuales se refugio a 115 personas.</t>
  </si>
  <si>
    <t>San José Teacalco</t>
  </si>
  <si>
    <t>Se registraron fuertes vientos ocasionando el desprendimiento de 40 árboles, 14 techumbres de viviendas, postes de teléfono etc. Esto se dio en el municipio de San José Teacalco. 14 personas resultaron lesionadas, y se suspendió el servicio eléctrico y telefónico.</t>
  </si>
  <si>
    <t>28 viviendas se vieron afectadas por las lluvias con fuertes vientos registradas en el municipio de Esperanza, las personas afectadas fueron apoyadas con láminas de cartón, comida caliente, despensas y colchonetas.</t>
  </si>
  <si>
    <t xml:space="preserve"> San Lucas Ojitlan</t>
  </si>
  <si>
    <t>En el municipio de San Lucas Ojitlan, debido a las fuertes lluvias se reportan afectaciones  en 21 casas y 4 escuelas, también se registraron pérdidas no cuantificadas en la agricultura y algunos árboles caidos. El suministro de energía eléctrica también sufrió afectaciones.</t>
  </si>
  <si>
    <t>Nogales</t>
  </si>
  <si>
    <t xml:space="preserve">Se registró una explosión en el municipio de Nogales a consecuencia del desbordamiento del Río Chiquito el cuál daño unos ductos de Pemex y ocasionó una explosión. </t>
  </si>
  <si>
    <t>Ocampo</t>
  </si>
  <si>
    <t>Debido a las lluvias se vieron afectadas varias viviendas en el municipio de Ocampo, se reportan 311 personas afectadas</t>
  </si>
  <si>
    <t>Ciudad Valles</t>
  </si>
  <si>
    <t xml:space="preserve">Debido  a las fuertes lluvias en los municipios de Ciudad Valles, Armadillo de los Infante, Villa Hidalgo y Cerritos, varias viviendas sufrieron afectaciones, además de que se vieron suspendidos los servicios de energía eléctrica. </t>
  </si>
  <si>
    <t>Escárcega</t>
  </si>
  <si>
    <t>Debido a las lluvias y a los fuerte vientos registrados en el municipio de Escárcega, se reportaron 20 viviendas afectadas construidas con material endeble, se proporciono alimentación a los afectados asi  como cobertores.</t>
  </si>
  <si>
    <t>Guadalcazar</t>
  </si>
  <si>
    <t xml:space="preserve">Se registraron fuertes lluvias en el municipio de Guadalcazar, en el cual 20 viviendas se vieron afectadas. </t>
  </si>
  <si>
    <t>Piedras Negras</t>
  </si>
  <si>
    <t>Se registraron fuertes lluvias que provocaron ligeras inundaciones en varias viviendas del municipio de Piedras Negras</t>
  </si>
  <si>
    <t xml:space="preserve">San Cristóbal de las casas </t>
  </si>
  <si>
    <t>Se registraron fuertes lluvias en el municipio de San Cristóbal de las casas ocasionando encharcamientos y problemas de circulación, tres viviendas se vieron afectadas, sin embargo únicamente una esaba habitada.</t>
  </si>
  <si>
    <t>Se registraron fuertes lluvias en varios municipios del estado causando afectaciones en varias viviendas.</t>
  </si>
  <si>
    <t>Ocozocoautla de Espinosa</t>
  </si>
  <si>
    <t>A consecuencia de las fuertes lluvias,, en la carretera Cinta Lapa- Ocozocoautla a la altura del Cerro Juárez, esta quedo obstruída debido al deslavamiento del mismo, lo que causo problemas de tránsito vehicular.</t>
  </si>
  <si>
    <t>Puebla,</t>
  </si>
  <si>
    <t>Debido  a las lluvias registradas en eL municipio de Puebla, se desbordo el río Alseseca, provocando inundaciones y encharcamientos en varias colonias del nororointe de la ciudad. Se reportan 178 viviendas afectadas y 679 personas afectadas, el DIF estatal apoyo a los afectados con colchonetas, cobertores, cobijas y alimentos calientes.</t>
  </si>
  <si>
    <t>Sombrerete y Francisco R. Murguía</t>
  </si>
  <si>
    <t>Debido a las lluvias registradas en los municipios de Sombrerete y Francisco R. Murguía, se registó la muerte de un menor de edad y la desaparición de otros 2 menores. Además se reportaron afectaciones en 95 viviendas</t>
  </si>
  <si>
    <t>Se registraron fuertes lluvias en los municipios de Oaxaca y San Jacinto Amilpa, como consecuencia 4 viviendas sufrieron daños</t>
  </si>
  <si>
    <t>Pijijiapán</t>
  </si>
  <si>
    <t>Debido a la creciente de marea en el municipio de Pijijiapán se reportaron afectaciones en 25 viviendas, 70 personas fueron albergadas.</t>
  </si>
  <si>
    <t>Cintalapa de Figueroa</t>
  </si>
  <si>
    <t>Se registraron fuertes lluvias en el municipio de Cintalapa de Figueroa, lo que ocasiono que el arroyo "Seco" se desbordara afectando 152 viviendas y dos vehículos que fueron arrastrados por el cause del arroyo.</t>
  </si>
  <si>
    <t>Cuautla, Ayala, Yecapixtla y Atlatlahuacan</t>
  </si>
  <si>
    <t>Debido a las fuertes precipitaciones se desbordo el cause del Río Agua Hedionda en el municipio de Cuautla, inundando 15 viviendas, otros municipios afectados por las fuertes lluvias fueron Ayala, Yecapixtla y Atlatlahuacan. En total se reportaron 115 viviendas y 35 negocios afectados, una persona perdio la vida y hay dos desaparecidos. Dos puentes se estan derrumbando y necesitan reparación.</t>
  </si>
  <si>
    <t>Region Centro, Acapulco, Costa Chica, Costa Grande, Montaña, Norte, Tierra caliente y Tixtla</t>
  </si>
  <si>
    <t>Por el paso de la Tormenta Tropical “Henriette”, se registraron anegamientos en diversos domicilios de la region Acapulco, Montaña y en Mpio. de Tixtla, derrumbe en Region centro, anegamiento en casas y cultivos de comunidades de la Region Chica. Se albergaron los damnificados en 4 refugios temporales (446 personas)</t>
  </si>
  <si>
    <t>Se registraron fuertes lluvias ocasionando la afectación de 48 viviendas de el municipiode Oaxaca. Se interrumpiuo la energía eléctrica por espacio de dos horas.</t>
  </si>
  <si>
    <t>Tetela del Volcán, Tlanepantla y Totolapan</t>
  </si>
  <si>
    <t>Debido a las fuertes lluvias en los municipios de Tetela del Volcán, Tlanepantla y Totolapan 15 viviendas sufrieron daños en sus techos.</t>
  </si>
  <si>
    <t xml:space="preserve">Acapulco de Juárez, Atoyac de Álvarez, Azoyú, Benito Juárez, Chilapa de Álvarez, Chilpancingo de los Bravo, Copala, Coyuca de Benítez, Cuautepec, Eduardo Neri, Igualapa, Juan R. Escudero, Malinaltepec, Marquelia, Ometepec, Petatlán, San Luis Acatlán, San Marcos y Tecoanapa </t>
  </si>
  <si>
    <t>sismo de 6.0° en escala de Richter, a 18 Km. al Oeste de San Marcos, a las 7:38 A.M. con una profundidad de 6 Km., con las coordenadas: Latitud 16.79 Longitud -99.56. Se registró una réplica de 5.6° de magnitud en escala de Richter, a 14 Km. al Noroeste de Acapulco a las 8:02 A.M. con una profundidad de 10 Km., con las coordenadas: Latitud 16.92 y Longitud 99.78, el día 21 de agosto de 2013 en los municipios de Acapulco de Juárez, Atoyac de Álvarez, Azoyú, Benito Juárez, Chilapa de Álvarez, Chilpancingo de los Bravo, Copala, Coyuca de Benítez, Cuautepec, Eduardo Neri, Igualapa, Juan R. Escudero, Malinaltepec, Marquelia, Ometepec, Petatlán, San Luis Acatlán, San Marcos y Tecoanapa del Estado de Guerrero.Sismo registrado a las 7:38 de M 6.0, resultando afectadas 78 viviendas, 9 edificios, 18 escuelas, 11 hospitales, 1 vehiculo y 16 bardas colapsadas; asi como 8 personas lesionadas.</t>
  </si>
  <si>
    <t>Villacorzo</t>
  </si>
  <si>
    <t>Debido a las fuertes lluvias registradas en el municipio de Villacorzo, se reportan 15 viviendas afectadas.</t>
  </si>
  <si>
    <t>Debido  a las fuertes lluvias, en el municipio de Huitzilac se reportan 8 viviendas dañadas, 12 vehículos y el desgaje de un cerro que obstruyó la vialidad durante unas horas, no se reportan daños humanos.</t>
  </si>
  <si>
    <t>Ixhuatlancillo</t>
  </si>
  <si>
    <t>En el municipio de Ixhuatlancillo se registraron fuertes lluvias que causaron daños en 60 viviendas, esto en la colonia Chorro de agua.</t>
  </si>
  <si>
    <t>Se registraron fuertes lluvias ocasionadas por la tormenta tropical "Carlos", se reportaron algunos derrumbes en varios caminos y carreteras. Asi como varias viviendas dañadas . Hay alrededor de 80 municipios afectados en el Estado. Se repartieron 30,000 despensas y se apoyó a la población afectada con atados de lamina. Se reportan dos personas desaparecidas.</t>
  </si>
  <si>
    <t>Cozumel, Solidaridad y Benito Juárez</t>
  </si>
  <si>
    <t>Debido a las fuertes lluvias  registradas en los municipios de Cozumel, Solidaridad y Benito Juárez a causa de la tormenta tropical "Bill", varias personas fueron desalojadas y se registraron varios encharcamientos.</t>
  </si>
  <si>
    <t>Río Grande, Villanueva y Fresnillo</t>
  </si>
  <si>
    <t>Se registraron fuertes lluvias en los municipios de Río Grande, Villanueva y Fresnillo. Un total de 500 viviendas fueron dañadas. No se reportan daños humanos.</t>
  </si>
  <si>
    <t xml:space="preserve"> Santa Cruz Amilpas y Santa Lucia del Camino</t>
  </si>
  <si>
    <t>Debido a las fuertes lluvias se reportaron 18 viviendas dañadas, así como dos vehículos en los municipios de Santa Cruz Amilpas y Santa Lucia del Camino.</t>
  </si>
  <si>
    <t>Ezequiel Montes</t>
  </si>
  <si>
    <t>Se registraron fuertes lluvias en el municipio de Ezequiel Montes, se reportan 13 viviendas afectadas.</t>
  </si>
  <si>
    <t>Villa de Etla.</t>
  </si>
  <si>
    <t>Debido a las fuertes lluvias 80 viviendas sufrieron afectaciones en el Municipiode Villa de Etla.</t>
  </si>
  <si>
    <t>Cuernavaca, Emiliano Zapata, Jitepec, Tepoztlán, Tlaltizapan, Yautepec, Temixco, Tlaquiltenango y Temoac</t>
  </si>
  <si>
    <t>Se registraron fuerte lluvias en los siguinetes municipios: Cuernavaca, Emiliano Zapata, Jitepec, Tepoztlán, Tlaltizapan, Yautepec, Temixco, Tlaquiltenango y Temoac. Se reportan alrededor de 2,000 viviendas dañadas se instalaron 8 refugios, de los cuales se estan utilizando únicamente tres.</t>
  </si>
  <si>
    <t xml:space="preserve">San Luis Potosi </t>
  </si>
  <si>
    <t>Debido a las fuertes lluvias reportadas en el municipiode San Luis Potosí, se registraron 118 viviendas afectadas, además de una persona muerta que murió ahogado debido a que su auto se quedo varado bajo un puente vehicular.</t>
  </si>
  <si>
    <t>La Piedad</t>
  </si>
  <si>
    <t>Debido a las fuertes lluvias registradas en el Municipio de La Piedad varias colonias se vieron afectadas sumando alrededor de 500 viviendas afectadas, se instaló un refugio en el cual se alberga a 25 personas. También se registraron daños en 30 vehículos.</t>
  </si>
  <si>
    <t xml:space="preserve"> Piedras Negras y Acuña</t>
  </si>
  <si>
    <t>Por causa de las fuertes lluvias presentadas en los municipios de Piedras Negras, Coahuila y Acuña se reportaron 20 viviendas afectadas.</t>
  </si>
  <si>
    <t>Pedro Escobedo,</t>
  </si>
  <si>
    <t>Se reportaron fuertes lluvias en el Municipio Pedro Escobedo, se reportan 300 viviendas dañadas, no se reportan pérdidas humanas.</t>
  </si>
  <si>
    <t>Colón.</t>
  </si>
  <si>
    <t>Debido a las fuertes lluvias se reportaron 11 viviendas afectadas en el municipio de Colón.</t>
  </si>
  <si>
    <t>Debido a las fuerte lluvias presentadas en varios municipios del Estado, alrededor de 500 viviendas sufrieron daños, se perdieron 6,500 hectáreas en el sector agrícola, además se sufrieron daños en la red carretera.</t>
  </si>
  <si>
    <t>Se registraron varias afectaciones debido a la fuerte lluvia, se registraron encharcamientos en varias vialidades, la suspensión del servicio del Metro, la caída de una barda la cual lesiono a 5 trabajadores de una construcción, suspensión de servicios en el aeropuerto y un electrocutado debido a la caída de subestación eléctrica.</t>
  </si>
  <si>
    <t>Magdalena,</t>
  </si>
  <si>
    <t>Debido a las fuertes lluvias registradas en el municipio de Magdalena, se reportaron 24 viviendas con afectaciones en los techos que eran de material endeble, a su vez se reporto la caída de 6 postes de energía eléctrica, 3 de TELMEX y varios árboles.</t>
  </si>
  <si>
    <t>Debido a la amenaza de la Tormenta Tropical "Claudette" se evacuaron 650 personas, las cuales se instalaron en tres refugios.</t>
  </si>
  <si>
    <t>Debido a la amenaza de la Tormenta Tropical "Claudette" se evacuaron 150 personas, las cuales se instalaron albergaron en refugios temporales, la tormenta no causo afectciones mayores.</t>
  </si>
  <si>
    <t>Se registraron lluvias con fuertes vientos en el municipio de Oaxaca, se reporta la caída de anuncios espectaculares, semáforos y árboles, estos últimos cayendo encima de tres autos resultando lesionada una persona.</t>
  </si>
  <si>
    <t>Se reportaron daños menores en diez viviendas del centro histórico de la Ciudad de Oaxaca debido a las fuertes lluvias.</t>
  </si>
  <si>
    <t xml:space="preserve"> Santa María Chilchotla, Yoloxochitlán</t>
  </si>
  <si>
    <t>Debido  a las fuertes lluvias en el municipio de Santa María Chilchotla se registró un derrumbe en la población de Rancho Nuevo ocasionando la muerte de 11 personas además 2 personas siguen desaparecidas y 2 viviendas resultaron afectadas. En el municipio de Yoloxochitlán se reportó el derrumbe de un cerro ocasionando la muerte de una persona.</t>
  </si>
  <si>
    <t>Juventino Rosas</t>
  </si>
  <si>
    <t>Debido a la granizada que se presento en el municipio de Juventino Rosas se registraron daños en los techos de a viviendas, a las familias afectadas se les apoyo con láminas de cartón.</t>
  </si>
  <si>
    <t>Nogales,</t>
  </si>
  <si>
    <t>Debido a las lluvias registradas en el municipio de Nogales, un auto fue arrastrado por la corriente del arroyo conocido como "Las Chimeneas", las tres personas que iban en el vehículo perdieron la vida.</t>
  </si>
  <si>
    <t>Aconchi</t>
  </si>
  <si>
    <t>Debido a los fuertes vientos se registro el corte de energía en el municipio de Aconchi esto debido a la caída de 3 estructuras de CFE.</t>
  </si>
  <si>
    <t>Celaya</t>
  </si>
  <si>
    <t>En el municipio de Celaya se registro la ruptura de un tubo de aguas negras debido a las fuertes lluvias, lo que ocasiono que 380 viviendas sufrieran afectaciones menores.</t>
  </si>
  <si>
    <t>Once viviendas se afectaron por la penetración de aguas  a su interior debido a las fuertes lluvias que ocasioneron el crecimiento del arroyo Arena, se reportó la pérdida de algunos animales domésticos.</t>
  </si>
  <si>
    <t>Empalme</t>
  </si>
  <si>
    <t>A consecuencia de las fuertes lluvias en el municipio de Empalme se reportan inundaciones que afectaron las viviendas de entre 90 y 100 familias, además a causa de los escurrimientos un puente de ferrocarril quedo destruido , lo que provoco el descarrilamiento de 12 furgones que transportaban trigo, debido al accidente se reportaron 5 personas heridas.</t>
  </si>
  <si>
    <t>Xalisco,</t>
  </si>
  <si>
    <t>Debido a las fuertes lluvias se reportaron 60 viviendas afectadas en el municipio de Xalisco, principalemte en las techumbres de las mismas, Protección Civil apoyo a las familias afectadas con 80 atados de láminas de cartón, 60 cobertores y 60 colchonetas.</t>
  </si>
  <si>
    <t>Alvarado</t>
  </si>
  <si>
    <t>Por causa de las lluvias registradas en el Municipio de Alvarado se reportaron 20 viviendas afectadas de manera parcial, a las familias afectadas se les apoyo con láminas.</t>
  </si>
  <si>
    <t>Debido a las fuertes lluvias un vehículo que transportaba a seis personas fue arrastrado por la corriente de el arroyo El Jaral, se reportaron tres personas fallecidas y tres heridas.</t>
  </si>
  <si>
    <t>Zinacantán,</t>
  </si>
  <si>
    <t>En el municipio de Zinacantán, debido a los fuertes vientos, se reportaron varias viviendas afectadas, así como una iglesia y también se reporto la suspensión del servicio eléctrico por unas horas.</t>
  </si>
  <si>
    <t>Debido a las fuertes lluvias en el municipio de Veracruz, se reporta la caída de una barda, la cual se derrumbo sobre un indigente que se protegía de la lluvia, dicha persona falleció al instante.</t>
  </si>
  <si>
    <t>Debidio a las fuertes lluvias en el municipio de Ixtapaluca 60 viviendas sufrieron afectaciones de distinto tipo. No se registraron daños humanos.</t>
  </si>
  <si>
    <t>Cuauhtémoc,</t>
  </si>
  <si>
    <t>Debido a las fuertes lluvias se reporto el derrumbe de una vivienda ubicada en la delegación Cuauhtémoc, no se reportan daños humanos</t>
  </si>
  <si>
    <t>Debido a las fuertes lluvias registradas en el municipio de Salamanca, 700 personas fueron evacuadas como medida preventiva debido a la latente posibilidad del desbordamiento del Río Lerma.</t>
  </si>
  <si>
    <t>Apaseo el Alto y Tarimoro</t>
  </si>
  <si>
    <t>Debido a las fuertes lluvias en los municipios de Apaseo el Alto y Tarimoro varias viviendas presentaron daños de diferentes tipos.</t>
  </si>
  <si>
    <t>Jacona</t>
  </si>
  <si>
    <t>A causa de una fuerte granizada en el municipio de Jacona se reportaron un total de 348 viviendas con afectaciones en sus techos, a la población afectada se les apoyo con despensas, láminas de cartón y cobijas.</t>
  </si>
  <si>
    <t>Debido  a una fuerte granizada en el municipio de Amecameca se reportan daños en 97 viviendas, así mismo, Protección Civil del Estado prestó ayuda a los afectados, se reportan 430 damnificados</t>
  </si>
  <si>
    <t>Sahuaripa</t>
  </si>
  <si>
    <t>Debido a las fuertes lluvias acompañadas de fuertes vientos, se registraron varias afectaciones en el municipio de Sahuaripa, en donde 60 viviendas resultaron afectadas. Protección Civil apoyo a las familias con láminas de cartón, despensas y agua embotellada.</t>
  </si>
  <si>
    <t>Tonalá y Guadalajara</t>
  </si>
  <si>
    <t>Debido a las fuertes lluvias varias viviendas resultaron afectadas en los municipios de Tonalá y Guadalajara, no se repotan daños mayores.</t>
  </si>
  <si>
    <t>Se registraron fuertes lluvias en varios municipios del estado dejando como resultado 12 viviendas dañadas y varios cortes a la circulación debido a los encharcamientos en las vias publicas.</t>
  </si>
  <si>
    <t>Acapetahua</t>
  </si>
  <si>
    <t>Debido a las lluvias y a los fuertes vientos en el municipio de Acapetahua, se reportaron dos casas afectadas.</t>
  </si>
  <si>
    <t>Monterrey, Santa Catarina, Linares, Galeana y Montemorelos</t>
  </si>
  <si>
    <t>Debido  a las fuertes lluvias acompañadas de fuertes vientos en los municipios de Monterrey, Santa Catarina, Linares, Galeana y Montemorelos, se reportan daños en 14 viviendas asi como la muerte de una persona que fue arrastrada por la corriente del arroyo Topo Chico.</t>
  </si>
  <si>
    <t xml:space="preserve">Concepción de Buenos Aires </t>
  </si>
  <si>
    <t>Debido a la tromba que afectó a el municipio de Concepción de Buenos Aires 80 viviendas sufrieron daños, así como 48 fincas, se reportaron 3 lesionados leves.</t>
  </si>
  <si>
    <t>Motozintla</t>
  </si>
  <si>
    <t>Debido a las fuertes lluvias registradas en el municipio de Motozintla se reportaron 36 viviendas inundadas con agua y lodo así como una escuela preparatoria.</t>
  </si>
  <si>
    <t>San Juan del Río</t>
  </si>
  <si>
    <t>Debido a las fuertes lluvias registradas en el municipio de San Juan del Río, varias viviendas sufrieon afectaciones, principalmente en sus enseres domésticos.</t>
  </si>
  <si>
    <t xml:space="preserve">Ciuadad de México </t>
  </si>
  <si>
    <t>Se registro la lluvia más fuerte de los últimos 50 años al norponiente del Distrito Federal, 50 viviendas resultaron dañadas, la circulación se vio afectada debido a que se cerró el periferico en sus dos sentidos entre Legaria y Reforma.</t>
  </si>
  <si>
    <t>Se registró la muerte de una persona en el municipio de Morelia debido a que este trato de cruzar un río en un automóvil con tres personas abordo.</t>
  </si>
  <si>
    <t>Venustiano Carranza y Cuauhtémoc</t>
  </si>
  <si>
    <t>Debido a las fuertes lluvias en las delegaciones Venustiano Carranza y Cuauhtémoc, las estaciones del metro Merced y Candelaria permanecieron cerradas debido a la penetración de agua a las instalaciones</t>
  </si>
  <si>
    <t>San Mateo Atenco</t>
  </si>
  <si>
    <t>Debido a las fuertes lluvias qe se presentaron en el municipio de an Mateo Atenco, no se reportan daños humanos, una escuela sufrió daños leves.</t>
  </si>
  <si>
    <t>Cacahuatán,</t>
  </si>
  <si>
    <t>Se registraron fuertes lluvias en el municipio de Cacahuatán, afetcando 44 viviendas de material endeble.</t>
  </si>
  <si>
    <t xml:space="preserve">Aguascalientes </t>
  </si>
  <si>
    <t>Se registraron fuertes lluvias en los municipios de aguascalientes y Asientos presentandose encharcamientos en algunas viviendas, una persona falleció alser arrastrada por la corriente del agua.</t>
  </si>
  <si>
    <t>Guadalajara, Zapopan y Tlaquepaque</t>
  </si>
  <si>
    <t>Debido a las fuertes precipitaciones registradas en los municipios de Guadalajara, Zapopan y Tlaquepaque varios municipios registraron inundaciones, también se reporto la caída de una barda. Así mismo se notificó la muerte de cuatro personas y tres heridos al ser arrastradas por la corriente. Se les dió albergue a 26 personas.</t>
  </si>
  <si>
    <t>Celaya, Silao y Dolores Hidalgo</t>
  </si>
  <si>
    <t>Se reportaron varias viviendas afectadas debido a las fuertes lluvias que se presentaron en los municipios de Celaya, Silao y Dolores Hidalgo, se albergó a 204 personas en dos albergues en los cuales se les atendió con comida y techo. También se reportó la muerte de una persona, un desaparecido y tres heridos, quienes fueron arrastrados por la corriente del Río el Jitomatal.</t>
  </si>
  <si>
    <t>Las fuertes lluvias registradas dejaron como saldo a 5 personas muertas y casi 15,000 damnificados.</t>
  </si>
  <si>
    <t>Guasave y Los Mochis</t>
  </si>
  <si>
    <t>Se reportaron 4 viviendas afectadas debido a las fuertes lluvias provocadas por el Huracán Ignacio esto en los municipios de Guasave y Los Mochis.</t>
  </si>
  <si>
    <t>San José del Cabo, Loreto y Comondu</t>
  </si>
  <si>
    <t>Debido a las fuertes lluvias provocadas por la cercanía del huracán "Ignacio", se presentaon diferentes afectaciones en los municipios de San José del Cabo, Loreto y Comondu, además se informó acerca de la muerte de dos militares y dos desaparecidos al intentar badear el Río Bramonas en un vehículo el cual fue arrastrado por la corriente. Como medida preventiva se albergó a cerca de 10,000 personas .</t>
  </si>
  <si>
    <t>Cumpas</t>
  </si>
  <si>
    <t>Debido a las fuertes lluvias, dos personas murieron al ser arrastradas por un arroyo en el municipio de Cumpas, los individuos trataron de cruzarlo en un vehículo, pero este fue arrastrado por la corriente.</t>
  </si>
  <si>
    <t>Atotonilco el Alto</t>
  </si>
  <si>
    <t>A causa de las fuertes lluvias en el municipiode Atotonilco el Alto, el Río Colorado s desbordo inundando algunas viviendas, se instalaron 2 refugios temporales dende se alojaron a 28 personas.</t>
  </si>
  <si>
    <t>Tonolá</t>
  </si>
  <si>
    <t>Debido a las fuertes lluvias registradas en el municipio de Tonolá, cuatro personas fallecieron al ser arrastradas por la corriente de un arroyo.</t>
  </si>
  <si>
    <t xml:space="preserve">Querértaro </t>
  </si>
  <si>
    <t>Se reportó la muerte de 4 personas en el municipio de Querétaro, dos de estas murieron al ser arrastradas por un torrente de agua en una calle de pendiente ponunciada, las otras dos murieron a causa de una explosión de gas , se reportaron 23 viviendas dañadas a causa de las lluvias.</t>
  </si>
  <si>
    <t>Silao</t>
  </si>
  <si>
    <t>Se reportó la muerte de dos personas en el Municipio de Silao, las personas se encontraban nadando y una crecida los arrastró.</t>
  </si>
  <si>
    <t>Debido a las fuertes lluvias una familia falleció al ser arastrada por una crecida de un río en el municipio de Nogales, fallecieron 4 personas entre estas dos menores de edad.</t>
  </si>
  <si>
    <t xml:space="preserve"> Matías Romero</t>
  </si>
  <si>
    <t>Debido a las fuertes lluvias en la zona del istmo en el municipio de Matías Romero se desbordo el Río Talapa; el cual provocó la inundación de 30 viviendas.</t>
  </si>
  <si>
    <t>Venustiano Carranza</t>
  </si>
  <si>
    <t>Debido a las fuertes lluvias en el municipio de Venustiano Carranza y al incremento en el nivel del aroyo Borbollón, varias viviendas sufrieron daños, así mismo, una persona falleció al intentar cruzar el cauce del río en automóvil.</t>
  </si>
  <si>
    <t>San Mateo Atenco y Jiquipilco</t>
  </si>
  <si>
    <t>Debido a las fuertes lluvias en los municipios de San Mateo Atenco y Jiquipilco, varias viviendas sufrieron afectaciones, se reportan 641 personas afectadas.</t>
  </si>
  <si>
    <t xml:space="preserve">Azoyu, Marquelia,  San Luis Acatlan, Copala, Cuajinicuilapa, Igualapa y Ometepec </t>
  </si>
  <si>
    <t>En el estado de Guerrero el ciclón tropical Ernesto afectó a viviendas, escuelas, centros de salud y carreteras del estado.</t>
  </si>
  <si>
    <t xml:space="preserve">Naucalpan </t>
  </si>
  <si>
    <t>Debido a la acumulación de agua en el campo militar no1 se registró la caída de una barda de 50mts de largo por 6 de alto ocasionando una avenida de agua que arrastró 13 vehículos provocando la muerte de una persona y lesionando a otra.</t>
  </si>
  <si>
    <t>35</t>
  </si>
  <si>
    <t>Fuertes lluvias causadas por el CT "Trudy". Se reportaron daños en carreteras Federales y Estatales por cortes y deslaves. Postes de energia electrica caidos y derrumbes.  Desbordamiento de 8 rios. Activacion de 15 RT. Se reporto la muerte de 4 personas debido a que su casa quedo sepultada (2 hombres y 2 mujeres); una personas que cayo al rio;  un hombre y una mujer debido a que colpaso su vivienda de adobe y un hombre por deslave de cerro sobre su negocio. 81 localidades  incomunicadas, colapso de 4 puentes y 21 deslaves. 2600 casas afectadas; 2343 por inundacion, 23 colapsadas, 3 por caida de arbol, 218 con daños en techos 5 con daños parciales y 7 con bardas caidas. Insumos entregados: 41553 despensas, 120180 laminas tipo b, 41550 cobertores, 41550 colchonetas, 900 impermeables, 600 guantes, 50 rollos de hule, 30000 costales, 400 carretillas, 400 palas redondas, 400 zapapicos, 300 cascos, 200 machetes, 200 hachas, 41553 kits de limpieza, 41553 kits de aseo personal, 110845 toallas femeninas, 73897 pañales etapa 2, 118235 pañales etapa 3, 88676 pañales etapa 4, 73897 pañales etapa 5, 209480 litros de agua.</t>
  </si>
  <si>
    <t>Tecamachalco,</t>
  </si>
  <si>
    <t>Debido a las fuertes lluvias registradas en el municipio de Tecamachalco, 13 viviendas sufrieron afectaciones y se evacuó a un total de 60 personas.</t>
  </si>
  <si>
    <t>Varios muncipios resultaron afectados debido a las fuertes lluvias, se estima en 12 mil las personas damnificadas, 2 mil viviendas afectadas y alrededor de 9 mil hectáreas dañadas, 62 planteles educativos, 15 municipios fueron declarados zona de desastre.</t>
  </si>
  <si>
    <t>Debido a las fuertes lluvias, varios municipios del Estado sufrieron afectaciones de distinta índole, esto debido también al desbordamiento de los Rios Laja y Lerma. La autopista Celaya- Queretaro sufrió afectaciones por alrededor de 18 millones de pesos en reparaciones y se reportaron pérdidas por 35 millones de pesos por cuestiones de peaje.  En agricultura, las pérdidas se calculan en 500 millones de pesos. Se instalaron 37 refugios temporales.</t>
  </si>
  <si>
    <t>Querétaro, Corregidora, Del Márques, Huimilpan, Amealco y Pedro Escobedo</t>
  </si>
  <si>
    <t>Las fuertes lluvias causaron daños en aproximadamente 2,200 viviendas en los municipios de Querétaro, Corregidora, Del Márques, Huimilpan, Amealco y Pedro Escobedo</t>
  </si>
  <si>
    <t>Se aplicó el plan DN-III en la ciudad de Querétaro debido a las fuertes lluvias registradas, se reportan cerca de 7,000 viviendas afectadas y alrededor de 35,000 damnificados.</t>
  </si>
  <si>
    <t>Nopala,</t>
  </si>
  <si>
    <t>Debido a las fuertes lluvias registradas en el municipio de Nopala, tres viviendas sufrieron daños y se dio albergue a un total de 100 personas que fueron evacuadas de sus domicilios.</t>
  </si>
  <si>
    <t>Debido a las lluvias se reporta una grieta que ha afectado 5 viviendas en sus estructuras.</t>
  </si>
  <si>
    <t>Chapultenango</t>
  </si>
  <si>
    <t>Se reportó una persona muerta en el municipio de Chapultenango que al intentar cruzar un Río perdió la vida, además una persona sufrió lesiones al caerle un barda encima en el municipio de Tapachula.</t>
  </si>
  <si>
    <t>Yesca</t>
  </si>
  <si>
    <t>Debido a las fuertes lluvias en el municipio de la Yesca, hay 6,000 personas incomunicadas debido a la caída de un puente que servía de paso vehicular y peatonal. Así mismo otros municpios fueron afectados en diferentes sectores.</t>
  </si>
  <si>
    <t>Trinidad Tenalleca</t>
  </si>
  <si>
    <t>Se desbordó un canal debido a las fuertes lluvias en el municipio de La Trinidad Tenalleca, se reportan 7 viviendas afectadas.</t>
  </si>
  <si>
    <t>Mexquitic de Carmona</t>
  </si>
  <si>
    <t>Se registro una tormenta eléctrica en el municipio de Mexquitic de Carmona, se reporto una persona muerta por descarga eléctrica.</t>
  </si>
  <si>
    <t>Cintalapa</t>
  </si>
  <si>
    <t>Debido a las fuertes precipitaciones registradas en el municipio de Cintalapa, se registraron daños en 202 viviendas.</t>
  </si>
  <si>
    <t>Panotla</t>
  </si>
  <si>
    <t xml:space="preserve">Las fuertes lluvias ocasionaron daños en 10 viviendas en el municipio de Panotla, no se reportan personas lesionadas </t>
  </si>
  <si>
    <t>Debido a las fuertes lluvias que han azotado a varios municipios del Estado, se reportan cerca de 30,000 damnificados, así como 10,000 hectáreas de cultivo dañadas y se calcula en 100 millones de pesos el impacto económico de las inundaciones en la entidad.</t>
  </si>
  <si>
    <t>Debido a las fuertes lluvias registradas en varios municipios, una persona perdió la vida y varias viviendas resultaron afectadas, a las familias afectadas se les apoyo con despensas, cobertores y colchones.</t>
  </si>
  <si>
    <t>Río Bravo</t>
  </si>
  <si>
    <t>Debido a las fuertes lluvias el municipio de Río Bravo resulto con afectaciones en varias viviendas, se evacuaron a 19 personas</t>
  </si>
  <si>
    <t>Guadalupe</t>
  </si>
  <si>
    <t>Fue arrastrado un vehículo compacto con tres personas abordo al intentar cruzar el río "La Silla" en el municipio de Guadalupe, se reporta un muerto, un lesionado y una persona desaparecida.</t>
  </si>
  <si>
    <t>Debido a las fuertes lluvias, una persona fue arrastrada por un arroyo y perdió la vida, también se reportaron afectaciones en 5 viviendas del municipiode Venustiano Carranza y varios árboles caidos.</t>
  </si>
  <si>
    <t>Debido a las fuertes lluvias registradas en varios municipos de veracruz, varias viviendas sufrieron afectaciones.</t>
  </si>
  <si>
    <t>Tepeji del Río e Ixmiquilpan</t>
  </si>
  <si>
    <t>Los municipios de Tepeji del Río e Ixmiquilpan se vieron afectados por las fuertes lluvias. Se reportaron 25 viviendas con afectaciones, así como 60 personas albergadas.</t>
  </si>
  <si>
    <t>Las fuertes lluvias ocasionaron daños en varios municipios, se reporta una persona fallecida y varias viviendas afectadas.</t>
  </si>
  <si>
    <t xml:space="preserve">A consecuencia de las fuertes lluvias acompañadas de fuertes vientos, varias viviendas sufrieron daños, por lo que se activaron 17 albergues como medida preventiva en diferentes municipios, se reporta una persona desaparecida y 4 muertos.  </t>
  </si>
  <si>
    <t>Debido a las fuertes lluvias en varios municipios se reportan varias viviendas afectadas así como la muerte de dos personas, adeamás se albergó a un total de 145 personas.</t>
  </si>
  <si>
    <t>Rosario, Loma Verde, Concordia, Culiacán, Ahome, Mazatlán, Elota y Navolato</t>
  </si>
  <si>
    <t>El huracán "Marty" ocasiono daño en los municipios de Rosario, Loma Verde, Concordia, Culiacán, Ahome, Mazatlán, Elota y Navolato, se reportan afectaciones en 34 comunidades así como 4 muertos y una persona desaparecida.</t>
  </si>
  <si>
    <t>El huracán "Marty" ocasiono daños en varios municipios del estado, dejando a su paso 4 muertos, 13mil damnificados y daños económicos estimados en 1000 millones de pesos, 2000 viviendas afectadas, se hundieron 35 yates y unas 100 embarcaciones de distinto calado resultaron dañadas</t>
  </si>
  <si>
    <t>Guaymas,</t>
  </si>
  <si>
    <t>El huracán "Marty" dejo un saldo de más de 6 mil damnificados sólo en el municipiode Guaymas, en total se evacuó a 10 mil personas y los daños se calculan en 13 millones de pesos, se reportan 4 personas muertas y un desaparecido.</t>
  </si>
  <si>
    <t>Acapulco de Juárez, Acatepec,
Atoyac de Álvarez, Ayutla de los Libres, Chilpancingo de los Bravo, Coyuca de Benítez, Juan
R. Escudero, Leonardo Bravo, Ometepec, San Luis Acatlán, Tlacoachistlahuaca y
Xochistlahuaca</t>
  </si>
  <si>
    <t>Se registro la entrega de insumos debido a la presencia de lluvia severa en el estado</t>
  </si>
  <si>
    <t>FONDEN: insumos</t>
  </si>
  <si>
    <t>Oriental</t>
  </si>
  <si>
    <t>Se registro una fuerte granizada en el municipio de Oriental por lo que se vieron afectadas un total de 45 viviendas. Se habilitó un refugio temporal.</t>
  </si>
  <si>
    <t>Tultitlan y Coacalco</t>
  </si>
  <si>
    <t>Debido a las fuertes lluvias presentadas en los municipios de Tultitlan y Coacalco, se reportan 110 viviendas afectadas. Se intentó evacuar la zona pero las personas se negaron a salir de sus domicilios.</t>
  </si>
  <si>
    <t>Debido a las fuertes lluvias registradas en el municipio de Morelia, vaias viviendas sufrieron daños, por lo que se abrió un refugio temporal en el cual se encuentran albergadas 35 personas.</t>
  </si>
  <si>
    <t>Tepalcingo</t>
  </si>
  <si>
    <t>Se desbordo un canal en el municipio de Tepalcingo, afectando a 80 familias, así como 9 vehículos que fueron arrastrados por la corriente, un jardín de niños tambien resulto dañado.</t>
  </si>
  <si>
    <t>Debido a la gran cantidad de lluvia en los días pasados que se ha presentado en varios municipios del estado, se reportan daños a la agricultura, varios miles de damnificados y afectaciones en algunos planteles educativos</t>
  </si>
  <si>
    <t>Tepoztlan, Tlaltizapan, Tlalquitenango</t>
  </si>
  <si>
    <t>Debido a las fuertes lluvias registradas en la entidad se reportan algunas viviendas dañadas en los municipios de Tepoztlan, Tlaltizapan, Tlalquitenango y Yautepec. Se reportan 20 viviendas afectadas y la instalación de 1 albergue.</t>
  </si>
  <si>
    <t>Santiago Tuxtla, Papantla, Poza Rica, Zontecomatlán, Texcatepec, San Rafael, San Andrés Tuxtla, Ixtlahuacán de Madero, Chinampa de Gorostiza, Azalan e Ixcatepec</t>
  </si>
  <si>
    <t>Debido a las fuertes lluvias que se presentaron en los municipios de Santiago Tuxtla, Papantla, Poza Rica, Zontecomatlán, Texcatepec, San Rafael, San Andrés Tuxtla, Ixtlahuacán de Madero, Chinampa de Gorostiza, Azalan e Ixcatepec entre otros,  se registraron diferentes tipos de daños en varias localidades, así mismo se reporta la muerte de 5 personas a consecuecia de la Tormenta Tropical "Larry"</t>
  </si>
  <si>
    <t>Debido a las fuertes lluvias presentadas en diversos municipios del estado, se reportan 3 personas fallecidas, asi como afectaciones en varias viviendas.</t>
  </si>
  <si>
    <t>Tabasco</t>
  </si>
  <si>
    <t>Cárdenas, Jalapa, Paraiso y Tacotalpa</t>
  </si>
  <si>
    <t>Debido a las fuerte lluvias hay 9 localidades afectadas en 4 municipios (Cárdenas, Jalapa, Paraiso y Tacotalpa), se reportan 241 familias afectadas (1,170 personas) se instalaron 3 refugios y hay 47 personas ocupandolos.</t>
  </si>
  <si>
    <t>Nuevo Campechito</t>
  </si>
  <si>
    <t>Debido a las fuertes lluvias se evacuó a 78 personas del municipio de Nuevo Campechito a dos refugios temporales como medida preventiva.</t>
  </si>
  <si>
    <t>Los remanentes de la depresión tropical "Larry" afectaron a 49 municipios del estado de Chiapas, se reportan varias localidades afectadas así como 10,577 viviendas dañadas en diversos grados, el número de viviendas totalmente destruidas fue de 217. Cinco comunidades quedaron incomunicadas,  87 albergues fueron habiltados. Los municipios más afetcados fueron Tuxtla Gutiérrez, Ocozocuautla y Berriozabal.</t>
  </si>
  <si>
    <t>A consecuencia de las lluvias que se registraron en varios municipios se reportan 200 viviendas afectadas, se presentaron inundaciones debido a el taponamiento del dranaje por acumulación de basura.</t>
  </si>
  <si>
    <t>Debido a las fuertes lluvias registradas en varios muncipios 66 viviendas sufrieron daños, así mismo se reporta la muerte de tres menores de edad que fueron arrastrados por la corriente de un arroyo crecido.</t>
  </si>
  <si>
    <t>Debido a las lluvias provocadas por la tormenta tropical "Olaf" se reportan varias viviendas dañadas, así como una persona fallecida, como medida preventiva se evacuó a 138 personas.</t>
  </si>
  <si>
    <t>Debido a las fuertes lluvias en el municipio de Nogales 15 viviendas sufrieron daños así como tres vehículos que fueron arrastrados por un arroyo, se abrieron 2 refugios temporales en los que se encuentran albergadas 58 personas.</t>
  </si>
  <si>
    <t>Salina Cruz, Tehuantepec, San Francisco Ozoltepec, Miahuatlán y San Dionisio del Mar</t>
  </si>
  <si>
    <t>Los remanentes de la Tormenta tropical "Larry" ocasionaron daños en los municipios de Salina Cruz, Tehuantepec, San Francisco Ozoltepec, Miahuatlán y San Dionisio del Mar,  Una persona falleció.</t>
  </si>
  <si>
    <t>Debido a las fuertes lluvias, diversos municipios resultaron afectados con encharcamientos y apagones, una persona se encuentra desaparecida ya que fue arrastrada por la corriente del arroyo denominado "alamo" en el municipio de Paras. Se reporta una persona fallecida y otra desaparecida.</t>
  </si>
  <si>
    <t xml:space="preserve">Abasolo, Hidalgo, Mante, San Fernando y Nuevo Laredo </t>
  </si>
  <si>
    <t>Debido a las fuertes lluvias registradas, en los municipios de Abasolo, Hidalgo, Mante, San Fernando y Nuevo Laredo 200 viviendas fueron afectadas, 40 familias fueron evacuadas como medida preventiva.</t>
  </si>
  <si>
    <t>Zimapán y Chapulhuacan</t>
  </si>
  <si>
    <t>A consecuencia de la apertura de puertas de la presa Zimapan, se incremento el caudal del río Moctezuma afectando áreas de cultivo  del municipio de Pisaflores. Además los municipios de Zimapán y Chapulhuacan también fueron afectados, se reportan 316 personas refugiadas.</t>
  </si>
  <si>
    <t>Tamazunchale.</t>
  </si>
  <si>
    <t>Como medida preventiva, se evacuó a 21 familas debido al crecimiento de un río a la altura del municipio de Tamazunchale.</t>
  </si>
  <si>
    <t>Malinaltepec y San Luis Acatlán</t>
  </si>
  <si>
    <t xml:space="preserve">Las lluvias registradas debido al CT Erick. Resultando 17 viviendas afectadas; 4 deslizamientos de rocas y derrumbes en carreteras; 23 arboles, 1 anucio y 1 poste caidos; 1 hotel dañado, 2 personas lesionadas, 1 desprendimiento de laminas y 2 bardas colapsadas. Se otorgo apoyo a las personas afectadas </t>
  </si>
  <si>
    <t>Ciudad Victoria</t>
  </si>
  <si>
    <t>Se reportó la desaparición de una persona la cual fue arrastrada por el Río San Carlos en el municipio de Ciudad Victoria</t>
  </si>
  <si>
    <t>Ebano</t>
  </si>
  <si>
    <t>Con relación a las fuertes lluvias presentadas en el municipio de Ebano se albergo a 200 familias, se reporta una vivienda derrumbada.</t>
  </si>
  <si>
    <t xml:space="preserve"> Alvaro Obregón</t>
  </si>
  <si>
    <t>Debido a la granizada que se presento en la delegación Alvaro Obregón 100 viviendas sufrieron afectaciones.</t>
  </si>
  <si>
    <t>Tuxtepec</t>
  </si>
  <si>
    <t>Debido a las lluvias registradas en el municipio de Tuxtepec, 36 familias sufrieron afectaciones en sus viviendas, po lo que se les apoyo con 55 colchonetas y 55 cobertores.</t>
  </si>
  <si>
    <t xml:space="preserve">Altamira y Madero </t>
  </si>
  <si>
    <t>Debido a las fuertes lluvias presentadas en los muncipios de Altamira y Madero se instalaron 2 refugios los cuales estan siendo ocupados por 92 personas.</t>
  </si>
  <si>
    <t>Cerro Azul y Naranjos</t>
  </si>
  <si>
    <t>Debido a las fuertes precipitaciones registradas en los municipios de Cerro Azul y Naranjos, se reportan 15 viviendas afectadas, por lo que se instalaron refugios temporales y se proporcionaron alimetnos y cobertores a las personas afectadas.</t>
  </si>
  <si>
    <t xml:space="preserve">Salto del Agua </t>
  </si>
  <si>
    <t>Debido a las fuertes lluvias presentadas en el municipio de Salto del Agua fueron activados tres refugios, se reportan 29 viviendas con daños de diferente tipo así como 29 familias afectadas.</t>
  </si>
  <si>
    <t>Matamoros, Río Bravo, Valle hermoso y San Fernand</t>
  </si>
  <si>
    <t>Debido a las lluvias con fuertes vientos presentadas en los municipios de Matamoros, Río Bravo, Valle hermoso y San Fernando, varias viviendas de material endeble fueron dañadas. Se implementaron refugios temporales en los cuales se albergó a un total de 2787 personas</t>
  </si>
  <si>
    <t>Debido a las fuertes lluvias 6 municipios del estado sufrieron afectaciones, se presentaron afectaciones vivienda, caminos y en el sector eléctrico. Se reportan 22 familias albergadas así como 19 viviendas afectadas</t>
  </si>
  <si>
    <t>Se registraron inundaciones en los municipios de Jonuta y la zona centro del Estado, se vieron afectadas 27 localidades y se instalaron 10 refugios temporales en donde se albergaron 242 personas, también se reportaron 4580 personas afectadas.</t>
  </si>
  <si>
    <t>Se registraron fuertes vientos en varios muncipios del estado de Veracruz, se reportaron 4 personas lesionadas debido a la caída de una barda.</t>
  </si>
  <si>
    <t>La sequía afectó a 320 poblaciones de 17 municpios y afectó  las cosechas del ciclo primavera-verano  cuyas pérdidas se estiman en poco más de 300 mil hectáreas, además de la muerte de 1 500 reses</t>
  </si>
  <si>
    <t xml:space="preserve">Pacula  Jacala, </t>
  </si>
  <si>
    <t>La sequía siniestró alrededor de 5000 hectáreas, los municipios más afectados fueron los de Pacula y Jacala, parte de la Huasteca y el Altiplano</t>
  </si>
  <si>
    <t>Más de 70 municpios se encuentran en estado de desastre a causa de la sequía, el gobierno dispuso de 30 millones de pesos del fondo especial para atender el siniestro</t>
  </si>
  <si>
    <t>La sequía provoco daños en 200 mil hectáreas, de las 900 mil cabezas se redujeron en los últimos años a menos de la mitad.</t>
  </si>
  <si>
    <t>Debido a la sequía se dejaron de cultivar 180 mil hectáreas de trigo que representan más de un millón de toneladas</t>
  </si>
  <si>
    <t>Naco</t>
  </si>
  <si>
    <t>Se reporta el deceso de 2 personas a causa de intoxicación por Monóxido de Carbono  en el municipio de Naco.</t>
  </si>
  <si>
    <t>Ciudad Juárez</t>
  </si>
  <si>
    <t>Se registraron dos fallecimientos en el municipio de Ciudad Juárez por inhalación de Monoxido de Carbono, asimismo, en el municipio de Cuauhtemoc otras dos personas fallecieron por la misma causa.</t>
  </si>
  <si>
    <t>Pidras Negras</t>
  </si>
  <si>
    <t>Se reportó la activación de 2 albergues en el municipio de Pidras Negras debido  la temporada invernal, hasta el momento se reportan 44 personas albergadas.</t>
  </si>
  <si>
    <t>Tapachula,</t>
  </si>
  <si>
    <t>Se registraron fuertes vientos en el municipio de Tapachula, por lo que varias comunidades sufrieron afectaciones, se reportan 70 viviendas con afectaciones en sus techos y algunos daños en cultivos, como papa, maíz, frijol, café y trigo.</t>
  </si>
  <si>
    <t>Debido a los fuertes vientos, 50 viviendas de material endeble, perdieron su techumbre.</t>
  </si>
  <si>
    <t>Tecoman, Armería, Coquimatlán y Villa de Alvaréz</t>
  </si>
  <si>
    <t xml:space="preserve">Se registró un sismo de 7.6 grados en la escala de Richter a las 20:06 Hrs., este afectó a los municipios de Tecoman, Armería, Coquimatlán y Villa de Alvaréz principalmente.  </t>
  </si>
  <si>
    <t>Con motivo de sismo con epicentro en las costas de Colima, en Jalisco se registrarón 2 personas fallecidas y 31 lesionadas además de varias viviendas dañadas.</t>
  </si>
  <si>
    <t>A consecuencia del sismo con epicentro en las costas de Colima, se registraron personas lesionadas en este estado, así como varias viviendas dañadas.</t>
  </si>
  <si>
    <t>Se registró el hundimiento de suelo en la comunidad de San Isidro, en el municipio de Pantepec. Se reportan 5 desaparecidos</t>
  </si>
  <si>
    <t>Se registró deslizamiento de suelo en la zona de mesa del río en la delegación de Otay, se evacuaron 5 domicilios como medida preventiva.</t>
  </si>
  <si>
    <t xml:space="preserve">Se registró el derrumbe de una parte del cerro ubicado en la colonia Monte Albán en la Delegación Iztapalapa, esto se originó por el reblandecimiento del suelo. Una persona perdió la vida. </t>
  </si>
  <si>
    <t>Yajalon</t>
  </si>
  <si>
    <t>En el municipio de Yajalon, se registró el derumbe de una vivienda a consecuencia de un deslave. Se reporta una persona lesionada.</t>
  </si>
  <si>
    <t>Naucalpan</t>
  </si>
  <si>
    <t>Se reportó un hundimiento de suelo en el municipio de Naucalpan en la colonia Minas Tecolote, debido a lo anterior se reportan 4 viviendas afectadas</t>
  </si>
  <si>
    <t>Se registró el derrumbe de una roca sobre una persona de 32 años de de edad, esta murio inmediatamante</t>
  </si>
  <si>
    <t>Zacatepec Mixe</t>
  </si>
  <si>
    <t>Se registraron dos deslizamientos de suelo, uno en el municipio de Ixtlán de Juárez y el otro en el municipio de Zacatepec Mixe. En el primer municipio sólo se daño una escuela pero no se reportaron daños humanos, en cambio en Zacatepec Mixe se reportaron 7 personas muertas y una lesionada.</t>
  </si>
  <si>
    <t>Debido a las lluvias registradas y a reblandecimiento de tierra se desgajo una zona irregular en el municipio de Hidalgo, se reportaron 8 viviendas afectadas y 60 damnificados.</t>
  </si>
  <si>
    <t>Debido a las fuertes lluvias se ocasionó el desgajamiento de tierra de un cerro en la delegación Tlalpan en el pueblo de San Miguel Topilejo, no se reportan daños humanos.</t>
  </si>
  <si>
    <t>Tuxtla Gutiérrez</t>
  </si>
  <si>
    <t>Se registró un derrumbe en el mercado "Nuevo Díaz Ordaz" en el municipio de Tuxtla Gutiérrez, se reportan tres personas lesionadas.</t>
  </si>
  <si>
    <t>Se registro el hundimiento de suelo en la colonia los Olivos del Municipio de Atizapan, esto debido a una mina que pasa por debajo de la calle que no se habia detectado, esta tiene una profundidad de 10 metros.</t>
  </si>
  <si>
    <t>Álvaro Obregón</t>
  </si>
  <si>
    <t>Debido  a las fuertes lluvias en la delegación Álvaro Obregón, una vivienda resultó afectada al presentarse un deslizamiento de suelo, dos personas resultaron lesionadas y se evacuó a los habitantes de viviendas aledañas.</t>
  </si>
  <si>
    <t xml:space="preserve">Gustavo A. Madero </t>
  </si>
  <si>
    <t>Se registró un deslizamiento de suelo en la delegación Gustavo A. Madero en el cual perdieron la vida un menor y un adulto, así mismo se reportan otros dos menores con lesiones leves.</t>
  </si>
  <si>
    <t>Se reportó el deslizamiento de suelo en un tramo carretero el cual ocasiono el choque de tres autos y causo lesiones a 6 personas.</t>
  </si>
  <si>
    <t>Huxquilucan</t>
  </si>
  <si>
    <t>Se registró un deslizamiento de suelo en el municipio de Huxquilucan, una vivienda quedó sepultada, provocando que 2 personas perdieran la vida y otras tres resultaran lesionadas.</t>
  </si>
  <si>
    <t>Se registró un derrumbe de piedras sobre dos viviendas del municipio de Naucalpan, a consecuencia de esto dos personas perdieron la vida.</t>
  </si>
  <si>
    <t>Actopan</t>
  </si>
  <si>
    <t>Nezahualcoyotl</t>
  </si>
  <si>
    <t>Valle de Chalco</t>
  </si>
  <si>
    <t>Xalapa</t>
  </si>
  <si>
    <t>Villa de Tezontepec</t>
  </si>
  <si>
    <t>Mexicali</t>
  </si>
  <si>
    <t>Guadalajara</t>
  </si>
  <si>
    <t>Coatzacoalcos</t>
  </si>
  <si>
    <t>Tuxpan</t>
  </si>
  <si>
    <t>Guaymas</t>
  </si>
  <si>
    <t>Culiacán</t>
  </si>
  <si>
    <t>Zamora</t>
  </si>
  <si>
    <t>Corregidora</t>
  </si>
  <si>
    <t>Tequisquiapan</t>
  </si>
  <si>
    <t xml:space="preserve">FONDEN </t>
  </si>
  <si>
    <t>Jaumave</t>
  </si>
  <si>
    <t>Uruapan</t>
  </si>
  <si>
    <t>Cuauhtemoc</t>
  </si>
  <si>
    <t>San Pedro Lagunillas</t>
  </si>
  <si>
    <t>Cueramaro</t>
  </si>
  <si>
    <t>Othón P. Blanco</t>
  </si>
  <si>
    <t>Calvillo</t>
  </si>
  <si>
    <t>Cuauhtémoc</t>
  </si>
  <si>
    <t>Tecate</t>
  </si>
  <si>
    <t>Tijuana</t>
  </si>
  <si>
    <t>Benito Juárez</t>
  </si>
  <si>
    <t>Santa María del Río</t>
  </si>
  <si>
    <t>Tlaltenango</t>
  </si>
  <si>
    <t>Sonoyta</t>
  </si>
  <si>
    <t>Tecalitlan</t>
  </si>
  <si>
    <t>Zinacantepec</t>
  </si>
  <si>
    <t>Monterrey</t>
  </si>
  <si>
    <t>Emiliano Zapata</t>
  </si>
  <si>
    <t>Irapuato</t>
  </si>
  <si>
    <t>Pijijiapan</t>
  </si>
  <si>
    <t>Choix</t>
  </si>
  <si>
    <t>Bocoyna</t>
  </si>
  <si>
    <t>Miguel Hidalgo</t>
  </si>
  <si>
    <t>Chilpancingo</t>
  </si>
  <si>
    <t>Pueblo Nuevo</t>
  </si>
  <si>
    <t>Villaflores</t>
  </si>
  <si>
    <t>San Fernando</t>
  </si>
  <si>
    <t>Toluca</t>
  </si>
  <si>
    <t>Tlaquepaque</t>
  </si>
  <si>
    <t>Monclova</t>
  </si>
  <si>
    <t>Se registró una fuerte lluvia en el municipio de Pichucalco afectando a 195 viviendas en sus enseres domésticos, además debido a la fuerte lluvia se presentó un deslave el cual se llevo a una vivienda construida con material endeble en la cual murieron 2 menores de edad. Se instaló un albergue en el cual estan refugiadas 11 personas.</t>
  </si>
  <si>
    <t>Cihuatlán</t>
  </si>
  <si>
    <t>Se reportó una fuerte lluvia con granizo en el municipio de Cihuatlán por lo que fue necesaria la evacuación de 32 personas. La unidad estatal ed Protección Civil ha entregado catres, cobijas y láminas galvanizadas a las familias afectadas.</t>
  </si>
  <si>
    <t>Debido a las bajas temperaturas se registró una nevada en la parte alta del cerro del ajusco, se desalojó a 29 personas del poblado de Parres en la delegación Tlalpan, ya que la nevada afectó techumbres de algunas viviendas.</t>
  </si>
  <si>
    <t>tijuana</t>
  </si>
  <si>
    <t>Se registraron fuertes lluvias en el municipio de tijuana, se esima que 200 familias fueron afectadas, se instaló un refugio temporal el cual albergó hasta 300 personas, por último se reportó la muerte de una persona al intentar cruzar un río.</t>
  </si>
  <si>
    <t>Villa de Zaragoza</t>
  </si>
  <si>
    <t>Se reportó una granizada en el municipio de Villa de Zaragoza afectando un total de 10 viviendas, no se repotan daños humanos, y se le apoyara a las familias afectadas con despensas y láminas.</t>
  </si>
  <si>
    <t>Suchilquitongo</t>
  </si>
  <si>
    <t>Se registraron lluvias con tormentas eléctricas en el municipio de Suchilquitongo Etla. Se reporta el fallecimiento de dos personas por impacto de rayo.</t>
  </si>
  <si>
    <t>Se registró una lluvia acompañada de fuertes vientos en la cual resultaron afectadas 6 viviendas. A las familias se les brindó apoyo con láminas de cartón y colchonetas.</t>
  </si>
  <si>
    <t xml:space="preserve"> Llera</t>
  </si>
  <si>
    <t>Se registró una granizada en el municipio de Llera en la cual 30 viviendas resultaron afectadas, las autoridades del municipio se encargaron de brindar apoyo a las familias afectadas como son: despensas, cobijas y láminas de cartón, Asó mismo en el municipio de San Carlos se presentaron daños en 25 viviendas, a las familias afectadas se les apoyo con atados de láminas, que en total sumaron 50.</t>
  </si>
  <si>
    <t>Debido a las fuertes lluvias acompañadas de fuertes vientos y descargas eléctricas se registraron varios árboles caidos y 97 viviendas afectadas</t>
  </si>
  <si>
    <t>Piedras Negras, San Juan de Sabinas, Sabinas y Zaragoza</t>
  </si>
  <si>
    <t>Se reportaron lluvias torrenciales en los municipios de Piedras Negras, San Juan de Sabinas, Sabinas y Zaragoza, así mismo se reporta inundación en dichos municipios. También se reportó la muerte de 38 personas por arrastre del río escondido principalmente, varias viviendas resultaron con daños en diferente grado, así mismo los daños se estiman en más de 80 millones de pesos.</t>
  </si>
  <si>
    <t xml:space="preserve"> Anahuac, China, General Teheran, General Bravo y Los Herrera</t>
  </si>
  <si>
    <t xml:space="preserve">Debido a las fuertes lluvias se registraron daños en  5 municipios del estado (Anahuac, China, General Teheran, General Bravo y Los Herrera) Resultando más afectado el municipio de Los Herrera en donde 120 viviendas sufrieron daños menores, así mismo mrieron 150 cabezas de ganado caprino y 110 vehículos fueron afectados. </t>
  </si>
  <si>
    <t>Se informa que debido a las lluvias, el Río Bravo aumentó su torrente y ocasionó el deceso de 2 personas en el municipio de Nuevo Laredo</t>
  </si>
  <si>
    <t>Chiconquiaco, Tonochtitlán, Acatlan y Coacoatzintla</t>
  </si>
  <si>
    <t>Se registraron lluvias fuertes y granizadas en los municipios de Chiconquiaco, Tonochtitlán, Acatlan y Coacoatzintla, debido a lo anterior se reportaron 800 viviendas afectadas en diversos grados y dalños en cultivos, así mismo se reportó una persona lesionada.</t>
  </si>
  <si>
    <t>Huhi y Sanahca</t>
  </si>
  <si>
    <t>Debido a las fuertes lluvias registradas en el municipio de Huhi y Sanahcat se reportaron 70 viviendas de material endeble afectadas.</t>
  </si>
  <si>
    <t>Coscomatepec, Los Reyes, Tequila, Orizaba, Perote, La Perla, Rafael Delgado, Ixhuatlancillo, Acultzingo, Ixtaczocuitlán, Nogales e Ixhuacán de lor Reyes</t>
  </si>
  <si>
    <t>Se registraron fuertes lluvias y granizadas en los municipios de Coscomatepec, Los Reyes, Tequila, Orizaba, Perote, La Perla, Rafael Delgado, Ixhuatlancillo, Acultzingo, Ixtaczocuitlán, Nogales e Ixhuacán de lor Reyes.  Se reportaron 2 personas lesionadas, 23 comunidades afectadas, 3,106 viviendas afectadas y 15,530 personas afectadas. Se apoyo a la población damnificada con 100 atados de lámina y 300 despensas.</t>
  </si>
  <si>
    <t xml:space="preserve"> Reynosa y Río Bravo </t>
  </si>
  <si>
    <t>Se presentaron fuertes lluvias en los municipios de Reynosa y Río Bravo por lo que sealbergaron a 23 y 192 personas respectivamente sin embargo la población evacuada fue superior a 1,500 habitantes.</t>
  </si>
  <si>
    <t>Ocosocuautla</t>
  </si>
  <si>
    <t>Se presentaron fuertes lluvias y granizada en el municipio de Ocosocuautla reportandose varias viviendas afectadas en sus techos</t>
  </si>
  <si>
    <t>Ecatepec</t>
  </si>
  <si>
    <t>Debido a las fuertes lluvias presentadas en el muncipio de Ecatepec 50 viviendas sufrieron afectaciones en sus techos por acumulación de granizo, los habitantes se negaron a ser alojados en un albergue.</t>
  </si>
  <si>
    <t xml:space="preserve"> Huejutla y Atlapexco</t>
  </si>
  <si>
    <t>Debido a las fuertes lluvias, varias viviendas sufrieron afectaciones (4 serám reubicadas y 51 presentaron daños en enseres domésticos) en los municipios de Huejutla y Atlapexco, se brindo refugio temporal a 90 personas.</t>
  </si>
  <si>
    <t xml:space="preserve"> El Naranjo y El Venado</t>
  </si>
  <si>
    <t>Debido a las intensas lluvias y granizadas que se presentaron el los municipios de El Naranjo y El Venado, se reportaron 150 cabezas de ganado y afectacion en la techumbre de diversas viviendas</t>
  </si>
  <si>
    <t>Papantla, Poza Rica, Coatzintla, Espinal, Tlapacoyan y Tihuatlan</t>
  </si>
  <si>
    <t>Se reportaron afectaciones en 6 municipios (Papantla, Poza Rica, Coatzintla, Espinal, Tlapacoyan y Tihuatlan), se reportan 32 comunidaes afectadas y 515 personas afectadas. Se apoyó a la población damnificada con 150 colchonestas, 150 despensas y 150 cobertores. También se reportaron daños en 2 puentes.</t>
  </si>
  <si>
    <t xml:space="preserve"> Nogales, Tantoyuca y Tepetzintla</t>
  </si>
  <si>
    <t xml:space="preserve">Se reportaron fuertes lluvias en los municipios de Nogales, Tantoyuca y Tepetzintla, afectando a un total de 1250 viviendas con daño menor, así mismo se reportan daños en 165 hectáreas de cultivos de maíz, frijol y chicharo y 152 productores afectados. Se habilitaron dos refugios temporales. </t>
  </si>
  <si>
    <t>Omealca, Ixhuatlan e Ixcatepec</t>
  </si>
  <si>
    <t xml:space="preserve">Se reportaron fuertes lluvias con granizo en los muncipios de Omealca, Ixhuatlan e Ixcatepec, afectando a un total de 420 viviendas con daño parcial y 20 con daño total, así mismo se reportan daños parciales en una escuela primaria. También se registraron daños en 80 hectáreas de cultivos de plantas de ornato y daños en hectareas de maíz no cuantificados. </t>
  </si>
  <si>
    <t>Tenango del Valle</t>
  </si>
  <si>
    <t>Debido a las fuertes lluvias registradas en el municipio de Tenango del Valle, 100 viviendas sufrieron daños parciales y 10 daño total, la mayoría construidas con material endeble, así mismo se instalaron 5 refugios temporales en donde se atendió a un total de 700 familias, a las cuales se les apoyó con colchonetas, cobertores y despensas. Aí mismo se reportaron 10 personas lesionadas 1 deceso y 130 Km. de caminos y calles con afectaciones.</t>
  </si>
  <si>
    <t>Cacahuatan</t>
  </si>
  <si>
    <t>Debido a las fuertes lluvias en el municipio de Cacahuatan se vieron afectadas 67 viviendas, principalmente en sus enseres domésticos, no se instalaron refugios temporales.</t>
  </si>
  <si>
    <t>Charo</t>
  </si>
  <si>
    <t>Debido a las fuertes lluvias presnetadas en el municipio de Charo, 28 viviendas fueron afectadas en sus techumbres, no se habilitaron refugios temporales.</t>
  </si>
  <si>
    <t>Cd. Serdán</t>
  </si>
  <si>
    <t>Debido a la fuerte lluvia, la techumbre de una industria maquiladora se colapso, en dicho incidente se lesionaron 14 personas en el municipio de Cd. Serdán.</t>
  </si>
  <si>
    <t>Pedro Escobedo, Cadereyta y El Márquez</t>
  </si>
  <si>
    <t>Se registraron fuertes lluvias con granizo en los municipios de Pedro Escobedo, Cadereyta y El Márquez afectando a un total de 81 viviendas en diferentes grados.</t>
  </si>
  <si>
    <t>Almoloya</t>
  </si>
  <si>
    <t xml:space="preserve">Debido a las fuertes lluvias y granizo de entre 4 y 6 cm de diámetro se vieron afectadas varias viviendas en sus techos y enseres domésticos, esto sucedió en el municipio de Almoloya. En total fueron reportadas 129 viviendas. Se apoyó a las familias afectadas con láminas de cartón.  </t>
  </si>
  <si>
    <t>Tarimbaro.</t>
  </si>
  <si>
    <t xml:space="preserve">Debido a las fuertes lluvias con granizo se reportaron daños en 36 viviendas, principalmente en techos y enseres en el municipio de Tarimbaro. </t>
  </si>
  <si>
    <t>Se reportaron 12 viviendas de material endeble afectadas con daño parcial debido a las fuertes lluvias en el municipio de Dolores Hidalgo, así mismo se instalaron 2 refugios temporales en los cuales se atendió a un total de 51 personas</t>
  </si>
  <si>
    <t xml:space="preserve"> Singuilucan</t>
  </si>
  <si>
    <t>Se registraron fuertes lluvias con granizo en el municipio de Singuilucan afectando un total de 6 viviendas en techos y menaje de casa.</t>
  </si>
  <si>
    <t>Tepeapulco, Almoloya y Pachuca</t>
  </si>
  <si>
    <t>Se registraron fuertes lluvias con granizo en los muncipios de Tepeapulco, Almoloya y Pachuca, afectando a un total de 100 viviendas en  techos y enseres, y 3naves industriales.</t>
  </si>
  <si>
    <t>Axtlan de Terrazas</t>
  </si>
  <si>
    <t>Debido a las fuertes lluvias 85 viviendas sufrieron daños en sus techumbres y en enseres domésticos en el municipio de Axtlan de Terrazas, se habilitó un refugio temporal.</t>
  </si>
  <si>
    <t>tapachula,</t>
  </si>
  <si>
    <t>Se registró una fuerte lluvia en el municipio de tapachula, causando daños a varios postes de energía eléctrica, por lo que se suspendió el servicio un tiempo, así mismo se reportó la pérdida total de una vivienda al caerle encima una barda.</t>
  </si>
  <si>
    <t xml:space="preserve"> San Diego de la Unión</t>
  </si>
  <si>
    <t>Se registraron fuertes lluvias en el municipio de San Diego de la Unión, afectando un total de 8 viviendas en sus enseres domésticos, se instaló un refugio temporal en el cual se atendió a 40 personas.</t>
  </si>
  <si>
    <t>Mexquitic</t>
  </si>
  <si>
    <t>Se registro una fuerte lluvia con granizo en el municipio de Mexquitic la cual afecto a tres viviendas parcialemente, así mismo se dañaron 400 hectáreas de distintos tipos de legumbres.</t>
  </si>
  <si>
    <t xml:space="preserve"> Almoloya de Juárez</t>
  </si>
  <si>
    <t>Se registraron lluvias con fuertes vientos en el municipio de Almoloya de Juárez, ocasionando afectaciones en los techos de 60 viviendas construidas con material endeble.</t>
  </si>
  <si>
    <t>Se registraron fuertes lluvias con granizo en el municipio de Zinacantepec afectando a un total de 25 domicilios en sus techos. Las viviendas estaban construidas con material endeble.</t>
  </si>
  <si>
    <t>Jiutepec</t>
  </si>
  <si>
    <t>Debido a las fuuertes lluvias en el municipio de Jiutepec se reportaron 12 viviendas con daño menor y se albergó a 20 personas.</t>
  </si>
  <si>
    <t>Cortazar</t>
  </si>
  <si>
    <t>Se registraron fuertes lluvias con granizo en el municipio de Cortazar afectando a un total de 7 viviendas en sus techos construidos con material endeble.</t>
  </si>
  <si>
    <t>Mineral de la Reforma</t>
  </si>
  <si>
    <t>Se reportan 40 viviendas con daño menor en el municipio de Mineral de la Reforma debido a las fuertes lluvias</t>
  </si>
  <si>
    <t>Ajuchitlan del Progreso y Tlalchapa</t>
  </si>
  <si>
    <t>Un sismo de magnitud 6.1 en la escala de Richter afectó dos municipios del estado.</t>
  </si>
  <si>
    <t>Zamora,</t>
  </si>
  <si>
    <t>Debido a las lluvias en el municipio de Zamora, se registraron anegaciones de aguas negras en 200 viviendas debido a la falta de capacidad de la red de alcantarillado. No se reportan daños humanos.</t>
  </si>
  <si>
    <t>Debido a las fuertes lluvias en el municipio de Querétaro se reportaron anegaciones de 50 cm en 7 viviendas. No se reportan daños humanos y tampoco se instalaron refugios temporales.</t>
  </si>
  <si>
    <t>Morelia,</t>
  </si>
  <si>
    <t>Debido a las fuertes lluvias en el municipio de Morelia, se presentaron anegaciones en algunas viviendas, sólo se presentaron daños en enseres domésticos, ya que el tirante del agua alcanzó los 70 cm.</t>
  </si>
  <si>
    <t>Cuzama</t>
  </si>
  <si>
    <t>Debido a las fuertes lluvias con granizo registradas en el municipio de Cuzama 10 viviendas sufrieron daños en sus techos construidos con material endeble, No se activaron refugios temporales y se apoyó a los damnificados con atados de lámina.</t>
  </si>
  <si>
    <t xml:space="preserve"> Valle Nacional</t>
  </si>
  <si>
    <t>Se reportaron daños en  aproximadamente 200 viviendas del municipio de Valle Nacional, así mismo se registraron daños en 400 hectáreas de plátano y Maíz</t>
  </si>
  <si>
    <t>Acapulco de Juarez, Atoyac de Alvarez, 
Coyuca de Benitez, Ometepec y Tecpan de Galeana</t>
  </si>
  <si>
    <t>El huracán Carlotta ocasionó lluvias que afectaron a cinco municipios. Afectaciones por lluvias y vientos fuertes, provoco 2 personas fallecidas, 18 en un refugio temporal (en Zihuatanejo), 81 viviendas dañadas, 53 arboles caidos, 2 deslaves, 3 espectaculares, 2 postes caidos, colapso de 2 bardas y 2 vehiculos dañados. Se apoyo a las familias con 24 pacas de lamina, 11 despensas, 20 cobertores y 20 colchonetas. Huracán “Carlotta”.</t>
  </si>
  <si>
    <t xml:space="preserve"> Guadalajara, El Salto, Tlajomulco de Zúñiga y Zapopan</t>
  </si>
  <si>
    <t>Se registraron fuertes lluvias en los municipios de Guadalajara, El Salto, Tlajomulco de Zúñiga y Zapopan, se reportaron 15 has. De cultivo dañadas y 3 viviendas afectadas en sus enseres domésticos.</t>
  </si>
  <si>
    <t>El Salto y Tlaquepaque</t>
  </si>
  <si>
    <t xml:space="preserve">Debido a las fuertes lluvias en el municipio de El Salto y Tlaquepaque se reportaron afectaciones a los enseres domésticos de 115 viviendas, así mismo 35 viviendas fueron reportadas con daño total y 3 escuelas presentaron daño menor. Fue necesario activar dos refugios temporales en los cuales se atendió a un total de 249 personas, Se les apoyó a los damnificados con despensas, cobertores y colchonetas. </t>
  </si>
  <si>
    <t>Romita y San José Iturbide</t>
  </si>
  <si>
    <t>Se reportaron 300 viviendas con daño menor aproximadamente con daños en los municipios de Romita y San José Iturbide debido a las fuertes lluvias registradas.</t>
  </si>
  <si>
    <t>Ahuacatlán e Ixtlán del Río</t>
  </si>
  <si>
    <t>Se registraron fuertes lluvias en los municipios de Ahuacatlán e Ixtlán del Río por lo que varias viviendas sufrieron daño menor.</t>
  </si>
  <si>
    <t>Gómez Farias y Ciudad Mante</t>
  </si>
  <si>
    <t>Se reportaron fuertes lluvias en los municipios de Gómez Farias y Ciudad Mante, afectando un total de 16 viviendas causandoles daño menor a éstas. No se reportaron daños humanos, se instalaron 2 albergues los cuales atendieron en total a 80 personas. Así mismo se evacuó a un total de 250 personas como medida preventiva</t>
  </si>
  <si>
    <t>anta María del Río, Mexquitic, Ahualulco, Soledad  y Graciano Sánchez</t>
  </si>
  <si>
    <t>Debido a las fuertes lluvias en los municipios de Santa María del Río, Mexquitic, Ahualulco, Soledad  y Graciano Sánchez, se registraron caidas de árboles, daños en el drenaje y anegaciones en 80 viviendas. Así mismo se habilitó un refugio temporal en el cual se atendió a 18 personas.</t>
  </si>
  <si>
    <t>Ciudad Valles,</t>
  </si>
  <si>
    <t xml:space="preserve">Debido a las fuertes lluvias en en municipio de Ciudad Valles, la red de drenaje fue totalmente rebasada en su capacidad, lo que ocasiono que tramos antiguos de éste se colapasaran en los sectores INFONAVIT y FOVISSSTE1, donde se requiere la reposición total, así mismo se reportó la ruptura de líneas de abastecimiento de agua potable, lo que provocó la suspensión del servicio en 4 colonias. La CFE reportó daños en 2 transformadores, 4 postes y algunas lineas. Los apoyos brindados a la poblacion damnificada consistieron en  535 despensas y 35 colchonetas. </t>
  </si>
  <si>
    <t>Debido a las fuertes lluvias 10 viviendas que se ubicaban en las márgenes del río "La Granja" sufrieron afectaciones únicamente en sus enseres domésticos, así mismo se evacuó a las familias momentaneamente como medida preventiva.</t>
  </si>
  <si>
    <t>Tehuacan</t>
  </si>
  <si>
    <t>Se registraron fuertes lluvias en el municipio de Tehuacan afectando a un total de 25 viviendas, se apoyó a los damnificados con 100 piezas de lámina galvanizada, 125 colchonetas y 125 cobertores</t>
  </si>
  <si>
    <t>Calimaya, Texcalyacac y Naucalpan</t>
  </si>
  <si>
    <t>Se registraron fuertes lluvias en los municipios de Calimaya, Texcalyacac y Naucalpan, 29 viviendas se vieron afectadas únicamente en los enseres domésticos, se habilitó un refugio temporal al cual acudieron 22 personas, el municipio más afectado fue Texcalyacac.</t>
  </si>
  <si>
    <t>Cozumel,</t>
  </si>
  <si>
    <t>Se presentaron fiertes lluvias en el municipio de Cozumel, lo que ocasiono diversos daños en ifraestructura pública, así mismo se reportan daño en infraestructura educativa y en algunas viviendas.</t>
  </si>
  <si>
    <t>Huamantla,</t>
  </si>
  <si>
    <t>Se presentaron fuerte lluvias en el municipio de Huamantla, afectando a un total de 9 viviendas, a las familias afectadas se les apoyo con atados de lámina, cobertores y colchonetas.</t>
  </si>
  <si>
    <t>uadalajara, Tlaquepaque, Zapopan</t>
  </si>
  <si>
    <t>Debido a las fuertes lluvias en los municipios de Guadalajara, Tlaquepaque, Zapopan y  Tonala, varias viviendas sufrieron daños, así mismo en el municipio de Tlaquepaque un árbol fue derribado por los fuertes vientos y cayó sobre un vehículo en movimiento ocasionando la muerte de una persona y 5 lesionados.</t>
  </si>
  <si>
    <t>San José García</t>
  </si>
  <si>
    <t>Debido a las fuertes lluvias en el municipio de San José García se registraron daños en 10 viviendas</t>
  </si>
  <si>
    <t xml:space="preserve"> Tlaquepaque, Guadalajara, Zapopan, Tonala, Atotonilco y el Salto</t>
  </si>
  <si>
    <t>Se registraron fuertes lluvias acompañadas de fuertes vientos que ocasionaron anegaciones en viviendas de los municipios de Tlaquepaque, Guadalajara, Zapopan, Tonala, Atotonilco y el Salto, se evacuó a 170 alumnos de una escuela debido a que el tirante del agua alcanzó casi el metro, se instaló un refugio temporal pero nadie paso la noche en este. Los fuertes vientos derribaron árboles y postes de energía eléctrica, causando la interrupcion del servicio eléctrico. Los daños fueron los siguientes: 3 vehículos, lineas de conducción CFE, un poste y un microbus.</t>
  </si>
  <si>
    <t>Debido a las fuertes precipitaciones en la delegación Iztapalapa se vieron afectadas 50 viviendas en las cuales el tirante del agua subió entre 15 y 30 centímetros aprox.</t>
  </si>
  <si>
    <t xml:space="preserve"> Benito Juárez e Iztapalapa</t>
  </si>
  <si>
    <t>Debido a las fuertes lluvias en las delegaciones Benito Juárez e Iztapalapa se vieron afectadas 600 viviendas con encharcamientos de diferentes niveles.</t>
  </si>
  <si>
    <t>Lampotal,</t>
  </si>
  <si>
    <t>Se registraron fuertes lluvias en el municipio de Lampotal, a causa de la lluvia 50 viviendas sufrieron anegaciones de hasta 80 cm. No se reportaron dañs humanos. Como medida preventiva se avacuó a un total de 26 familias, es decir 126 personas en total.</t>
  </si>
  <si>
    <t>Se registraron fuertes lluvias en el municipio de Uruapan afectando varios domicilios en sus enseres domésticos, así mismo se reportaron daños menores en una escuela</t>
  </si>
  <si>
    <t>Se registraron anegaciones de hasta 80 cm. en 7 viviendas del municipio de El Llano debido a las fuertes lluvias, No se reportqan daños humanos.</t>
  </si>
  <si>
    <t xml:space="preserve"> Tultitlán, Nezahualcóyotl y Ecatepec</t>
  </si>
  <si>
    <t>Se registraron fuertes lluvias en los municipios de Tultitlán, Nezahualcóyotl y Ecatepec, provocando daños en algunas viviendas, Así mismo se reporta el hallazgo de un cuerpo en el canal de desague en el municipio de Ecatepec.</t>
  </si>
  <si>
    <t>San Pedro Tezacoalco y Yatanduchi de Guerrero</t>
  </si>
  <si>
    <t>Debido a las fuertes lluvias y vientos se reportaron afectaciones en los techos de 80 viviendas de los municipios de San Pedro Tezacoalco y Yatanduchi de Guerrero</t>
  </si>
  <si>
    <t>Debido a las fuertes lluvias registradas en el municipio de Cintalapa se reportaron daños menores en 15 viviendas, 5 de ellas presentaron daños en sus techos y las otras anegaciones de entre 10 y 20 cm. La población afectadas fue apoyada con 5 cajas de agua, 5 atados de lámina y 10 colchonetas.</t>
  </si>
  <si>
    <t>Ocozocuautla</t>
  </si>
  <si>
    <t>Debido a las fuertes lluvias 15 viviendas presentaron daños en sus techumnbres en el municipio de Ocozocuautla</t>
  </si>
  <si>
    <t>Hueyoplipan</t>
  </si>
  <si>
    <t>Se presentaron fuertes lluvias en el municipio de Hueyoplipan causando afectaciones en sus techos a 14 viviendas y encharcamientos leves a otras 30 viviendas.</t>
  </si>
  <si>
    <t>Zinapécuaro</t>
  </si>
  <si>
    <t>Se registraron fuertes lluvias en el municipio de Zinapécuaro afectando un total de 250 viviendas, 30 de estas presentaron daños en sus techos y las demas encharcamientos moderados. Se instaló un refugio temporal en el cual se atendió a un total de 120 personas.</t>
  </si>
  <si>
    <t>Acapulco de Juarez</t>
  </si>
  <si>
    <t>La inundacion costera provoco afectaciones en el sector carretero.</t>
  </si>
  <si>
    <t>Se presentaron fuertes lluvias en el municipio de Salamanca causando afectaciones a un total de 44 viviendas causandoles daño menor.</t>
  </si>
  <si>
    <t xml:space="preserve"> Ahualulco de Mercado</t>
  </si>
  <si>
    <t>Se registraron fuertes lluvias en el municipio de Ahualulco de Mercado, causando daños menores a 27 viviendas, así mismo se reportaron afectaciones a 50 hectáreas aproximadamente y aalgunas cabezas de ganado.</t>
  </si>
  <si>
    <t>Guanajuato y Dolores Hidalgo</t>
  </si>
  <si>
    <t>Se registraron fuertes lluvias en el municipio de Guanajuato y Dolores Hidalgo, por lo que se registraron afectaciones en 9 viviendas y en un hospital,  hubo necesidad de evacuar a 45 personas.</t>
  </si>
  <si>
    <t>Se registraron fuertes lluvias en el municipio de Ecatepec afectando un total de 10 viveindas en sus enseres domésticos, una de estas viviendas presentó daños en su techumbre, no se reportan daños humanos.</t>
  </si>
  <si>
    <t xml:space="preserve"> Zacatecas, Guadalupe y Luis Moya</t>
  </si>
  <si>
    <t>Debido a las fuertes lluvias registradas en los municipios de Zacatecas, Guadalupe y Luis Moya se vieron afectadas 18 viviendas, así como una escuela primaria. Se evacuó a 60 personas y se instaló un refugio temporal en el que pernoctaron 13 personas.</t>
  </si>
  <si>
    <t>Tepezalá.</t>
  </si>
  <si>
    <t xml:space="preserve">Se reportaron 10 viviendas con daño menor debido a las lluvias registradas en el municipio de Tepezalá. No se reportan daños humanos. </t>
  </si>
  <si>
    <t>Tonala</t>
  </si>
  <si>
    <t>Debido a las fuertes lluvias en el municipio de Tonala se presentaron daños en 21 viviendas, de las cuales 3 presentaron daño total y las demás daño parcial, así mismo se reportan 15 árboles caidos, una cooperativa, un Centro de Salud y una embarcación pequeña.</t>
  </si>
  <si>
    <t>Pénjamo</t>
  </si>
  <si>
    <t xml:space="preserve">Debido a las fuertes lluvias registradas en el municipio de Pénjamo se reportan 22 viviendas afectadas, así mismo se evacuó a los habitantes de 59 viviendas que en total eran 354 personas como medida preventiva  </t>
  </si>
  <si>
    <t>Acapulco de Juárez,
Chilpancingo de los Bravo y Atlixta</t>
  </si>
  <si>
    <t>Se registro la entrega de insumos debido a la presencia de un deslizamiento en el estado</t>
  </si>
  <si>
    <t>los Reyes</t>
  </si>
  <si>
    <t>Se registraron fuertes lluvias en el municipio de los Reyes afectando un total de 10 viviendas en sus enseres domésticos.</t>
  </si>
  <si>
    <t>Oriental,</t>
  </si>
  <si>
    <t>Debido a las fuertes lluvias con granizo se presentaron afectaciones en los techos de 140 viviendas del municipio de Oriental, los techos estaban construidos con material endeble. Se instaló un refugio temporal.</t>
  </si>
  <si>
    <t>Apaseo</t>
  </si>
  <si>
    <t>Debido a las fuertes lluvias con granizo registradas en el municipio de Apaseo el grande, 100 viviendas sufrieron afectaciones leves en sus enseres domésticos, dichas viviendas estan construidas con material endeble, por lo que sus techos presentaron goteras.</t>
  </si>
  <si>
    <t>Cuajimalapa,</t>
  </si>
  <si>
    <t>Se registraron fuertes lluvias en la delegación Cuajimalapa, afectando a 10 viviendas que se encontraban asentadas en una cañada, el agua alcanzó 1.20 metros, por lo que el menaje de las 10 viviendas se vio afectado.</t>
  </si>
  <si>
    <t>Arivechi.</t>
  </si>
  <si>
    <t>Se reportaron fuertes lluvias en el municipio de Arivechi. Se reportan daño en 33 viviendas con un tirante de hasta 1 m.  De alto, se reportan daños en los enseres domésticos y en 300 hectáreas de cultivo. Así mismo se reportó la muerte de 200 cabezas de ganado y daños en 300 km. de cerca.</t>
  </si>
  <si>
    <t>Durango,</t>
  </si>
  <si>
    <t>Se registraron fuertes lluvias en el municipio de Durango, ocasionando leves encharcamientos en 144 viviendas. No se reportaron daños humanos.</t>
  </si>
  <si>
    <t xml:space="preserve">Se registraron fuertes lluvias en el municipio de Nogales causando afectaciones en 16 comercios y pérdida de mercancias, 20 viviendas afectadas por penetración de agua en enseres domésticos y 5 viviendas con daños parciales debido a deslaves.  </t>
  </si>
  <si>
    <t>Milpa Alta</t>
  </si>
  <si>
    <t>Debido a las fuertes lluvias registradas en la delegación Milpa Alta se reportaron afectaciones en los enseres domésticos de 70 viviendas. No se reportaron daños humanos.</t>
  </si>
  <si>
    <t>Lerdo</t>
  </si>
  <si>
    <t>Debido a las fuertes lluvias registradas en el municipio de Lerdo se reportan afectaciones en 30 viviendas, así mismo, se reportan 4 personas albergadas.</t>
  </si>
  <si>
    <t>Debido a las fuertes lluvias y a la imprudencia del conductor de una camioneta, que intentó cruzar un río crecido, transportando a tres menores en la caja descubierta,  fueron arrastrados los tres menores causandoles la muerte. Los cuerpos fueron encontrados al siguiente día a 4 km de distancia.</t>
  </si>
  <si>
    <t>Zacatepec, Xochitepec, Jiutepec y Temixco</t>
  </si>
  <si>
    <t>Se registraron fuertes lluvias en los municipios de Zacatepec, Xochitepec, Jiutepec y Temixco  afectando un total de 140 viviendas, así mismo se reportan dos personas lesionadas y dos fallecimientos.</t>
  </si>
  <si>
    <t>Debido a las fuertes lluvias presentadas en el municipio de Chihuahua, se vieron afectadas un total de 60 viviendas con encharcamientos menores.</t>
  </si>
  <si>
    <t xml:space="preserve"> San Mateo Oxtotitlán</t>
  </si>
  <si>
    <t>Se registraron fuertes lluvias en el municipi ode San Mateo Oxtotitlán, afectando a un total de 5 viviendas, se apoyó a las familias afectadas con colchonetas y cobertores.</t>
  </si>
  <si>
    <t>Mazatlán</t>
  </si>
  <si>
    <t>Se reportaron fuertes lluvias en el municipio de Mazatlán, provocando afectaciones en las vialidades y la muerte de una menor al ser arrastrada por el canal de aguas pluviales.</t>
  </si>
  <si>
    <t>Rincón de Romos y Asientos</t>
  </si>
  <si>
    <t>Se registraron fuertes lluvias en los municipios de Rincón de Romos y Asientos, afectando a un total de 48 viviendas con daño menor.</t>
  </si>
  <si>
    <t>Imuris</t>
  </si>
  <si>
    <t>Debido a las fuertes lluvias en el municipio de Imuris se reportaron 7 casas con daños menores, así mismo se tuvó que evacuar momentaneamente a 17 personas.</t>
  </si>
  <si>
    <t>Tlaquitenango</t>
  </si>
  <si>
    <t>Debido a las fuertes lluvias en el municipio de Tlaquitenango se presentaron daños menores en 30 viviendas, la unidad estatal de protección cilvil apoyó a los damnificados con 100 cobertores y 100 colchonetas.</t>
  </si>
  <si>
    <t>Sombrerete</t>
  </si>
  <si>
    <t>Se informa de la muerte de un menor de 13 años fallecido por la caída de un rayo en el municipio de Sombrerete al tratar de refugiarse de la lluvia.</t>
  </si>
  <si>
    <t>Villa Victoria</t>
  </si>
  <si>
    <t>Se registro una fuerte lluvia en el municipio de Villa Victoria, afectando viviendas de material endeble, se reportaron daños en enseres domésticos y techos de 16 viviendas.</t>
  </si>
  <si>
    <t>Buenaventura</t>
  </si>
  <si>
    <t>Debido a las fuertes lluvias presentadas en el municipio de Buenaventura se reportan daños en aproximadamente 100 viviendas, de las cuales 54 sufrieron daño total, se reportan dos puentes colapsados y varias hectáreas de cultivos afectados, así mismo se reubicaran 60 viviendas. También se reportó la muerte de dos personas, una más desaparecida y un lesionado, se habilitaron 2 refugios temporales en los que se atendió a 75 personas en el punto más alto de la emergencia. Debido a lo anterior la Secretaría de Gobernación declaro zona de desastre al municipio.</t>
  </si>
  <si>
    <t>Tlaquepaque, Zapopan y Guadalajara,</t>
  </si>
  <si>
    <t>Se registraron fuertes lluvias en los municipios de Tlaquepaque, Zapopan y Guadalajara, siendo afectados varios vehículos y una vivienda, se reportan dos perosnas lesionadas.</t>
  </si>
  <si>
    <t>Se registraron fuertes lluvias en el municipio de Álvaro Obregón, siendo necesario activar un refugio temporal al cual acudieron 20 personas, se reportan 20 viviendas con daños en sus techos.</t>
  </si>
  <si>
    <t xml:space="preserve"> San Luis Potosí y Soledad</t>
  </si>
  <si>
    <t>Se registraron fuertes lluvias en los municipios de San Luis Potosí y Soledad Graciano Sánchez, por lo que se reportaron afectaciones en 17 viviendas, así mismo fue necesario evacuar a 26 personas.</t>
  </si>
  <si>
    <t>Teuchitlán,</t>
  </si>
  <si>
    <t>Se registró una tromba en el municipio de Teuchitlán, se reporta la ciada de techos, bardas perimetrales, decenas de árboles y postes de energía eléctri y telefonía. En total se reportan 64 árboles caidos,  3 postes de CFE, 6 de TELMEX y las descomposturas de dos transformadores, así mismo hubo daños en algunas viviendas</t>
  </si>
  <si>
    <t>Se reporto el desboradamiento del "Río Celio" en el municipio de Jacona, por lo que se reportaron afectaciones en nueve viviendas, principalmente en enseres domésticos.</t>
  </si>
  <si>
    <t>Campeche</t>
  </si>
  <si>
    <t>Debidi a las fuertes lluvias en el municipio de Campeche, se reportaron daños menores en 15 viviendas, los daños fueron principalmente en techos.</t>
  </si>
  <si>
    <t>Jiménez</t>
  </si>
  <si>
    <t>Se presentó una fuerte lluvia en el municipio de Jiménez la cual provocó encharcamientos leves de vialidades. Así mismo se reportan daños en el menaje de 10 viviendas, las cuales recibieron apoyo.</t>
  </si>
  <si>
    <t>San Ignacio Río Muerto</t>
  </si>
  <si>
    <t>Se presentaron fuertes vientos y lluvias en el municipio de San Ignacio Río Muerto, se reporta la caida de algunos árboles, postes y cables de alta tensión, ocasionando la suspénsión del servicio eléctrico del 40% de la población. Así mismo se reportan 36 viviendas afectadas en sus techos de material endeble.</t>
  </si>
  <si>
    <t>Monterrey, Santa Catarina, San Nicolás de los Garza, Escobedo y Apodaca,</t>
  </si>
  <si>
    <t>Se registraron fuertes lluvias en los municipios de Monterrey, Santa Catarina, San Nicolás de los Garza, Escobedo y Apodaca, a consecuencia de lo anterior se reporta una persona desaparecida y 20 peronas evacuadas.</t>
  </si>
  <si>
    <t>Abasolo, Apaseo El Grande, León, Tarimoro, Celaya, Juventino Rosas, Acambaro, Salvatierra, Uriangato y Guanajuato</t>
  </si>
  <si>
    <t>Se presentaron fuertes lluvias en los municipios de Abasolo, Apaseo El Grande, León, Tarimoro, Celaya, Juventino Rosas, Acambaro, Salvatierra, Uriangato y Guanajuato, por lo que se reportaron afectaciones en 280 viviendas, 490 locales comerciales y 25 fábricas con penetración de agua, 3 viviendas con daño total, así como un cárcamo, un pozo de agua potable y algunos cultivos.</t>
  </si>
  <si>
    <t>Se presentó la ruptura de una presa en el municipio de Hidalgo, afectando al ejido denominado el Sauzal, se evacuó a 200 personas, así mismo se apoyó a la población afectada con 400 cobijas y 400 despensas.</t>
  </si>
  <si>
    <t>Debido a las fuertes lluvias registradas en el municipio de Sombrerete, se evacuó a 140 personas, así mismo se reportan anegaciones en 47 viviendas.</t>
  </si>
  <si>
    <t xml:space="preserve"> Ahome y El Fuerte</t>
  </si>
  <si>
    <t>Debido a las lluvias registradas se reportaron 45 viviendas con daños menores y en enseres domésticos, los municipios de Ahome y El Fuerte resulataron afectados.</t>
  </si>
  <si>
    <t>San Miguel el Alto</t>
  </si>
  <si>
    <t>Se registraron fuertes lluvias en el municipio de San Miguel el Alto ocasionando el desbordamiento del Río San Miguel, El Arroyo Negro y del Tigre, se reportaron 150 viviendas inundadas, se evacuó a 150 personas y otras 450 personas se auto evacuaron.</t>
  </si>
  <si>
    <t>Bacum, San Ignacio Río Muerto, Benito Juárez, Huatabampo, Etchojoa, Navojoa, Cajeme, Empalme y Guaymas</t>
  </si>
  <si>
    <t>Derivado de los efectos del huracán "Howard", se presentaron fuertes lluvias en los municipios de Bacum, San Ignacio Río Muerto, Benito Juárez, Huatabampo, Etchojoa, Navojoa, Cajeme, Empalme y Guaymas, por lo que se evacuó a 2654 personas de 44 colonias y comunidades, se instalaron 29 refugios temporales y se registraron 284 viviendas dañadas, así mismo, 909 familias quedaron incomunicadas.</t>
  </si>
  <si>
    <t xml:space="preserve"> Moroleón y Uriangato</t>
  </si>
  <si>
    <t>Debido a las fuertes lluvias en los municipios de Moroleón y Uriangato se registraron afectaciones en algunos comercios y 3 casas derrumbadas.</t>
  </si>
  <si>
    <t>Se reportó una fuerte lluvia en el municipio de Zamora, por lo que 1,687 viviendas sufrieron afectaciones de diferentes grados, se reporta pérdida total de enseres domésticos en 560 de estas viviendas, y 10 de éstas viviendas sufrieron daños de consideración. Así mismo, se instaló un refugio temporal en el cual se atendió a un total de 63 personas.</t>
  </si>
  <si>
    <t xml:space="preserve"> Durango, Ruanas, Canatlán y Suchil</t>
  </si>
  <si>
    <t>Debido a las fuertes lluvias en los municipios de Durango, Ruanas, Canatlán y Suchil, 15 viviendas se vieron afectadas con penetración de agua.</t>
  </si>
  <si>
    <t>Tuxtla Chico</t>
  </si>
  <si>
    <t>A causa de las lluvias y tormentas eléctricas en el municipio de Tuxtla Chico, murieron 3 personas al caerles un rayo.</t>
  </si>
  <si>
    <t>Chalco</t>
  </si>
  <si>
    <t>Debido a las fuertes lluvias registradas en el municipio de Chalco, se reportaron 35 viviendas con daños menores.</t>
  </si>
  <si>
    <t>Se registraron fuertes lluvias en el municipiode Puerto Vallarta, se reportan afectaciones en algunas viviendas con daños en enseres domésticos, así mismo se registro una persona lesionada la caer material de construcción en su cabeza.</t>
  </si>
  <si>
    <t>Debido a las fuertes lluvias registradas en el municipi ode Zacatepec Mixe, se registró un derrumbe en la zona montañosa, 5 personas fueron sepultadas por los escombros, dos peronas resultaron heridas y 4 más perdieron la vida, así mismo, se reportan daños en 10 viviendas.</t>
  </si>
  <si>
    <t>El huracán "Ivan" no causó ningún deceso, ni heridos. Se activaron 11 refugios temporales en los cuales se atendió a un total de 1470 personas, así mismo se evacuó a 4140 personas como medida preventiva. Se reportaron algunos tramos carreteros dañados, 5 postes de luz y dos transformadores quemados.</t>
  </si>
  <si>
    <t>Villamar</t>
  </si>
  <si>
    <t>Debido a las fuertes lluvias registradas en el municipio de Villamar, dos comunidades resultaron afectadas, por lo que se habilitó un refugio temporal en el que se atendió a un total de 70 personas, a las que se les proporcionó cobijas y alimento, así mismo, se registraron afectaciones en 50 viviendas de adobe.</t>
  </si>
  <si>
    <t>San José de Iturbide</t>
  </si>
  <si>
    <t>Se registraron fuertes lluvias en el municipio de San José de Iturbide, se reportan 17 viviendas con afectaciones menores.</t>
  </si>
  <si>
    <t>Cuautla</t>
  </si>
  <si>
    <t>Se registraron fuertes lluvias en el municipio de Cuautla, se reportan daños en los techos de 22 viviendas, así mismo se habilitó un refugio temporal en el cual se atendió a un total de 35 personas.</t>
  </si>
  <si>
    <t>Comitán</t>
  </si>
  <si>
    <t>Se registraron fuertes lluvias en el municipio de Comitán,  afectando a un total de 7 viviendas en sus techos.</t>
  </si>
  <si>
    <t>Se registraron fuertes lluvias en el municipiode Tuxtla Gutiérrez, se reportan daños menores en 71 viviendas.</t>
  </si>
  <si>
    <t>Tototlán</t>
  </si>
  <si>
    <t>Se registraron fuertes lluvias en el municipio de Tototlán, afectando a un total de 100 viviendas (daño menor), lo anterior debido a el desbordamiento del arroyo "Tajo".</t>
  </si>
  <si>
    <t>Tlajomulco, El Salto, Yahualica de González Gallo, Ayotlán y Lagos de Moreno</t>
  </si>
  <si>
    <t>Debido a las fuertes lluvias de ayer se reportan afectaciones en los muncipios de Tlajomulco, El Salto, Yahualica de González Gallo, Ayotlán y Lagos de Moreno. Se reportan daños en 26 viviendas. Así mismo se evacuó a un total de 327 personas como medida preventiva, ya que algunas presas están a más del 100% de su capacidad.</t>
  </si>
  <si>
    <t>Debido a las fuertes lluvias en el municipio de Durango, se reportan 50 viviendas con daños menores, así mismo 2,900 has. De cultivos se vieron afectadas.</t>
  </si>
  <si>
    <t>Por causa de las fuertes lluvias en el municipio de Salamanca se reportan 40 viviendas con daño menor, así mismo, dos comunidades se encuentran parcialemtne incomunicadas.</t>
  </si>
  <si>
    <t xml:space="preserve"> Romita, Salamanca, Irapuato y Manuel Doblado</t>
  </si>
  <si>
    <t>Las fuertes lluvias en los municipios de Romita, Salamanca, Irapuato y Manuel Doblado provocaron daños menores en 45 viviendas.</t>
  </si>
  <si>
    <t>Ángel R. Cabada, Saltabarranca, Acula, Amatitlán, Hidalgotitlán, Jáltipan, Jesús Carranza, José Azuela, Minatitlán, Moloacán, Playa Vicente, Santiago Tuxtla, Texistepec, Uxpanapa, Cosoleacaque e Isla</t>
  </si>
  <si>
    <t>Se registraron daños en 700 viviendas por penetración de agua en los municipios de Ángel R. Cabada, Saltabarranca, Acula, Amatitlán, Hidalgotitlán, Jáltipan, Jesús Carranza, José Azuela, Minatitlán, Moloacán, Playa Vicente, Santiago Tuxtla, Texistepec, Uxpanapa, Cosoleacaque e Isla.</t>
  </si>
  <si>
    <t>Guanajuato, Salamanca y Santa Ana Pacueco.</t>
  </si>
  <si>
    <t>Se registraron fuertes lluvias en los municipios de Guanajuato, Salamanca y Santa Ana Pacueco. Se reporta la muerte de dos personas al ser arrastrados por la corriente del río de Mesa Cuata, así mismo se reportan daños menores en 65 viviendas y en un jardín de niños y una primaria.</t>
  </si>
  <si>
    <t>Manuel Doblado y Purísima Concepción</t>
  </si>
  <si>
    <t>Debido a las fuertes lluvias en los municipios de Manuel Doblado y Purísima Concepción se reportan daños menores en 23 viviendas.</t>
  </si>
  <si>
    <t>Las fuertes lluvias provocando el desbordamiento del río Turbio, se reportan 94 viviendas afectadas.</t>
  </si>
  <si>
    <t xml:space="preserve"> Pueblo Nuevo y Manuel Doblado</t>
  </si>
  <si>
    <t>69 viviendas fueron afectadas debido a las fuertes lluvias en los municipios de Pueblo Nuevo y Manuel Doblado. Así mismo se reportan daños en algunos cultivos, sin saber exactamente el número de hectáreas.</t>
  </si>
  <si>
    <t>Lázaro Cárdenas</t>
  </si>
  <si>
    <t>Se registraron fuertes lluvias en el municipio de Lázaro Cárdenas, se reportan afectaciones en 51 viviendas, así mismo se instaló un refugio temporal al cual atendieron algunas personas.</t>
  </si>
  <si>
    <t>Tanquian de Escobedo y Cd. Fernández</t>
  </si>
  <si>
    <t>Se reportán afectaciones en los municipios de Tanquian de Escobedo y Cd. Fernández debido a las fuertes lluvias. 20 viviendas con penetración de agua y daños en enseres domésticos.</t>
  </si>
  <si>
    <t>Yautepec</t>
  </si>
  <si>
    <t>Se registraron fuertes lluvias en el municipio de Yautepec. Se reportan 10 viviendas con penetración de agua y una más con pérdida total. La vivienda que registró pérdida total estaba construida con material endeble.</t>
  </si>
  <si>
    <t>Se registraron fuertes lluvias en el municipio de Acapetahua, afectando a la comunidad de las Murallas, específicamente 70 viviendas registraron daños.</t>
  </si>
  <si>
    <t>Acapetahua,</t>
  </si>
  <si>
    <t>Se reporto el desbordamiento del río "Cacaluta" el cual causó afectaciones en 72 viviendas del municipio de Acapetahua.</t>
  </si>
  <si>
    <t>Tapachula y Chicomosuelo</t>
  </si>
  <si>
    <t>Se registraron fuertes lluvias en los municipios de Tapachula y Chicomosuelo, se reportan 65 viviendas afectadas y 325 personas afectadas.</t>
  </si>
  <si>
    <t>Se registraron fuertes lluvias en el municipio de Tijuana, se reportan 20 viviendas con daños parciales.</t>
  </si>
  <si>
    <t>Empalme y Guaymas</t>
  </si>
  <si>
    <t>Debido a las fuertes lluvias registradas en el municipio de Empalme y Guaymas se reportan 10 viviendas afectadas y se evacuó a varias personas.</t>
  </si>
  <si>
    <t>Culiacán y Navolato</t>
  </si>
  <si>
    <t>Debido a las fuertes lluvias registradas en los municipios de Culiacán y Navolato se registraron 2 muertes, una persona de 34 años de edad y la segunda un menor de 7 años, ambas fueron arrastradas por la corriente de drenes. Se instalaron 12 refugios temporales en los cuales se atendió a un total de 1,327 personas.</t>
  </si>
  <si>
    <t>Tijuana, Rosarito, Tecate y Ensenada,</t>
  </si>
  <si>
    <t>Debido a las lluvias registradas en los municipios de Tijuana, Rosarito, Tecate y Ensenada, se reportan daños en 31 viviendas, así mismo se reporta una persona desaparecida. Las principales avenidas estuvieron inundadas ocasionando problemas de vialidad.</t>
  </si>
  <si>
    <t>Agua Dulce, Coatzacoalcos, Ixhuatlán, Nanchital, Lázaro Cárdenas y Moloacán</t>
  </si>
  <si>
    <t>Debido a las fuertes lluvias en los muncipios de Agua Dulce, Coatzacoalcos, Ixhuatlán, Nanchital, Lázaro Cárdenas y Moloacán. Se reportaron daños en 10 viviendas, así mismo se instalarón 19 refugios temporales en donde se atendió a un total de 1,302 personas, 5 tramos carreteros afectados y un puente, por último se reportan afectaciones en 3 escuelas. Los apoyos a la población afectada otorgados por el gobierno fueron los siguientes: 2,500 despensas, 2,500 cobertores, 2,500 colchonetas y 23,000 litros de agua purificada. Por otro lado el DIF aportó 1,600 despensas, 500 cobertores y 500 láminas de zinc.</t>
  </si>
  <si>
    <t>San Andrés Durasnal, Ixhuatán, Reforma y Pichucalco</t>
  </si>
  <si>
    <t>Debido a las fuertes lluvias registradas en los municipios de San Andrés Durasnal, Ixhuatán, Reforma y Pichucalco. Se reporta un puente colapsado, 34 viviendas afectadas y daños en algunos tramos carreteros.</t>
  </si>
  <si>
    <t>Teapa</t>
  </si>
  <si>
    <t>Debido a las fuertes lluvias en el municipio de Teapa se reportan afectaciones en 252 viviendas, así mismo se instalaron refugios temporales.</t>
  </si>
  <si>
    <t>Casas Grandes, Buenaventura, Jiménez, Julimes, Meoqui, Ojinaga, Satevó y MatachI</t>
  </si>
  <si>
    <t>Debido a una baja presión se registraron fuertes lluvias en los municipios de Casas Grandes, Buenaventura, Jiménez, Julimes, Meoqui, Ojinaga, Satevó y Matachí. Se reportan 1,570 viviendas con afectaciones.</t>
  </si>
  <si>
    <t>Elota</t>
  </si>
  <si>
    <t>Debido a las fuertes lluvias registradas en el municipio de Elota se registraron inundaciones en varias localidades, por l o que se instalaron 3 refugios temporales en los cuales se atendió a 379 personas.</t>
  </si>
  <si>
    <t>Sequía en 16 municipios el FONDEN apoyó con 118 millones de pesos</t>
  </si>
  <si>
    <t>Sequía en 12 municipios que comenzaba a afectar al sector ganadero con una mezcla de 29 millones de pesos el gobierno federal y estatal iniciaron el combate</t>
  </si>
  <si>
    <t xml:space="preserve">Debido a las bajas temperaturas y a las plagas, se vieron afectados 4,500 productores de tabaco aproximadamente, 3,000 hectáreas en su totalidad y 7,000 parcialmente, lo que representó un daño por 128 millones de pesos aproximadamente. </t>
  </si>
  <si>
    <t xml:space="preserve">Hasta el día 15 de diciembre se contabilizaban 23 muertes asociadas a las bajas temperaturas, ya sea por intoxicación, hipotermia o quemaduras. </t>
  </si>
  <si>
    <t>Se presentó una nevada ligera en la zona del ajusco en la delegación Tlalpan, por lo que fue necesario evacuar a 29 personas</t>
  </si>
  <si>
    <t>Debido a los fuertes vientos se registró la caída de un anuncio espectacular, el cual causo daños en una vivienda, no se reportan daños humanos. Delegación Tlalapan.</t>
  </si>
  <si>
    <t>Cananea, Mesa Tres Ríos y Yecora</t>
  </si>
  <si>
    <t>Se presentaron nevadas en los municipio de Cananea, Mesa Tres Ríos y Yecora. No se reportan afectaciones mayores</t>
  </si>
  <si>
    <t>Boconía, San Buenaventura, Ignacio Zaragoza, Guachochi, Madera, Temósachic, Guadalupe y Calvo</t>
  </si>
  <si>
    <t>Se registraron nevadas en los municipios de Boconía, San Buenaventura, Ignacio Zaragoza, Guachochi, Madera, Temósachic, Guadalupe y Calvo, sólo fue necesaria limpieza de la carpeta asfáltica, por lo que se cerró la circulación por algunas horas.</t>
  </si>
  <si>
    <t>Tecate y Ensenada</t>
  </si>
  <si>
    <t>Se registró una nevada ligera en los municipios de Tecate y Ensenada, no se reportan daños ni personas afectadas.</t>
  </si>
  <si>
    <t>Orizaba y Córdoba</t>
  </si>
  <si>
    <t>Se registró una surada (fuertes vientos) en los municipio de Orizaba y Córdoba afectando a un total de 30 viviendas fabricadas con material endeble.</t>
  </si>
  <si>
    <t>Se registrro el accidente de una embarcacion en el municipio de San Fernando, que debido a los fuertes vientos naufragó con 3 pescadores a bordo, se recuperaron los cuerpos sin vida.</t>
  </si>
  <si>
    <t>Debido a las fuertes vientos registrados en la Universidad Autónoma de Tlaxcala, se vieron afectadas algunas de sus instalaciones como vidrios y techos de lámina por lo que se suspendieron clases, se reporta un lesionado leve y dos crisis nerviosas.</t>
  </si>
  <si>
    <t>Se registraron fuertes vientos en el municipio de Comitán los cuales dañaron los techos de 29 viviendas construidas con material endeble</t>
  </si>
  <si>
    <t>Cárdenas</t>
  </si>
  <si>
    <t>Debido a los fuertes vientos presentados en el municipio de Cárdenas, se vieron afectadas 100 viviendas aproximadamente en sus techos que eran de material endeble</t>
  </si>
  <si>
    <t>12 municipios</t>
  </si>
  <si>
    <t>Se registraron lluvias intensas que afectaron ocasionando daños en vivienda, infraestructura carretera e hidráulica</t>
  </si>
  <si>
    <t>San José de Gracia</t>
  </si>
  <si>
    <t>Debido a los fuertes vientos presentados en el municipio de San José de Gracia, 10 viviendas sufrieron afectaciones en techos.</t>
  </si>
  <si>
    <t>Se registraron fuertes vientos en el municipio Acapetahua, los que afectó 10 viviendas en sus techos. Así mismo se reporta una mujer con crisis nerviosa debido al incidente.</t>
  </si>
  <si>
    <t>Debido a los fuertes vientos en el municipio de Teapa, 20 viviendas sufrieron destechamientos, por lo que se evacuó momentaneamente a la población</t>
  </si>
  <si>
    <t>Zacazonapan</t>
  </si>
  <si>
    <t>Se registró una fuerte ráfaga de viento en el municipio de Zacazonapan, afectando a un total de 40 viviendas en sus techos, se apoyó a las familias afectadas con láminas, cobertores y despensas.</t>
  </si>
  <si>
    <t>Coacalco, Nextlalpan, Atizapan y Tultepec</t>
  </si>
  <si>
    <t>Debido a los fuertes vientos registrados en los municipios de Coacalco, Nextlalpan, Atizapan y Tultepec, los techos de laminas de asbesto de 105 viviendas se desprendieron parcialmente.</t>
  </si>
  <si>
    <t>San Cristobal de las Casas</t>
  </si>
  <si>
    <t>Se presentaron fuertes vientos en el municipio de San Cristobal de las Casas, i menor de edad perdió la vida y 2 personas más fueron atendidas por crisis nerviosas. 4 viviendas sufrieron daños parciales.</t>
  </si>
  <si>
    <t>Chenalho</t>
  </si>
  <si>
    <t>Se registró un deslizamiento de suelo en el municipio de Chenalho debido a las lluvias que han azotado la región, dicho deslizamiento afectó a dos escuelas, en una causando daño total y en la otra daño parcial. No se reportaron daños humanos. Como medida preventiva se evacuó a 37 familias y se instalaron en un refugio temporal, se apoyó a los damnificados con  130 colchonetas, 130 cobertores y 40 cajas de agua.</t>
  </si>
  <si>
    <t>Muzquiz</t>
  </si>
  <si>
    <t>Se registró el derrumbe de una mina en el municipio de Muzquiz, ocasionando la muerte de una persona y lesiones en otras dos personas.</t>
  </si>
  <si>
    <t>Zapopan</t>
  </si>
  <si>
    <t>Chocamán.</t>
  </si>
  <si>
    <t>Se reportan 3 personas lesionadas y tres fallecidas debido a un derrumbe causado por las fuertes lluvias en el municipio de Chocamán.</t>
  </si>
  <si>
    <t>Cuajimalpa</t>
  </si>
  <si>
    <t>Se registro el desgajamiento de un talud en la delegación Cuajimalpa, en donde tres trabajadores de una obra en construcción perdieron la vida a consecuencia de lo anterior.</t>
  </si>
  <si>
    <t>Se registró un derrumbe en un túnel que se encuentra en construcción en el municipio de Silao, se reporta la muerte de una persona al ser aplastada por las rocas.</t>
  </si>
  <si>
    <t>Se presentó un deslizamiento de suelo  afectando a una vivienda en su entrada, se evacuó a la familia.</t>
  </si>
  <si>
    <t>Se registró el derrumbe de un talud de 8 metros de largo por 9 metros de ancho, cayendo sobre una vivienda de 2 cuartos construida con material endeble, se reportan 2 personas fallecidas. Así mismo se evacuó a 18 personas dee tres viviendas que se encontraban en zona de riesgo.</t>
  </si>
  <si>
    <t>Cuernavaca</t>
  </si>
  <si>
    <t>Santiago Tuxtla</t>
  </si>
  <si>
    <t>Nuevo Laredo</t>
  </si>
  <si>
    <t>Progreso</t>
  </si>
  <si>
    <t>San Miguel de Allende</t>
  </si>
  <si>
    <t>San Miguel Allende</t>
  </si>
  <si>
    <t>Berriozabal</t>
  </si>
  <si>
    <t>Tetla</t>
  </si>
  <si>
    <t>Mocorito</t>
  </si>
  <si>
    <t>Tepotzotlán</t>
  </si>
  <si>
    <t>Ocozocoautla</t>
  </si>
  <si>
    <t>Alvaro Obregón</t>
  </si>
  <si>
    <t>Matamoros</t>
  </si>
  <si>
    <t>Guazapares</t>
  </si>
  <si>
    <t>Valle de Bravo</t>
  </si>
  <si>
    <t>Palenque</t>
  </si>
  <si>
    <t>Atoyac</t>
  </si>
  <si>
    <t>Lerma</t>
  </si>
  <si>
    <t>Tonila</t>
  </si>
  <si>
    <t>Arteaga</t>
  </si>
  <si>
    <t>Orizaba</t>
  </si>
  <si>
    <t>Aldama</t>
  </si>
  <si>
    <t>Salto de Agua</t>
  </si>
  <si>
    <t>San Juan Bautista Tuxtepec</t>
  </si>
  <si>
    <t>Villahermosa</t>
  </si>
  <si>
    <t>Santiago</t>
  </si>
  <si>
    <t>Se registraron fuertes lluvias que afectaron al municipio de Tijuana, se activaron 4 refugios temporales con 426 personas albergadas, así mismo se reportó la caída de 3 árboles y la muerte de 4 personas, 3 de éstas menores de edad, así mismo, se registró el descarrilamiento de un tren, específicamente 6 góndolas.</t>
  </si>
  <si>
    <t>Casas Grandes</t>
  </si>
  <si>
    <t>Debido a las fuertes lluvias registradas en el municipio de CasaS Grandes se registraron afectaciones en 39 viviendas, de las cuales 14 presentaron daño menor y 25 daño parcial, se instaló un refugio temporal en el cual se atienden a 85 personas, así mismo se reubicaran 70 viviendas que se encuetran en las márgenes del río Piedras Verdes y Nuevo Casas Grandes.</t>
  </si>
  <si>
    <t>Bachiniva, Bocoyna, Guachochi, Janos, Matachi, Cuauhtemoc, Maguarichi, Cusihuiriachi y Chinipas</t>
  </si>
  <si>
    <t>Se presentaron fuertes lluvias y nevadas, las cuales afectaron a un total de 7,400 personas, no se tiene el número de viviendas dañadas.</t>
  </si>
  <si>
    <t>Debido a las fuertes lluvias se presentaron varios deslaves que afectaron varias viviendas, como medida preventiva se evacuó a un total de 190 personas y se instalaron en un refugio temporal.</t>
  </si>
  <si>
    <t>Acala. Venustiano Carranza y Tuxtla Gutiérrez</t>
  </si>
  <si>
    <t>Se registraron fuertes lluvia y granizo acompañados de vientos causando afectaciones en 68 viviendas, 2 con daño total y las demás con daño parcial, así mismo seinstaló un refugio temporal en donde 17 personas pasaron la noche.</t>
  </si>
  <si>
    <t>Tlaxco y Hueyotlita</t>
  </si>
  <si>
    <t>Debido a las fuertes lluvias se registraron afectaciones en algunas viviendas, así mismo se instalaron dos refugios temporales en donde se albergó a un total de 72 personas. El número de viviendas afectadas se estimó en 14.</t>
  </si>
  <si>
    <t>Villa Vanegas</t>
  </si>
  <si>
    <t>Se registró una fuerte lluvia acompañada de descargas eléctricas, se reportan 25 viviendas afectadas, de las cuales 19 resultaron con afectaciones mayores. Así mismo, se reportó el fallecimiento de una persona por la caída de un rayo. El suministro de energía eléctrica se suspendió durante 4 horas debido al daño que sufrió un transformador.</t>
  </si>
  <si>
    <t>Tlacolula de Matamoros, Oaxaca, San Agustín de las Juntas, San Antonio de la Cal y Santa Cruz Xoxocotlan</t>
  </si>
  <si>
    <t>Debido a las fuertes lluvias se registraron afectaciones menores en 120 viviendas, se habilitó un refugio temporal en el cual pernoctaron 50 personas.</t>
  </si>
  <si>
    <t>Debido a las fuertes lluvias 110 viviendas resultaron afectadas,  de las cuales unas 80 presentaron daño parcial y el resto daño menor. Así mismo 15 vehículos fueron arrastrados por la corriente al desbordarse el canal de aguas negras "Las Granjas"</t>
  </si>
  <si>
    <t>Mapastepec</t>
  </si>
  <si>
    <t>Se reportaron lluvias fuertes afectando 2 viviendas, no se reportaron daños humanos.</t>
  </si>
  <si>
    <t>Jiménez y Nuevo Laredo</t>
  </si>
  <si>
    <t>Se reportaron 22 viviendas con daños menores debido a las fuertes lluvias registradas en los municipios mencionados. Así mismo se registraron daños en enseres domésticos de algunas viviendas.</t>
  </si>
  <si>
    <t>Tecolutla, Papantla, Poza Rica y Gutiérrez Zamora</t>
  </si>
  <si>
    <t>Se registraron fuertes lluvias en el estado afectando un total de 177 viviendas en sus techos, no se reportaron daños humanos.</t>
  </si>
  <si>
    <t>Diversos municipios</t>
  </si>
  <si>
    <t>Se registraron lluvias muy fuertes se reportan daños en 10 viviendas, así como la caída de árboles los cuales afectaron 2 vehículos y ocasionaron el corte del suminitro de energía eléctrica por varias horas.</t>
  </si>
  <si>
    <t>Oaxaca de Juárez, Santa Lucía del Camino, Tlalixtac de Cabrera, San Andrés Huayapan y Tlacolula de Matamoros</t>
  </si>
  <si>
    <t>Debido a las lluvias registradas se vieron afectados varios municipios del estado, se reportaron  120 viviendas afectadas a causa del desbordamiento de varios arroyos, así mismo se evacuó a 500 personas aproximadamente.</t>
  </si>
  <si>
    <t>Zumpango y Temascalapa</t>
  </si>
  <si>
    <t>Se registró una lluvia fuerte con granizo resultando afectados 5 domicilios en Zumpango y 7 en Temascalapa. Así mismo se instaló un refugio temporal al cual acudieron 25 personas aproximadamente.</t>
  </si>
  <si>
    <t>Se registraron fuertes lluvias en la ciudad de Chihuahua, se reporta la muerte de un menor, así mismo se instalaron 2 refugios temporales a los cuales acudieron un total de 14 personas.</t>
  </si>
  <si>
    <t>Escobedo</t>
  </si>
  <si>
    <t>Se registro una fuerte tormenta eléctrica, se reporta una persona fallecida al ser impactada por un rayo.</t>
  </si>
  <si>
    <t>Debido a las fuertes lluvias registradas se reportan daños en los techos de 5 viviendas, así mismo se evacuó a un total de 25 perosnas.</t>
  </si>
  <si>
    <t>Esperanza y Achichintla</t>
  </si>
  <si>
    <t>Debido a las fuertes lluvias se reportaron daños menores en 15 viviendas.</t>
  </si>
  <si>
    <t>Agua Dulce</t>
  </si>
  <si>
    <t>Debido al incremento en el afluente de un río se evacuó preventivamente a 41 personas que se instalaron en 2 albergues.</t>
  </si>
  <si>
    <t>Villa de las Flores</t>
  </si>
  <si>
    <t>Se desbordo un arroyo debido a las fuertes lluvias, como medida preventiva se evacuó a un total de 100 personas.</t>
  </si>
  <si>
    <t>Se registraron fuertes lluvias en el municipio de Campeche afectando varias viviendas por lo que como medida preventiva se evacuó a un total de 350 familias.</t>
  </si>
  <si>
    <t>Se reportaron inundaciones de aproximadamente 1 metro de altura por lo que se evacuó a 15 personas aproximadamente</t>
  </si>
  <si>
    <t>Cosamaloapan, Otatitlán y Tlacojalpan</t>
  </si>
  <si>
    <t>Debido a las fuertes lluvias se reportaron 173 viviendas afectadas con penetración de agua, así mismo se reportan 865 personas afectadas, se instaló un refugio temporal en el municipio de Tlacojalpan.</t>
  </si>
  <si>
    <t>Tenosique y Balancan</t>
  </si>
  <si>
    <t>Se registraron lluvias intensas en los municipios mencionados, un total de 120 viviendas presnetaron daños menores, se activó un refugio temporal en el municipio de tenosique en donde se atendió a un total de 50 personas proporcionandoles cobertores y alimentos. Un bebé de 8 meses murió al ser arrastrado por la corriente de un arroyo.</t>
  </si>
  <si>
    <t>Se registró una fuerte lluvia que originó encharcamientos y algunos deslaves, se reportó daño total en una vivienda, se instaló un refugio temporal en donde se atendió a un total de 25 personas.</t>
  </si>
  <si>
    <t>Tamalin, Alamo-Temapache, Chinampa de Gorostiza, Cazones, Nautla, Tamiahua, Ozuluama, Minatitlán, Poza Rica, Tuxpan y Naranjos</t>
  </si>
  <si>
    <t>Debido a la Totmenta Tropical "Bret" se vieron afectados los municipios del norte de Veracruz, se estima que la población afectadas es de más de 9,400 personas y que aproximadamente , se reportaron 25 viviendas con daño total y aproximadamente 2,445 viviendas con daños menores , así mismo se reportan 2 hectáreas de platanar afectadas y algunas aves de corral muertas. Así mismo se reportan 68 comunidades afectadas y 5 ríos desbordados.</t>
  </si>
  <si>
    <t>Guadalajara, Zapopan y Tlajomulco de Zuñiga</t>
  </si>
  <si>
    <t>Se registro una fierte lluvia con granizo que provocó afectaciones viales, penetración de agua en alrededor de 100 viviendas y daños a algunos vehículos. Así mismo se presento la caida de algunos árboles. No se reportan daños humanos</t>
  </si>
  <si>
    <t>Cuernavaca, Temixco,Jiutepec, Xochitepec, Zacatepec y Jojutla</t>
  </si>
  <si>
    <t>Debido a las fuertes lluvias se reportan afectaciones en varias viviendas, así mismo se reportó la muerte de tres personas.</t>
  </si>
  <si>
    <t>Pinotepa Nacional</t>
  </si>
  <si>
    <t>Debido a las fuertes lluvias ocasionadas por la Onda Tropical 16 se registraron anegaciones en algunas viviendas y daño total en 1 debido al reblandecimiento de una ladera</t>
  </si>
  <si>
    <t>Se reportan daños en 15 viviendas debido a las fuertes lluvias acompañadas de fuertes vientos</t>
  </si>
  <si>
    <t>Juárez</t>
  </si>
  <si>
    <t>Debido a las fuertes lluvias registradas en el municipio de Juárez se reportaron daños en los techos de 40 viviendas</t>
  </si>
  <si>
    <t>Valle de Santiago, Salamanca y Guanajuato</t>
  </si>
  <si>
    <t>Se reportan algunas afectaciones en viviendas a consecuencia de las fuertes lluvias, así mismo se registró la muerte de 3 menores que fueron arrastrados por un arroyo.</t>
  </si>
  <si>
    <t>Zacatepec y Jojutla</t>
  </si>
  <si>
    <t>Debido a las fuertes lluvias se vieron afectadas algunas viviendas, se activó un refugio temporal el cual atendió a un total de 18 personas</t>
  </si>
  <si>
    <t>Cozumel, Solidaridad, Lázaro Cárdenas, Benito Juárez e Isla Mujeres</t>
  </si>
  <si>
    <t>El huracán Emily afectó a varios municipios del estado de Quintana Roo, dentro de la infraestrucutra dañada esta la hidráulica, educativa, viviendas, algunas afectaciones en infraestructura turística, salud, etc. Se instalaron varios refugios temporales en donde se atendió a un total de 10,112 personas.</t>
  </si>
  <si>
    <t>Sismo magnitud 7.2, ocurrido el día 16 de febrero</t>
  </si>
  <si>
    <t>52 municipios afectados</t>
  </si>
  <si>
    <t>Huracán Emily. Se registraron diversas afectaciones en 52 municipios del estado a consecuencia del huracán emily, daños en vivienda, educación, salud, infraestructura hidráulica, etc.</t>
  </si>
  <si>
    <t>Varios municipios</t>
  </si>
  <si>
    <t xml:space="preserve">Se presentaron efectos por viento lluvia y oleaje, sin embargo no hubo daños, se evacuaron 1,350 personas </t>
  </si>
  <si>
    <t>Cuernavaca, Temixco,Jiutepec, Cuautla, Yautepec y Tlalnepantla</t>
  </si>
  <si>
    <t>Se registraron fuertes lluvias afectando levemente algunas viviendas, así mismo, se reporta la muerte de una persona debido a la caída de un rayo.</t>
  </si>
  <si>
    <t>Huracán Emily. Se registraron varios daños en el estado a consecuencia del impacto del huracán EMILY</t>
  </si>
  <si>
    <t>Altazayanca y Huamantla</t>
  </si>
  <si>
    <t>Debido a las fuertas lluvias se registraron anegaciones leves en algunas viviendas, así mismo se brindó atención médica a 2 personas que presentaron síntomas de hipotermia</t>
  </si>
  <si>
    <t>Ciudad Mante</t>
  </si>
  <si>
    <t>Se informa del escurrimiento de agua de una cortina afectando 12 colonias por lo que se realizó la evacuación de 519 personas.</t>
  </si>
  <si>
    <t>San Juan de los Lagos, Guadalajara, Zapopan y  Tonala</t>
  </si>
  <si>
    <t>Debido a las fuertes lluvias se presentaron anegaciones en algunas vialidades, así mismo se reportan afectaciones menores en 11 viviendas.</t>
  </si>
  <si>
    <t>San Juan Tolac, Tlaxco, Tetla, Tlaxcala, Ixtlacuixtla y Apetatlán</t>
  </si>
  <si>
    <t>Debido a las fuertes lluvias se presentaron daños menores en varias viviendas, se evacuó a un total de 48 personas de las cuales 20 fueron atendidas en un refugio temporal.</t>
  </si>
  <si>
    <t>Aguascalientes, Rincón de Romos y Calvillo</t>
  </si>
  <si>
    <t>Debido a las fuertes lluvias en el estado se reportaron afectaciones menores en 78 viviendas.</t>
  </si>
  <si>
    <t>San José de Iturbide, Abasolo y Jerecuaro</t>
  </si>
  <si>
    <t>Se reportó una tormenta eléctrica provocando el fallecimiento de 3 personas y lesionando a una más.</t>
  </si>
  <si>
    <t>22 municipios</t>
  </si>
  <si>
    <t>Se registro un sismo de 6.5° en la escala de Richter, causando afectaciones en la infraestructura social del estado principalmente.</t>
  </si>
  <si>
    <t>Debido a las fuertes lluvias registradas se reportan daños en 11 viviendas así como en dos vehículos. No se reportan daños humanos.</t>
  </si>
  <si>
    <t>Coalcoman</t>
  </si>
  <si>
    <t>Se reportó el desbordamiento del río las animas, afectando un total de 6 viviendas. Se evacuó a las familias afectadas.</t>
  </si>
  <si>
    <t>Etchojoa</t>
  </si>
  <si>
    <t>Debido a las fuertes lluvias registradas se reportaron daños en 8 viviendas, principalemnte en sus techumbres.</t>
  </si>
  <si>
    <t>Se registraron lluvias intensas en el municipio afectando varias viviendas y provocando el desbordamiento del arroyo nogales, algunos vehículos fueron arrastrados y se reporta la caída de árboles y algunas colonias sin energía eléctrica.</t>
  </si>
  <si>
    <t>León y Guanajuato</t>
  </si>
  <si>
    <t>Se reportan dos personas lesionadas al ser alcanzadas por un rayo durante una tormenta eléctrica.</t>
  </si>
  <si>
    <t>Debido a las fuertes lluvias se presentaron afectaciones menores en 25 viviendas y daños ´parciales en una más. Así mismo se presentaron anegaciones en la autopista México-Puebla, afectando la circulación.</t>
  </si>
  <si>
    <t>Se reportaron daños menores en 20 viviendas a cosnecuencia de las fuertes lluvias. Así mismo se presentaron cortes de energía y afectaciones en la vialidad.</t>
  </si>
  <si>
    <t>Se registraron fuertes lluvias con viento resultando lesionadas tres personas.</t>
  </si>
  <si>
    <t>Catemaco, San Andrés Tuxtla, Jaltipan, Cosamalopan, Veracruz y Boca del Río.</t>
  </si>
  <si>
    <t>Debido a las fuertes lluvias se presentaron afectaciones en diversos municipios, siendo afectadas 19 viviendas, un jardín de niños y un vehículo, así mismo se reportaron lesionadas 4 personas.</t>
  </si>
  <si>
    <t>Navojoa</t>
  </si>
  <si>
    <t>Debido a las fuertes lluvias se presentaron afectaciones en algunas viviendas, por mlo que fue preciso activar un refigio temporal.</t>
  </si>
  <si>
    <t>Mazatlan</t>
  </si>
  <si>
    <t>Se reportaron 10 viviendas con afectaciones menores, así mismo se reporta una persona desaparecida, lo anterior debido a las fuertes lluvias.</t>
  </si>
  <si>
    <t>San Lucas</t>
  </si>
  <si>
    <t>Debido a las fuertes lluvias se desbordó el río denominado "El trapiche" ocasionando afectaciones en 15 viviendas, como medida preventiva se evacuó a las familias que habitaban dichas viviendas.</t>
  </si>
  <si>
    <t>José Azueta, Isla, Jaltipan, Texistepec, Cosoleacaque, Jesus Carranza, San Andrés Tuxtla, Catemaco, Acayucan, Oluta y Ciudad Mendoza.</t>
  </si>
  <si>
    <t>Debido a las fuertes lluvias se presentaron afectaciones en diversos municipios, as´mismo se reportó la muerte de 3 menores de edad, algunos daños a cultivos y afectaciones en  85 viviendas, se activaron 3 refugios temporales en donde se atendió a la población afectada. También se repotó el colapso de dos puentes vehiculares.</t>
  </si>
  <si>
    <t xml:space="preserve">Se reportaron afectaciones en 350 viviendas debido al desbordamiento del río San Diego y San Isidro, por lo que se evacuó a las 350 familias </t>
  </si>
  <si>
    <t>San Francisco Ixhuatlán, San Mateo Yoloxochitlán, Teolitlán y San Juan Bautista</t>
  </si>
  <si>
    <t>Se registraron fuertes lluvias las cuels afectaron a un total de 25 viviendas, así mismo se reportan 13 personas fallecidas y 3 personas desaparecidas.</t>
  </si>
  <si>
    <t>El Fuerte</t>
  </si>
  <si>
    <t>Se reporta la muerte de tres personas al ser impactadas por un rayo durante una tormenta eléctrica.</t>
  </si>
  <si>
    <t>Corzo de Chiapas y Amatenango de la Frontera</t>
  </si>
  <si>
    <t>Debido a las fuertes lluvias se reportan 6 viviendas con daños menores y una más con daño total.</t>
  </si>
  <si>
    <t>Antigua, Ursulo Galván, Actopan, Alto Lucero, Vega de la Torre, Nautla, San Rafael, Gutierrez Zamora, Tecolutla, Martinez de la Torre, Mosantla, Colipa, Tlapacoyan, Yecuautla.</t>
  </si>
  <si>
    <t>Debido a las fuertes lluvias ocasionadas por la tormente tropical José, se implementó un consejo municipal de protección civil en cada uno de los municipios , se evacuaron a 1500 personas por el desbordamiento del río Misantla las cuales se instalaron en 9 refugios temporales. En Martinez de la Torre se activó otro refugio temporal en el cual se atendió a 28 personas, por último en Tlapacoya se activó otro refugio temporal en el cual se atendió a 150 personas.</t>
  </si>
  <si>
    <t>Se reportaron afectaciones en 50 viviendas debido a l desbordamiento de arroyos.  La población afectada recibió apoyos.</t>
  </si>
  <si>
    <t>Corzo de Chiapas</t>
  </si>
  <si>
    <t>Se reportan afectaciones en 18 viviendas por penetración de agua, las personas afectadas fueron transladadas a un refigio temporal</t>
  </si>
  <si>
    <t>Chiapa de Corzo, Tuxtla Gutierrez, Teopisca y Totolapa</t>
  </si>
  <si>
    <t>Debido a las fuertes lluvias se reportan afectaciones en 116 viviendas, 3 con pérdida total. Así mismo se presentaron daños en una primaria</t>
  </si>
  <si>
    <t>Apatzingan</t>
  </si>
  <si>
    <t>Debido al desbordamiento del río aguililla se reportan afectaciones severas en la comunidad del mismo nombre. 200 viviendas afectadas, se activaron 3 refugios temporales, se reportan 6 personas fallecidas y  4 desaparecidos. 222 personas albergadas,</t>
  </si>
  <si>
    <t>Acapetehua</t>
  </si>
  <si>
    <t>Se desbordó el río Cacaluta motivo por el cual se vieron afectadas 20 viviendas.</t>
  </si>
  <si>
    <t>Se reporta el fallecimiento de una persona al recibir el impacto de un rayo durante una tormenta eléctrica.</t>
  </si>
  <si>
    <t>Caborca</t>
  </si>
  <si>
    <t xml:space="preserve">Se reportan daños menores en 115 viviendas debido a las fuertes lluvias, </t>
  </si>
  <si>
    <t>Se reporta el desbordamiento de un río afectando un total de 450 viviendas, se habilitó un refugio temporal en el cual se atendió a un total de 250 personas. No se reportan daños humanos.</t>
  </si>
  <si>
    <t>Hopelche</t>
  </si>
  <si>
    <t>Se reportaron daños en 40 viviendas, principalmente en enseres domésticos, así mismo se reportaron daños en 40 hectáreas de cultivos.</t>
  </si>
  <si>
    <t>Debido a las fuertes lluvias se desbordaron los ríos grande y chiquito, afectando a cerca de 25 colonias, se reportan daños en enseres domésticos y en varias viviendas.</t>
  </si>
  <si>
    <t>Se reportó el desbordamiento del arroyo Jaralillo, causando afectaciones a 61 viviendas. No se reportan daños humanos.</t>
  </si>
  <si>
    <t>San Cosme Xalostoc</t>
  </si>
  <si>
    <t>Se reportaron daños en 8 viviendas, principalmente en los enseres domésticos, así mismo se reportaron afectaciones en una escuela.</t>
  </si>
  <si>
    <t>Las Margaritas y Acapetahua</t>
  </si>
  <si>
    <t>Debido a las fuertes lluvias se presentaron daños menores en 89 viviendas causando afectaciones a sus enséres domésticos.</t>
  </si>
  <si>
    <t>Coyuca de Benitez</t>
  </si>
  <si>
    <t>Se registro un sismo de 6.7 grados en la Escala Richter, este afecto a 3 mil personas y daño 2,600 viviendas, el total de daños se calcula en 29.25 millones de pesos</t>
  </si>
  <si>
    <t>Puerto Escondido</t>
  </si>
  <si>
    <t>Debido a las fuertes lluvias se presentaron afectaciones en 9 viviendas, 4 negocios y 3 hoteles. No se reportan daños humanos.</t>
  </si>
  <si>
    <t>Mapastepec, Huehuetán, Pijijiapan, Escuintla, Acapetahua, Villa Comatitlán, Acacoyagua, Huixtla, Mazatán y Tapachula</t>
  </si>
  <si>
    <t>Se presentaron afetcaiones en 11 municipios, 48 localidades, se tienen activos 11 refugios temporales en los cuales se atendió a 617 personas, 15 ríos desbordados, 1 puente colapsado y varios tramos carreteros afectados por derrumbes o deslaves.</t>
  </si>
  <si>
    <t>16 municipios</t>
  </si>
  <si>
    <t>Acapulco de Juarez, Chilpancingo de los Bravo, San Marcos, Chilapa de Alvarez y Juan R. Escudero</t>
  </si>
  <si>
    <t>Se registro un sismo de 5.7 grados en la escala de Richter. Se reportan daños en 1611 viviendas y 13 escuelas. El FONDEN apoyo para las acciones de reconstrucción. Una persona de 67 años fallecio</t>
  </si>
  <si>
    <t>Pinotepa Nacional, Santo Domingo Armenta, Jamiltepec, Santiago Tepextla, Huazolotitlán</t>
  </si>
  <si>
    <t xml:space="preserve">Debido a las fuertes lluvias fueron afectadas 4,200 personas de 20 comunidades. Se estima que fueron 800 viviendas afectadas, así mismo se reportan 2 puentes colapsados y 10 caminos con afectaciones </t>
  </si>
  <si>
    <t>41 municipios</t>
  </si>
  <si>
    <t xml:space="preserve">Debido a las fuertes lluvias provocadas por la presencia del huracán Stan se reportaron severas afectaciones en varios municipios, así mismo se reportan 5 personas desaparecidas y 86 personas fallecidas. </t>
  </si>
  <si>
    <t>Debido a las fuertes lluvias provocadas por el huracán Stan se presentaron afectaciones severas en varios municipios del estado, especialmente los de la costa, resultando 5 personas fallecidas, 2 personas lesionadas y 13 desaparecidas. Así mismo se reportan 138 viviendas con pérdida total y 3916 con daños parciales. Así mismo se reportan 9 escuelas afectadas.</t>
  </si>
  <si>
    <t>Se reportan severas afectaciones en varios municipios del estado debido al huracán Stan, se reportan daños en carreteras, puentes y 14,393 viviendas afectadas en diferentes grados.</t>
  </si>
  <si>
    <t>Debido a las fuertes lluvias provocadas por el huracán Stan se presentaron varias afectaciones, así mismo 3 personas perdieron la vida</t>
  </si>
  <si>
    <t>Debido a los remanentes del huracán Stan se reportanron afectaciones en varios municipios del estado, se reportaron 10 mil damnificados aproximadamente, así mismo se reporta 2 personas fallecidas, 23 lesionadas y 1 desaparecido.</t>
  </si>
  <si>
    <t>Mochitlan</t>
  </si>
  <si>
    <t>Desbordamiento del río Salado resultando 173 viviendas inundadas, afectando 700 personas aprox. Preventivamente, fueron trasladadas 90 personas a 2 RT: 30 en el RT del DIF y 60 en la Escuela Primaria Jose Maria Morelos. Entrega de 350 Kits de limpieza, 350 Kits de aseo personal, 350 despensas y 250 colchonetas.</t>
  </si>
  <si>
    <t>Escuinapan</t>
  </si>
  <si>
    <t>Se presentaron fuertes lluvias afectando diversas comunidades, se repartieron apoyos como láminas de cartón, despensas,  colchonetas, etc.</t>
  </si>
  <si>
    <t>Ecatepec y Nezahualcoyotl</t>
  </si>
  <si>
    <t>Se registró una fuerte lluvia que causó afectaciones en 114 viviendas, provocando daños en los enseres domésticos, así mismo se presentaron fallas en la energía eléctrica y problemas viales.</t>
  </si>
  <si>
    <t>Acuña, Jimenez, Allende, Cuatro Ciénegas, Francisco I Madero, Monclova, Morelos, Parra, Piedras Negras, Sabinas, San Pedro Torreón y Zaragoza.</t>
  </si>
  <si>
    <t>El frente frío número 4 causo afectaciones en varios municipios, afectando a un total de 105 viviendas, se reportan 384 personas albergadas.</t>
  </si>
  <si>
    <t>San Nicolás</t>
  </si>
  <si>
    <t>Debido a las fuertes lluvias se presentaron escurrimientos por lo que se evacuó a 567 personas las cuales se ubicaron en 5 refugios temporales en donde se les brindó el apoyo necesario como alimentos y cobertores</t>
  </si>
  <si>
    <t>Cardenas, Centla, Comalcalco, Jalapa, Jalapa de Mendez, Macuspana, Paraiso, Tacotalpa y Teapa</t>
  </si>
  <si>
    <t xml:space="preserve">Lluvias fuertes, frente frio no. 4 y masa de aire frio,  afectaron a miles de personas. Los rios de la Sierra, Grijalva y Usumacinta se desbordaron y afectan a viviendas asentadas en margenes de zonas bajas. Las inundaciones cuasaron daños severos en la Ciudad de Villahermosa. </t>
  </si>
  <si>
    <t>CENAPRED/CEPAL</t>
  </si>
  <si>
    <t>73 municipios</t>
  </si>
  <si>
    <t xml:space="preserve">Debido a los fuertes vientos y lluvias ocasionadas por el huracán Wilma, se vieron afetcados varios municipios </t>
  </si>
  <si>
    <t>La caída de un rayo ocasionó la muerte de 3 personas y causó lesiones a otras dos. Los lesionados fueron trasladados a un hospital.</t>
  </si>
  <si>
    <t>Se reporta la muerte de una persona al intentar cruzar el arroyo las Sabinitas, el cual se encontraba crecido debido a las lluvias.</t>
  </si>
  <si>
    <t>Debido a las fuertes lluvias se presentaron afectaciones en 5 colonias y 57 viviendas</t>
  </si>
  <si>
    <t>Ocotepec</t>
  </si>
  <si>
    <t>Se presentaron daños en una vivienda afectando a un total de 8 perosnas debido a las fuertes lluvias</t>
  </si>
  <si>
    <t>Comalcalco, Paraiso, Tlacotalpa y Teapa</t>
  </si>
  <si>
    <t>Debido a las fuertes lluvias registradas se presentaron daños en  14 localidades, 475 familias y 2070 personas sufrieron anegaciones en sus domicilios</t>
  </si>
  <si>
    <t>Debido a las basjas temperaturas se presentaron 27 defunciones en el 2005</t>
  </si>
  <si>
    <t>SS</t>
  </si>
  <si>
    <t>Debido a las basjas temperaturas se presentaron 4 defunciones en el 2005</t>
  </si>
  <si>
    <t>Debido a las basjas temperaturas se presentaron 3 defunciones en el 2005</t>
  </si>
  <si>
    <t>Debido a las basjas temperaturas se presentaron 2 defunciones en el 2005</t>
  </si>
  <si>
    <t>Debido a las basjas temperaturas se presentaron 1 defunciones en el 2005</t>
  </si>
  <si>
    <t>Cuautitlán</t>
  </si>
  <si>
    <t>Se registro el desbordamiento del canal de aguas negras denominado "Necapa" al abrir las compuertas, se evacuaron 15 personas a las cuales se les instaló en un refugio temporal, se les brindo apoyo con cobertores y colchonetas. Se reportaron 20 viviendas con daños menores</t>
  </si>
  <si>
    <t>Temas y Texac</t>
  </si>
  <si>
    <t>La granizada afectó a varias viviendas de familias de escasos recursos en sus techumbres, se reportaron en total 164 viviendas afectadas y se apoyo con un total de 163 atados de lámina de cartón.</t>
  </si>
  <si>
    <t>Debido a los fuertes vientos registrados varias viviendas, ya que el viento daño los techos de 12 viviendas, en una de estas viviendas una persona perdió la vida al caerle encima un orcon de madera.</t>
  </si>
  <si>
    <t>Oaxaca, San Agustín Etla y San Miguel Guelace</t>
  </si>
  <si>
    <t>Se registro una fuerte granizada en los municipios mencionados, como resultado 8 personas perdieron la vida, se presentaron daños de diferentes grados en aproximadamente 1,000 viviendas y se vieron afectadas más de 5,000 personas.</t>
  </si>
  <si>
    <t>Debido a los fuertes lluvias se reporta la caída de varios puestos de comida lesionando a 10 personas.</t>
  </si>
  <si>
    <t>Sequía en varios municipios</t>
  </si>
  <si>
    <t>Acatepec, Atoyac de Álvarez, Coyuca de Benítez</t>
  </si>
  <si>
    <t>Las lluvias afectaron a 2,368 productores de café en sus cultivos. El PACC apoyó con 4,757,513.2</t>
  </si>
  <si>
    <t>SAGARPA/CENAPRED</t>
  </si>
  <si>
    <t>Se registro un deslave en la colonia Monterrey afectando un total de 6 viviendas en su totalidad, como medida preventiva se evacuaron a 66 personas, se reporta una persona fallecida.</t>
  </si>
  <si>
    <t>Se registro un deslizamiento de suelo en un cerro perteneciente a ambos  municipios, se reportaron 17 viviendas afectadas, como medida preventiva se evacuó a 74 personas.</t>
  </si>
  <si>
    <t>Se registro un deslizamiento de suelo en las obras del segundo piso del periférico en el DF, debido a lo anterior un trabajador perdió la vida.</t>
  </si>
  <si>
    <t>Benito Juárez, Coyuca de Benítez,
Petatlán y Zihuatanejo de Azueta</t>
  </si>
  <si>
    <t>San Pedro Quiatoni</t>
  </si>
  <si>
    <t>Se registró un deslizamiento de ladera causando daño total en una vivienda y causando el fallecimiento de 6 personas que se encontraban dentro de la misma.</t>
  </si>
  <si>
    <t>Se registro un deslizamiento de ladera en la delegación Alvaro Obregón, se evacuó a 20 familias y se reportan 2 lesionados.</t>
  </si>
  <si>
    <t>Zontecomatlán</t>
  </si>
  <si>
    <t>Se informa del derrumbe de un cerro sepultando una vivienda con sus 6 habitantes dentro.</t>
  </si>
  <si>
    <t>Se reportan 2 viviendas afectadas al ser impactadas por una tercera que se vino abajo debodi a un deslizamiento de suelo. Como medida preventiva se evacuó a 30 personas.</t>
  </si>
  <si>
    <t>Se reporto el derrumbe de varias rocas que afectaron parcialmente a una vivienda causando la muerte de una menor de esdad y lesiones a otra persona.</t>
  </si>
  <si>
    <t>Huixquilucan</t>
  </si>
  <si>
    <t>se reportó el derrumbe de un cerro , se reporta 1 vivienda colapsada, 6 con agrietamientos y 7 con daños menores. Así mismo se reporta la muerte de 3 personas y 1 más lesionada. Se instaló un refugio temporal en el cual se atenfdió a la población afectada.</t>
  </si>
  <si>
    <t>Cacahuatán</t>
  </si>
  <si>
    <t>Se reporto el derrumbe de un banco de material en la comunidad de Bella Vista sepultando a 3 personas.</t>
  </si>
  <si>
    <t>Xochiapulco</t>
  </si>
  <si>
    <t>Se reporto el delizamiento de una ladera sobre una vivienda, como resultado del percance 3 personas perdieron la vida</t>
  </si>
  <si>
    <t>Se reporta el deslizamiento de suelo en el cual 59 viviendas fueron afectadas total y parcialmente. No se reportan daños humanos</t>
  </si>
  <si>
    <t>Agua Prieta</t>
  </si>
  <si>
    <t>Los Reyes</t>
  </si>
  <si>
    <t>Acaponeta</t>
  </si>
  <si>
    <t>Chiapa de Corzo</t>
  </si>
  <si>
    <t>Córdoba</t>
  </si>
  <si>
    <t>Taxco</t>
  </si>
  <si>
    <t>Poza Rica</t>
  </si>
  <si>
    <t>Atizapan de Zaragoza</t>
  </si>
  <si>
    <t>Reynosa</t>
  </si>
  <si>
    <t>Tierra Blanca</t>
  </si>
  <si>
    <t>Hueyapan de Ocampo</t>
  </si>
  <si>
    <t>Nanchital</t>
  </si>
  <si>
    <t>Huimanguillo</t>
  </si>
  <si>
    <t>Ciudad Madero</t>
  </si>
  <si>
    <t>Candelaria</t>
  </si>
  <si>
    <t>Xalisco</t>
  </si>
  <si>
    <t>Cadereyta de Montes</t>
  </si>
  <si>
    <t>Río Grande</t>
  </si>
  <si>
    <t>Tejupilco</t>
  </si>
  <si>
    <t>Magdalena Contreras</t>
  </si>
  <si>
    <t>Ensenada y Tecate</t>
  </si>
  <si>
    <t>Tlajomulco de Zúñiga</t>
  </si>
  <si>
    <t>Santa Catarina</t>
  </si>
  <si>
    <t>Jamay</t>
  </si>
  <si>
    <t>Villa de Cos</t>
  </si>
  <si>
    <t>Zinapecuaro</t>
  </si>
  <si>
    <t>Galeana</t>
  </si>
  <si>
    <t>Tacotalpa</t>
  </si>
  <si>
    <t>Hermosillo</t>
  </si>
  <si>
    <t>Puente de Ixtla</t>
  </si>
  <si>
    <t>Pisaflores</t>
  </si>
  <si>
    <t>Magdalena</t>
  </si>
  <si>
    <t>Se presentó una helada en la delegación Milpa Alta afectando los cultivos de nopal. Un total de 2227 productores se vieron afectados. El FAPRACC apoyó a los productores con 1.4 millones de pesos aprox.</t>
  </si>
  <si>
    <t>Boca del Río, Veracruz, Medellín, Catemaco y Agua Dulce</t>
  </si>
  <si>
    <t>Se registraron fuertes vientos en los municipios mencionados, se reportaron 2 personas lesionadas al ser golpeadas por láminas de una techumbre.</t>
  </si>
  <si>
    <t>San Francisco Ixhuatan, Chahuites, Santo Domingo Zanatepec, Reforma de Pineda y Tapanatepec.</t>
  </si>
  <si>
    <t>Se presentaron fuertes vientos, debido a la existencia de un Ciclon Tropical, estos afectaron a 1 681 Productores de Mango, en un total de 5 209.5 Hectareas, a los cuales se les brindo un apoyo del fondo FRAPACC que consta de $ 14, 716, 837.5 Pesos.</t>
  </si>
  <si>
    <t>Tabasco, Huanusco, Jalpa y Villanueva</t>
  </si>
  <si>
    <t>Se registró una helada que afectó cultivos de guayabo y tomate. Afectó a 424 productores</t>
  </si>
  <si>
    <t>Varias delegaciones</t>
  </si>
  <si>
    <t>Se presentaron fuertes vientos con rachas de hasta 50 Km./h por lo que un espectacular y varios árboles s evieron afectados. Así mismo, se reportaron cortes de energía en algunas colonias.</t>
  </si>
  <si>
    <t>Pachuca, Zempoala y Mineral de la Reforma</t>
  </si>
  <si>
    <t>Se presentó una fuerte granizada por lo quye se vio afectada la circulación en algunas avenidas principales, ya que la capa de granizo alcanzó los 5 cm.</t>
  </si>
  <si>
    <t>Se presentaron fuertes vientos afectando a 16 viviendas, 3 con daño total y 13 con daños parciales. Se brindó apoyo a los afectados con láminas de cartón</t>
  </si>
  <si>
    <t>La Unidad Estatal de Protección Civil reportó la presencia de vientos de 35 a 40 Km./h ocasionando la caída de 3 espectaculares afectando a 2 vehículos y lesionando a 6 personas.</t>
  </si>
  <si>
    <t>Se presento una fuerte granizada, afectando a 118 productores, que cosechaban unas 247 hectareas de Manzano, a lo cual se le asigno del fondo de la FAPRACC un total de $ 1 238 750 miles de pesos.</t>
  </si>
  <si>
    <t>En el cerro denominado "El Original" cayó un rayo cuando pasaba una peregrinación, motivo por el cual 6 personas perdieron la vida y 20 más resultaron lesionadas.</t>
  </si>
  <si>
    <t>Se presentaron fuertes vientos en toda la ciudad, resultando afectadas 3 viviendas en sus techos, la barda de una iglesia que se precipitó sobre una persona de 67 años de edad, ocasionando su muerte. Así mismo, se registró la caída de varios árboles, postes de energía eléctrica y un anuncio espectacular.</t>
  </si>
  <si>
    <t>Villa de Acala</t>
  </si>
  <si>
    <t>Se registraron fuertes vientos ocasionando la caída de un poste de energía eléctrica y daños a 38 viviendas, 15 de manera total y 23 con daños parciales. Se brindaron apoyos con despensas, cobijas, colchonetas y láminas de cartón.</t>
  </si>
  <si>
    <t>San Martín Peras</t>
  </si>
  <si>
    <t>Se registraron lluvias acompañadas con tormenta eléctrica, se reportó la caída de un rayo en una vivienda construida de material endeble, en la cual tres personas perdieron la vida por descarga eléctrica.</t>
  </si>
  <si>
    <t>Libres, Oriental y Chilchotla</t>
  </si>
  <si>
    <t>Se registro una fuerte granizada afectando a 295 productores de maiz, lo cual representa 704.5 hectareas y a 171 productores de ciruelos, que cosechan 174 hectareas, por lo cual se asignaron a los primero $ 563.6 miles de pesos y a los segundo 870 miles de pesos, lo cual da un total de 1 433.6 miles de pesos, del fondo de la FAPRACC.</t>
  </si>
  <si>
    <t>Se registró una fuerte granizada que alcanzó un espesor de 10 cm. Derivado de los anterior se reportaron daños en las techumbres de 10 viviendas de material endeble. La Secretaría de Desarrollo Social brindó apoyos compuestos por despensas, cobertores, colchonetas y láminas de cartón.</t>
  </si>
  <si>
    <t>Guachochi</t>
  </si>
  <si>
    <t>Una persona murio al ser impactada por un rayo durante una tormenta eléctrica.</t>
  </si>
  <si>
    <t>Atoyac de Alvarez, Coyuca de Benitez y Benito Juarez</t>
  </si>
  <si>
    <t>Continuan los trabajos de valoracion de daños. 731 viviendas con daños de diversos grados y 2 centros escolares</t>
  </si>
  <si>
    <t>Se han reportado 10 fallecimientos debido a las altas temperaturas. Las muertes han sido avaladas por la SSA del estado que reporta que son consecuencia del llamado "Golpe de calor"</t>
  </si>
  <si>
    <t>Se registró una fuerte granizada en la carretera estatal 46 San Luis de la Paz- San José Iturbide, por lo que se cerró la circulación por aproximadamente 4 horas, ya que el granizo alcanzó un espesor de 15 cm. Sobre la carpeta asfáltica.</t>
  </si>
  <si>
    <t>Chilpancingo, Benito Juárez, Atoyac de Álvarez, Marquelia, Ometepec, San Luis Acatlán e Iliatenco.</t>
  </si>
  <si>
    <t>Se registraron fuertes lluvias en el estado de Guerrerp ocasionando daños en infraestructura educativa, hidráulica, carretera y viviendas. Por tal motivo se emitio la correspondiente declaratoria de desastre y emergencia</t>
  </si>
  <si>
    <t>Concordia</t>
  </si>
  <si>
    <t>Debido a una intensa granizada en el municipio se reportan 140 viviendas dañadas en sus techos.</t>
  </si>
  <si>
    <t>Coeneo y Zacapu</t>
  </si>
  <si>
    <t>Se registraron fuertes granizadas afectando a 1058 productores de maíz, en una superficie de 2288.3 hectáreas. El FAPRACC apoyó com 1.83 millones de pesos</t>
  </si>
  <si>
    <t>Villa de Ramos</t>
  </si>
  <si>
    <t>Se presentó una tormenta eléctrica ocasionando la muerte de una persona por descarga eléctrica.</t>
  </si>
  <si>
    <t>San Felipe</t>
  </si>
  <si>
    <t>Se registró el fallecimiento de una persona al ser impactada por un rayo</t>
  </si>
  <si>
    <t>Tlacotepec de Benito Juárez</t>
  </si>
  <si>
    <t>Se registró una granizada con fuertes vientos provocando afectaciones a 30 viviendas.</t>
  </si>
  <si>
    <t>San Pablo del Monte</t>
  </si>
  <si>
    <t>Se registró la muerte de una persona al ser impactado por un rayo.</t>
  </si>
  <si>
    <t>Se presentaron daños en 17 viviendas en los techos debido a los fuertes vientos</t>
  </si>
  <si>
    <t>Tijuana, Tecate, Rosarito, Ensenada y Mexicali</t>
  </si>
  <si>
    <t>Debido a los fuertes vientos se reportaron varias afectaciones: 20 espectaculares, 13 transformadores, 51 postes, además se registró el deceso de 6 personas.</t>
  </si>
  <si>
    <t>Por las bajas temperaturas se registraron 4 defunciones en el estado</t>
  </si>
  <si>
    <t>Por las bajas temperaturas se registraron 7 defunciones en el estado</t>
  </si>
  <si>
    <t>Por las bajas temperaturas se registraron 39 defunciones en el estado</t>
  </si>
  <si>
    <t>Por las bajas temperaturas se registró 1 defunción en el estado</t>
  </si>
  <si>
    <t>Por las bajas temperaturas se registraron 3 defunciones en el estado</t>
  </si>
  <si>
    <t>Por las bajas temperaturas se registraron 6 defunciones en el estado</t>
  </si>
  <si>
    <t>Por las bajas temperaturas se registró una defunción en el estado</t>
  </si>
  <si>
    <t>Por las bajas temperaturas se registraron 2 defunciones en el estado</t>
  </si>
  <si>
    <t>Por las bajas temperaturas se registraron 8 defunciones en el estado</t>
  </si>
  <si>
    <t>Por las bajas temperaturas se registraron 14 defunciones en el estado</t>
  </si>
  <si>
    <t>Debido a la sequía, fueron afectados 1,057 productores en cultivos de maíz y sorgo</t>
  </si>
  <si>
    <t>Debido a la sequía, fueron afectados 5,074 productores en sus cultivos de maíz, frijol y trigo</t>
  </si>
  <si>
    <t>Debido a la sequía, fueron afectados 2,333 productores en los cultivos de maíz, frijol, avena y trigo</t>
  </si>
  <si>
    <t>Simojovel</t>
  </si>
  <si>
    <t>Se registro un derrumbe en el pareje denominado el Cafetal, afectando a 5 personas. El accidente se produjo al estar cortando una de piedra de 7 a 8 metros de altura, en la cual se encontro ambar, por lo que decidieron excavar aproximadamente 3 metros de profundidad con una inclinación de 10 grados. Los muros en los que se encontraba la piedra eran de arcilla y no soportaron el peso de la piedra y la excavación, por lo cual se registró un derrumbe sepultando a 5 personas que se encontraban laborando en el lugar, de las cuales se rescató a 3 con lesiones y se recuperaron los cuerpos de 2 personas fallecidas.</t>
  </si>
  <si>
    <t>Pueblo Nuevo Solistahuacan</t>
  </si>
  <si>
    <t>Se registró un deslizamiento de ladera en dicho municipio, ocasionando el bloqueo total de la carretera  en una longitud de 100 metros. El deslizamiento afectó alguna infraestructura eléctrica y ocasionó la pérdida de  2 hectáreas de Pino.</t>
  </si>
  <si>
    <t>Moctezuma</t>
  </si>
  <si>
    <t>San Cristobal</t>
  </si>
  <si>
    <t>Se registro un derrumbe en  los trabajos de reconstrucción de la carretera libre Tuxtla- San Cristóbal por tal incidente una persona perdió la vida al quedar sepultada por más de una tonelada y media de tierra.</t>
  </si>
  <si>
    <t>Santa María Chichotla</t>
  </si>
  <si>
    <t>Se registró un deslave en un cerro de dicho municipio, se reportan 11 personas sepultadas por el material.  Se recuperaron los cuerpos y se entregaron a familiasres.</t>
  </si>
  <si>
    <t>Se registró un deslizamiento de laderas en el cerro denominado Las Delicias. Se reportó la muerte de 4 personas, 3 menores de edad y un adulto.</t>
  </si>
  <si>
    <t>Mezquital</t>
  </si>
  <si>
    <t>Se registró un edslizamiento de laderas en el municipio antes mencionado, como resultado del fenómeno 10 personas perdieron la vida, 3 lesionados y 5 viviendas resultaron afectadas en su totalidad</t>
  </si>
  <si>
    <t>Chiconcuautla</t>
  </si>
  <si>
    <t>Se registró un deslizamiento de suelos en dónde tres viviendas resultaron dañadas en su estructura y otras 23 parcialmente afortunadamente no se presentaron daños humanos, sin embargo si fue necesaria la evacuación de 120 personas como medida preventiva.</t>
  </si>
  <si>
    <t>Afectaciones por lluvias y movilización de cuerpos de emergencia. Tramos carreteros dañados. Acapulco: reporta caída de árboles. 222 personas refugiadas. En tierra colorada, se tiene habilitado 1 RT. En Zihuatanejo, se registra un derrumbe en Higueritas, que obstruye paso en carriles. En la región centro, 14 viviendas afectadas. 527 personas evacuadas en la emergencia.</t>
  </si>
  <si>
    <t>Talpa de Allende</t>
  </si>
  <si>
    <t>Se registro un deslizamiento de laderas en la Sierra Occidental del estado, como resultado del mismo 3 personas quedaron sepultadas y perdieron la vida.</t>
  </si>
  <si>
    <t>Se registró un derrumbe el cual sepultó a una persona de 68 años. Afortunadamente ésta no perdió la vida</t>
  </si>
  <si>
    <t xml:space="preserve">Se han presentado por lo menos  14 sismos, el más fuerte de 4.8 grados en la escala de Richter, se han evacuado algunas poblaciones por tal motivo. </t>
  </si>
  <si>
    <t>Abasolo</t>
  </si>
  <si>
    <t>Acambaro</t>
  </si>
  <si>
    <t>Tonalá</t>
  </si>
  <si>
    <t>Múzquiz</t>
  </si>
  <si>
    <t>Chilapa</t>
  </si>
  <si>
    <t>Las Choapas</t>
  </si>
  <si>
    <t>Sayula de Alemán</t>
  </si>
  <si>
    <t>Jalapa</t>
  </si>
  <si>
    <t>Escuinapa</t>
  </si>
  <si>
    <t>Salinas Victoria</t>
  </si>
  <si>
    <t>Torreón</t>
  </si>
  <si>
    <t>Francisco I. Madero</t>
  </si>
  <si>
    <t>Valle de Santiago</t>
  </si>
  <si>
    <t>Quechultenango</t>
  </si>
  <si>
    <t>Arriaga</t>
  </si>
  <si>
    <t>Armeria</t>
  </si>
  <si>
    <t>Nacozari</t>
  </si>
  <si>
    <t>Cerritos</t>
  </si>
  <si>
    <t>Jojutla</t>
  </si>
  <si>
    <t>Colón</t>
  </si>
  <si>
    <t>Yuriria</t>
  </si>
  <si>
    <t>Tepic</t>
  </si>
  <si>
    <t>Ocoyoacac</t>
  </si>
  <si>
    <t>Calpulalpan</t>
  </si>
  <si>
    <t>Tamazula de Gordiano</t>
  </si>
  <si>
    <t>Xochitepec</t>
  </si>
  <si>
    <t>Acultzingo</t>
  </si>
  <si>
    <t>Xicotepec</t>
  </si>
  <si>
    <t>Ocosingo</t>
  </si>
  <si>
    <t>San Felipe del Progreso</t>
  </si>
  <si>
    <t>Coscomatepec</t>
  </si>
  <si>
    <t>Santiago Comotlán</t>
  </si>
  <si>
    <t>Se registro una tormenta con fuertes vientos en la comunidad de Santiago Yogoveo en el municipio mencionado anteriormente, como resultado se vieron afectadas totalmente 20 viviendas de material endeble, las autoridades de Protección Civil apoyaron con 150 colchonetas y 300 pacas de láminas de cartón.</t>
  </si>
  <si>
    <t>Veracruz y Medellin</t>
  </si>
  <si>
    <t>Se registró una fuerte lluvia con fuertes vientos que ocasionó la caída de varios árboles, anuncios espectaculares y algunos cables de energía eléctrica. Así mismo, se reportaron daños a 4 viviendas y 2 personas lesionadas.</t>
  </si>
  <si>
    <t>Centro, Teapa, Tacotalpa y Tabasco</t>
  </si>
  <si>
    <t>Se registró una fuerte lluvia afectando un total de 169 viviendas, se activaron 2 refugios temporales y se brindo el apoyo correspondiente a las familias afectadas.</t>
  </si>
  <si>
    <t>Juárez, Pichucalco y Palenque</t>
  </si>
  <si>
    <t>Debido a las fuertes lluvias registradas se presentaron afectaciones en 29 viviendas con daño menor.  Se reporto el incremento en el cause de varios ríos.</t>
  </si>
  <si>
    <t>Centro</t>
  </si>
  <si>
    <t>Se registraron lluvias continuas, lo cual provocaron Inundaciones significativas en la localidades de Buena Vista Hernandez y Hernandez Sergio Maiz, afectando a 654 productores de Maiz en 1 339 Hectareas y a 992 productores  a los cuales se les dio un apoyo a 36 224 Jornales, del FAPRACC a los primeros se les asignmo un total de $ 1 071 200 y a los segundos $ 1 630 080, lo cual nos da un total de $ 2 701 280. Sin embargo se calculó el monto real de la pérdida de acuerdo información de los anuarios agricolas.}</t>
  </si>
  <si>
    <t>Municipios del Valle de Oaxaca</t>
  </si>
  <si>
    <t>Se registraron fuertes lluvias acompañadas de fuertes vientos, ocasionando daños en  2 viviendas, aunque el fenómeno ocasionó algunos encharcamientos en los municipios del valle.</t>
  </si>
  <si>
    <t>Apan, Almoloya y Tepeapulco</t>
  </si>
  <si>
    <t xml:space="preserve">Se registró una fuerte lluvia con granizo, afectando a 30 viviendas en sus techos en el municipio de Apan, y otras 15 con pérdida total en el de Tepeapulco así como el auditorio ejidal de dicho municipio. Así mismo, se registraron varias hectáreas siniestradas en el municipio de Almoloya. En total se reportaron 180 personas afectadas. </t>
  </si>
  <si>
    <t>Holpelchen</t>
  </si>
  <si>
    <t>Se registro una intensa lluvia con ligera presencia de granizo que afectó las techumbres de 21 viviendas. No se presentaron daños humanos.</t>
  </si>
  <si>
    <t>Alpatlahuac, Calcahualco, La Perla, Los Reyes, Rafael Delgado, Atlahuilco, Texhuacan, Soledad Atzompa, Zongolica y Tequila.</t>
  </si>
  <si>
    <t>Debido a las fuertes lluvias presentadas, se reportan daños en los techos de 4,572 viviendas, así mismo se reportaron afectaciones en 9 escuelas. En total fueron 78 las comunidades afectadas. Y 100 hectáreas de cultivos (Maíz en su mayoría).</t>
  </si>
  <si>
    <t>Ciudad Serdán y Cañada de Morelos</t>
  </si>
  <si>
    <t>Debido a las fuertes lluvias acompañadas de granizo se presentaron daños en los techos de 46 viviendas, siendo el municipio más afectado Ciudad Serdán. No se reportaron daños humanos.</t>
  </si>
  <si>
    <t>Jilotepec</t>
  </si>
  <si>
    <t>Se registró una fuerte lluvia que causó afectaciones en los techos de 17 viviendas, los damnificados fueron apoyados con despensas, cobijas, colchonetas y láminas de cartón.</t>
  </si>
  <si>
    <t>Se registraron fuertes lluvias en dicho municipio afectando 20 viviendas con daño menor de colonias cercanas al Río Coatán.  Se realizó la evacuación de 8 familias.</t>
  </si>
  <si>
    <t>Coyutla, Papantla, Tezonapa, Fortín, Zongolica y Cacahualco</t>
  </si>
  <si>
    <t>Se registró una fuerte lluvia acompañada de fuertes vientos y granizo, por tal motivo se presentaron afectaciones menores en 1,817 viviendas, 75 personas se encuentran refugiadas, así mismo se registraron 4 postes caídos, un transformador, una tubería hidráulica rota, desprendimiento del domo central del palacio municipal de Fortín y 200 has. de cultivo afectadas (Maíz en su mayoría).</t>
  </si>
  <si>
    <t>Frontera Hidalgo</t>
  </si>
  <si>
    <t>Se registraron afectaciones a 9 viviendas debido a las intensas lluvias registradas. Los daños fueron menores con ligeros encharcamientos.</t>
  </si>
  <si>
    <t>Se registraron fuertes lluvias acompañadas de tormenta eléctrica. Un rayo impactó a una vivienda de material endeble y ocasionó la muerte de un adulto y dos menores de edad.</t>
  </si>
  <si>
    <t>Contla</t>
  </si>
  <si>
    <t>Se registraron fuertes lluvias acompañadas de granizo, por lo que resultaron dañadas parcialmente 14 viviendas y 70 personas resultaron afectadas</t>
  </si>
  <si>
    <t>Se registraron fuertes lluvias con granizo ocasionando lesiones leves a 3 personas</t>
  </si>
  <si>
    <t>Se reportó el desplome de una vivienda de material endeble la familia afectada fue trasladada a un refugio temporal y se le brindó apoyo con material para reconstruir su vivienda.</t>
  </si>
  <si>
    <t>Se registraron fuertes lluvias, una persona  perdió la vida al ser impactada por un rayo.</t>
  </si>
  <si>
    <t>Debido a la intensa lluvia  se registraron daños en 13 viviendas, así como el fallecimiento de una persona por impacto de rayo. A las personas afectadas se les apoyo con cobertores, colchonetas y láminas de cartón.</t>
  </si>
  <si>
    <t>Axtla de Terrazas, Río Verde, Tamazunchale, Huehuetlan, Huichihuayan y Aquismón</t>
  </si>
  <si>
    <t>Debido a las fuertes lluvias registradas se presentaron daños en 233 viviendas, 10 de estas presentaron daño total y el resto daño parcial.  Así mismo, se presentaron daños en 1 jardín de niños. Se apoyo a la población damnificada con cobertores, colchonetas, láminas de cartón y despensas.</t>
  </si>
  <si>
    <t>Chapulhuacan, Pisaflores, Lolotla, Agua Blanca, Tlanchinol, Jacala, Molango y Calnali.</t>
  </si>
  <si>
    <t>Debido a las fuertes lluvias en los municipios mencioandos se presentaron daños en 116 viviendas, 2 iglesias y una biblioteca. Se apoyo a la población con despensas, láminas de cartón y colchonetas.  Los daños en las viviendas fueron parciales.</t>
  </si>
  <si>
    <t>Se registraron fuertes lluvias en varios municipios del estado causando daños menores a 3439viviendas y 600 hectáreas afectadas de plátano y 10 de maíz. Así mismo se reportan daños en 10 escuelas y 2 negocios.</t>
  </si>
  <si>
    <t>Centro Cárdenas y Cunduacan</t>
  </si>
  <si>
    <t>Debido a las fuertes lluvias se presentaron las siguientes afectaciones: En el municipio de Cáredenas una embarcación menor se hundió en la laguna del carmén causando la muerte a 5 personas, así mismo 1 persona más falleció al caerle una barda encima. En el municipio de Centro se reporto la muerte de 2 personas y 3 más lesionadas al caer un árbol sobre el vehículo que manejaban. Por último en el muncipio de Cunduacan se reportaron daños en 300 viviendas, en su mayoría parciales y 3 personas lesionadas. Se apoyó a las familias afectadas con 500 láminas de zonc, 50 colchonetas y 50 cobertores</t>
  </si>
  <si>
    <t>Se reportaron fuertes lluvias en la ciudad ocasionado daños mneores a 10 viviendas del estado</t>
  </si>
  <si>
    <t>Debido a las fuertes lluvias registradas se presentó el colapso de un puente provisional, la corriente del arroyo Filapa socavó los costados del mismo. Hay otro camino por el cual accesar a la localidad, por lo que no quedó aislada.</t>
  </si>
  <si>
    <t>Villacomaltitlán</t>
  </si>
  <si>
    <t>A consecuencia de las fuertes lluvias registradas en el municipio el río Vado Ancho incremento su nivel, dañando un muro de contención (bordo) a la altura de la ranchería del mismo nombre, así mismo se registraron daños parciales en la estructura de un puente.</t>
  </si>
  <si>
    <t>Debido a las fuertes lluvias registradas se presnetaron afectaciones en 4 viviendas por penetración de agua.</t>
  </si>
  <si>
    <t>Tenango de Rodríguez</t>
  </si>
  <si>
    <t>Se registró una fuerte lluvia acompañada de granizo Se reportan afectaciones parciales, principalmente en los techos de 89 viviendas, así mismo se evacuó a 198 personas asentadas en lugares de riesgo.</t>
  </si>
  <si>
    <t>Fortín y San Andrés Tuxtla</t>
  </si>
  <si>
    <t>Se reportaron daños menores en 19 viviendas debido a las fuertes lluvias registradas.</t>
  </si>
  <si>
    <t>Se reportaron daños en las techumbres de 50 viviendas de material endeble ocasionados por las fuertes lluvias registradas en el municipio antes mencionado. Se apoyó a los afectados con despensas y láminas de cartón.</t>
  </si>
  <si>
    <t>Coyuca de Benítez, Metlatonoc, Malinaltepec, Zapotitlán, Chochoapa el Grande, Acatepec y Iliatenco</t>
  </si>
  <si>
    <t>Debido a las fuertes lluvias ocasioanadas por los remanentes del ciclón tropical "John" se presentaron afectaciones el el sector agrícola, específicamente se vieron afectados 3.316 productores de maíz. 3.453 hectáreas afectadas.</t>
  </si>
  <si>
    <t>Huixtla</t>
  </si>
  <si>
    <t>Debido a las fuertes lluvias registradas en el municipio, junto con los escurrimientos de las partes altas que ocasionaron que el río Huixtla se saliera de su cause se vió afectado un dique, la estructura de un puente y daños menores en 31 viviendas.</t>
  </si>
  <si>
    <t>Se presentó una fuerte lluvia acompañada de granizo, la cual afectó a un total de 15 viviendas de material endeble en sus techos.  Se habilitó un refugio temporal en donde pasaron la noche 75 personas, así mismo, se apoyó a la población afectada con despensas, láminas de cartón y cobertores.</t>
  </si>
  <si>
    <t>Se registraron fuertes lluvias acompañadas de fuertes vientos.  Un total de 653 viviendas sufrieron daños y se reportaron 5 personas lesionadas. Se apoyo a la población damnificada con 900 láminas, 394 despensas, y ropa.</t>
  </si>
  <si>
    <t>Guadalajara, Puerto Vallarta, Tlaquepaque y Zapopan</t>
  </si>
  <si>
    <t>Debido a las fuertes lluvias presentadas en los municipios mencionados se reportaron 50 viviendas afectadas parcialmente.</t>
  </si>
  <si>
    <t>Tatahuicapan</t>
  </si>
  <si>
    <t>Se registraron afectaciones en 430 viviendas por penetración de agua, lo anterior debido a las fuertes lluvias registradas que originaron el desbordamiento de un arroyo.</t>
  </si>
  <si>
    <t>Se registraron fuertes lluvias las cuales afectaron un total de 140 viviendas en sus techos. Se apoyo a la población afectada con láminas de cartón.</t>
  </si>
  <si>
    <t xml:space="preserve">Se registraron afectaciones en 10891 viviendas de diversos municipios debido a las fuertes lluvias registradas en el estado. Daños a 5 puentes. Se instalaron varios refugios temporales brindando el apoyo correspondiente. </t>
  </si>
  <si>
    <t>Nopalucan, Coronango, Cuautlancingo e Izucar de Matamoros</t>
  </si>
  <si>
    <t>Se registro una lluvia fuerte con granizo afectando un total de 1,025 viviendas, el municipio más afectado fue el de Izucar de Matamoros.</t>
  </si>
  <si>
    <t>Almoloya de Alquisiras</t>
  </si>
  <si>
    <t>Debido a las fuertes lluvias registradas se reportaron daños en 200 viviendas por penetración de agua, afectando enseres domésticos y 30 vehículos.  Se brindó apoyo a la población afectada con 1,248 cobertores, 1,248 colchonetas, 324 despensas y 2,480 láminas de cartón, beneficiando a un total de 2.040 personas.</t>
  </si>
  <si>
    <t>Zitlalpétl</t>
  </si>
  <si>
    <t>Se registraron fuertes lluvias acompañadas de granizo, lo que ocasionó daños a 25 viviendas. Se apoyó a las personas afectadas con láminas de cartón, cobjias y colchonetas.</t>
  </si>
  <si>
    <t>Se registró una ruptura en los bordos del río Ameca ocasionando afectaciones a 2 hectáreas de cultivo (Maíz). Se colocaron costaleras en 20 metros lineales para evitar que se siguiera vertiendo el agua.</t>
  </si>
  <si>
    <t>Malinaltepec</t>
  </si>
  <si>
    <t xml:space="preserve">Debido a la tormenta se presentaron daños en las localidades de Tierra Colorada: fallecimiento de una menor de 6 años (sexo femenino) cuando se suscito un derrumbe sobre 1 vivienda de adobe y lamina galvanizada en la Col. “El Jardin Cafetal” . En Tilapa: 1 deslave afectando 5 viviendas con daños total, 30 viviendas con daños parciales y 2 viviendas en Tierra Colorada, asi como 6 vehiculos. En El Mango: arrastre de 1 vehiculo tipo Tsuru con 3 personas abordo mismas que se encuentran desaparecidas, al tratar de cruzar el “Rio Grande”. Aprox. 1500 has. de Maiz, Platano, Naranja y Cafe afectadas. Se registraron diversos derrumbes a lo largo de 10 km de longitud que bloqueando la Carr. Estatal Tlapa-Marquelia entre las localidades de Tilapa y Tierra Colorada, impidiendo el acceso a las comunidades afectadas. Se entrego 80 laminas de fibrocementos, 20 colchonetas, 20 cobertores y 20 kits de limpieza. </t>
  </si>
  <si>
    <t>San Pedro</t>
  </si>
  <si>
    <t>Se registraron fuertes lluvias, lo que ocasionó enchanrcamientos en algunas calles. Se reportó el arrastre de 5 menores de edad por la corriente del arroyo seco. 3 de los menores lograron salir ilesos, uno más fue encontrado herido y otro falleció.</t>
  </si>
  <si>
    <t xml:space="preserve">Ciudad Juárez </t>
  </si>
  <si>
    <t xml:space="preserve">Se presentó una fuerte lluvia que afectó al municipio, se presentaron daños en 2704 viviendas, se habilitaron refugios temporales. Se reportan 4 personas fallecidas,  se han recuperado los cuerpos de un menor de edad, una mujer y un hombre. </t>
  </si>
  <si>
    <t>Apodaca</t>
  </si>
  <si>
    <t>Se registró el arrastre de una persona en el canal pluvial conocido como arroyo conductores. La persona fue encontrada muerta.</t>
  </si>
  <si>
    <t>Se registró una fuerte lluvia en la zona metropolitana de la entidad, lo que ocasionó que se desbordara el Arroyo "Seco" la fuerza de la corriente arrastró a una persona de 46 años. Así mismo, se reportan daños menores y de menaje en 123 viviendas.</t>
  </si>
  <si>
    <t>Pajapán, Mecayápan, san Andrés Tuxtla, Playa Vicente, Isla, José Azueta, Ángel R. Cabada, Tlacojalpan, Tlacotalpan, Carlos A Carrillo, Chacaltianguis, Alvarado, Veracruz y Boca del Río</t>
  </si>
  <si>
    <t>Se registraron fuertes lluvias en gran parte del estado, se reportan 2 personas heridas y un muerto</t>
  </si>
  <si>
    <t>Se registró el fallecimiento de un elemento de la policía al intentar cruzar un arroyo en una unidad, la cual fue arrastrada con la persona abordo.</t>
  </si>
  <si>
    <t>Debido a las fuertes lluvias se registro la muerte de un menor de edad al ser arrastrado por la corriente de un cauce.</t>
  </si>
  <si>
    <t>Huasabas</t>
  </si>
  <si>
    <t xml:space="preserve">Se registró una fuerte lluvia ocasionando daños a los techos de 9 viviendas. </t>
  </si>
  <si>
    <t>Cacahuatán y Tuxtla Chico</t>
  </si>
  <si>
    <t>Debido a la fuerte lluvia registrada se presentaron afectaciones en 36 viviendas del municipio de Cacahuatán, 4 con daño total y el resto con afectaciones en los techos. En el municipio de Tuxtla Chico se registró la caída de varios árboles, afectando el servicio de energía eléctrica por algunas horas.</t>
  </si>
  <si>
    <t>Se registró una fuerte lluvia ocasionando daños en 23 viviendas por penetración de agua y daños en los techos, el tirante del agua alcanzó los 60 cm, por lo que causó daños al menaje de las familias.  De igual forma, se presentó la caída de varios árboles, afectando algunos cables de energía eléctrica, por lo que el servicio se vió suspendido unas horas.</t>
  </si>
  <si>
    <t>Se registró una fuerte lluvia en el municipio afectando a 10 colonias con encharcamiento leves. No se reportaron daños mayores.</t>
  </si>
  <si>
    <t>Se registraron lluvias de 25 milímetros aproximadamente, acompañadas de fuertes vientos y granizo, como resultado de lo anterior se reportaron daños en los techos de 13 viviendas. Se apoyó a las familias afectadas con láminas de cartón, cobijas y despensas.</t>
  </si>
  <si>
    <t>Bochil y Jitotol</t>
  </si>
  <si>
    <t xml:space="preserve">Debido a las fuertes lluvias registradas, se reportaron afectaciones en 12 viviendas del municipio de Bochil, los daños fueron menores y hubo afectación a enseres domésticos. Por otro lado, 2 personas perdieron la vida al intentar cruzar un vado, siendo arrastrados por la corriente. Dos personas fueron rescatadas, sin embargo 2 perdieron la vida. </t>
  </si>
  <si>
    <t>Zapopan, Guadalajara, Tlaquepaque, Tlajomulco y Tonalá</t>
  </si>
  <si>
    <t>Debido a las fuertes lluvias se presentaron afectaciones en 91 viviendas  y se registro la muerte de una persona que prusumiblemente fue arrastrada por la corriente.</t>
  </si>
  <si>
    <t>Veracruz, Boca del Río, Carlos A. Carrillo y Tatahuicapan</t>
  </si>
  <si>
    <t>Debido al paso de la onda tropical número 17 se reportan 119 viviendas afectadas, 3 puentes y 2 vados. Se instalaron 7 refugios temporales en donde se atendió a 280 personas aproximadamente. Las población afectada se estimó en 1350 personas.</t>
  </si>
  <si>
    <t>Se presentó una fuerte lluvia en dicho municipio, causando afectaciones en 42 viviendas, 12 con daño total y 30 de manera parcial. Se brindó el apoyo correspondiente a la población afectada.</t>
  </si>
  <si>
    <t>Onda cálida ocurrida a partir del día 28 de mayo</t>
  </si>
  <si>
    <t>Margaritas y Reforma</t>
  </si>
  <si>
    <t xml:space="preserve">Debido a las fuertes lluvias se presentaron afectaciones en 4 viviendas del municipio de Reforma y 16 más en el municipio de las Margaritas con tirantes de 50 cm. Por lo que aparte del daño menor se presentaron afectaciones al menaje de las familias afectadas. Se habilitaron 2 refugios temporales en donde se apoyó a 100 personas con la ayuda correspondiente. </t>
  </si>
  <si>
    <t>Totolapan</t>
  </si>
  <si>
    <t>Se registró una fuerte lluvia en la entidad, lo que ocasionó que el arroyo denominado "Barranquilla" se desbordara, causando afectaciones qa 50 viviendas de la colonia Centro. La penetración del agua en las viviendas superó el metro de altura, ocasionando daños al menaje de las familias afectadas.</t>
  </si>
  <si>
    <t>Los Cabos</t>
  </si>
  <si>
    <t>Se registraron fuertes lluvias a consecuencia de la Tormenta Tropical "Emilia", se presentaron algunas afectaciones ligeras en viviendas, se instalaron 2 refugios temporales en donde se atendió a 200 personas.</t>
  </si>
  <si>
    <t>Debido a las fuertes lluvias se derrumbó una barda y cayó sobre 5 personas, causando la muerte de 2 y lesiones a las otras 3 personas.</t>
  </si>
  <si>
    <t>Se registraron fuertes lluvias que ocasionaron la creciente de un arroyo el cual arrastró un vehículo que intentó cruzarlo. Los dos tripulantes perdieron la vida.</t>
  </si>
  <si>
    <t>Praxedis</t>
  </si>
  <si>
    <t>Se registró una fuerte lluvia en el municipio, por este motivo, 30 viviendas sufrieron afectaciones, 20 de manera parcial y 10 con daños menores. De igual forma se reportan daño en la barda perimetral de una escuela con una longitud de 50 metros.</t>
  </si>
  <si>
    <t>Guasave</t>
  </si>
  <si>
    <t>Debido a las fuertes lluvias registradas en la entidad 29 viviendas sufrieron daños menores por penetración de agua con un tirante de hasta 1 metro, se reportan afectaciones al menaje de las familias. Fue necesario implementar un refugio temporal. Se apoyó a la población con colchonetas y cobertores.</t>
  </si>
  <si>
    <t>Tecpan de Galeana, Petatlan y 
Zihuatanejo de Azueta</t>
  </si>
  <si>
    <t>La presencia de vientos fuertes los dias 20 y 21 de julio. Se apoyo a la poblacion con 6167 despensas, 17000 laminas tipo B, 14600 cobertores B, 14600 colchonetas, 10 rollos de hule, 5000 costales, 6167 kits de limpieza, 6167 kits de aseo personal y medicamentos.</t>
  </si>
  <si>
    <t>Tepechitlán</t>
  </si>
  <si>
    <t>Se reportó el fallecimiento de una persona de la tercera edad al ser arrastrado por la creciente de un arroyo.</t>
  </si>
  <si>
    <t>Tlaxcala y Acuitlapilco</t>
  </si>
  <si>
    <t>Debido a las fuertes lluvias en dichos municipios se reportaron afectaciones en 5 viviendas, una gasolinera y una tienda.</t>
  </si>
  <si>
    <t>Debido a las fuertes lluvias se reportaron  30 casas afectradas con daños menores</t>
  </si>
  <si>
    <t>Ignacio Zaragoza</t>
  </si>
  <si>
    <t>Se reportó la muerte de una persona al ser arrastrado por la corriente producto de las lluvias que se presentaron en dicho municipio</t>
  </si>
  <si>
    <t>Toluca, Otzolotepec, Nocolás Romero, Xonacatlán, Temoaya, Ocoyoacac, Tenancingo, Jiquipilco, San Mateo Atenco, Ixtlahuaca</t>
  </si>
  <si>
    <t>Debido a las fuertes lluvas registradas en el estado se presentaron afectaciones en 546 viviendas. Se apoyó a la población afectada con 1,142 cobertores, 1,535 despensas, 260 fardos de lámina, 1,284 colchonetas y 312 botellas de agua potable</t>
  </si>
  <si>
    <t>Zapopan y Tlaquepaque</t>
  </si>
  <si>
    <t>Se reportaron fuertes lluvias en los municipios mencionados, se reportan 13 viviendas afectadas.</t>
  </si>
  <si>
    <t>Debido a las fuertes lluvias se registró el fallecimiento de 2 personas  que fueron arrastradas por la corriente de un río crecido</t>
  </si>
  <si>
    <t>Huejotzingo</t>
  </si>
  <si>
    <t>Debido a las fuertes lluvias registradas en el municipio antes mencionado se presnetaron daños en 10 viviendas.</t>
  </si>
  <si>
    <t>Parras de la Fuente</t>
  </si>
  <si>
    <t>Se registraron fuertes lluvias en el municipio antes mencionado, se reportan daños menores en 500 viviendas y la muerte de una persona adulta que fue arrastrada por la corriente.</t>
  </si>
  <si>
    <t>Se registró el fallecimiento de una persona al nadar en el mar  que tenia oleaje fuerte a consecuencia del huracán Ileana.</t>
  </si>
  <si>
    <t xml:space="preserve">Chignahupan, San Nicolás Buenos Aires, Tlatlauquitepec, Zautla, </t>
  </si>
  <si>
    <t>Se registraron fuertes lluvias que afectaron a productores de maíz y frijol. Fueron 3,691 los productores afectados, y la superficie afectada fue de 7,671.73 hectáreas.</t>
  </si>
  <si>
    <t xml:space="preserve">Se registró una fuerte lluvia ocasionando daños menores en 77 viviendas de la colonia Mariano Abasolo </t>
  </si>
  <si>
    <t>Se reportó el fallecimiento de un menor al ser arrastrado por la corriente de un arroyo crecido a causa de las fuertes lluvias.</t>
  </si>
  <si>
    <t>Se reporta el fallecimiento de un miembro de la policía y la desaparación de otro al ser arrastrados por una crecida en la corriente del canal</t>
  </si>
  <si>
    <t>Debido a los remanentes del Huracán John se presentaron fuertes lluvias en el municipio antes mencionado, sólo se reportan dos viviendas con daños menores.</t>
  </si>
  <si>
    <t>Malinaltepec, Copanatoyac, Metlatonoc, 
Alcozauca de Guerrero, Tlacoapa, Jose Joaquin de Herrera, Chilapa de Alvarez y San Luis Acatlan</t>
  </si>
  <si>
    <t>Granizada severa  ocurrida los dias 20, 23 y 25 de julio. Se otorgaron apoyos a la poblacion 4303 despensas, 22500 laminas tipo B, 12213 cobertores B, 12213 colchonetas, 10 rollos de hule, 10000 costales, 4303 kits de limpieza, 4303 kits de aseo personal y medicamentos.</t>
  </si>
  <si>
    <t>Comondú, La Paz, Loreto, Mulege y Los Cabos</t>
  </si>
  <si>
    <t>Se registraron varios daños a consecuencia del Huracán "John". Se realizó una evaluación a detalle por parte del CENAPRED que cuantificó los daños en cerca de 1000 millones de pesos.</t>
  </si>
  <si>
    <t>Guerrero, Temosachi y Matachi</t>
  </si>
  <si>
    <t>Se presentaron lluvias torrenciales en el estado afectando a productores de maíz. En total fueron 1054 los productores afectados</t>
  </si>
  <si>
    <t>Tlaltizapan, Cuernavaca, Cuautla, Tepozotlán y Yautepec</t>
  </si>
  <si>
    <t>Se registraron fuertes lluvas en el estado causando daños  a 80 viviendas, 20 con daños parciales y el resto menores</t>
  </si>
  <si>
    <t>Ruíz</t>
  </si>
  <si>
    <t>Se presentaron fuertes lluvias en el municipio ocasionando el colapso del techo de una vivienda. A consecuencia de los hechos una mujer de 80 años perdió la vida.</t>
  </si>
  <si>
    <t xml:space="preserve">Se registraron fuertes lluvias en el municipio de Ecatepec, por tal motivo se vieron afectadas 94 viviendas </t>
  </si>
  <si>
    <t>Se presento un fuerte lluvia lo que ocasionó que se desbordara el río Guanajuato . Como resultado del fenómeno una persona perdió la vida.</t>
  </si>
  <si>
    <t>Debido a las fuertes lluvias registradas en el municipio de Monterrey se reportó el arrastre de un vehículo en el que viajaban 4 personas. Los cuerpos fueron entregados a sus familiares, las 4 personas fallecieron.</t>
  </si>
  <si>
    <t>Simón Bolivar</t>
  </si>
  <si>
    <t>Se registraron fuertes lluvias en el municipio antes mencionado, como resultado  20 viviendas se vieron afectadas.  Así mismo se reportó una persona muerta.</t>
  </si>
  <si>
    <t>Tierra Blanca y Xichu</t>
  </si>
  <si>
    <t>Debido a las fuertes lluvias se presnetaron afectaciones menores en 5 viviendas</t>
  </si>
  <si>
    <t>Alfajayucan</t>
  </si>
  <si>
    <t>Se registraron fuertes lluvias en dicho municipio lo que provocó que se desbordara el arroyo denominado "Del Centro" ocasionado daños a 7 vehículos y varias viviendas. 2 se reubicaran.</t>
  </si>
  <si>
    <t>Armería, Colima, Comala, Coquimatlán, Cuauhtémoc, Ixtlahuacan, Manzanillo, Minatitlán, Tecomán, y Villa de Álvarez</t>
  </si>
  <si>
    <t>Debido a los efectos del huracán "Lane" en el estado se presentaron afectaciones en diferentes sectores de la población, por lo que el CENAPRED organizó una misión de evaluación para evaluar el impacto. La población afectada directamente fue de 210 personas, sin embargo miles de personas fueron afectadas indirectamente al verse afectada severamente la infraestructura carretera.</t>
  </si>
  <si>
    <t>Acaponeta y San Pedro</t>
  </si>
  <si>
    <t>A consecuencia de las lluvias provocadas por el huracán "Lane" se evacuó a 97 personas como medida preventiva.</t>
  </si>
  <si>
    <t>Concordia, Cosalá, Culiacán, Escuinapa, Elota, Mazatlán, Rosario, San Ignacio, Salvador Alvarado y Navolato</t>
  </si>
  <si>
    <t>Debido a l impacto del huracán "Lane" en el estado el CENAPRED realizó una misión de evaluación. Los daños fueron diversos y sin duda este fenómeno fue el de mayor impacto en el 2006. La población afectada se obtuvo de la estimación del Comité de Evaluación de Daños</t>
  </si>
  <si>
    <t>Autlán de Navarro, Casimiro Castillo, Cihuatlán, Cuutitlán de García Barragán, La Huerta, Villa Purificación, Cabo Corrientes, Puerto Vallarta, Tomatlán, Mascota, Talpa de Allende y San Sebastián del Oeste</t>
  </si>
  <si>
    <t>Debido a os efectos del huracán "Lane" se presentaron afectaciones en varios municipios del estado, por lo que se rastreo información de diferentes medios para poder estimar el monto de daños ocasionadoso porel fenómeno.</t>
  </si>
  <si>
    <t>Guanacevi</t>
  </si>
  <si>
    <t>Se registró el fallecimiento de una persona al intentar cruzar un arroyo a caballo que fue arrastrado debido a las fuertes lluvias que dejo el huracán "Lane"</t>
  </si>
  <si>
    <t>Villa de Arriaga, Villa de Reyes, San Luis Potosí, y Soledad de Graciano Sánchez</t>
  </si>
  <si>
    <t>Se registraron fuertes lluvias en varios municipios del estado, se reporta una persona fallecida y tres heridas</t>
  </si>
  <si>
    <t>Reynosa y Río Bravo</t>
  </si>
  <si>
    <t>Se registraron fuertes lluvias en los municipios mencionados, se declararon como zona de desastre ambos municipios, por lo que el CENAPRED organizó una misión de evaluación para cuantificar los daños ocasionados por el fenómeno. La población afectada se obtuvo de información proporcionada por los municipios</t>
  </si>
  <si>
    <t>Otaez</t>
  </si>
  <si>
    <t>Se registraron fuertes lluvias en el municipio antes mencionado ocasionando un desgajamiento de cerro, debido a lo anterior 6 personas perdieron la vida y 2 más resultaron lesionadas, así mismo 2 viviendas resultaron con daño total</t>
  </si>
  <si>
    <t>Guanajuato, León y San Diego de la Unión</t>
  </si>
  <si>
    <t>Se registraron fuertes lluvias en los municipios antes mencionados viendose afectadas 16 viviendas con daños menores</t>
  </si>
  <si>
    <t>Debido a las fuertes lluvas registradas en varios municipios del estado se presentaron daños menores en 47 viviendas , la muerte de una persona y otra más se encuentra desaparecida.</t>
  </si>
  <si>
    <t>Se reportan daños en 7,104 viviendas a consecuencia de las intensas lluvias así mismo se reportan 5 personas fallecidas</t>
  </si>
  <si>
    <t>Apaseo el Grande, Salamanca y Salvatierra</t>
  </si>
  <si>
    <t xml:space="preserve">Debido a las fuertes lluvias 5 viviendas fueron afectadas y sufrieron anegaciones. </t>
  </si>
  <si>
    <t>Magdalena Contreras y Tlalpan</t>
  </si>
  <si>
    <t>Debido a las fuertes lluvias registradas en la capital  se evacuó a 8 familias por encontrarse en zona de riesgo.</t>
  </si>
  <si>
    <t>Palenque y Chapultenango</t>
  </si>
  <si>
    <t>Debido a las fuertes lluvias registradas  se reportaron 5 viviendas con daño parcial, así mismo se registraron cortes carreteros por desgajamiento de cerros, dejando incomunicadas varias localidades por espacio de 15 horas aproximadamente.</t>
  </si>
  <si>
    <t>Centro, Jalapa, Macuspana y Teapa</t>
  </si>
  <si>
    <t>Debido a las fuertes lluvias se registraron daños en 1845 viviendas, siendo el municipio de Centro el más afectado. Así mismo, se instalaron varios refugios temporales en donde se brindó apoyo a la población afectada</t>
  </si>
  <si>
    <t>Aguascalientes y Asientos</t>
  </si>
  <si>
    <t>Se registraron fuertes lluvias en el estado afectando varias colonias del municipio.  Se habilito un refugio temporal en donde se atendió a 22 personas. En total se reportaron 158 viviendas afectadas con daños menores.</t>
  </si>
  <si>
    <t>Chenalho y San Cristobal de las Casas</t>
  </si>
  <si>
    <t xml:space="preserve">Se registró una intensa lluvia en los municipios mencioandos, se reportó el fallecimiento de 9 personas y 3 más se reportaron con lesiones al desgajarse un cerro y sepultar a las personas. </t>
  </si>
  <si>
    <t>Se reportaron aproximadamente 15 colonias con inundaciones debido a las fuertes lluvias registradas en el municipio de Tijuana. Se reportan 5 viviendas con daño menor. Se reporta la muerte de una persona que trabajaba en una zanja al momento de que ocurrió el fenómeno.</t>
  </si>
  <si>
    <t>Jalcomulco, Pánuco, Coyutla, Álamo, Xico y Tuxpan</t>
  </si>
  <si>
    <t>Las fuertes lluvias han ocasionado severos daños en los municipios antes mencionados. Se reportan 2 personas muertas y 2526 viviendas afectadas</t>
  </si>
  <si>
    <t>Santiago Maravatío, Valle de santiago e Irapuato</t>
  </si>
  <si>
    <t>Se reportaron inundaciones en 6 viviendas los daños fueron menores</t>
  </si>
  <si>
    <t>Tonila, Tamazula, Quitupan y Atoyac</t>
  </si>
  <si>
    <t>Se registraron fuertes lluvias ocasionadas por la depresión tropical "Norman" ocasionando afectaciones en 18 viviendas</t>
  </si>
  <si>
    <t>Loreto y Villa García</t>
  </si>
  <si>
    <t>Se reportaron afectaciones menores en 26 viviendas debido a las fuertes lluvias y a que estas se encuentran dentro del cauce natural del río.</t>
  </si>
  <si>
    <t>Francisco Z Mena y Pantepec</t>
  </si>
  <si>
    <t>Debido a las fuertes lluvias se presnetaron daños menores en 218 viviendas, siendo el municipio de Francisco Z Mena el más afectado con 200 viviendas</t>
  </si>
  <si>
    <t>Se registraron fuertes lluvias afectando un total de 1,153 viviendas y 2 escuelas</t>
  </si>
  <si>
    <t>Malinaltepec, Iliatenco, San Marcos, Chilpancingo de los Bravo, Eduardo Neri, Tetipac, La Unión de Isidoro Montes de Oca, Ometepec, Igualapa, Florencio Villareal, Atlixtac, Acapulco de Juárez, Técpan de Galeana, Cuajinicuilapa, Juan R. Escudero, Copalillo y Acatepec</t>
  </si>
  <si>
    <t xml:space="preserve">Afectaciones:
Municipios afectados: 17
Personas fallecidas: 6 (3 por arrastre en Malinaltepec, 2 por derrumbe sobre vivienda en Iliatenco y 1 por arrastre en San Marcos) 
Personas rescatadas: 7
Personas refugiadas: 20
Refugio temporal activo: 1 
Viviendas afectadas: 149 (88 inundación, 3 colapso y 58 derrumbes)
Caída de bardas en escuelas: 2
Derrumbes carreteros: 9
Desbordamientos de ríos/arroyos: 2
Daños en estructura y postes: 3 
</t>
  </si>
  <si>
    <t>Culiacán, Angostura, Badiraguato, Mocorito, Navolato y Salvador Alvarado</t>
  </si>
  <si>
    <t>Debido al impacto de la Tormenta Tropical "Paul" en los municipios antes mencionados, el CENAPRED realizó una misión de evaluación a dicho estado, recopilando información acerca de los principales daños ocasionados por el fenómeno. La población afectada se obtuvo de reportes del Comite de Evaluación de Daños</t>
  </si>
  <si>
    <t>Jerecuaro</t>
  </si>
  <si>
    <t>Debido a las fuertes lluvias registradas en el estado se presentaron daños menores en 7 viviendas del municipio antes mencionado</t>
  </si>
  <si>
    <t>Cardenas, Centla, Centro, Comacalco, Cunduacan, Huimanguillo, Jalapa, Jalapa de Méndez, Tlacotalpa y Teapa</t>
  </si>
  <si>
    <t>Debido a las lluvias se vieron afectados 8 municipios. Se instalaron 17 refugios temporales activos con 420 personas. Se presentaron daños en Vivienda, Caminos, infraestructura hidráulica y escuelas.</t>
  </si>
  <si>
    <t>Pichucalco, Juarez, Reforma y Salto de Agua</t>
  </si>
  <si>
    <t>Reportan afectaciones por penetracion de agua a viviendas, operando 2 refugios temporales con 94 personas, hay incomunicaciones por vias terrestres y daños en la infraestructura carretera. El FONDEN apoyó con 126.7 millones de pesos</t>
  </si>
  <si>
    <t xml:space="preserve">Las lluvias afectaron a 683 familias con penetracion de agua en sus viviendas se proporcionaron apoyos, con este reporte se cierra la emergencia. </t>
  </si>
  <si>
    <t>Mazatan</t>
  </si>
  <si>
    <t>Se presentaron escurrimientos de las partes altas de la sierra por las lluvias de los dias anteriores afectando a la comunidad cuatro caminos. 40 viviendas presentaron penetracion de agua afectando a 160 personas, las cuales se transladaron con familiares y amigos</t>
  </si>
  <si>
    <t>Jose Maria Morelos</t>
  </si>
  <si>
    <t>Las afectaciones se debieron a la lluvia intensa que duro 10 horas aproximadamente. Se evacuaron 17 familias</t>
  </si>
  <si>
    <t>Fue evacuada preventivamente una familia, misma que regreso el dia de hoy a su vivienda. Dos personas desaparecidas. 5 vivienas presentaron afectaciones menores.</t>
  </si>
  <si>
    <t>Las lluvias afectaron varias colonias que se anegaron por basura en los registros de desagüe. Se informa de inundaciones a nivel pati, siendo afectadas 38 colonias</t>
  </si>
  <si>
    <t>Mante, Altamira y Gonzales</t>
  </si>
  <si>
    <t>Se informa de una tromba afectando  a viviendas en sus trechos. No se reportan afectaciones  humanas</t>
  </si>
  <si>
    <t>San Juan del Rio, Ezequiel Montes y Cadereita</t>
  </si>
  <si>
    <t>Se proporciono apoyo de colchonetas y cobijas, se continua con la valoracion de las afectaciones</t>
  </si>
  <si>
    <t>Calcahualco, Alpatlahuac, Tenampa, Cosautlan de Carvajal, Ixhuacan de los Reyes y Tlaltetela</t>
  </si>
  <si>
    <t>Se registraron fuertes lluvias con granizo, afectando viviendas y areas de cultivo, asi como fallas en la energia electrica</t>
  </si>
  <si>
    <t>Se informa de fuertes lluvias, vientos y granizadas, afectando 5 viviendas y 2 vehículos</t>
  </si>
  <si>
    <t>Zacatelco, Tetlatlahualca, Texoloc, Santa Cruz Quiletla, Tlaxcala, Teolocholco, Zacualpan, Tepeyanco y Panotla</t>
  </si>
  <si>
    <t xml:space="preserve">Se reportan fuertes lluvias y granizadas, se registra afecciones en  techos y encharcamientos </t>
  </si>
  <si>
    <t>San Juan Juquila Vijanos</t>
  </si>
  <si>
    <t>Se reportan fuertes lluvias y granizo afectando dos comn. Se realizan recorridos de evaluacion de daños</t>
  </si>
  <si>
    <t>Mecatlan, Coyutlan, Coahuitlan y Zozocolco de Hidalgo</t>
  </si>
  <si>
    <t>Se registraron fuertes lluvias y vientos afectando en su mayoria a techos de material endeble</t>
  </si>
  <si>
    <t>Cuetzalan, Huehuetla, Jopala, Teziutlan, Tepeaca, Oriental</t>
  </si>
  <si>
    <t>Se informa de Fuertes lluvias, vientos y granizadas, se realizan recorridos de evaluacion de daños</t>
  </si>
  <si>
    <t>Castaños, Monclova, Nadadores Piedras Negras, Ocampo</t>
  </si>
  <si>
    <t>Se informa que el rayo les callo cuando circulaban a bordo de su motocicleta ocacionando 1 muerto y 1 lesionado</t>
  </si>
  <si>
    <t>Muzquiz, Nadadores, Sabinas y San Juan de Sabinas</t>
  </si>
  <si>
    <t>Se registran afectaciones por desbordamiento de arroyos y un deslave de 30 Mts. de largo</t>
  </si>
  <si>
    <t>De 180 a 200 viviendas con penetracion de agua y lodo, por lluvia y granizo</t>
  </si>
  <si>
    <t>Acuña</t>
  </si>
  <si>
    <t>Se evacuaron 37 personas al refugio temporal, en el gimnasio Municipal, a las 08:00 hrs. de hoy retornaron a sus viviendas. 3 Viviendas afectadas en sus techos y otras con penetracion de agua</t>
  </si>
  <si>
    <t>Castaños</t>
  </si>
  <si>
    <t>Las lluvias y granizada afectaron los techos de las viviendas, se les proporciono apoyo.</t>
  </si>
  <si>
    <t>Othon P. Blanco</t>
  </si>
  <si>
    <t>Debido a los remanentes nubosos de “Barbara” una fuerte lluvia afecto a 60 viviendas con penetracion de agua con tirantes de hasta 60 cm</t>
  </si>
  <si>
    <t>Acapetahua, Mapastepec, Pijijiapan, Villa Comaltitlan, Tapachula, Frontera Hidalgo, Huehuetlan, Motozintla, Mazatan, Cacahuatan, Union  Juarez, Tuxtla Chico, Metapa, Suchiate, Acacoyahua, Escuintla, Huixtla y Tuzantan</t>
  </si>
  <si>
    <t>La tormenta tropical barbara fueron declarados en desastre los municipios de: Acapetahua, Mapastepec, Pijijiapan, Villa Comaltitlan, Tapachula, Frontera Hidalgo, Huehuetlan, Motozintla, Mazatan, Cacahuatan, Union  Juárez, Tuxtla Chico, Metapa, Suchiate, Acacoyahua, Escuintla y Huixtla.  Tuzantanafectando a diversos sectores</t>
  </si>
  <si>
    <t>San Luis Potosi y Soledad de Graciano Sanchez</t>
  </si>
  <si>
    <t xml:space="preserve">Se informa de lluvias acompañadas de granizo, afectando varias colonias. Asi se reporta la caida de arboles. No se reportan daños humanos  </t>
  </si>
  <si>
    <t>Matehuala, Villa de la Paz y Cedral</t>
  </si>
  <si>
    <t>Se informa del incremento de agua de un arroyo, arrastrando a 4 personas. Falleciendo 3. y una mas se reporta lesionada</t>
  </si>
  <si>
    <t>Humantla, Chiautempan, San Pablo Apetatitlan y La Magdalena Tlatelulco</t>
  </si>
  <si>
    <t>Se informa de lluvias en diferentes comunidades. Afectando, reportando penetración de agua en varias viviendas</t>
  </si>
  <si>
    <t>Progreso de Zamora</t>
  </si>
  <si>
    <t>Se informa que, debido a las fuertes lluvias, se proporciono ayuda consistente en laminas de carton  a las personas afectadas. Regresando estas a sus domicilios</t>
  </si>
  <si>
    <t>Se informa de Lluvias fuertes que afectaron diversas colonias, evacuando a la poblacion a un refugio temporal, al cual solo asistieron 16 personas</t>
  </si>
  <si>
    <t>Cañada de Morelos</t>
  </si>
  <si>
    <t>Se reportan afectaciones menores a 25 viviendas. No se reportan afectaciones humanas</t>
  </si>
  <si>
    <t xml:space="preserve">Onda cálida ocurrida del 23 al 26 de julio </t>
  </si>
  <si>
    <t>Valle de Santiago y Abasolo</t>
  </si>
  <si>
    <t>Las penetraciones de agua fueron leves no se reportan daños humanos</t>
  </si>
  <si>
    <t>El Salto y Tlajocomulco de Zuñiga</t>
  </si>
  <si>
    <t>Las lluvias afectaron las viviendas con penetracion de agua, hasta con un tirante de agua de 1 Mt. de altura</t>
  </si>
  <si>
    <t>San Juan Bautista Cuicatlan</t>
  </si>
  <si>
    <t>Las lluvias afectaron a 101 personas las que se refugiaron con familiares y amigos</t>
  </si>
  <si>
    <t>Ocampo, Comonfort, Juventino Rosas y Uriangato</t>
  </si>
  <si>
    <t>Las lluvias provocaron penetracion de agua a las viviendas y a 1 escuela</t>
  </si>
  <si>
    <t>Las lluvias provocaron afectaciones a viviendas y vialidades</t>
  </si>
  <si>
    <t>Cuernavaca, Juitepec, Yautepec y Temixco</t>
  </si>
  <si>
    <t>La lluvia tuvo un tirante de 20 Cm. a 1.50 Mts. afectando a 4 Municipios y una persona lesionada</t>
  </si>
  <si>
    <t>San Nicolas, Monterrey, Santa Catarina, Los Herrera, Cerralvo, Agualeguas, Los Aldama, Dr. Coss, Melchor Ocampo, Mina, China, General Bravo, Sabinas Hidalgo y Escobedo</t>
  </si>
  <si>
    <t>Entre los meses de mayo a julio el estado de Nuevo León fue declarado en desastre en tres ocasiones, por lo que el CENAPRED realizó una misión de evaluación al estado con el fin de conocer los daños registrados</t>
  </si>
  <si>
    <t>San Juan Atenco y Acatlan</t>
  </si>
  <si>
    <t>Se reportan lluvias y granizo con un tirante de 60 Cm. aproximadamente y afectaciones a techos de material endeble, se proporcionaron apoyo de cobijas y colchonetas</t>
  </si>
  <si>
    <t>Jose Sixto Verduzco</t>
  </si>
  <si>
    <t>Se registraron inundaciones en el municipio mencionado, causando daños a varios cultivos. El FAPRACC apoyo a los productores afectados</t>
  </si>
  <si>
    <t>FAPRACC</t>
  </si>
  <si>
    <t>Reynosa, Rio Bravo y Camargo</t>
  </si>
  <si>
    <t>Reynosa reporta inundaciones de hasta 80 cm. En tres colonias. El dia de hoy el nivel del agua disminuyo en su totalidad</t>
  </si>
  <si>
    <t>José Azueta, la unión de Isidro, Montes de Oca, Atoyac de Alvarez, Ometepec</t>
  </si>
  <si>
    <t xml:space="preserve">Viviendas que resultaron afectadas por deslizamiento de tierras e inundaciones en colonias. 21 personas en RT. Locales comerciales afectados: 10 locales de ve nta de artesanías, 4 restaurantes, 2 misceláneas, 15 de diferentes giros. </t>
  </si>
  <si>
    <t>Colima, Villa Alvarez y Tecoman</t>
  </si>
  <si>
    <t>La lluvia provoco afectaciones a viviendas con penetracion de agua, caida de arboles, desborde momentaneo de un arroyo y la caida de una barda lesionando a una persona</t>
  </si>
  <si>
    <t>Uxpanapa, Catemaco, Santiago Tuxtla, Cordoba, Veracruz y Martínez de la Torre</t>
  </si>
  <si>
    <t>La lluvia y la tormenta electrica provoco 2 decesos y 5 lesionados, destechamiento de viviendas, suspension de suministro electrico y afectaciones a vias de comunicacion por caida de arboles</t>
  </si>
  <si>
    <t>Santiago Jamiltepec, Santa Maria Huazalotitlan, San Andres Huaxpaltepec, Santa Catarina Mechoacan, Santiago Tetepec, San Agustin Chayuco, Santos Reyes Nopala, Villa de Tututepec de Melchor Ocampo, Tataltepec de Valdes, Santiago Pinotepa Nacional, San Pedro Atoyac, Santiago Ixtayutla y San Dionisio del Mar</t>
  </si>
  <si>
    <t>Se registraron fuertes lluvias en varios municipios del estado de Oaxaca ocasionando daños en la infraestructura carretera del estado.</t>
  </si>
  <si>
    <t>sd</t>
  </si>
  <si>
    <t>Alvaro Obregon</t>
  </si>
  <si>
    <t>Las viviendas se afectaron al deslavarse 4 metros cubicos de tierra y lodo, las 12 familias de habitantes fueron evacuadas</t>
  </si>
  <si>
    <t>Villa Hermosa, Jalapa de Mendez y Nacajuca</t>
  </si>
  <si>
    <t>La lluvia y los vientos afectaron el suministro electrico caida de arboles y los techos de viviendas, se proporciono apoyo de laminas de zinc y cobertores</t>
  </si>
  <si>
    <t>Altamira, Mante, San Carlos, Abalosolo y Madero.</t>
  </si>
  <si>
    <t xml:space="preserve">Se informa de afectaciones por inundaciones e incremento en rios. Se reportan afectaciones en Colonias y viviendas. Se habilito un refugio con 27 personas, quedando al dia de hoy 16 personas. Se mantienen labores de vigilancia por parte de la Secretaria de Marina y del 15ª. Batallon de Infanteria </t>
  </si>
  <si>
    <t>El ayuntamiento apoyo a las familias afectadas con material de abrigo y despensa. Asi mismo trabajan en la reubicación de las familias que perdieron sus viviendas. Se reportaron 35 viviendas dañadas de las cuales 17 presentaron pérdida total</t>
  </si>
  <si>
    <t>Tanhuato y Yurecuaro</t>
  </si>
  <si>
    <t>Las lluvias provocaron daños en el sector agrícola y piscicola del estado. El Fapracc Apoyo a los productores afectados.</t>
  </si>
  <si>
    <t>Huanimaro</t>
  </si>
  <si>
    <t>Las lluvias y escurrimientos afectaron a 600 viviendas. 54 personas se ubicaron en un refugio temporal y recibieron los apoyos correspondientes</t>
  </si>
  <si>
    <t>Juarez</t>
  </si>
  <si>
    <t>Debido a las fuertes lluvias se reportan inundaciones en 9 colonias de hasta 1.20 metros en lugares bajos. Como medida preventiva fueron evacuadas 240 personas. Se reportaron 4 muertos</t>
  </si>
  <si>
    <t>Debido a la onda tropical 24, se presento la ruptura de una ventana del rio San Luis, de aguas negras, provocando el desvordamiento y penetracion de agua a las viviendas cercanas de 40 cm</t>
  </si>
  <si>
    <t>Cardenas</t>
  </si>
  <si>
    <t>Se registro una lluvia con fuertes vientos con duracion de dos horas. Los pacientes de un centro de salud fueron atendidos en otras clinicas. Tambien un mercado resultó afectado</t>
  </si>
  <si>
    <t>Debido a la onda tropical "24" se vieron afectadas 15 viviendas con penetración de agua</t>
  </si>
  <si>
    <t>Othón P. Blanco, Solidaridad, Felipe Carrillo Puerto, Benito Juárez, Cozumel, Lázaro Cárdenas, Isla Mujeres y José María Morelos</t>
  </si>
  <si>
    <t>El ciclón tropical Dean impactó al estado como catergoría conco, el CENAPRED organizó una misión de evaluación con el fin de cuantificar los daños y pérdidas ocasionadas por el fenómneo</t>
  </si>
  <si>
    <t>El Ciclon tropical Dean causó daños en el sector vivienda y en la infraestructura carretera del estado de Yucatán</t>
  </si>
  <si>
    <t>FONDEN Y FAPRACC</t>
  </si>
  <si>
    <t>El ciclón tropical Dean afecto severamente la infraestructura estatal del estado, por lo que el CENAPRED organizó una evaluación con el fin de conocer los sectores más afetcados</t>
  </si>
  <si>
    <t>Dean causó severos daños en el estado de Hidalgo, principalemnte en la infraestructura carretera. El Cenapred realizó la evaluación de daños a nivel sectorial</t>
  </si>
  <si>
    <t>Debido a los daños ocasionados por Dean en el estado el CENAPRED organizó una misión de evaluación con el fin de obterne información de la cuantificación de daños realizada por las dependencias encargadas</t>
  </si>
  <si>
    <t>Los 11 municipios del estado</t>
  </si>
  <si>
    <t>Se declararon en desastre todos los municipios del estado debido a los daños ocasionados por Dean en la infraestructura del estado. El CENAPRED realizo una mision de evaluacion para recopilar información</t>
  </si>
  <si>
    <t>El estado de Chiapas fue afectado por intensas lluvias producto del impacto de Dean en otros estados de la República, lo que ocasionó daños en el sector agrícola.</t>
  </si>
  <si>
    <t>Cinco municipios</t>
  </si>
  <si>
    <t>Debido a los remanentes del huracán Dean, se presentaron varios daños en la infraestructura carretera del estado, así como en algunos planteles educativos. El FONDEN apoyó con 63.6 millones de pesos para las acciones de reconstrucción, Además de mandar 5.8 millones de pesos en insumos a través del Fondo Revolvente</t>
  </si>
  <si>
    <t>Varios municipios (19)</t>
  </si>
  <si>
    <t>El estado de San Luis Potosi también fue afectado severamente por Dean, por lo que el FONDEN apoyó con 178.3 millones de pesos para resarcir los daños en vivienda, escuelas e infraestructura hidraulica y carretera. Por otro lado el FAPRACC apoyó a los mas de 10 mil productores afetcados</t>
  </si>
  <si>
    <t>Jitotol</t>
  </si>
  <si>
    <t>Debido a la onda tropical "26", se informa del desbordamiento de un rio seco, afectando varias viviendas, se realiza recorrido de evaluacion de daños. Se evacuo a 536 personas</t>
  </si>
  <si>
    <t>11 municipios</t>
  </si>
  <si>
    <t xml:space="preserve">Preventivamente se evacuo a 1,585 personas que se alojaron en 48. Resultaron afectadas por penetracion de agua 30 viviendas, anegamiento en las vialidades, caida de arboles y bardas. Deslaves en caminos rurales. </t>
  </si>
  <si>
    <t>Tamazunchale y Rio Verde</t>
  </si>
  <si>
    <t>Se informa de afectaciones a viviendas por crecida de arroyo, asi  como alsgunas comunidades incomunicadas parcialmente. 27 personas fueron evacuadas</t>
  </si>
  <si>
    <t>Cuernavaca y Temixco</t>
  </si>
  <si>
    <t xml:space="preserve">Se informa de afectaciones a viviendas por penetracion de agua, asi como caida de bardas y desbordamiento de un rio, no se reportan afectaciones humanas </t>
  </si>
  <si>
    <t>Celaya, Apaseo el Alto, Coroneo y Jerecuaro</t>
  </si>
  <si>
    <t>Se informa de afectaciones  en viviendas, por penetracion de agua debido al desbordamientos de 3 Rios, en dos comunidades. Se evacuaron a 560 personas</t>
  </si>
  <si>
    <t>Apaseo el Alto, Coroneo y Jerecuaro</t>
  </si>
  <si>
    <t>Se informa que se realizan trabajos de limpieza y saneamiento, asi como se da ayuda a la poblacion, se reportan afectaciones a campos de cultivo</t>
  </si>
  <si>
    <t>Evacuaron a la poblacion de dos comn., como medida preventiva, al aumentar de nivel el Rio Adjuntas, siendo  Llevadas a un refugio temporal</t>
  </si>
  <si>
    <t>Lazaro Cardenas</t>
  </si>
  <si>
    <t>Se albergaron 500 personas</t>
  </si>
  <si>
    <t>Tampico</t>
  </si>
  <si>
    <t>A causa de las lluvias se deslavo un cerro del Paseo Bella Vista resultando 3 fallecidos</t>
  </si>
  <si>
    <t xml:space="preserve">Altamira y Tula </t>
  </si>
  <si>
    <t>Se registraron fuertes lluvias, las cuales causaron afectaciones en el sector agrícola. El FAPRACC apoyo a los productores afectados</t>
  </si>
  <si>
    <t>Gonzales, Mante, Antigua Morelos y Nuevo Morelos</t>
  </si>
  <si>
    <t>Las lluvias provocaron daños en diferentes cultivos, el FAPRACC apoyo a los productores afectados</t>
  </si>
  <si>
    <t>Se registraron fuertes inundaciones en varios municipios del estado, causando severas afectaciones a la actividad agrícola. El FAPRACC apoyo a los productores afectados</t>
  </si>
  <si>
    <t xml:space="preserve">Se informa que las lluvias y la insuficiencia del drenaje afectaron varias casas </t>
  </si>
  <si>
    <t>Cihuatlan, La Huerta, Cuahutitlan de Garcia Barragan, Tecalitlan, Villa Purificacion, Casimiro Castillo, Mascota, Cabo Corrientes, Tomatlan</t>
  </si>
  <si>
    <t>Se informa que debido a las fuertes lluvias registradas a causa de "Henriette", se reportan afectados caminos y carreteras, asi como viviendas, escuelas y 30 comercios</t>
  </si>
  <si>
    <t xml:space="preserve">La Paz, Los Cabos y Loreto </t>
  </si>
  <si>
    <t>Se registró afectación por el huracán Henriette el cual causó severas afectaciones en la infraestructura del estado y la muerte de una persona</t>
  </si>
  <si>
    <t xml:space="preserve">Se registraron daños en 49 municipios por el paso de Herniette, se reportan daños en la infraestructura del estado y dos personas fallecidas </t>
  </si>
  <si>
    <t>Acambaro, Coroneo, Jerecuaro y Salvatierra</t>
  </si>
  <si>
    <t>Las fuertes lluvias ocasionaron el desbordamiento de Arroyo e incrementacion de niveles de rios</t>
  </si>
  <si>
    <t>Tempoal, Alamo-Temapache, Tamiahua y Tuxpam</t>
  </si>
  <si>
    <t>Debido a las fuertes lluvias registradas se reportaron varios daños por inundación en la infraestructura carretera, viviendas, centros de salud, infraestructura hidráulica y en el sector pesquero. Se instalaron 54 refugios temporales y se registraron daños en 32 tramos carreteros y 12 puentes</t>
  </si>
  <si>
    <t>Huehuetlan, El Naranjo, Tamasopo, San Antonio, San Vicente Tancuayalab, Tancanhuitz de Santos, Soledad de Graciano Sánchez y San Luis Potosi</t>
  </si>
  <si>
    <t xml:space="preserve">Se informa que debido a las lluvias registradas, se han activado varios refugios temporales y diversas comunidades han sido afectadas. El Fonden apoyó las labres de reconstrucción. </t>
  </si>
  <si>
    <t>Ahome, El Fuerte, Choix, Guasave, Sinaloa, Angostura, Salvador alvarado, Mocorito, Baldiraguato, Culiacan, Navolato y Elota</t>
  </si>
  <si>
    <t>12 Mpios afectados por el paso del Huracan “Henriette”. PC Estatal y FONDEN estan pendientes de brindarles apoyo de despensas colchonetas, cobertores y laminas</t>
  </si>
  <si>
    <t>Patzcuaro</t>
  </si>
  <si>
    <t>La avenida de agua arrastro a dos niñas que salian de la escuela secundaria no. 4 una fallecio ahogada y la otra fue hospitalizada por hipotermia</t>
  </si>
  <si>
    <t>Se informa que las viviendas dañadas fueron evaluadas  por daños provocados debido a fuertes granizadas, se entregaron despensas en algunas comunidades, dando por terminado el operativo a las 18:50 hrs.</t>
  </si>
  <si>
    <t>Zihuatanejo, Petatlan y Acapulco</t>
  </si>
  <si>
    <t>Derivado de las lluvias resultaron 1,253 viviendas inundadas, 12 encharcamientos, 1 persona lesionada (sexo femenino de 41 años, trasladada para su atencion), 22 arboles caidos, 4 bardas, 2 derrumbes y 2 vehiculos afectados.</t>
  </si>
  <si>
    <t>Nueva Italia</t>
  </si>
  <si>
    <t xml:space="preserve">A causa de las lluvias el canal “La estacion” se desbordo,evacuando a 243 personas a un R.T. en la Esc. Prim. Emiliano zapata </t>
  </si>
  <si>
    <t>Cd. De Oaxaca y San pablo Etla</t>
  </si>
  <si>
    <t>Las fuertes lluvias y encharcamientos ocasionaron afectacciones en los enseres domesticos de 100 viviendas en el fraccionamiento La esmeralda. En Cd. De Oaxaca se reportaron encharcamientos en las zonas bajas</t>
  </si>
  <si>
    <t xml:space="preserve">Tamazuchale, Cd. Valles, Ebano Tanlajas, Tamuin, Tampacan y Xitla. </t>
  </si>
  <si>
    <t>Varios caminos resultaron afectados y se albergaron a las personas pertenecientes a diferentes ejidos y colonias</t>
  </si>
  <si>
    <t>Chapala</t>
  </si>
  <si>
    <t>Se evacuaron 1, 490 personas, habilitandose un total de 4 R. T.</t>
  </si>
  <si>
    <t>Altar</t>
  </si>
  <si>
    <t>Las lluvias y los vientos fuertes dañaron viviendas y el derribo de arboles, anuncios y postes de luz y telefono</t>
  </si>
  <si>
    <t>Delegaciones de Alvaro Obregon, Cuajimalpa, Magdalena Contreras, Tlalpan y Gustavo A. Madero</t>
  </si>
  <si>
    <t>Se evacuaran a las personas que se encuentran en alto riesgo a fin de evitar perdidas humanas como las dos ocasionadas por el rerrumbe en Alvaro Obregon (por el desgajamiento de un cerro sobre una vivienda falleciendo dos persona que se encontraba en ella)</t>
  </si>
  <si>
    <t>Tula</t>
  </si>
  <si>
    <t>Las lluvias ocasionaron una grieta profunda en el Km 75 del tramo carretero San Luis Potosi- Matamoros, en la que cayo un automovil en el que fallecieron el conductor y su acompañante</t>
  </si>
  <si>
    <t>Se reportan inundaciones, derrumbes, y personas atrapadas en vehiculos, se realizaron trabajos de saneamiento. 16 vehiculos resultaron afectados</t>
  </si>
  <si>
    <t>San Marcos, Cuautepec, Copala y Marquelia</t>
  </si>
  <si>
    <t xml:space="preserve">Se apoyó a la población con 1793 despensas, 12310 laminas tipo b, 4520 cobertores, 4520 colchonetas, 5 rollos de hule, 18000 costales, 1793 kits de limpieza, 1793 kits de aseo personal. </t>
  </si>
  <si>
    <t>Huauchinango, Xicotepec, Naupan, Zihuateutla, Pantepec, Fco. Z. Mena, Pahuatlan, Chinconcuahutla , Jopala y Jalpan</t>
  </si>
  <si>
    <t>A causa de la Depresion Tropical Lorenzo se registraron 6 muertos entre los cuales se encontraba un menor.  En el Mpio.  de Naupan se registro un deslave sobre una vivienda. 560 se albergaron en 7 R.T. Se reportaron varias viviendas afectadas, algunas escuelas y daños en la infraestructura carretera del estado</t>
  </si>
  <si>
    <t>Acaxochitlan, Cuautepec, Tulancingo, Mezquititlan, Metztitlan, Tenango de Doria, Pachuca, Zimapan, Almoloya y Acatlan.</t>
  </si>
  <si>
    <t>En Mpio.  de Tulancingo 164 personas se albergaron. El acrecentamiento del rio Venados ha incomunicado a las comunidades asentadas en las partes bajas, se reportaron daños en infraestructura carretera e hidráulica</t>
  </si>
  <si>
    <t>1 fallecido que fue arrastrado por la corriente del canal de aguas negras el cual atraviesa la colonia Lomas del Paraiso</t>
  </si>
  <si>
    <t>Hueyapan de Ocampo, Soteapan, Acayucan, Coatzacoalcos, Agua Dulce, Las Choapas, Uxpanapa, Catemaco, Cosamaloapan, Saltabarranca, Santiago Tuxtla, San Andres Tuxtla, Isla, Chinameca, Cosoleacaque, Minatitlan, Mecayapan, Pajapan, Nanchital, Moloacan, Angel R. Cabada, Xalapa, Chinampa de Gorostiza, Chontla y Tantoyucan</t>
  </si>
  <si>
    <t xml:space="preserve">Frente frio "2"  y el sistema de baja presion que provoco el  desbordamiento de corriente: 2 Arroyo Oro e Idolos, 1 tramo afectado (autopista las Choapas- Raudales). También se registraron daños en vivienda, Infraestructura carretera, de salud, escuelas y en el medio ambiente. El Fonden apoyó las labores de recostrucción con 445.4 millones de pesos. 
</t>
  </si>
  <si>
    <t>Las intensas sequias afectaron considerablemente las actividades ganaderas, agrícolas y comerciales, en este Estado, por lo que se destino la cantidad de 5.7 millones de pesos, del FONDEN.</t>
  </si>
  <si>
    <t>Jalpan</t>
  </si>
  <si>
    <t>La crecida de algunos rios, obligaron a realizar la evacuacion preventiva de 19 personas en albergues</t>
  </si>
  <si>
    <t>Balancan, Cardenas, Centro, Jalapa, Tacotalpa y Teapa</t>
  </si>
  <si>
    <t xml:space="preserve">Las lluvias afectaron a 27 comunidades, 803 familias, 4 R. T. y 15 familias albergadas con el total de 58 personas </t>
  </si>
  <si>
    <t>Mapastepec, Mazatan, Tuzantan,  Huehuetan, Villa Comaltitlan, Suchiate, Arriaga, Tonala y Acapetahua</t>
  </si>
  <si>
    <t>Aire tropical humedo y lluvias fuertes que provocaron el albergue de 55 familias conformadas por 211 personas y la instalacion de 5 R. T. temporales en 3 Mpios.</t>
  </si>
  <si>
    <t>Istmo de Tehuantepec y Putla de Guerrero</t>
  </si>
  <si>
    <t>Las lluvias provocaron el desbordamiento del Rio espititu, el cual afecto a la Comunidad de Santo Domingo, presentando daños en una Escuela y lesiones a varios alumnos de esta</t>
  </si>
  <si>
    <t>Xalapa. Banderilla, Saltabarranca, Ixhuatlan del cafe, Papantla,Tlapacoyan, Martinez de la Torre, Veracruz, Boca del Rio, Alvarado, Lerdo de Tejada, Angel R. Cabada, San Andres Tuxtla y Coatzacoalcos.</t>
  </si>
  <si>
    <t>Frente frio 4. Resultaron 3 lesionados y 877 viviendas con daños en sus techos. 26 Mpios. Afectados, daños en suministro de energia electrica y la red telefonica y 7 escuelas</t>
  </si>
  <si>
    <t>Pahuatlan</t>
  </si>
  <si>
    <t>Lluvias fuertes y reblandecimiento de tierra en la Colonia Centro calle 5 de mayo, se presento un agrietamiento. Como medida preventiva se acordono la zona. Se afectaron 26 casas y con probabilidad de demolicion de la Presidencia Municipal</t>
  </si>
  <si>
    <t>Morelia y Uruapan</t>
  </si>
  <si>
    <t>Lluvias y granizo, que afectaron a 56 viviendas en techos principalmente y 56 familias</t>
  </si>
  <si>
    <t>Ahumada, Aldama, Aquiles Serdan, Ascension, Bachiniva, Bocoyna, Buenaventura, Carichi, Casas Grandes, Chihuahua, Coyame, Cuauhtemoc, Cusihuiriachi, Comez Carias, Guachochi, Guerrero, Ignacio Zaragoza, Janos, Juarez, Matachi, Moris, Nueva Casas Grandes, Ocampo, Praxedis G. Guerrero, Temosachi, Uruachi, Julimes, V. Zaragoza, Meoqui, Guadalupe y Calvo, Rosales, Maguarichi, La Cruz, Delicias y Namiquipa</t>
  </si>
  <si>
    <t>Lluvia y nevadas por el paso del frente frio "8". Se activaron 6 R.T. en 5 municipios, 37, 908 personass afectadas, 268 personas albergadas</t>
  </si>
  <si>
    <t>Se registraron fuertes lluvias desde mediados de octubre a consecuancia del Frente Frio 2 y a finales por el Frente Frio 4, ocasionado daños en diversas localidades y municipios del estado. Por tal motivo el CENAPRED organizó una misión de evaluación para obtener información de todos los sectores afectados. Las lluvias a su vez provocaron un deslave sobre el cauce del Río Grijalva, el cual a su vez causó la muerte de 25 personas, mismas que se consideraron dentro de los muertos por fenómenos geológicos. Así mismo, se intento separar los daños causados por el deslave monto que también se incluyó en desastres de origen geológico</t>
  </si>
  <si>
    <t>Acapulco de Juárez, Atoyac de Álvarez, Benito Juárez, Coyuca de Benítez, Petatlán, Técpan de Galeana, La Unión de Isidoro Montes de Oca y Zihuatanejo de Azueta</t>
  </si>
  <si>
    <t>Debido a los efectos del huracán Marty se declararon en emergencia a ocho municipios por lo que se repartieron 10,000 despensas, 10,000 kits de limpieza y10,000 kits de aseo personal.</t>
  </si>
  <si>
    <t>Ciudad Serdan, Izucar de Matamoros y Teziutlan</t>
  </si>
  <si>
    <t>Se reportan 3 muertos por arrastre y uno por el deslizamiento de suelo</t>
  </si>
  <si>
    <t>Tlapa, Metlatonoc</t>
  </si>
  <si>
    <t>Afectaciones por lluvias y movilización de cuerpos de emeregencia. Los días 9 y 10 de septiembre, a las 20 y 11:30 horas. 9 viviendas dañadas, una con daño total y 8 evacuadas. Metlatonoc: en la región montañosa, debido al reblandecimiento del suelo en terrenos y laderas inestables. Producto de las lluvias, se registra desgajamiento de un cerro en la localidad de Zapote Cabezón, sepultando una vivienda con un talud de tierra y rocas, en el interior 4 personas fallecidas. Tlapa de Comonfort, en la comunidad de Lindavista, rodamiento de rocas sobre 110 viviendas, se procedió a la evacuación de 8 que eran las que corrían mayor riesgo.</t>
  </si>
  <si>
    <t>92 municipios por Karl y 48 por Matthew</t>
  </si>
  <si>
    <t>Los ciclones tropicales Karl y Matthew impactaron al estado de Veracruz en el mes de septiembre con apenas 10 días de diferencia. Estos eventos en conjunto fueron los más severos del año, causando daños y pérdidas por 26,841 millones de pesos y 23 defunciones+</t>
  </si>
  <si>
    <t>Atoyac de Alvarez, Acapulco, Benito Juarez</t>
  </si>
  <si>
    <t xml:space="preserve">Debido a las lluvias en Atoyac de Alvarez: 1 puente colapso, viviendas con penetracion de agua, caida de 1 barda en Col. Vicente Guerrero que afecto a 3 casas. En Acapulco: inundaciones en vialidades y azolve de alcantarillas, derrumbes, caida de 1 barda frente a la cancha. En Benito Juarez: 3 personas albergadas en el auditorio.  50 viviendas con introduccion de agua (entre 15 cm de altura). </t>
  </si>
  <si>
    <t>CD. Valles, Tamuin, Tanlajas, Ebano, Tampacan, Xilitla y Tamasunchale</t>
  </si>
  <si>
    <r>
      <t>Las lluvias  fuertes y el incremento en los niveles de arroyos, rios y los escurrimientos, ocasionaron inundaciones en diversas Col. y comunidades se incomunicaron . Se habilitaron 8  refugios temporales,</t>
    </r>
    <r>
      <rPr>
        <sz val="9"/>
        <color indexed="10"/>
        <rFont val="Arial"/>
        <family val="2"/>
      </rPr>
      <t xml:space="preserve"> </t>
    </r>
    <r>
      <rPr>
        <sz val="9"/>
        <rFont val="Arial"/>
        <family val="2"/>
      </rPr>
      <t>443 personas refugiadas y afectaciones en diversos caminos</t>
    </r>
  </si>
  <si>
    <t>Altamira, Cd. Mante, Victoria, Tula, Jaumave, Tampico, Madero, Gomez Farias, Xicotencatl, Gomez, Aldama, Padilla, Ocampo, Soto la Marina, Villa de Casas y Nuevo Laredo</t>
  </si>
  <si>
    <t>2007 familias albergadas y 2007 viviendas afectadas parcialmente por las lluvias fuertes (Ondas Tropicales 28, 29 y 30)</t>
  </si>
  <si>
    <t>Poza Rica, Tecolutla, Cazones, Tihuatlan Coatzintla, Coahuitlan, Coxquihui, Coyutla, Alamo Temapache, Nautla, Espinal, Gutierrez Zamora, Tamiahua, Alto Lucero, Veracruz, Mecatlan y Coahuitlan.</t>
  </si>
  <si>
    <t xml:space="preserve">Huracan Lorenzo, frente frio "2" y el Sistema de baja presion afecto a 25 mpios., 74 col., 100 comunidades,  6, 906 viviendas afectadas. 13 corrientes desborbadas entre rios, aroyos y la laguna azul. 11, 600 personas evacuadas precautoriamente, asi como puentes y tramos afectados. Deslaves, afectaciones en escuelas. 3 muertos y 2 lesionados, 13, 674 viviendas, 32 tramos de caminos, 12 puentes y 4 escuelas dañados
</t>
  </si>
  <si>
    <t>Abasolo, San Francisco del Rincon, Leon Villagran, Silao, Irapuato, Apaseo el Grande, Apaseo el Alto, Tarimoro, Guanajuato, Pueblo Nuevo, Valle de Santiago, Jerecuaro y Romita</t>
  </si>
  <si>
    <t>Debido a las fiuertes lluvias se registraron daños en varias viviendas. Se Habilito un refugio temporal con 62 personas</t>
  </si>
  <si>
    <t>36 muertos: 14 por hipotermia, 20 por intoxicacion de monoxido de carbono y 2 por quemaduras</t>
  </si>
  <si>
    <t>17 muertos: 4 por hipotermia y 13 por intoxicacion de monoxido de carbono</t>
  </si>
  <si>
    <t>15 muertos: 3 por hipotermia, 10 por intoxicacion de monoxido de carbono y 2 por quemaduras</t>
  </si>
  <si>
    <t>11 muertos por intoxicacion de monoxido de carbono</t>
  </si>
  <si>
    <t>1 muerto por intoxicacion de monoxido de carbono</t>
  </si>
  <si>
    <t>6 muertos: 2 por hipotermia, 2 por intoxicacion de monoxido de carbono y 2 por quemaduras</t>
  </si>
  <si>
    <t>3 muertos por hipotermia</t>
  </si>
  <si>
    <t>3 muertos: 2 por hipotermia y 1 por quemaduras</t>
  </si>
  <si>
    <t>4 muertos: 3 por hipotermia y uno por intoxicacion de monoxido de carbono</t>
  </si>
  <si>
    <t>1 muerto por hipotermia</t>
  </si>
  <si>
    <t>2 muertos por intoxicacion de monoxido de carbono</t>
  </si>
  <si>
    <t>1 muerto por quemaduras</t>
  </si>
  <si>
    <t xml:space="preserve">Copainala, Salto de Agua y Tecpatan </t>
  </si>
  <si>
    <t>Debido a la sequia se registraron daños en el sector agrícola, por lo que el FAPRACC apoyó a los productores afectados para reactivar las actividades de los productores afectados</t>
  </si>
  <si>
    <t>Escarcega, Hopelchen, Tenabo, Carmen, Candelaria y Palizada</t>
  </si>
  <si>
    <t>Chilpancingo, Acapulco, Cuajinicuilapan, Copala y Tecpan de Galeana</t>
  </si>
  <si>
    <t>Debido a las fuertes lluvias se reportaron afectaciones en varios municipios, así mismo se reportó la muerte de una persona, 63 viviendas afectadas y un puente colapsado.</t>
  </si>
  <si>
    <t>Guadalupe Victoria, Tecamachalco, Zautla, Zacatlan, Ayotoxco de Guerrero y Zapotitlan de Mendez</t>
  </si>
  <si>
    <t xml:space="preserve">Jonuta, Huimanguillo, Teapa, Centla, Balancan, Tenosique, Centro, Emiliano Zapata, Cunduacan, Cardenas, Nacajuca, Macuspana, Comalcalco, Jalpa de Mendez y Paraiso, </t>
  </si>
  <si>
    <t>Angel Albino Corzo, La Concordia</t>
  </si>
  <si>
    <t>Villa de la Paz</t>
  </si>
  <si>
    <t>Se reportan daños en los techos de cocheras y letrinas. No hay afectaciones mayores. Ademas de daños mínimos a 40 viviendas</t>
  </si>
  <si>
    <t>Alvaro Obregon, Azcapotzalco, Cuauhtemoc y Miguel Hidalgo</t>
  </si>
  <si>
    <t>Caida de varios arboles, anuncios espectaculares y corte de energia electrica debido a los fuertes vientos. Una persona perdio la vida</t>
  </si>
  <si>
    <t>Los vientos provocaron caida de postes y cables de energia electrica, arboles, algunos techos y lonas de negocios, anuncios espectaculares y algunos incendios en casas</t>
  </si>
  <si>
    <t>Chicomuselo</t>
  </si>
  <si>
    <t>Debido a la onda tropical "10" se presentaron fuertes vientos y granizo, lo que provoco daños a 100 viviendas de las cuales 25 son de perdida total y 75 con daños parciales en sus techos, se proporciona apoyo de laminas de cartón</t>
  </si>
  <si>
    <t>Sonda de Campeche</t>
  </si>
  <si>
    <t>Los fuertes vientos ocasionados por el Fremnte Frío 4 afectaron la plataforma Usumacinta y provocaron 21muertos y 1 desaparecido. Además se registró derrame de crudo en el golfo y posterior incendio en la plataforma.</t>
  </si>
  <si>
    <t>Zautla</t>
  </si>
  <si>
    <t>La afectacion fue a 5,000 personas de 20 comunidades aproximadamente.150 familias afectadas en su vivienda</t>
  </si>
  <si>
    <t>Acatlan, Xicotepec, Zautla, Cuautempan, Xchiapulco y Cuyuaco</t>
  </si>
  <si>
    <t>La granizada afecto viviendas de material endeble y a cultivos. Hubo 7 lesionados</t>
  </si>
  <si>
    <t>Solidaridad y Cozumel</t>
  </si>
  <si>
    <t>La granizada provocó daños menores en 20 viviendas.</t>
  </si>
  <si>
    <t>Totimehuacan</t>
  </si>
  <si>
    <t>Se registro una granizada afectando 38 parcialmente y 70 mas resultaron con afectaciones menores, se dio el apoyo correspondiente</t>
  </si>
  <si>
    <t>Moroleon</t>
  </si>
  <si>
    <t>La tormenta electrica provoco la muerte de 2 personas y 8 heridos por caida de rayo</t>
  </si>
  <si>
    <t>Tlapacoyan y Martinez de la Torre</t>
  </si>
  <si>
    <t>Los decesos ocurrieron en lugars diferentes y ambos por caida de rayo</t>
  </si>
  <si>
    <t>Huandacareo</t>
  </si>
  <si>
    <t>Se registró una fuerte granizada en el municipio, afectando cerca de 200 hectáreas de maíz</t>
  </si>
  <si>
    <t>Zacapu, Jimenez y Coeneo</t>
  </si>
  <si>
    <t>Se registró una fuerte granizada la cual afecto cientos de hectáreas de maíz y sorgo</t>
  </si>
  <si>
    <t>La granizada afecto varias hectareas de Durazno, maíz, pera y ciruela. El FAPRACC apoyó a los productores afectados</t>
  </si>
  <si>
    <t>Altzayanca</t>
  </si>
  <si>
    <t>La helada afecto varias hectareas de maiz y durazno</t>
  </si>
  <si>
    <t xml:space="preserve">Jalpa, Tabasco y Huanusco, </t>
  </si>
  <si>
    <t>Se presentaron daños en el sector agropecuario a consecuencia del fenómeno.</t>
  </si>
  <si>
    <t>Se registraron severos daños en el cultivo del guayabo a consecuencia del fenómeno. El FAPRACC apoyo a los productores afectados.</t>
  </si>
  <si>
    <t>Nuevo Rosita</t>
  </si>
  <si>
    <t>Derrumbe de un pozo de carbon</t>
  </si>
  <si>
    <t>Tlachinol y Tlahuitepa</t>
  </si>
  <si>
    <t>Las lluvias del fin de semana provocaron el reblandecimiento del suelo, provocando deslizamiento de piedra y lodo en varios tramos carreteros</t>
  </si>
  <si>
    <t>Apaxco</t>
  </si>
  <si>
    <t>Rescatan el cuerpo sin vida de un minero despues de haberle caido una roca</t>
  </si>
  <si>
    <t>Se presume que el derrumbe se debio a una excavacion y el reblandecimiento del suelo, provocando que 8 personas resultaran afectadas</t>
  </si>
  <si>
    <t>Coyuya de Benitez</t>
  </si>
  <si>
    <t>Fuertes lluvias acompañadas de fuertes vientos, causados por la Onda Tropical Num. 08 se reportan 601 viviendas de las comunidades de Espinalillo, San Nicolas, Tixtlancingo, Aguas Blancas, El Papayo, Bajos del Ejido, El aguacate, Luces en El Mar, El Zapote, San Juan del Rio, Ocotillo, Platanillo y El Embarcadero. Se proporciono laminas de carton, Kit´s de limpieza, colchonetas, despensas, cobertores, costales e impermeables.</t>
  </si>
  <si>
    <t>Luvianos</t>
  </si>
  <si>
    <t>La estructura de un puente se derrumbo de manera inesperada lesionando a tres trabajadores y una persona fallecida</t>
  </si>
  <si>
    <t>Se registro una ccidente en una mina el cual provoco un ligero derrumbe en la misma una persona fallecio al quedar atrapada las otras 4 presentaron lesiones</t>
  </si>
  <si>
    <t>Se presento desgajamiento de un cerro, causas desconocidas, provocando que una vivienda quedara sepultada. Dos personas resultaron muertas. Se realizan los trabajos de remocion de la tierra, para recuperar los cuerpos</t>
  </si>
  <si>
    <t>Eloxochitlan</t>
  </si>
  <si>
    <t>Se registro un deslizamiento en el trazo de la carretera que cruza esta comunidad hacia Siguilica, mientras un camion de pasajeros cruzaba, se reportó la muerte de 32 personas y 13 desaparecidos</t>
  </si>
  <si>
    <t>Tetela del Volcan</t>
  </si>
  <si>
    <t>Derivado del derrumbe se reportan 2 muertos que trabajaban en la reparacion de una tuberia de agua potable</t>
  </si>
  <si>
    <t>Villa Guerrero</t>
  </si>
  <si>
    <t>Derrumbe sobre un restaurante. La persona lesionada fue trasladada a un hospital cercano</t>
  </si>
  <si>
    <t>Se informa del derrumbe de una ladera, colapsando una vivienda, resultando una persona fallecida y una lesionada</t>
  </si>
  <si>
    <t>Agua Blanca</t>
  </si>
  <si>
    <t>Se reporta la muerte de una persona por el deslave de un cerro</t>
  </si>
  <si>
    <t>Tecpan de Galeana, Atoyac de Álvarez, San Jerónimo</t>
  </si>
  <si>
    <t>De la tormenta local acompañada de viento fuerte, la noche del pasado 23 de agosto, en el municipio de Atoyac de Álvarez, preliminarmente hasta la noche de ayer, se habían evaluado 92 viviendas con daño bajo, 25 con daño alto por desprendimiento de techos de lámina y 80 árboles caídos en 12 colonias: J. N. Alvarez, Mártires, El Tanque, Benito Juárez, Centro, 18 de Mayo, Vicente Guerrero, Ranchito, Las Palmeras, Unión y Progreso, Fraccionamiento Sarch y El Ticuí. Se ha brindado ayuda en 65 viviendas en las reparaciones de los techos y al retiro de 12 árboles. La Secretaría de Protección Civil del Gobierno del Estado de Guerrero, ha entregado un total de 80 láminas galvanizadas, 170 despensas, 170 kits de limpieza, 170 kits de aseo personal, 200 cobertores, 210 colchonetas y 200 metros de hule. No se reportan daños humanos ni personas evacuadas.</t>
  </si>
  <si>
    <t>Tecapn de Galeana, Marquelia, Coyuca de Benítez y Florencio Villareal</t>
  </si>
  <si>
    <t>Debido a la onda tropical 6 y 7 se presntaron olas de 10 metros de altura, las cuales ocasionaron daños en 68 viviendas por lo que se evacuó a 299 personas. En 56 viviendas se presentó daño total y 8 con daño parcial. Se instalaron 3 refugios temporales.</t>
  </si>
  <si>
    <t>Ostuacan</t>
  </si>
  <si>
    <t>Deslizamiento de suelo en la Comunidad de Juan de Grijalva, reportandose 387 personas albergadas, 25 fallecimientos y cerca de 100 viviendas inundadas. El deslizamiento ocasionó el taponamiento del Río Grijalva, ocasionando que la CFE, CNA y otras dependecias movilizaran millones de pesos y cientos de personas para intentar restablecer el cauce del río. Además derivado del tapon, se inundaron varias comunidades aguas arriba.</t>
  </si>
  <si>
    <t>Jocotepec y Chapala</t>
  </si>
  <si>
    <t>Se registró un deslave en dichos municipios producto de las fuertes lluvias. El FONDEN apoyó para las labores de reconstrucción</t>
  </si>
  <si>
    <t>Huetamo</t>
  </si>
  <si>
    <t>Delegacion Iztapalapa</t>
  </si>
  <si>
    <t>Tlapa</t>
  </si>
  <si>
    <t>Santiago de Anaya</t>
  </si>
  <si>
    <t>Delegacion Tlalpan</t>
  </si>
  <si>
    <t>Queretaro</t>
  </si>
  <si>
    <t>Matias Romero</t>
  </si>
  <si>
    <t>Culiacan</t>
  </si>
  <si>
    <t>Tuxtla Gutierrez</t>
  </si>
  <si>
    <t>Lagos de Moreno</t>
  </si>
  <si>
    <t>Hidalgotitlan, Jose Azueta, Isla, Playa Vicente y Texistepec</t>
  </si>
  <si>
    <t xml:space="preserve">Se registraron afectaciones en cultivos de maíz a consecuencia de la inundación registrada en los municipios mencionados. Se apoyo a los cerca de 3,000 productores afectados con 6.6 millones de pesos aproximadamente, mismos que provinieron del FAPRACC. La producción afectada se estimó en 15,312 toneladas   </t>
  </si>
  <si>
    <t>PACC/CENAPRED</t>
  </si>
  <si>
    <t>Pichucalco, Palenque, Salto de Agua, Ostuacan, Cintalapa, Arriaga y Mapastepec</t>
  </si>
  <si>
    <t>Debido a las fuertes lluvias se reportaron afectaciones menores en 90 viviendas debido a la penetración de agua provocada por el desbordamiento de algunos ríos</t>
  </si>
  <si>
    <t>Los efectos del Frente frio número 19 se sintieron en el municipio, se activaron dos refugios temporales. Se reportan daños a dos vehículos, dos viviendas y una persona fallecida.</t>
  </si>
  <si>
    <t>Tizimin</t>
  </si>
  <si>
    <t>Debido a las fuertes lluvias se registraron daños en 20 viviendas, se realizó evacuación preventiva</t>
  </si>
  <si>
    <t>Zapotitlan de Mendez y Camocuautla</t>
  </si>
  <si>
    <t>Se registraron lluvias y fuertes vientos en los municipios mencionados, se reportan daños parciales en 65 viviendas. Las autoridades correspondientes brindaron el apoyo necesario a la población</t>
  </si>
  <si>
    <t>Ixhuatlan</t>
  </si>
  <si>
    <t>Se registraron fuertes lluvias en el municipio ocasionando daños parciales a tres viviendas y a un tramo carretero a la altura del kilòmetro 93.5 de la carretera Ixhuatlan-Solosuchiapa</t>
  </si>
  <si>
    <t>Boca del Rio, La Antigua, Ursulo Galvan, Alvarado, Panuco, Tantoyuca, Tampico Alto, Ozuluama, Tamiahua, Tantima, Tuxpan, Chinampa de Gorostiza, Tecolutla, Gutiérrez Zamora, Poza Rica, San Rafael, San Andres Tuxtla, Santiago Tuxtla, Catemaco, Lerdo de Tejada, Angel R. Cabada y Saltabarranca</t>
  </si>
  <si>
    <t>Se reportaron vientos y lluvias de moderadas a fuertes en los municipios mencionados. Lo anterior se debe a la presencia del Frente Frìo nùmero 33. Hasta el momento únicamente se han reportado daños en una vivienda parcialmente y en dos vehículos</t>
  </si>
  <si>
    <t>Angel Albino Corzo</t>
  </si>
  <si>
    <t>Debido a las fuertes lluvias y vientos se reportaron daños en 12 viviendas construidas con material endeble. La población afectada recibió el apoyo correspondiente</t>
  </si>
  <si>
    <t>La Candelaria</t>
  </si>
  <si>
    <t xml:space="preserve">Debido a las fuertes lluvias y vientos registrados en la comunidad de El Porvenir se reportaron daños en los techos de 10 viviendas. La población afectada fue apoyada </t>
  </si>
  <si>
    <t>Villa de Guadalupe</t>
  </si>
  <si>
    <t>Debido a las fuertes lluvias en la comunidad de San Josè de la Peña se reportaron 10 viviendas afectadas en sus techos. La población afectada recibio el apoyo correspondiente</t>
  </si>
  <si>
    <t>Nanacamilpa de Mariano Arista</t>
  </si>
  <si>
    <t>Se registro fuerte lluvia acompañada de granizo. Se reportan 50 viviendas con daños menores</t>
  </si>
  <si>
    <t>Nautla, Misantla, Martinez de la Torre, Tlapacoyan, Colipa, Tenochtitlan, San Rafael, Xalapa y La Perla</t>
  </si>
  <si>
    <t>Se registraron fuertes lluvias y vientos debido a la presencia del Frente Frio numero 40. Se reportan 68 comunidades afectadas, 35 colonias y un total de 728 viviendas</t>
  </si>
  <si>
    <t>Se registraron fuertes lluvias afectando varias viviendas por penetración de agua y tres mas con daños menores. Se habilitó un refugio temporal mismo que atendió a 17 personas. Así mismo una clínica del ISSSTE resulto afectada por penetración de agua de unos 50 cm de altura</t>
  </si>
  <si>
    <t>Debido a las fuertes lluvias presnetadas en el municipio se presentaron daños en los techos de 70 viviendas. Las familias afectadas fueron apoyadas con despensas y cobertores</t>
  </si>
  <si>
    <t>Atlangatepec</t>
  </si>
  <si>
    <t>Debido a las fuertes lluvias se reportaron afectaciones en los techos de 9 viviendas. La población afectada fue apoyada con despensas y cobertores</t>
  </si>
  <si>
    <t>Sabinas, San Juan Sabinas y Múzquiz</t>
  </si>
  <si>
    <t>Se registraron fuertes lluvias y vientos en los municipios mencionados. Se reportaron 20 viviendas afectadas, mismas que seran apoyadas por la Secretaría de Desarrollo Social</t>
  </si>
  <si>
    <t>Cuautepec</t>
  </si>
  <si>
    <t>Debido a la fuerte lluvia con momentos de granizo se reportaron dañós en seis viviendas, principalmente en los techos de las mismas. Se brindo apoyo de colchonetas y cobertores a la población damnificada</t>
  </si>
  <si>
    <t>Se reportan fuertes lluvias en el municipio mencionado, una persona fue arrastrada en su vehículo, misma que perdió la vida</t>
  </si>
  <si>
    <t>Trinidad de Viguera, Santa Rosa, Pueblo Nuevo, Santa Cruz Xoxocotlan, Santa Maria Atzompa, Santa Maria del Tule, Animas Trujano, Trinidad Zaachila, Cuilapan de Guerrero, Soledad, Nareno y Guadalupe Etla</t>
  </si>
  <si>
    <t xml:space="preserve">Se presentaron lluvias con vientos fuertes en los municipios mencionados. Se reportan algunos desgajamientos de cerros sin que estos hayan afectado a la población. Se reportan dos personas fallecidas, una por caida de rayo y otra al ser aplastada por una barda que se desplomo por la lluvia. </t>
  </si>
  <si>
    <t>Teapa y Tacotalpa</t>
  </si>
  <si>
    <t>Debido a las fuertes lluvias se reporta desbordamiento de algunos rios, como medida preventiva se evacuó a la población ubicada en zonas bajas. Desafortunadamente una persona perdió la vida.</t>
  </si>
  <si>
    <t>Nueva Rosita y Sabinas</t>
  </si>
  <si>
    <t>Se registraron fuertes lluvias en los municipios mencionados, como resultado 200 viviendas sufrieron daños mínimos. Así mismo, fue necesario habilitar un refigio temporal en el cual se atendio a un total de 30 personas</t>
  </si>
  <si>
    <t>Se registraron fuertes lluvias acompañadas de vientos en la ciudad de México, se reporta la caída de varios árboles y anuncios espectaculares. Seis personas resultaron lesionadas</t>
  </si>
  <si>
    <t>Vicente Guerrero</t>
  </si>
  <si>
    <t>Se registraron fuertes lluvias acompañadas de granizo por momentos. Se reportan 100 viviendas con daños en sus techos. Se apoyo a la población afectada</t>
  </si>
  <si>
    <t>Union Juarez y Venustiano Carranza</t>
  </si>
  <si>
    <t>Se registraron fuertes lluvias y vientos que afectaron a 90 viviendas, 7 de estas con daño total</t>
  </si>
  <si>
    <t>La Perla, Calcahualco, Mariano Escobedo, Ayahualulco, Xico, Tlaltetela, Coscomatepec, Alpatlahuac, Zentla, Tlacotepec y Martinez de la Torre</t>
  </si>
  <si>
    <t>Se reportaron fuertes lluvias acompañadas por momentos de granizo, se reportan daños en 2,510 viviendas, dos puentes y varias hectáreas de cultivos afectadas</t>
  </si>
  <si>
    <t>Tlacotepec de Benito Juarez</t>
  </si>
  <si>
    <t>Se registraron fuertes lluvias en el municipio mencionado. Se reportan 120 viviendas afectadas por penetración de agua (daños mínimos)</t>
  </si>
  <si>
    <t>Debido a las fuertes lluvias varios ríos aumentaron su cauce, ocasionando la muerte de una persona que intentó cruzarlo</t>
  </si>
  <si>
    <t>Ixtepec</t>
  </si>
  <si>
    <t xml:space="preserve">Se registraron fuertes lluvias mismas que ocasionaron daños en ocho viviendas y una escuela. </t>
  </si>
  <si>
    <t>Se registraron daños por penetración de agua en 20 viviendas debido a las fuertes lluvias</t>
  </si>
  <si>
    <t>Ixhuatan, Socoltenango, Suchiate, Tapilula, Union Juarez y Villa Comaltitlan</t>
  </si>
  <si>
    <t>Se registraron fuertes lluvias, por lo que fue necesario realizar 4 acciones en caminos y carrteras federales y 17 en estatales</t>
  </si>
  <si>
    <t>Palenque, Yajalon, Sabanilla, Ocozocuautla, Chiapa de Corzo, Cacahuatan, Ocosingo, Suchiate, Tonala, Pijijiapan, Arriaga, Tonala y Mapastepec</t>
  </si>
  <si>
    <t>Debido al impacto del ciclon tropical Arthur se reportan afectaciones menores en 49 viviendas. Se instaló un refugio temporal en el municipio de Suchiate en donde se resguardaron 16 personas. No se reportan afectaciones mayores. Asi mismo se evacuo a 300 personas en el municipio de Ocosingo</t>
  </si>
  <si>
    <t>Teapa, Jalapa, Centro, Tenosique, Paraiso y Balancan</t>
  </si>
  <si>
    <t>Debido al impacto de la depresion tropical Arthur se reportan afectaciones en 19 comunidades, hasta el momento se han activado dos refugios temporales con 35 personas albergadas. Se estima que la población afectada es de 3,517 personas. Se presentaron dañós por penetracion de agua en 881 viviendas</t>
  </si>
  <si>
    <t>Se presentaron fuertes lluvias en el estado de Quintana Roo</t>
  </si>
  <si>
    <t>Asunción Ixtaltepec, Chauites, Ciudad Ixtepec, Guevea de Humboldt, Magdalena Tequisistlan, Magdalena Tlacotepec, San Miguel Tenango, San Pedro Comitancillo, San Pedro Tapanatepec, Santa Maria Guienagati, Santa Maria Jalapa del Marques, Santa Maria Totolapilla, Santiago Lachiguiri, Santiago Laollaga, Santo Domingo Chihuitan, Santo Domingo Zanatepec, San Pedro Huamelula, Santiago Astata, Santa María Mixtequilla, Juchitan de Zaragoza y Santa Maria Xanadi</t>
  </si>
  <si>
    <t>A consecuencia de las fuertes lluvias e inundaciones se realizaron 90 acciones de restauración de caminos y  carrteras, 84 a nivel estatal. CONAGUA realizo 41 acciones de restauración a nivel estatal, 27 en municipal y 8 en federal</t>
  </si>
  <si>
    <t>Apazapan, Córdoba, Cuichapa, Cuitlahuac, Emiliano Zapata, Jamapa, Paso de Ovejas, Xalapa y Xico</t>
  </si>
  <si>
    <t>Se registraron fuertes lluvias dejando graves afectaciones, por lo que fue necesaro realizar 4 aciones a nivel federal, 42 en nivel estatal en el rubro de comunicaciones y transporte</t>
  </si>
  <si>
    <t>San Pedro Tapanatepec, San Pedro Pochutla y San Francisco Ixhuatlan</t>
  </si>
  <si>
    <t>Se registraron fuertes lluvias en los municipios mencioandos. Una persona perdio la vida al ser arrastrada por un arroyo crecido</t>
  </si>
  <si>
    <t>La Huasteca, CD. Valles, El Naranjo, Tamuin, Ebano, Axtla, Matlapa, Tancanhuitz de Santos, Tampolon Corona y Tanlajas</t>
  </si>
  <si>
    <t>Se registraron fuertes lluvias en los municipios mencionados, se reportan 395 personas afectadas de las cuales 116 en refugios temporales</t>
  </si>
  <si>
    <t>Aquismon, Axtla de Terrazas, Ciudad Valles, El Naranjo, San Antonio, San Martin Chalchicuautla, San Vicente Tancuayalab, Tamasopo, Tampacan, Tampamolon Corona, Tamuin, Tanjalas y Tanquian de Escobedo</t>
  </si>
  <si>
    <t xml:space="preserve">Se registraron afectaciones en cultivos de maíz a consecuencia de la inundación registrada en los municipios mencionados. Se apoyo a los 3,185 productores afectados con 4.5 millones de pesos aproximadamente, mismos que provinieron del FAPRACC. La producción afectada se estimó en 4,617 toneladas   </t>
  </si>
  <si>
    <t>Aquismon</t>
  </si>
  <si>
    <t xml:space="preserve">Se registraron afectaciones en cultivos de cafe a consecuencia de la inundación registrada en el municipio mencionado. Se apoyo a los 320 productores afectados con 857 mil pesos aproximadamente, mismos que provinieron del FAPRACC. La producción afectada se estimó en 300 toneladas   </t>
  </si>
  <si>
    <t>Tuxtepec, Huatulco, Santa María Huatulco, San Bartolo Loxicha, San Pedro Pochutla, Santa María Quilegolani, Santa María Ecatepec, Santa María Zapotlan, Santo Tomas Teopan, Santo Domingo Chontecomatlan, San Pedro Soltepec y San Lorenzo Julotepequillo</t>
  </si>
  <si>
    <t>Debido a las fuertes lluvias registradas en los municipios mencionados se reportaron daños menores en 550 viviendas, así mismo se reportan algunos tramos carrteros afectados</t>
  </si>
  <si>
    <t>Huitacalco, San Xiutetelco, Atempan, Atzitzintla y Cañada de Morelos</t>
  </si>
  <si>
    <t>Debido a las fuertes lluvias se presentaron daños en 13 viviendas y 4 escuelas. Las afectaciones fueron por penetracion de agua con lodo</t>
  </si>
  <si>
    <t>Acapetahua y Las Margaritas</t>
  </si>
  <si>
    <t>Debido a las fuertes lluvias se presentaron daños en 70 viviendas con daños menores y otras 594 con daños mínimos. Se apoyo a las familias afectadas con mil colchonetas, igual número de cobertores y 350 despensas</t>
  </si>
  <si>
    <t>Tenosique, Balancan, E. Zapata, Jonuta y Centla.</t>
  </si>
  <si>
    <t>Se registraron fuertes lluvias en los municipios mencionados, dejando 169 comunidades afectadas</t>
  </si>
  <si>
    <t>Aguascalientes y Calvillo</t>
  </si>
  <si>
    <t>Se registraron fuertes lluvias en los municipios mencionados, unicamente se rpesentaron daños en enseres de algunas viviendas</t>
  </si>
  <si>
    <t>Ciudad Guzman, Cuahutitlan, Ejutla, Union de Tula, Juchitlan, Ayutla, Tecotlan, Chiquilistlan, Santa Maria de los Angeles, Mezquitic, Villa Guerrero, Huejuquilla el Alto y Guadalajara</t>
  </si>
  <si>
    <t>Debido a las fuertes lluvias se reportaron daños en 191 viviendas por penetracion de agua. Se apoyo a las familias afectadas</t>
  </si>
  <si>
    <t>Se registraron fuertes lluvias en el municipio, afectando a 20 viviendas por penetración de agua.</t>
  </si>
  <si>
    <t>Se registro la muerte de una persona que fue arrastrada por el río Actopan, mismo que se encuentra crecido por las fuertes lluvias</t>
  </si>
  <si>
    <t>Atlixtac</t>
  </si>
  <si>
    <t>Deslave de cerro, por reblandecimiento de tierra en la Colonia Monte Sinaí del poblado de Huitzapula, municipio de Atlixtac, se presentó pérdida total de 20 viviendas, construidas de material endeble (Adobe y lamina), así mismo 42 viviendas en riesgo, ya que continúan poco a poco los deslaves del cerro, sin reporte de personas fallecidas ni lesionadas. De manera preventiva las personas afectadas se trasladaron a casas de familiares cercanos.</t>
  </si>
  <si>
    <t>Debido a las fuertes lluvias se presentaron daños en 8 viviendas ubicadas en zonas de riesgo, se sugiere su reubicación. Las familias afectadas fueron apoyadas con conertores, colchonetas y despensas</t>
  </si>
  <si>
    <t>Se reportaron daños parciales en 7 viviendas debido a las fuertes lluvias y posterior inundación de algunas colonias.</t>
  </si>
  <si>
    <t>Celaya, León, Irapuato, Guanimaro y Guanajuato</t>
  </si>
  <si>
    <t>Se registraron fuertes lluvias en los municipios mencionados, fue necesario rescatar a varias personas de vehículos varados. Se reporta la muerte de una persona y un lesionado</t>
  </si>
  <si>
    <t>Cañada Morelos</t>
  </si>
  <si>
    <t>Debido a las fuertes lluvias se reportaron daños en 40 viviendas por penetración de agua, así mismo se reporta el bloqueo de la carretera El Seco- La Asumbilla por material de arrastre de las zonas altas</t>
  </si>
  <si>
    <t>Alvarado, Veracruz, Boca del Río Tierra Blanca, Ixtaczoquitlan, Mariano Escobedo, Puente Nacional, Emiliano Zapata, Paso de Ovejas, Camarón de Tejeda, Jamapa, Orizaba, Actopan, Medellín de Bravo, Apazapan y Manlio F. Altamirano.</t>
  </si>
  <si>
    <t>Debido a las fuertes lluvias se reportaron 87 comunidades, 40 colonias con un  total de  898 viviendas afectadas)</t>
  </si>
  <si>
    <t>Guadalajara, Tlaquepaque y El Salto</t>
  </si>
  <si>
    <t>Se registraron fuertes lluvias en los municipios mencionados, provocando an4egaciones en algunas colonias. Se reporta la muerte de una persona por arrastre y una mas lesionada</t>
  </si>
  <si>
    <t>Sanctorum</t>
  </si>
  <si>
    <t>Debido a las fuertes lluvias se registraron daños en los techos de 200 viviendas</t>
  </si>
  <si>
    <t>Manuel Doblado y León</t>
  </si>
  <si>
    <t>Se registraron fuertes lluvias acompañadas por momentos de granizo y fuertes vientos, se reportan daños en 19 viviendas y 5 vehículos</t>
  </si>
  <si>
    <t>Loreto y Noria de los Àngeles</t>
  </si>
  <si>
    <t>Se registraron fuertes lluvias en los municipios mencionados se reportaron daños en 65 viviendas y en 190 hectáreas de hortalizas</t>
  </si>
  <si>
    <t>Se registraron fuertes lluvias en el municipio, causando afectaciones en el menaje de 150 viviendas.</t>
  </si>
  <si>
    <t>Tlapacoyan y Jaltipan</t>
  </si>
  <si>
    <t xml:space="preserve">Debido a las fuertes lluvias se registraron daños menores en 71 viviendas </t>
  </si>
  <si>
    <t>Las Choapas y Río Blanco</t>
  </si>
  <si>
    <t>Debido a las fuertes lluvias resitradas en los municipios se reportaron anegaciones en 70 viviendas</t>
  </si>
  <si>
    <t>Se registraron fuertes lluvias, mismas que afectaron 80 viviendas con penetración de agua</t>
  </si>
  <si>
    <t>varios municipios (20)</t>
  </si>
  <si>
    <t>Debido a  las fuertes lluvias se registraron 894 viviendas afectadas, 124 obras de restauracion por parte de  SCT a nivel estatal y 3 a nivel federal</t>
  </si>
  <si>
    <t>Poza Rica, Tihuatlán, Ixhuatlan de Madero, Alamo-Temapache, Veracruz, Tlalixcoyan, Ixmatlahuacan, Agua Dulce, Jesus Carranza, Tres Valles, Xalapa, Coatepec, Mariano Escobedo, Yecuatla, Tenampa, Chacaltianguis, Playa Vicente, Cosamaloapan y Tlacotalpan</t>
  </si>
  <si>
    <t>Se reportaron afectaciones en 19 municipios debido a las fuertes lluvias. Un total de 60 localidades, 39 colonias, 294 viviendas con daños mínimos y 548 con daños menores, un puente y daños en algunos cultivos de café, platano y maíz</t>
  </si>
  <si>
    <t>Salina Cruz, Santiago Astata Sanpedro Huilotepec San Blas Ateampa, Santa María Jalapa del Márquez, Santo Domingo Tehuantepec San Pedro Huamelula</t>
  </si>
  <si>
    <t xml:space="preserve">Debido a las fuertes lluvias se reportaron 145 municipios afectados; </t>
  </si>
  <si>
    <t>varios municipios</t>
  </si>
  <si>
    <t>Se registrarón fuertes lluvias que dejaron fuertes afectaciones, se realizaron 95 acciones de restauracion en caminos y carreteras a nivel estatal, CONAGUA  realizo 53 acciones de restauración 12 a nivel estatal, 35 a municipal y 6 a federal</t>
  </si>
  <si>
    <t>Misantla, Acayucan, Carlos A. Carrillo, Ixhuacan de los Reyes, Emiliano Zapata, Panuco, Martínez de la Torre, El Higo y Paso de Ovejas, Soledad de Doblado, Pueblo Viejo, Tlaltetela, Tlalixcoyan, Tepetlan, Jamapa y José Azueta.</t>
  </si>
  <si>
    <t>Se reportaron fuertes lluvias afectando a 358 viviendas, 2 con pérdida total, 2 ríos, desbordados 1 canal, 9 Albergues con 760 personas</t>
  </si>
  <si>
    <t>Se registraron fuertes lluvias mismas que afectaron 25 viviendas con daños menores, así mismo se registro la caída de varios árboles</t>
  </si>
  <si>
    <t>Zacatecas y Loreto</t>
  </si>
  <si>
    <t>Se registraron fuertes lluvias en los municipios mencionados, afectando 347 viviendas</t>
  </si>
  <si>
    <t>Debido a las fuertes lluvias se registraron daños menores en 30 viviendas</t>
  </si>
  <si>
    <t>Zacatecas, Loreto, Noria de Ángeles y Villa González Ortega</t>
  </si>
  <si>
    <t>Debido a las fuertes lluvias se registraron daños en 340 viviendas</t>
  </si>
  <si>
    <t>Altamira, Madero, Tampico, Aldama, González, Mante, Gómez Farias, Xicotencatl y Soto la Marina</t>
  </si>
  <si>
    <t>Debido a las fuertes lluvias se evacuaron 2,800 personas en 42 refugios temporales</t>
  </si>
  <si>
    <t>Se registraron fuertes lluvias en el municipio mencionado, una persona perdio la vida al ser arrastrada y dos mas resultaron lesionadas</t>
  </si>
  <si>
    <t>Aldama, Altamira, Gonzalez, Gomez Farias, Mante, Reynosa, Soto La Marina, Tampico, Ciudad Victoria, Ciudad Madero, Xicotencatl</t>
  </si>
  <si>
    <t>Se registraron fuertes lluvias en los municipios mencionados, se reporta la muerte de 3 personas</t>
  </si>
  <si>
    <t>Jalostotitlan, El Salto, y Puerto Vallarta</t>
  </si>
  <si>
    <t>Se registraron fuertes lluvias en los municipios mencionados, se reporta la muerte de 1 persona</t>
  </si>
  <si>
    <t>varios municipios (8)</t>
  </si>
  <si>
    <t>Debido a  las fuertes lluvias se registraron 132 viviendas afectadas y 63 obras de restauracion por parte de  SCT a nivel estatal</t>
  </si>
  <si>
    <t xml:space="preserve">Naranjos, Tempoal, Castillo de Teayo, Citlaltépetl, Tancoco, Chinampa de Gorastiza, Álamo-Tempache, Tantima, Tuxpan, Banderilla, Chontla, Jacomulco, Cerro Azul, Ursulo Galván.       </t>
  </si>
  <si>
    <t>Pachuca Huejutla, Atlapexco, Yahualica, Xochiatipan, San Felipe Orizatlan,  Tula y Apan</t>
  </si>
  <si>
    <t>Se registraron fuertes lluvias en los municipios mencionados, se reportan 169 comunidades afectadas</t>
  </si>
  <si>
    <t>varios municipios (17)</t>
  </si>
  <si>
    <t>Se registro fuerte lluvia e inundación dejando graves afectaciones, por lo que fue necesaro realizar 2 aciones a nivel federal, 28 en nivel estatal en el rubro de comunicaciones y transporte</t>
  </si>
  <si>
    <t>varios municipios (7)</t>
  </si>
  <si>
    <t>Se registro fuerte lluvia e inundación dejando graves afectaciones, por lo que fue necesaro realizar 5 aciones a nivel federal, 32 en nivel estatal en el rubro de comunicaciones y transporte</t>
  </si>
  <si>
    <t>Ixtaczoquitlán, Nogales, la Perla, Mariano Escobedo, Atlahuilco, Tequila, Pánuco, Pueblo Viejo, Camerino Z. Mendoza, el Higo, Texistepec, Tempoal, Jalapa, Colipa, Jilotepec, Soledad Atzompa,  Chiconamel, Jamapa, Manlio Fabio Altamirano, Minatitlán, la Antigua, Chocaman, Tepetlan y Zongolica</t>
  </si>
  <si>
    <t>Se registraron fuertes lluvias en los municipios mencionados, se reporta 34 municipios afectados y continua la evaluación de daños</t>
  </si>
  <si>
    <t>Se registraron fuertes lluvias  dejando 89 viviendas afectadas, además se tuvieron que realizar 3 acciones por parte de CONAGUA a nivel federal y 1 por parte de SCT (federal)</t>
  </si>
  <si>
    <t>Playa Vicente, Isla, Cosamaloapan, Jose Azueta, Carlos A. Carrillo,Tlacojalpan, Chacaltianguis, Tres Valles, Veracruz, Las Choapas, San Juan Evangelista, Texistepec, Jaltipan, La Perla, Mariano Escobedo y Orizaba.</t>
  </si>
  <si>
    <t>Se registraron fuertes lluvias en los municipios mencionados, afectando 21 municipios y 103 municipios</t>
  </si>
  <si>
    <t>Se registraron fuertes lluvias dejando grandes afectaciones, por lo que fue necesario realizar 2 acciones a nivel federal  por parte de SCT</t>
  </si>
  <si>
    <t>A consecuencia del impacto del huracán Dolly, se registraron fuertes lluvias dejando grandes afectaciones, por lo que fue necesario realizar 28 acciones a nivel estatal por parte de SCT y 41 acciones por parte de CONAGUA 2 a nivel estatal y 39 en federal</t>
  </si>
  <si>
    <t xml:space="preserve">Se registraron fuertes lluvias dejando grandes afectaciones, por lo que fue necesario realizar 22 acciones a nivel estatal  y 2 a federal por parte de SCT </t>
  </si>
  <si>
    <t>Parral</t>
  </si>
  <si>
    <t>Se registraron fuertes lluvias dejando grandes afectaciones, por lo que fue necesario realizar 14 acciones de restauración por parte de CONAGUA 9 a nivel estatal y 5 en hidroagrícola. 8 tramos carreteros afectados</t>
  </si>
  <si>
    <t>Manuel Doblado, Celaya, Irapuato y Salamanc</t>
  </si>
  <si>
    <t>Se registraron fuertes lluvias en los municipios mencionados dejando 106 Viviendas afectadas por penetración de agua, con tirantes de 10 a 40 cm</t>
  </si>
  <si>
    <t>Canatlan</t>
  </si>
  <si>
    <t>Se registraron afectaciones en más de 3,000 hectáreas de maíz, frijol y avena. El número de productores afectados se estimo en 1,085. El PACC apoyó con 2.9 millones de pesos aproximadamente. La producción afectada se estimó en más de 1,800 toneladas afectadas.</t>
  </si>
  <si>
    <t xml:space="preserve">Aldama, Camargo, Coyame, Jimenez, Julimes, La Cruz, Manuel Benavides, Meoqui, Ojinaga, San Francisco de Conchos, Saucillo y Valle de Zaragoza </t>
  </si>
  <si>
    <t xml:space="preserve">Mas de 2,500 productores de Maiz, Chile, Sorgo, Frijol, Nogal y Alfalfa resultaron afectados por las inundaciones registradas entre el 03 y 12 de agosto. Más de 6 mil hectáreas resultaron siniestradas. El PACC apoyó a los productores con  14.5 millones de pesos. Sin embargo el daño real fue muy superior.  </t>
  </si>
  <si>
    <t>Se registrarón fuertes lluvias dejndo afectadas 80 viviendas</t>
  </si>
  <si>
    <t>Aljojuca</t>
  </si>
  <si>
    <t>Se registraron fuertes lluvias en el municipio de Aljojuca afectando 25 viviendas.</t>
  </si>
  <si>
    <t>Tequisquiapan y Querétaro</t>
  </si>
  <si>
    <t>Se registraron fuertes lluvias en los municipios mencionados dejando 35 Viviendas y 3 escuelas, con penetración de agua</t>
  </si>
  <si>
    <t>Apizaco, San Toribio Xicohtzinco y Papalotla de Xicohtencatl</t>
  </si>
  <si>
    <t>Se registraron fuertes lluvias en los municipios mencionados afectando 12 viviendas</t>
  </si>
  <si>
    <t>Nuevo Ideal, Ocampo, Poanas, Rodeo y Santiago Papasquiaro</t>
  </si>
  <si>
    <t xml:space="preserve">Se registro una inundacion entre el 13 y 29 de agosto afectando a más de 1,200 productores que cultivavan Maiz, Sorgo, Cacahuate, Avena, Frijol y Chile. El PACC los apoyó con 3.2 millones de pesos aproximadamente. La producción afectada se estimó en más de 6,200 toneladas. Además un productor de alfalfa tambien resulto afectada en una seuperficie de 3 hectáreas. se le apoyó con 1,800 pesos aproximadamente    </t>
  </si>
  <si>
    <t>Varios municipios (13)</t>
  </si>
  <si>
    <t>Se registro en los días señalados fuertes lluvias dejando grandes  afectaciones, por lo que se realizaron 14 acciones de restauración por parte de la SCT federal, mientras que la SCT estatal realizo 117 acciones</t>
  </si>
  <si>
    <t>Bochil, Suchiapa, San Pedro Nichtalocum</t>
  </si>
  <si>
    <t>Se registraron fuertes lluvias en los municipios mencionados afectando 51 viviendas</t>
  </si>
  <si>
    <t xml:space="preserve">Guasave </t>
  </si>
  <si>
    <t>Se registraron fuertes lluvias en el municipio mencionado dejando como resultado 74 viviendas afectadas y una persona muerta.</t>
  </si>
  <si>
    <t>Las lluvias afectaron la carretera, y dos puentes en construcción.</t>
  </si>
  <si>
    <t>Tlachichuca</t>
  </si>
  <si>
    <t>Las fuertes lluvias afectaron 51 viviendas por penetración de agua</t>
  </si>
  <si>
    <t>Las fuertes lluvias afectaron 21 viviendas por penetración de agua</t>
  </si>
  <si>
    <t xml:space="preserve">Arcelia, San Miguel Totolapan, </t>
  </si>
  <si>
    <t>Abasolo, Cortázar, Valle de Santiago, San José de Iturbide, Dr. Mora, Salvatierra, Salamanca, Irapuato, Ocampo, Comonfort, Victoria, San Luis de la Paz.</t>
  </si>
  <si>
    <t>Se presentaron fuertes lluvias en los municipios mencionados, lo que dio como resultado una persona muerta y una desaparecida. Así mismo se registraron daños en mas de 600 viviendas y en una escuela</t>
  </si>
  <si>
    <t>varios municipios (5)</t>
  </si>
  <si>
    <t>Se registraron fuertes lluvias que afectaron a caminos y transporte, por lo que fue necesaria la implementación de 26 acciones de restauración 20 a nivel municipal y 6 a nivel estatal</t>
  </si>
  <si>
    <t>Jitepec, Yautepec, Zacatepec, Tlaltizapan y Emiliano Zapata</t>
  </si>
  <si>
    <t>El nivel del agua alcanzó hasta 1 Mt. de altura, se registro un derrumbe en la carretera Cuautla-Cuernavaca y el desborde de el canal El Zapotal</t>
  </si>
  <si>
    <t>Tlaxco, Tetla y Terrenate</t>
  </si>
  <si>
    <t xml:space="preserve">Se registraron fuertes lluvias, mismas que afectaron cultivos de maíz y cebada de mas de 3 mil productores. La superficie afectada fue de cerca de 8,200 hectáreas. El PACC apoyó a los productores con 6.5 millones de pesos aproximadamente, sin embargo los daños reales fueron superiores </t>
  </si>
  <si>
    <t>Encarnación de Díaz y Guadalajara</t>
  </si>
  <si>
    <t>Las afectaciones fueron por un tirante de agua de 1 Mt. aproximadamente.</t>
  </si>
  <si>
    <t>Rayon, Ciudad Fernandez, Santa Catarina y Cardenas</t>
  </si>
  <si>
    <t>Se registraron fuertes lluvias los días 22 y 23 de agosto, afectando cultivos de maíz y frijol pertenecientes a cerca de 1,500 productores. El PACC apoyó con 2.5 millones de pesos aproximadamente. La producción afectada se estimó en más de 3,700 toneladas afectadas</t>
  </si>
  <si>
    <t>Se registraron fuertes dejando afectadas 50 viviendas y evacuando a 200 personas</t>
  </si>
  <si>
    <t>La Paz, Los Cabos, Comondú, Loreto y Mulege.</t>
  </si>
  <si>
    <t>Se registraron fuertes lluvias en los municipios mensionados, dejando como consecuencia 1 persona muerta</t>
  </si>
  <si>
    <t>El Llano,  Aguascalientes y Calvillo</t>
  </si>
  <si>
    <t>Se registraron fuertes lluvias en los municipios mensionados, dejando como consecuencia que 5292 personas fueran evacuadas</t>
  </si>
  <si>
    <t>San Luis Potosi</t>
  </si>
  <si>
    <t>Se registraron fuertes lluvias en el municipio mensionado, dejando como consecuencia 2 personas muertas</t>
  </si>
  <si>
    <t>Se registro inundación atípica los 3 días de la contongencia y lluvia extrema el 27, por lo que fue necesario implementar 88 acciones por parte de la sCT 5 a nivel federal y 83 a nivel estatal</t>
  </si>
  <si>
    <t>Se registraron fuertes lluvias que afectaron a caminos y transporte, por lo que fue necesaria la implementación de 15 acciones de restauración 7 a nivel federal y 8 a nivel estatal</t>
  </si>
  <si>
    <t>Naucalpan, Ecatepec, Tlanepantla y Metepec</t>
  </si>
  <si>
    <t>Se registraron fuertes lluvias en losl municipios mensionados, dejando como consecuencia 2 personas muertas</t>
  </si>
  <si>
    <t>Pinos, Ojo Caliente, Valparaiso, Fresnillo y Noria de Ángeles</t>
  </si>
  <si>
    <t>Se presentaron fuertes lluvias en los municipios mencionados dejando grandes afectaciones</t>
  </si>
  <si>
    <t>Acaponeta, Rosamorada, Ruiz, San Blas, Santiago Ixcuintla, Tecuala y Tuxpam</t>
  </si>
  <si>
    <t xml:space="preserve">Se registraron severas inundaciones en el estado de Nayarit afectando a más de 1,500 productores de Sandia, Maiz, Sorgo, Platano. Papaya, Coco y Limon. El PACC apoyó con poco más de 7 millones de pesos. La superficie afectada superó las 4 mil hectáreas </t>
  </si>
  <si>
    <t>Se registraron fuertes lluvias dejando grandes afectacione en las viviendas</t>
  </si>
  <si>
    <t>Se registraron fuertes lluvias en el municipio mensionado, con penetración de agua en 26 viviendas y daños en 26 vehículos. Se evacuaron a 26 familias preventivamente.</t>
  </si>
  <si>
    <t>San Cristóbal de las Casas, Ocosingo, Oxchuc, San Fernando y Soconusco</t>
  </si>
  <si>
    <t>Buenaventura, Sabinas, Sacramento, Nueva Rrosita y Nadadores</t>
  </si>
  <si>
    <t>El río Álamo incremento su nivel, evacuaron del Mpio de nadadores y de  sabinas</t>
  </si>
  <si>
    <t xml:space="preserve">Ahumada, Aldama, Allende, Balleza, Belisario Domínguez, Camargo, Carichi, Chihuahua, Coronado, Coyame, Delicias, El Tule, Guachochi, Hidalgo del Parral, Huejotitan, Jiménez, Julimes, La Cruz, López, Manuel Benavides, Matachi, Matamoros, Meoqui, Nonoava, Ojinaga, Rosales, Santa Bárbara, San Francisco de Borja, San Francisco de Conchos, San Francisco del Oro, Satevo y Saucillo, Valle de Zaragoza, Valle del Rosario. </t>
  </si>
  <si>
    <t>Se presentaron fuertes lluvias dejando 2,500 viviendas afectadas y 3 personas muertas</t>
  </si>
  <si>
    <t>Allende, Coronado, Hidalgo del Parral, Jimenez, Lopez, Matamoros y Santa Barbara</t>
  </si>
  <si>
    <t>Se registraron fuertes lluvias entre el 29 y 31 de agosto, causando severas afectaciones en el sector agrícola. Mas de  729 productores afectados, 1500 hectareas de maíz, frijol, sorgo, alfalfa y nogal afectadas. El PACC apoyo con 1.6 millones de pesos aproximadamente. La producción afectada se estimo en más de 20 mil toneladas, la mayoría de alfalfa.</t>
  </si>
  <si>
    <t>Satevo</t>
  </si>
  <si>
    <t>Se registraron fuertes lluvias entre el 29 y 31 de agosto. Mas de 133 productores sufrieron afectaciones en aproximadamente 227 hectáreas de maíz y sorgo. El PACC los apoyo con 204 mil pesos aproximadamente, la producción afectada se estimo en  cerca de 780 toneladas.</t>
  </si>
  <si>
    <t>Se presentaron fuertes lluvias  e inundación , por lo que fue necesario implementar 8 acciones de restauración en caminos y transporte 3 a nivel federal, 5 estatal; 35 por parte de CONAGUA estatal y 2 de hidroag. Fed</t>
  </si>
  <si>
    <t>Se presentaron fuertes lluvias  e inundación , por lo que fue necesario implementar 39 acciones de restauración en caminos y transporte 12 a nivel federal, 27 estatal; 22 por parte de CONAGUA estatal y 51 de hidroag. Fed</t>
  </si>
  <si>
    <t>San Sebastián y Mezquitic</t>
  </si>
  <si>
    <t>Se presentaron fuertes lluvias dejando  5 personas muertas</t>
  </si>
  <si>
    <t>Penjamillo, Numarán y La Piedad</t>
  </si>
  <si>
    <t>Se registraron fuertes lluvias dejando 40 casas destruidas</t>
  </si>
  <si>
    <t>Los días 4 y 5 de septiembre se registro una inundaci´ón atñipica en el estado de Nuevo León afectando 2 municipios, 93 viviendas; además de tener que realizarse 17 obras por parte de SCT estatal</t>
  </si>
  <si>
    <t>Tuxpan, Santiago, San Blas y Rosamorada</t>
  </si>
  <si>
    <t>Se registraron fuertes lluvias dejando grandes afectaciones</t>
  </si>
  <si>
    <t>San Dionisio del Mar, San Francisco Ixhuatan, San Francisco del Mar.</t>
  </si>
  <si>
    <t>Se presentaron fuertes lluvias dejando graves afectaciones</t>
  </si>
  <si>
    <t>varios municipios (13)</t>
  </si>
  <si>
    <t>Se presentaron lluvias extremas el día 7 e inundación atípica del 5 a 8, por lo que CINAGUA realizo 23 acciones de restauración (3 estatal y 20 municipal), mientras que la SCT estatal realizo 47 acciones</t>
  </si>
  <si>
    <t>Acayucan, Acula, Agua Dulce, Alvarado, Ángel R. Cabada, Boca del Río, Catemaco, Cotaxtla, Isla, Hueyapan de Ocampo, Chacaltianguis, Jesús Carranza, Lerdo de Tejada, Medellín de Bravo, Otatitlán, Pajapan, Saltabarranca, San Andrés Tuxtla, Santiago Tuxtla, Sayula de Alemán, Soledad de Doblado, Tierra Blanca, Tlacojalpan, Tlalixcoyan, Jalapa  y Veracruz</t>
  </si>
  <si>
    <t xml:space="preserve">se reportaron fuertes lluvias en los municipios antes mencionados dejando graves afectaciones </t>
  </si>
  <si>
    <t>Empalme, Guaymas, Cajeme, Huatabampo, Navojoa, Etchojoa, Benito Juárez y Álamos</t>
  </si>
  <si>
    <t>Los remanentes de Lowell provocaron fuertes lluvias e inundaciones atipìcas en 8 municipios de Sonora mismas que dejaron severos daños en la infraestructura del estado y en los bienes de la población. La CONAGUA realizo 46 acciones de restauración y SCT 26 a nivel estatal</t>
  </si>
  <si>
    <t>Se presentaron fuertes lluvias e inundaciones en los dias señalados, dejando un total de 1554 viviendas afectadas, además de tener que realizar 9 acciones por parte de la SCT (4 estatal, 5 municipal) y 38 acciones por parte de CONAGUA municipal</t>
  </si>
  <si>
    <t>Choix y Ahome</t>
  </si>
  <si>
    <t>A consecuencia de las severas inundaciones, se presentaron daños en cerca de 7,200 hectáreas de cultivo de ajonjolí, maíz y sandía, siendo el primero el más afectado. Más de 1,400 productores se vieron afectados, mismos que recibieron alrededor de 6.5 millones de pesos del PACC para reactivar su economía</t>
  </si>
  <si>
    <t>Se presentaron fuertes lluvias dejando 90 viviendas con penetración de agua</t>
  </si>
  <si>
    <t>Villa de Arriaga, Tamuin, CD. Valles y Tamazunchale</t>
  </si>
  <si>
    <t>Se presentaron fuertes lluvias dejando 12 viviendas con penetración de agua</t>
  </si>
  <si>
    <t>Ahome y Guasave</t>
  </si>
  <si>
    <t>Tlapa de Comonfort, Acapulco, Alcozauca, Tlapehuala, Ajuchitlan del Progreso, Tlalchapa y Apaxtla de Castrejón</t>
  </si>
  <si>
    <t>Se reporta un desaparecido en el municipio de Tlapa de Comonfort. En el municipio de Acapulco, el plantel de bachilleres 29, se afectó en patios y salones. Municipio de Alcozauca, se reporta 2 viviendas por arrastre de material sólido, debido a la crecida de un río. Municipio de Tlapehuala.En la localidad de San José Poliutla; 118 viviendas resultaron afectadas por inundación de aproximadamente 1.5 metros de altura, con afectación en muebles y enseres domésticos, mientras que 4 viviendas colapsaron en su totalidad.  Municipio de Ajuchitlan del Progreso.- Santana del Águila: 38 viviendas inundadas, con daños en enseres domésticos, 5 viviendas y 2 templos de construcción de adobe colapsados en su totalidad. Municipio de Tlalchapa.- San Miguel Tecomatlan: 20 viviendas resultaron afectadas por inundación de aproximadamente un metro de altura, con afectación a enseres domésticos, mientras que 2 viviendas de construcción de adobe,  colapsaron en su totalidad.</t>
  </si>
  <si>
    <t>SE registraron fuertes lluvias,  por lo que fue necesario realizar 39 acciones en caminos y carrteras estatales</t>
  </si>
  <si>
    <t>Poza Rica, Coatzintla, Tuxpan, Castillo De Teayo, Coyutla, Calcahualco, Pueblo Viejo</t>
  </si>
  <si>
    <t xml:space="preserve">Debido a las fuertes lluvias se registraron daños en más de mil hectáreas de maíz y Sorgo, afectando a 298 productores. El PACC destino apoyos por 900 mil pesos aproximadamente. La producción afectada se estimo en mas de 5,500 toneladas  </t>
  </si>
  <si>
    <t>Ayutla</t>
  </si>
  <si>
    <t>31 productores resultaron afectados por las intensas lluvias registradas en el municipio. Más de 100 hectáreas de Maiz resultaron afectadas. El PACC apoyo con 99 mil pesos a los productores con el fin de que reactivaran sus cultivos</t>
  </si>
  <si>
    <t>Guemes</t>
  </si>
  <si>
    <t>Alcahualco, Castillo de Teayo, Cerro Azul, Chicontepec, Citlaltépetl, Coatzacoalcos, Coatzintla, Coyutla, El Higo, Hueyapan de Ocampo, Mecatlán, Poza Rica, Pueblo Viejo Y Tihuatlán</t>
  </si>
  <si>
    <t>Tila, Pichucalco, Ostuacán</t>
  </si>
  <si>
    <t>Se presentaron fuertes lluvias dejando 32 viviendas con penetración de agua</t>
  </si>
  <si>
    <t>Penjamillo</t>
  </si>
  <si>
    <t xml:space="preserve">Se registraron afectaciones en cultivos de Sorgo y Maíz, los mas de 500 productores afectados fueron apoyados por el PACC con 1.4 millones de pesos. La produccion afectada se estimo en más de 7,500 toneladas </t>
  </si>
  <si>
    <t>Acayucan, Agua Dulce, Ángel R., Cabada, Atoyac, Catemaco, Chacaltianguis, Hidalgotitlan, Jaltipan, Jesús  Carranza, Las Choapas, Lerdo de Tejada, Minatitlán,  Moloacan, Saltabarranca, San Andrés Tuxtla, Santiago Tuxtla, Sayula de Alemán, Texistepec, Tlalcojalpan y Uxpanapa</t>
  </si>
  <si>
    <t>Se registraron fuertes lluvias en los municipios mencionados</t>
  </si>
  <si>
    <t>Jaltipan, Hidalgotitlan, Jesus Carranza, Las Choapas, Minatitlan, Texistepec y Uxpanapa</t>
  </si>
  <si>
    <t>El día 20 se registraron fuertes lluvias, y del 19 al 22 se presento inundación atípica, se realizaron 9 acciones de restauración por parte de CONAGUA (6 municipal, 3 hidroag. Est.) y por CONAFOR (forestal est.) 5 acciones</t>
  </si>
  <si>
    <t>Se registraron fuertes lluvias, mismas que causaron la muerte de una persona</t>
  </si>
  <si>
    <t>Los dias 24 y 25 se presentaron lluvias extremas y del 22 al 26 inundaciones atípicas, por lo que fue necesario  realizar 143 acciones de restauración por parte de SCT (6 federal y 137 estatal); CONAGUA realizo 50 (40 estatal y 10 municipal)</t>
  </si>
  <si>
    <t>las lluvias extremas registradas dejaron grandes afectaciones, por lo que fue necesario realizar  140 acciones de restauración en carreteras estatales</t>
  </si>
  <si>
    <t>Coatepec, Xalapa, Mariano Escobedo y Minatitlán</t>
  </si>
  <si>
    <t>Tuxtepec, San José Chiltepec, Ayotzintepec, Santa María Jacatepec, Santiago Jocotepec</t>
  </si>
  <si>
    <t>Se registraron  fuertes lluvias dejando un gran numero de viviendas afectadas</t>
  </si>
  <si>
    <t>Balancán, Cárdenas, Centla, Centro, Comalcalco, Cunduacán, Emiliano Zapata, Huimanguillo, Jalapa, Jalpa de Méndez, Jonuta, Macuspana, Nacajuca, Paraíso, Tacotalpan, Teapa y Tenosique.</t>
  </si>
  <si>
    <t>Se registraron lluvias extremas en varios municipios del estado. Se realizó una evlauacion de daños entre el CENAPRED y la CEPAL. Miles de personas resultaron afectadas</t>
  </si>
  <si>
    <t>Región Norte, Selva y Fronteriza</t>
  </si>
  <si>
    <t>Se registraron  fuertes lluvias dejando un gran numero de afectaciones a su paso</t>
  </si>
  <si>
    <t>Alto Lucero, Banderilla, Coacoatzintla, Colipa, Juchique de Ferrer, Misantla, Naolinco, Xalapa, Vega de la Torre y Yecuatla.</t>
  </si>
  <si>
    <t>Afectación de 107 viviendas con techo de cartón. En la comunidad de Apozonalco fueron afectadas 11 viviendas de las cuales 7 afectadas en un 75% de sus techos y 4 con afetaciones del 50%. En la comunidad de Buenavista de las pilas 36 viviendas afectadas, 10 de pérdida total, 15 con afectaciones de 75% en sus techos y tres con un 50% de afectación. En las comunidades de Mazazontecomatl, Tlayolapa y Dospaño 60 viviendas afectadas, 10 destruidas en su totalidad, 20 on 75% y 3 de 50%. Los techos de las viviendas afectadas eran de cartón y palma. El requerimiento para los domicilios afectados es de un total de 296 pacas de láminas de cartón y 240 fajillas.</t>
  </si>
  <si>
    <t>Ahome, El Fuerte  y Guasave</t>
  </si>
  <si>
    <t>Se registraron  fuertes lluvias dejando un gran numero de personas afectadas</t>
  </si>
  <si>
    <t>Alamos, Etchojoa, Huatabampo y Navojoa</t>
  </si>
  <si>
    <t xml:space="preserve">Se presentaron fuertes lluvias, dejando un total de 828 viviendas afectadas, además de tener que realizar 15 acciones por parte de la SCT estatal </t>
  </si>
  <si>
    <t>La Paz,  Loreto, Comundu</t>
  </si>
  <si>
    <t>Debido al impacto del huracán Norbert, se registraron  fuertes lluvias dejando un gran numero de personas afectadas,se realizaron 12 acciones de restauración por parte de  la SCT  (6 estal y 6 federal) y 14 por la SEMAR federal</t>
  </si>
  <si>
    <t>Ometepec, Zirandaro, San Luis de Acatlán,Atixtac</t>
  </si>
  <si>
    <t>Penetración de agua en viviendas, en diversas colonias y comunidades. Daños en un puente peatonal. Afectaciones en 51 viviendas, una escuela primaria, una escuela secundaria, devido al incremento del Río Santa Catarina, en el Municipio de Ometepec con inundaciones de 50 cm en la localidad de Las Iguanas, se instalaron 2 RT. En San Luis Acatlán se realizó la entrega de 200 colchonetas, 200 cobertores, 25 placas de lámina de cartón y para 65 familias en la localidad de Buena Vista y 32 familias de  Pueblo Hidalgo. Se entregaron 99 colchonetas, 99 cobertores, 6 kits de limpieza, 4 placas de lámina en la comunidad de Cajiltepec, Municipio de Atlixtac. En Zirándaro 18 colchonetas, 18 cobertores, 6 kits de limpieza y placas de lámina de cartón. En Coyuca de Catalán hubo un colapso de un puente peatonal, en la comunidad de Pandacuareo. En el límite con Veracruz, ciudad de Tuxtepec se incomunicaron 5,000 personas.</t>
  </si>
  <si>
    <t>Una lluvia intensa registrada el 11 de octubre causo afectaciones en cultivos de platano, maiz, frijol y chile pertenecientes a 421 productores. El PACC apoyó con 620 mil pesos. La prodcción afectada se estimo en mas de 2,200 toneladas de diferentes cultivos.</t>
  </si>
  <si>
    <t>Cazones de Herrera, Papantla, Poza Rica, Tuxpan, Ixhuatlán de Madero, Alamo Temapache, Coatzintla, Tantoyuca, Platon Sánchez, Chontla, Angel R. Cabada, Santiago Tuxtla, San Andrés Tuxtla,Hueyapan de Ocampo, Catemaco, Lerdo de Tejada, Saltabarranca, Pajapan y Atzalan.</t>
  </si>
  <si>
    <t>Se registraron fuertes lluvias e inundacions dejando grande afectaciones en los municipios mencionados anteriormente</t>
  </si>
  <si>
    <t>Suchiate, Mazatán, Salto de Agua, Playas de Catazajá, Benemérito de Las Américas</t>
  </si>
  <si>
    <t>Chicoasen</t>
  </si>
  <si>
    <t xml:space="preserve">Se registraron severas lluvias entre el 17 y 28 de octubre, mismas que ocasionaron afectaciones en mas de 500 hectáreas de maiz pertenecientes a 324 productores. El PACC apoyo con 468 mil pesos aproximadamente. La producción afectada se estimo en cerca de 1,100 toneladas  </t>
  </si>
  <si>
    <t>Mapastepec y Tonala</t>
  </si>
  <si>
    <t xml:space="preserve">Debido a las fuertes lluvias se registraron daños en cerca de 1,700 hectáreas de Maíz, Sorgo, Mango, Café y Palma de Aceite. Los mas de mil productores afectados fueron apoyados através de PACC con 3.8 millones de pesos aproximadamente con el fin de reactivar su producción.  </t>
  </si>
  <si>
    <t>Calakmul, Candelaria y Palizada</t>
  </si>
  <si>
    <t>Se reportan fuertes lluvias dejando afectando a 59 habitante  en los distintos municipios</t>
  </si>
  <si>
    <t>Se registraron fuertes lluvias e inundacions dejando grande afectaciones en el municipio mencionado anteriormente</t>
  </si>
  <si>
    <t>Villa Corzo y Villaflores</t>
  </si>
  <si>
    <t xml:space="preserve">La sequia ocasiono daños en aproximadamente 16 mil hectareas. El monto real de los daños se estimo en 141 millones de pesos aproximadamente, sin embargo únicamente se tomaran en cuenta los apoyos del PACC, ya que fue el impacto que tuvo el desastre en el presupuesto de 2008 </t>
  </si>
  <si>
    <t>PACC</t>
  </si>
  <si>
    <t>La Yesca</t>
  </si>
  <si>
    <t xml:space="preserve">La sequia ocasiono daños en aproximadamente 900 hectareas. El monto real de los daños se estimo en 10.1 millones de pesos aproximadamente, sin embargo únicamente se tomaran en cuenta los apoyos del PACC, ya que fue el impacto que tuvo el desastre en el presupuesto de 2008 </t>
  </si>
  <si>
    <t>Villanueva, Villa Gonzalez Ortega, Vetagrande, Susticacan, Santa Maria de la Paz, Ojocaliente, Noria de los Angeles, Monte Escobedo, Momax, Melchor Ocampo, Mazapil, General Joaquin Amaro, Jalpa, Huanusco, General Panfilo Natera, Genaro Codina, Cuauhtemoc, Concepcion del Oro y Apozol</t>
  </si>
  <si>
    <t xml:space="preserve">La sequia ocasiono daños en aproximadamente 52,838 hectareas. El monto real de los daños se estimo en 191  millones de pesos aproximadamente, sin embargo únicamente se tomaran en cuenta los apoyos del PACC, ya que fue el impacto que tuvo el desastre en el presupuesto de 2008 </t>
  </si>
  <si>
    <t>Tumbiscatio</t>
  </si>
  <si>
    <t xml:space="preserve">Debido a la sequia se registraron afectaciones en 2,700 hectareas de maiz y sorgo. El PACC apoyo con 2.4 millones de pesos, sin embargo los daños reales fueron superiores  </t>
  </si>
  <si>
    <t>Abala, Hocaba, Seye, Acanceh, Homun, Sotuta, Akil, Huhi, Suma, Bokoba, Hunucma, Tahmek, Buctzotz, Kinchil, Tecoh, Cacalchen, Mayapan, Tekax, Cantamayec, Motul, Tekit, Celestun, Muxupip, Tekom, Cuzama, Opichen, Temax, Chacsinkin, Oxkutzcab, Tetiz, Chankom, Panaba, Ticul, Chapab, Rio Lagartos, Timucuy, Chikindzonot, Sacalum, Tixcacalcupul, Chumayel, Samahil, Tixkokob, Dzan, Sanahacat, Tixmeuac, Dzoncauich, Santa Elena, Tixpeual y Tizimin</t>
  </si>
  <si>
    <t>Debido a la sequia se registraron daños en mas de 11 mil hectareas de maiz pertenecientes a 11,238 productores. El PACC apoyo con 10.45 millones de pesos, sin embargo el daño real se estimo en mas de 30 millones</t>
  </si>
  <si>
    <t>Ahuehuetitla, Albino Zertuche, Axutla, Chila de la Sal, Chinantla, Cohetzala, Ixcamilpa de Guerrero, Jolalpan, Piaxtla, Tecomatlan, Tehuitzingo, Tulcingo y Xicotlan</t>
  </si>
  <si>
    <t>Se registro el fenomeno de la sequia durante todo el mes de septiembre causando afectaciones a mas de 17,800 hectareas de maiz, pertenecientes a 5,604 productores. El PACC apoyo con 18.9 millones de pesos, sin embargo las afectaciones fueron mayores.</t>
  </si>
  <si>
    <t>Se registraron 5 muertes a consecuencia de las bajas temperaturas. 2 por hipotermia, 2 por intoxocación con monóxido de carbono y uno más por quemaduras</t>
  </si>
  <si>
    <t>Se registraron 4 muertes a consecuencia de las bajas temperaturas. 3 por hipotermia, 1  por intoxocación con monóxido de carbono</t>
  </si>
  <si>
    <t>SS/FONDEN</t>
  </si>
  <si>
    <t>Debido a las bajas temperaturas se apoyo a la población con despensas, cobertores, colchonetas y laminas</t>
  </si>
  <si>
    <t>Se registraron 32 muertes a consecuencia de las bajas temperaturas. 16 por hipotermia, 16  por intoxocación con monóxido de carbono</t>
  </si>
  <si>
    <t>Se registraron 4 muertes a consecuencia de las bajas temperaturas. todas por hipotermia</t>
  </si>
  <si>
    <t>Se registro una persona fallecida a consecuencia de las bajas temperaturas. La muerte fue por hipotermia</t>
  </si>
  <si>
    <t>Se registraron dos muertes por bajas temperaturas en Oaxaca, una por intoxocación con monoxico de carbono y otra mas por quemaduras</t>
  </si>
  <si>
    <t>Se registraron 7 muertes a consecuencia de las bajas temperaturas. 2 por hipotermia y 5  por intoxocación con monóxido de carbono</t>
  </si>
  <si>
    <t>Se registro una persona fallecida a consecuencia de las bajas temperaturas. La muerte fue por intoxocacion con monoxico de carbono</t>
  </si>
  <si>
    <t>Se registraron dos muertes por bajas temeraturas, ambas a consecuencia de intoxicación con monoxido de carbono</t>
  </si>
  <si>
    <t>Se registraron 12 personas fallecidas como consecuencia de las bajas temperaturas, 5 relacionadas con hipotermia y 7 con intoxicación por monoxico de carbono</t>
  </si>
  <si>
    <t>Putla de Guerrero, Juquila y San Pedro Mixtepec</t>
  </si>
  <si>
    <t>Se registraron fuertes vientos en diversas comunidades, resultando afectadas un total de 25 viviendas de material endeble</t>
  </si>
  <si>
    <t>Debido a los fuertes vientos se registro la caída de 140 árboles, cables de energía eléctrica, mas de 60 anuncios espectaculares, 31 vehículos, 5 viviendas. Una persona perdio la vida cuando un árbol cayó sobre su vehículo y otra mas por el impacto de un espectacular</t>
  </si>
  <si>
    <t>Se registraron fuertes nevadas ocasionando que varios vehículos quedaran varados en el tramo carretero Tecate-Rumorosa, los ocupantes fueron rescatados.</t>
  </si>
  <si>
    <t>Casas Grandes, Janos, Madera, Nuevo Casas Grandes e Ignacio Zaragoza</t>
  </si>
  <si>
    <t xml:space="preserve">Se registrò el cierre de carreteras por algunas horas en los municipios mencionados debido a las fuiertes nevadas que impactaron el estado. </t>
  </si>
  <si>
    <t>Torreon</t>
  </si>
  <si>
    <t>Se registraron vientos de hasta 50 km por hora, ocasionando la caída de 40 árboles, y afectando el sumnistrro de energía eléctrica de unas 20 colonias</t>
  </si>
  <si>
    <t>Monterrey, San Pedro Garza Garcia, San Nicolas de los Garza, Escobedo y Santa Catarina</t>
  </si>
  <si>
    <t>Se registraron fuertes vientos en la zona metropolitana de la ciudad de Monterrey que causaron daños en ventanas de algunas escuelas, 225 postes de energìa elèctrica caídos, 163 anuncios espectaculares, 612 árboles, 122 vehículos dañados, 85 comercios, 200 semáforos y 177 viviendas. Además se suspendió el suministro de energía eléctrica en algunas zonas de la ciudad afectando a 327 mil usuarios. Se reportaron 3 personas fallecidas</t>
  </si>
  <si>
    <t>Se registraron fuertes vientos que provocaron la caida de varios árboles, anuncios espectaculares y bardas. Se reportaron once personas lesionadas a consecuencia del fenomeno. Los vientos alcanzaron los 85 km/h con rachas de hasta 95km/h</t>
  </si>
  <si>
    <t>Orizaba, Cordoba, Rio Blanco, Amatlan de los Reyes, Fortin, Ixhuatlancillo, Tequila, San AndresTenejapan, Nogales, Camerino Z Mendoza, Mariano Escobedo, La Perla, Huilopan de Cuauhtemoc, Ixtaczoquitlan, Acultzingo, Tehuipango y Angel R Cabada</t>
  </si>
  <si>
    <t>Los fuertes vientos registrados en los municipios mencionados ocasionaron daños en 1,349 viviendas, 62 comunidades, 4 bardas caidas, varios árboles y anuncios espectaculares caidos y tres personas lesionadas</t>
  </si>
  <si>
    <t>Los fuertes vientos provocaron la caida de varios arboles. Se reportaron dos personas lesionadas y 30 viviendas destechadas</t>
  </si>
  <si>
    <t>San Nicolas del los Ranchos</t>
  </si>
  <si>
    <t>Se registro una fuerte granizada en la cabecera municipal. Diez viviendas presentaron daños en sus techos. Se apoyo a la población afectada con láminas de cartón, despensas y material de cobijo</t>
  </si>
  <si>
    <t>Xicotencatl</t>
  </si>
  <si>
    <t>Debido a los fuertes vientos se presentaron daños en las techumbres de 17 viviendas, así como otras 14 viviendas con daños en su estructura. Además tres automóviles fueron afectados.</t>
  </si>
  <si>
    <t>Se reportaron vientos de más de 50 km/h afectando los techos de cinco viviendas.</t>
  </si>
  <si>
    <t>Tlahuilatepa, El Cardonal, Metztitlán y Nopala de Villagrán</t>
  </si>
  <si>
    <t>Se registro una fuerte granizada afectando los techos de 263 viviendas, además dos personas perdieron la vida al ser impactadas por un rayo.</t>
  </si>
  <si>
    <t>Quimixtlan</t>
  </si>
  <si>
    <t>Debido a la fuerte granizada se reportaron daños en 300 viviendas</t>
  </si>
  <si>
    <t>Se registro una tormenta electrica en el municipi omencionado, desafortunadamente una persona perdio la vida y dos mas resultaron heridas al ser impactadas por un rayo</t>
  </si>
  <si>
    <t>Paso del Macho</t>
  </si>
  <si>
    <t>Debido a una granizada se presentaron daños en los techos de 20 viviendas</t>
  </si>
  <si>
    <t>Coetzala</t>
  </si>
  <si>
    <t>Se reportaron daños en los techos de 220 viviendas debido al granizo. Las familas afectadas fueron apoyadas con láminas de cartón, despemnsas y material de cobijo</t>
  </si>
  <si>
    <t>Tamuin</t>
  </si>
  <si>
    <t>Se reporta la muerte de una persona por golpe de calor debido a las altas temperaturas</t>
  </si>
  <si>
    <t>Madera</t>
  </si>
  <si>
    <t>Debido a las fuertes vientos se reportaron daños en los techos de dos viviendas</t>
  </si>
  <si>
    <t>Meoqui</t>
  </si>
  <si>
    <t>Se registraron fuertes vientos en el municipio ocasionando daños en los techos de 15 viviendas</t>
  </si>
  <si>
    <t>Se registraron fuertes vientos, mismos que causaron daños en los techos de dos escuelas primarias</t>
  </si>
  <si>
    <t>Se reporta una persona fallecida por impacto de rayo.</t>
  </si>
  <si>
    <t>Panuco de Coronado</t>
  </si>
  <si>
    <t>Se registro una fuerte granizada en el municipio mencionado causando severos daños en la actividad agrícola. Aunque los daños reales superaron los 3 millones de pesos, únicamente se tomaran en cuenta los apoyos otorgados por El PACC, ya que el fenómeno ocurrió en el 2007, pero el apoyo fue liberado hasta el 2008, impactando directamente en el presupesto de este último</t>
  </si>
  <si>
    <t>Atoyac de Álvarez</t>
  </si>
  <si>
    <t xml:space="preserve">En el municipio de Atoyac de Álvarez en la comunidad de Valles se reportaron120 viviendas que en su mayoría eran de adobe dañadas a consecuencia del sismo registrado </t>
  </si>
  <si>
    <t>Uruachi</t>
  </si>
  <si>
    <t>Se registro una fuerte granizada, misma que afecto mas de 230 hectáreas de maíz pertenecientes a 132 productores. Estas fueron apoyadas por el PACC con 209 mil pesos aproximadamente sin embargo el monto real de daños fue mayor. La producción afectada se estimo en 162.8 toneladas aproximadamente</t>
  </si>
  <si>
    <t>Jimenez</t>
  </si>
  <si>
    <t>Se registro una fuerte granizada, misma que afecto mas de 900 hectáreas de maíz pertenecientes a 231 productores. Estas fueron apoyadas por el PACC con 483 mil pesos aproximadamente sin embargo el monto real de daños fue mayor. La producción afectada se estimo en 3,318 toneladas aproximadamente</t>
  </si>
  <si>
    <t>Se reporto una tormenta electrica que daja como consecuencia el fallecimiento de dos menores</t>
  </si>
  <si>
    <t xml:space="preserve">Se reportaron fuertes vientos dejando a su paso grandes afectaciones </t>
  </si>
  <si>
    <t>Chilapa de Álvarez, Acatepec, Atlanajalcingo del Monte y Zapotitlán.</t>
  </si>
  <si>
    <t>Se reportaron fuertes vientos dejando a su paso grandes afectaciones en un gran  número de viviendas</t>
  </si>
  <si>
    <t>Veracruz, Xalapa, Tecolutla, Cazones, Tamiahua, Boca del Río</t>
  </si>
  <si>
    <t>Se registrarón fuertes vientos debido al Frente Frío "16". Se reportaron 2 personas lesionadas</t>
  </si>
  <si>
    <t>Salina Cruz, Ixtaltepec, Tehuantepec, Juchitan de Zaragoza, Unión Hidalgo, San Dionisio del Mar, Santiago Niltepec, Zanatepec, Oaxaca, Pinotepa Nacional, Jamiltepec, Tuxtepec, Ixtepec, Cañada, Matias Romero, Tapanatepec, Palomares, Ciudad Ixtepec y María Lombardo</t>
  </si>
  <si>
    <t>Se registró un sismo de 6.6 grados en la escala de Richter, el cual afecto diversos municipios del estado. Las principales afectaciones fueron las siguientes: 1,394 viviendas, 49 escuelas, 31 templos y 12 edificios públicos.</t>
  </si>
  <si>
    <t>Sismo de 6.1° en la escala de Richter, registrado el pasado 15 de noviembre genero 10 escuelas, 1 Centro de Salud, 50 viviendas dañadas, 1 iglesia y 1 oficina de Gobierno, asi como 2 personas lesionadas en el municipios de Ciudad Altamirano (1 del sexo femenino 56 años y otro del sexo masculino de 47 años).</t>
  </si>
  <si>
    <t>Tapisca</t>
  </si>
  <si>
    <t>Se registro el derrumbe de varias rocas, una de las cuales cayó sobre una vivienda ocasionando la muerte de dos personas</t>
  </si>
  <si>
    <t>Hueytlalpan</t>
  </si>
  <si>
    <t>Se registró el derrumbe de una piedra de mas de 20 toneladas sobre una vivienda causando la muerte de una persona y lesiones a otra</t>
  </si>
  <si>
    <t>Tlalchinol</t>
  </si>
  <si>
    <t>Se registro un deslizamiento que bloqueo la carretera Tampico-México. Se suspendió el transito en la zona por varias horas</t>
  </si>
  <si>
    <t>Atenango del Río</t>
  </si>
  <si>
    <t>En el Municipio de Atenango del Río, se registro una granizada que daño los techos de 450 viviendas construidas con material endeble.</t>
  </si>
  <si>
    <t>Chocaman</t>
  </si>
  <si>
    <t>se registro un deslave de tierra y lodo proveniente de un banco de arena, esto mantiene en riesgo a las familias que habitan cerca del lugar, se afecto directamente a 2 familias, lo que provoco su evacuación</t>
  </si>
  <si>
    <t>Tlanchinol</t>
  </si>
  <si>
    <t>Debido a la saturación de humedad en la ladera en el Km. 153 se registro un deslizamiento de suelo atrapando a un taxi</t>
  </si>
  <si>
    <t>Se repotan fuertes lluvias que provcaron derrumbes, dejndo como consecuencia el fallecimiento de 3 personas</t>
  </si>
  <si>
    <t>Se registro un deslave afectando un m,unicipio del estado de Veracruz</t>
  </si>
  <si>
    <t>Huautla  Jiménez</t>
  </si>
  <si>
    <t>Se reporto el hundimiento de suelo dejando 2 Muertos, 5 lesionados y 2 desaparecidos</t>
  </si>
  <si>
    <t>Merida</t>
  </si>
  <si>
    <t>Tlajomulco de Zuñiga</t>
  </si>
  <si>
    <t>Mariano Escobedo</t>
  </si>
  <si>
    <t>Azcapotzalco</t>
  </si>
  <si>
    <t>Teloloapan</t>
  </si>
  <si>
    <t>Reforma</t>
  </si>
  <si>
    <t>Parras</t>
  </si>
  <si>
    <t>Cosamaloapan</t>
  </si>
  <si>
    <t>El Marques</t>
  </si>
  <si>
    <t>San José Iturbide</t>
  </si>
  <si>
    <t>Iguala</t>
  </si>
  <si>
    <t>Tizayuca</t>
  </si>
  <si>
    <t>Santa Ana</t>
  </si>
  <si>
    <t>Delegación Gustavo A. Madero</t>
  </si>
  <si>
    <t>Atizapán de Zaragoza</t>
  </si>
  <si>
    <t>Se registraron fuertes lluvias en la Colonia Ciudad del Lago. Se reportan 50 viviendas con daños mínimos y afectaciones en sus enseres domésticos</t>
  </si>
  <si>
    <t>Tecate y Mexicali</t>
  </si>
  <si>
    <t xml:space="preserve">MPIO. DE TECATE; A las 12 de la noche (hora local) fue cerrada la carretera de la Rumorosa y reabierta a las 10:30 horas del día siguiente, debido a las lluvias que se presentaron durante la madrugada y  parte de la mañana del día del siniestro, además se reportaron inundaciones menores en avenidas y calles principales, así como en las colonias Rincón Tecate, la Coyotera, el Descanso y la zona Centro.                                                                                                             MPIO. DE MEXICALI; Se informa que las lluvias han afectado algunas viviendas, así como se han registrado  inundaciones ligeras en avenidas y calles principales.  </t>
  </si>
  <si>
    <t>Atzalan, Alamo, Temapache, Banderilla, Coatepec, Colipa, Tenochtitlan, Xalapa y Chiconamel</t>
  </si>
  <si>
    <t>Se registraron fuertes lluvias acompañadas de tormenta electrica, se reportan 175 viviendas afectadas</t>
  </si>
  <si>
    <t>Acapulco, Chilpancingo, Zihuatanejo</t>
  </si>
  <si>
    <t>En Acapulco 302 personas refugiadas, 15 refugios temporales, 527 refugiados, 450 raciones de comida. en Chilpancingo 100 viviendas afectadas, en Zihuatanejo 115 viviendas afectadas, 289 personas afectadas</t>
  </si>
  <si>
    <t>La Unidad Estatal de Protección Civil, reportó que el día 15 de mayo a las 23:15 horas, debido a las fuertes lluvias registradas en la zona  se produjeron encharcamientos en 11 colonias pertenecientes al municipio de Dolores Hidalgo, Guanajuato, afectando a 31 viviendas con un tirante de agua en su interior de 50cm, además de que se presentaron derrumbes en las paredes de una casa, estos sucesos dejaron a 24 personas damnificadas entre menores y adultos, también se vieron afectados 16 vehículos, un transformador y cableado de energía eléctrica y de telefonía.</t>
  </si>
  <si>
    <t>Se registraron fuertes lluvias en el municipios, mismas que afectaron alrededor de 40 viviendas construidas de material endeble, sobretodo en techos. Se instalo un refugio temporal para atender a la población afectada</t>
  </si>
  <si>
    <t>Monclova, San buena Aventura y Frontera</t>
  </si>
  <si>
    <r>
      <t xml:space="preserve">Se registraron lluvias fuertes acompañada de granizo, lo que ocasiono encharcamientos en diversas colonias y vialidades de los municipios de Monclava, San Buena bentura y frontera.           </t>
    </r>
    <r>
      <rPr>
        <b/>
        <sz val="9"/>
        <rFont val="Arial"/>
        <family val="2"/>
      </rPr>
      <t xml:space="preserve">Monclava: </t>
    </r>
    <r>
      <rPr>
        <sz val="9"/>
        <rFont val="Arial"/>
        <family val="2"/>
      </rPr>
      <t xml:space="preserve">Debido a las lluvias se presentaron encharcamientos en las principales vialidades y patios de diversas viviendas. El granizó alcanzó un espesor entre los 2 y los 3 cm, dejando un sinnúmero de carros y camionetas abollados o con los vidrios rotos, así como encharcamientos en avenidas, además de que se presentaron vientos los cuales derribaron árboles, espectaculares, lámparas de alumbrado público y provocaron un  fuga de gas en algunas viviendas.        </t>
    </r>
    <r>
      <rPr>
        <b/>
        <sz val="9"/>
        <rFont val="Arial"/>
        <family val="2"/>
      </rPr>
      <t>San Buena Aventura:</t>
    </r>
    <r>
      <rPr>
        <sz val="9"/>
        <rFont val="Arial"/>
        <family val="2"/>
      </rPr>
      <t xml:space="preserve"> las lluvias registraron encharcamientos en principales vialidades afectando el flujo vehicular, provocando un congestionamiento vial y tres casas encharcadas
</t>
    </r>
  </si>
  <si>
    <t>Acajete, Tlapacoyan, Xico y Huatusco</t>
  </si>
  <si>
    <t xml:space="preserve">Se registraron fuertes lluvias acompañadas de granizo, provocando daños en 181 viviendas 4 centros de salud y fueron necesarias 32 acciones de reconstruccion en infraestructura carretera. El FONDEN apoyo con recursos para las acciones de reconstruccion. </t>
  </si>
  <si>
    <t>Se registraron fuertes lluvias mismas que provocaron la ciada de cables de alta tension, bardas y estructuras. Se reporto lesionado un menor</t>
  </si>
  <si>
    <t>Calpulalpan y Nanacamilpa</t>
  </si>
  <si>
    <t>Se registraron severas lluvias acompañadas de fuertes vientos. Se reportan daños de diferentes magnitudes en 3600 viviendas. Se instalaron refugios temporales en los cuales se atendió al menos a 500 personas.</t>
  </si>
  <si>
    <t>Victoria</t>
  </si>
  <si>
    <t>La Unidad Estatal de Protección Civil, reportó que el día 30 de mayo a partir de las 18:00 se registraron fuertes lluvias y una granizada severa en la Comunidad de la “Estancia”  que pertenece al municipio de Victoria, esta granizadaza afectó el techo de 40 viviendas pero sin que se registraran daños mayores.</t>
  </si>
  <si>
    <t>Boca del Rio</t>
  </si>
  <si>
    <t>Se reportan afectaciones en 294viviendas a consecuencia de las fuertes lluvias, mismas que ocasionaron el desbordamiento del Dren B. Se reportan 1670 personas afectadas</t>
  </si>
  <si>
    <t>Huatusco, Emiliano Zapata y Tamiahua</t>
  </si>
  <si>
    <t>Se registraron fuertes lluvias en los municipios mencionados, causando daños a 48 viviendas, así como caída de postes de energía eléctrica, afectando el suministro. Se reporta una persona fallecida</t>
  </si>
  <si>
    <t>Salvador Escalante</t>
  </si>
  <si>
    <t>Se registraron fuertes lluvias causando afectaciones en 60 viviendas construidas con material endeble</t>
  </si>
  <si>
    <t>Se registraron fuertes lluvias causando afectaciones a 11 viviendas, 30 postes de luz y telefonía tirados, y una antena de comunicaciones</t>
  </si>
  <si>
    <t>Mazaltitepec de Juárez, San Salvador el Seco y Quecholac</t>
  </si>
  <si>
    <t>La Unidad Estatal de Protección Civil informó que el día 9 de junio por la tarde se registraron lluvias y vientos fuertes en los municipios de: Mazaltiltepec de Juárez, San Salvador el Seco y Quecholac. Por dicho suceso se registraron 76 viviendas afectadas en sus techos, debido a que fueron construidos con material endeble y no resistieron las lluvias ni los vientos debido a que en su mayoría eran techos construidos con láminas de cartón.</t>
  </si>
  <si>
    <t>Se registraron fuertes lluvias ocasionando la caida de 28 arboles, causando daños a 5 vehículos, 7 transformadores y 3 postes</t>
  </si>
  <si>
    <t>Maravatio</t>
  </si>
  <si>
    <t>La Unidad Estatal de Protección Civil, reportó que el día 17 de junio a las 19:00 horas se registró una fuerte lluvia en el Municipio de Maravatío, en el cual se registró el creciente del arroyo de nombre el Arenal, afectando 7 viviendas con penetración de agua con un tirante de 80 cm, ubicadas en la colonia los Sabinos, sin que se registraran daños humanos. Si hubo daños en enseres</t>
  </si>
  <si>
    <t>Se registraron fuertes lluvias acompañadas de viento. 35 viviendas resultaron afectadas, asi como 6 edificios publicos, 6 bardas, 15 vehiculos, 5 arboles y un poste de luz</t>
  </si>
  <si>
    <t xml:space="preserve">La Unidad Estatal de Protección Civil informó que el día 18 de junio a las 19:00 horas se registraron lluvias fuertes acompañadas de granizo en el municipio de Chalco, dejando a su paso encharcamientos en avenidas importantes con tirantes de 30  a 45 cm., inundando varias viviendas, sin que se registren daños humanos. </t>
  </si>
  <si>
    <t>Álvaro Obregón, Cuauhtémoc, Venustiano Carranza, Gustavo A. Madero, Tlalpan, Tlahuac, Magdalena Contreras y Xochimilco</t>
  </si>
  <si>
    <t>La Subsecretaria de Protección Civil del Distrito Federal, informó que debido a las lluvias y vientos registrados el día 18 de junio a las 18:30 horas se generaron encharcamientos y la caída de 3 árboles, de los cuales uno cayó en la delegación Gustavo A. Madero, cayó sobre las líneas de energía eléctrica, telefonía y  televisón por cable</t>
  </si>
  <si>
    <t>La Unidad Estatal de Protección Civil informó que el día 18 de junio por la tarde por la tarde se registraron fuertes lluvias, ocasionando la creciente del río Alseca, en el cual apareció un cuerpo sin vida de un hombre de 40 años. Daños en 15 viviendas</t>
  </si>
  <si>
    <t>La subsecretaria de protección civil reportó que las fueres lluvias ocurridas el día 19 de junio por la tarde en el municipio de de Torreón, fueron de 35.7mm y en menos de una hora afecto con tirantes de 40cms. Las colonias, Lázaro Cárdenas, Lauro Fernández, residencial del Norte, Ejido San Luisito y colonia las Fuentes, dejando derribados a 25 árboles</t>
  </si>
  <si>
    <t>Irapuáto</t>
  </si>
  <si>
    <t>La Unidad Estatal de Protección Civil notificó que el día 20 de junio a las 07:30 horas se registraron fuertes lluvias en todo el municipio de Irapuato, afectando 4 colonias, afectando 66 viviendas por penetración de agua lo cual dejo un saldo de 264 personas damnificadas, sin que se registraran pérdidas humanas.</t>
  </si>
  <si>
    <t xml:space="preserve">La Subsecretaria de Protección Civil del Distrito Federal informó que el día 21 de junio a las 17:10 horas se desgajo parte de la marquesina del edificio de gobierno al ablandarse en su lado poniente, reportándose 6 personas lesionadas. </t>
  </si>
  <si>
    <t>La Unidad Estatal de Protección Civil informó que el día 21 de junio a las 21:00 horas se registraron lluvias de hasta 74mm en 45 minutos, loo que provocó la creciente del arroyo el Muerto, donde una familia de 10 personas que iban en una camioneta suburban trataron de cruzarlo  sin poder hacerlo y como resultado la corriente arrastró el vehículo, dejando un saldo de 9 muertos y una persona rescatada con vida. También se registraron afectaciones en 60 viviendas de las cuales 2 son con pérdida total, 8 con daños parciales y 50 con penetración de agua hasta 30 centímetros, todo esto registrado en 10 colonias</t>
  </si>
  <si>
    <t>La Unidad Estatal de Protección Civil, reportó que el día 22 de junio, se presentaron afectaciones por el paso del huracán Andrés, registrándose la suspensión del suministro de energía eléctrica en los tramos costeros de Playa Azul-Caleta y Caleta-Tumbo, registrándose la caída de árboles, y se vieron afectadas 110 propiedades, debido a anegaciones y daños en enseres, sin que se reportaran daños humanos.</t>
  </si>
  <si>
    <t>Acapulco, Atoyac y Ayutla</t>
  </si>
  <si>
    <t xml:space="preserve">La Unidad Estatal de Protección Civil informó que el día 24 de junio a las 16:00 horas se registró una precipitación de 32mm. En 15 minutos, en el municipio de Cintalapa, como resultado de esto se generaron encharcamientos de 50 a 80cm. De altura, los cuales al secarse dejaron montículos de lodo y basura en las calles, además de que colapsaron 8 bardas perimetrales, de las cuales una cayó sobre una persona adulta, y también se vieron afectadas 126 viviendas. </t>
  </si>
  <si>
    <t>La Unidad Estatal de Protección Civil informó que el día 28 de junio a las 19:29 horas se registraron fuertes lluvias en todo el municipio de Irapuato, afectando a 4 personas que fueron arrastradas por  la corriente de una bajada de agua proveniente del Río “Temascatio”, el cual pertenece a la comunidad del Teponal, dicha bajada los llevo aguas abajo hasta llegar a la presa “De Ortega”. Se encontraron los cuerpos de las 4 personas pero ya sin vida, uno de de los cuerpo se encontró el mismo día del percance, mientras  q otros dos se encontraron el día 4 de julio y el ultimo cuerpo hasta el día 6 de julio con ayuda de buzos, de las personas fallecidas 3 eran mujeres dos de ellas con 17 años de edad y una con 18, el otro cuerpo encontrado pertenece a un joven de 18 años. Asi mismo se informo que dos de los busos involucrados en la búsqueda terminaron con descompensación por permanecer mucho tiempo dentro del agua.</t>
  </si>
  <si>
    <t>Ecatepec, Nezahualcóyotl y Los Reyes la Paz</t>
  </si>
  <si>
    <t>La Unidad Estatal de Protección Civil, informó que el día 30 de junio a las 19:50 horas se registraron fuertes lluvias en los municipios de Ecatepec, Nezahualcóyotl y los Reyes la Paz, con tirantes de agua entre los 30 y los 50 cm, reportándose un mal sistema de alcantarillado.</t>
  </si>
  <si>
    <t>Fortin, Cordoba, Coscomatepec, Emiliano Zapata, Huatusco</t>
  </si>
  <si>
    <t>Se registraron fuertes lluvias en los municipios mencionados, se reportan 32 viviendas afectadas</t>
  </si>
  <si>
    <t>Santa Maria Camotlan, Asuncion, Cuyotepeji, Santiago Miltepec, San Juan Bautista Suchitepec</t>
  </si>
  <si>
    <t>Debido a las lluvias, se declaro en emergencia a cinco municipios del Estado de Oaxaca, activandose los recursos del fondo revolvente por $1,139,025 para atender a la poblacion</t>
  </si>
  <si>
    <t>San Andres Ixtlahuaca</t>
  </si>
  <si>
    <t>La Unidad Estatal de Protección Civil informó que el día 30 de junio a las 19:30 horas se presento el arrastre de un taxi por parte del cause del “Río Grande”, al momento en que el taxi intentaba cruzarlo pero no lo logro por producto de la fuerte corriente que se genero a causa de las fuertes lluvias que han caído sobre la región. También se informa que el taxi viajaba con 5 personas a bordo, las cuales en el momento en que  era arrastrado el vehículo lograron salir, sin embargo una mujer que llevaba en brazos a un menor de 6 años no logro sostenerlo bien y cayo al agua, el cuerpo del menor fue encontrado dos días después ya sin vida.</t>
  </si>
  <si>
    <t>Cuapiaxtla, Huamantla, Apizaco, Tzompantepec, San José Teacalco, Amaxac, Tetla De La Solidaridad, Altzayanca, Tlaxcala, Zitlaltepec</t>
  </si>
  <si>
    <t>Debido a las fuertes lluvias se registraron daños en 260 viviendas, además se cayeron 2 bardas</t>
  </si>
  <si>
    <t>Tzompatepec, Tlaxco, Santa Cruz Tlaxcala y Tetla de la Solidaridad</t>
  </si>
  <si>
    <t>Se registraron lluvias intensas causando daños en 350 viviendas. Se registraron daños en menaje y se apoyo a las familias afectadas con cobertores, colchonetas y despensas. Se activaron los recursos del Fondo Revolvente del FONDEn</t>
  </si>
  <si>
    <t xml:space="preserve">Zapopan </t>
  </si>
  <si>
    <t>Debido a las fuertes lluvias se registraron daños en 6 viviendas, la caida de 4 espectaculares, 21 vehiculos afectados y 38 árboles caídos</t>
  </si>
  <si>
    <t>Ecatepec e Ixtapaluca</t>
  </si>
  <si>
    <t xml:space="preserve">
La Unida Estatal de Protección Civil informó que el día 2 de julio a las 18:54 horas se registró una fuerte  lluvia en el municipio de Ixtapaluca, teniendo como resultado 14 personas  damnificadas, sin que se reportaran daños graves.
</t>
  </si>
  <si>
    <t>Zapopan, Tlaquepaque, Guadalajara, Tlajomulco</t>
  </si>
  <si>
    <t>La Unidad Estatal de Protección Civil informó que debido a las fuertes Lluvias registradas durante la mañana del día 3 de julio se presentaron inundaciones en calles y avenidas, además de que se presentaron algunos desbordamientos de ríos y derrumbes en algunas en algunas zonas carreteras de los municipios de Zapopan, Tlaquepaque, Guadalajara y Tlajomulco.</t>
  </si>
  <si>
    <t>NSR</t>
  </si>
  <si>
    <t>La Unidad Estatal de Protección Civil informó que debido a las fuertes Lluvias registradas el día 5 de julio en el municipio de Pto. Vallarta, perteneciente al estado de Jalisco, donde se registraron fuertes inundaciones y desbordamiento de ríos que afectaron a 200 viviendas, por lo que las familias tendrán que ser reubicadas a otros lados mas seguros o bien tendrán que ir con familiares.</t>
  </si>
  <si>
    <t>Chiquihuitlan de Benito Juarez, Cuyamecalco Villa de Zaragoza,          San Andres Teotilalpam, San Bartolome Ayutla, San Felipe Jalapa de Diaz, San Felipe Usila, San Juan Bautista Tlacoatzintepec, San Juan Coatzospam, San Lucas Ojitlan,               San Pedro Ixcatlan, San Pedro Teutila,             Santa Maria Tlalixtac, Teotitlan de Flores Magon</t>
  </si>
  <si>
    <t xml:space="preserve">A consecuencia de las lluvias se registraron daños en 675 viviendas dañadas, afectaciones en varias hectáreas de agricultura, 8 escuelas con daños y 2 derrumbes carreteros. Se declaro en emergencia a varios municipios. Se recibieron apoyos del estado y la federacion. Debido a las lluvias, se declaro en emergencia a trece municipios del Estado de Oaxaca, activandose los recursos del fondo revolvente por $14,819,950 para atender a la poblacion </t>
  </si>
  <si>
    <t>Santa Maria Chilchotla</t>
  </si>
  <si>
    <t>Se registraron lluvias intensas afectando 60 viviendas, una de ellas con pérdida total.</t>
  </si>
  <si>
    <t>San Andres Tuxtla</t>
  </si>
  <si>
    <t>Se registraron fuertes lluvias ocasionando daños en los techos de 12 viviendas</t>
  </si>
  <si>
    <t>Cualac</t>
  </si>
  <si>
    <t xml:space="preserve">Tormenta local acompañada de granizo en la localidad de Cuescomapa, municipio de Cualac.  Se registraron daños en los techos de láminas de cartón de 20 viviendas resultando 90 personas afectadas. Protección Civil Estatal envió: 100 cobertores, 100 colchonetas,  60 despensas, 70 paquetes de pañales, 10 cajas de toallas sanitarias y 150 prendas de ropa invernal.  </t>
  </si>
  <si>
    <t>Benito Juarez, Villa Juarez y Bacum</t>
  </si>
  <si>
    <t>Se registraron fuertes lluvias acompañadas de viento, se reportan daños en los techos de 8 viviendas, así como caída de árboles y postes de luz</t>
  </si>
  <si>
    <t>Se registro la fractura de el Río Ameca, inundando de aguas negras 6 hectáreas de cultivo</t>
  </si>
  <si>
    <t>Se registraron fuertes lluvias que ocasionadron la creciente de los arroyos Jesus Garcia y Tecnologico. Se reportan 3 viviendas afectadas y 11 vehículos</t>
  </si>
  <si>
    <t>Debido a las fuertes lluvias se presentaron daños minimos en 40 viviendas</t>
  </si>
  <si>
    <t>Santiago Miltepec, Asunción Cuyotepeji, San Juan Bautista Cuchitepec, Santa María Comatlán</t>
  </si>
  <si>
    <t>Debido a las intensas lluvias se reportan 275 viviendas con diversas afectaciones. Se instalaron tres refugios temporales en los cuales se atiende a 325 personas.</t>
  </si>
  <si>
    <t>Guadalajara y Zapopan</t>
  </si>
  <si>
    <t>Las fuertes lluvias ocasionaron la caída de 55 árboles y tendido eléctrico. Se reportan daños en 31 viviendas, así como una persona lesionada</t>
  </si>
  <si>
    <t>Se registraron fuertes lluvias ocasionando el desbordamiento del Canal Guadalupe Victoria. Se reportan daños en el menaje de 100 viviendas asi como daños minimos en las mismas</t>
  </si>
  <si>
    <t>Jalacingo</t>
  </si>
  <si>
    <t>Se reportan 50 viviendas afectadas por las fuertes lluvias. Se apoyo con láminas de zinc, cobertores y colchonetas</t>
  </si>
  <si>
    <t>Guadalajara, Tonala y Tlaquepaque</t>
  </si>
  <si>
    <t>Se registraron severas lluvias en los municipios mencionados. Se reportan daños minimos en 73 domicilios, así como en su menaje. Además un menor perdió la vida al ser arrastrado por la corriente de un canal</t>
  </si>
  <si>
    <t>Salvador Escalante y Uruapan</t>
  </si>
  <si>
    <t>Se registraron fuertes lluvias acompañadas de viento y granizo. Se repotan daños en 35 viviendas</t>
  </si>
  <si>
    <t>Debido a las fuertes lluvias se registraron daños en 24 viviendas. Principalmente en sus techos</t>
  </si>
  <si>
    <t>Debido a las intensas lluvias registradas en la madrugada se reportan daños en 25 viviendas. 60 vehículos. Se reportan ademas 1 persona fallecida y 7 lesionados</t>
  </si>
  <si>
    <t>Se registraron fuertes lluvias. Se reporta la muerte de una persona al intentar cruzar el cauce de un arroyo denominado Los Jabalies</t>
  </si>
  <si>
    <t>Debido a las fuertes lluvias se registraron anegaciones en 51 domicilios</t>
  </si>
  <si>
    <t>Magdalena Contreras, Alvaro Obregon y Miguel Hidalgo</t>
  </si>
  <si>
    <t>Se registraron fuertes lluvias al poniente de la ciudad ocasionando daños en 10 viviendas y 4 negocios</t>
  </si>
  <si>
    <t>Coatepec y Veracruz</t>
  </si>
  <si>
    <t>Devido a las fuertes lluvias se registraron daños en 22 viviendas</t>
  </si>
  <si>
    <t>San Andres Tuxtla, Acayucan, Meacatlan</t>
  </si>
  <si>
    <t>Se registraron fuertes lluvias afectando a 50 viviendas en diferentes grados</t>
  </si>
  <si>
    <t>La Paz, Loreto, Mulege y Comondu</t>
  </si>
  <si>
    <t>El ciclon tropical Jimena afecto severamente diversos sectores del estado. El CENAPRED organizo una mision de evaluacion con el fin de medir el impacto socioeconómico del fenómeno</t>
  </si>
  <si>
    <t>Benito Juarez, Empalme, Etchojoa, Guaymas, Huatabampo, Navojoa y San Ignacio Rio Muerto</t>
  </si>
  <si>
    <t xml:space="preserve">A pesar de que el  ciclon tropical Jimena no toco tierra en el estado, sus remanentes ocasionaron severas lluvias en los municipios de Guaymas y Empalme, ocasionando daños en diferentes sectores de la poblacion. El CENAPRED realizo una mision de evaluacion </t>
  </si>
  <si>
    <t>Atizapan de Zaragoza y Tlalnepantla de Baz</t>
  </si>
  <si>
    <t>Se registraron fuertes lluvias que afectaron ambos municipios, ademas se reporto la ruptura del emisor poniente, inundando la Colonia Valle Dorado, Se registraron daños en diferentes sectores. El CENAPRED realizo una mision de evaluación. Se declaro como Zona de desastre a ambos municipios</t>
  </si>
  <si>
    <t>Se registraron fuertes lluvias en el norte de la ciudad, se reportan inundaciones en dos estaciones del metro, daños en varios comercios y viviendas</t>
  </si>
  <si>
    <t>Ixtaczoquitlan, Mecatlán y Tihuatlan</t>
  </si>
  <si>
    <t>Se registraron fuertes lluvias ocasionando daños en 171 viviendas</t>
  </si>
  <si>
    <t>Xalapa, La Perla, Mariano Escobedo, Orizaba, Río Blanco, Nogales, Camerino Z. Mendoza y Tierra Blanca</t>
  </si>
  <si>
    <t>Se registraron fuerte lluvias del 8 al 11 de septiembre causando afectaciones en diversos sectores. El FONDEN apoyo para resarcir los daños en 3477 viviendas, 5 acciones de rehabilitacion de infraestructura urbana, 57 acciones de reconstruccion de carreteras y puentes, 39 acciones de rehabilitacion y reconstruccion de infraestructura hidráulica y una accion de recuperacion de areas naturales protegidas. Se declaro emergencia por lo que se brindo apoyo a traves del Fondo Revolvente</t>
  </si>
  <si>
    <t>Apazapan</t>
  </si>
  <si>
    <t>Debido a las intensas lluvias registradas entre el 9 y el 11 de septiembre se presentaron daños en infraestructura carretera. ElFONDEN apoyo las tareas de reconstrucción.</t>
  </si>
  <si>
    <t>Zacatepec</t>
  </si>
  <si>
    <t>Se registraron fuertes lluvias en la localidad barranca poza honda, causando daños a 40 viviendas</t>
  </si>
  <si>
    <t>Se reportan 58 viviendas afectadas con tirantes de 50cm aprox. Debido a las fuertes lluvias</t>
  </si>
  <si>
    <t>Se reportan daños minimos en 30 viviendas a consecuencia de las intensas lluvias</t>
  </si>
  <si>
    <t>Cortazar, Salamanca y Abasolo</t>
  </si>
  <si>
    <t>Debido a las fuertes lluvias registradas se reportan daños en 27 viviendas y en una escuela primaria</t>
  </si>
  <si>
    <t>Se registraron fuertes lluvias en la zona metropolitana causando ligeras anegaciones en 150 viviendas</t>
  </si>
  <si>
    <t>Tepeji de Rodriguez</t>
  </si>
  <si>
    <t>Se registraron fuertes lluvias producto de la Onda Tropical 30. Se reportan seis personas falleciidas, mismas que intentaron cruzar el cauce de un arroyo cuando este estaba crecido.</t>
  </si>
  <si>
    <t>Tlaxcala y Huyotlipan</t>
  </si>
  <si>
    <t>Se registro penetracion de agua con tirantes de hasta 60 cm en 60 viviendas. Las intensas lluvias fueron producto de la Onda Tropical 30.</t>
  </si>
  <si>
    <t>Tlacoapa</t>
  </si>
  <si>
    <t>Se registraron fuertes lluvias con algo de granizo. Se reportan 96 viviendas con daños en sus techos</t>
  </si>
  <si>
    <t>Temixco, Xochitepec y Zacatepec</t>
  </si>
  <si>
    <t xml:space="preserve">Se registraron fuertes lluvias a consecuencia de la Onda Tropical 30. Se reportan 23 viviendas inundadas </t>
  </si>
  <si>
    <t>Celaya, Tarimoro, Yuriria, San Luis de la Paz, Apaseo el Grande y León</t>
  </si>
  <si>
    <t>Debido a la Onda Tropical 30 se reportan afectaciones en 30 viviendas, así mismo se realizo la evacuacion de 21 personas que se encontraban asentadas en zonas de riesgo</t>
  </si>
  <si>
    <t>Una persona falleció ahogada derivado de las fuertes lluvias. Al parecer la persona fue arrastrada y cayo en una alcantarilla</t>
  </si>
  <si>
    <t>Se registraron fuertes lluvias ocasionando derrumbes en algunas carreteras, se reportan 62 viviendas afectadas, de las cuales 9 presentaron daño total.</t>
  </si>
  <si>
    <t>Dos personas fueron arrastradas por el Río San Marcos debido a que con las fuertes lluvias aumento su caudal</t>
  </si>
  <si>
    <t xml:space="preserve">Magdalena Contreras </t>
  </si>
  <si>
    <t>Se registro fuerte lluvia que ocasiono la crecida del Río Magdalen  Anzaldo, afectando dos agencias de vehículos nuevos causando daños a 17 autos y una vivienda</t>
  </si>
  <si>
    <t>Acula, Alvarado, Amatitlan, Chacaltianguis, Chontla, Chumatlan, Citlaltepetl, Coahuitlan, Coxquihui, Cyutla, Espinal, Filomeno Mata, Gutierrez Zamora, Ixcatepec, Ixmatlahuacan, Las Choapas, Mecatlan, Otatitlan, Papantla, Tancoco, Tecolutla y Zozocolco</t>
  </si>
  <si>
    <t>Las intensas precipitaciones provocadas por el Frente Frio 2 ocasionaron severas afectaciones en varios municipios del estado. Se reportan daños en 9635 viviendas aproximadamente. Se instalaron refugios temporales. Daños en una escuela. 25 tramos carreteros y 13 puentes. Cinco ríos desbordados. Daños en energía eléctrica, caminos y telefonía. El FONDEN apoyo para la reconstruccion de 427 viviendas, 193 acciones de reconstruccion de caminos y puentes, 6 acciones para reconstruccion de infraestructura hidráulica y para la reconstruccion de infraestructura de residuos solidos. Asi mismo se activó el fondo revolvente para atender la emergencia.</t>
  </si>
  <si>
    <t>Ayotzintepec, San Jose Chiltepec, San Juan Bautista Valle Nacional, San Juan Comaltepec y Santa Maria Jacatepec</t>
  </si>
  <si>
    <t>Debido al frente frio 2 se registraron fuertes lluvias en los municipios mencionados. Se instaló un refugio temporal en el que se atendió a 660 personas. Se reportan daños minimos en 2550 viviendas, mismas que no fueron atendidas por FONDEN. El FONDEN apoyo para 4 obras de reconstruccion de carreteras y puentes y para 2 obras de infraestructura hidraulica. Se utilizo el fondo revolvente para atender la emergencia.</t>
  </si>
  <si>
    <t>Zacatlan y Nauzontla</t>
  </si>
  <si>
    <t>Se registraron fuertes lluvias ocasionando daños en 90 viviendas aproximadamente</t>
  </si>
  <si>
    <t>Se registraron daños en 23 viviendas a consecuencia de las fuertes lluvias y el consecuente desbordamiento de arroyos</t>
  </si>
  <si>
    <t>Atlapexco</t>
  </si>
  <si>
    <t>Se registraron lluvias en el mencionado municipio. Varios tramos carreteros resultaron dañados, por lo que FONDEN apoyo para la realizacion de 96 acciones de reconstruccion</t>
  </si>
  <si>
    <t>Huautla, Huazalingo, Jaltocán, La Misión, Nicolas Flores, Pacula, Pisaflores, San Felipe Orizatlan, Tlahuiltepa y Yahualica</t>
  </si>
  <si>
    <t>Se registraron lluvias los dias 26 y 27 de septiembre en el mencionado municipio. Varios tramos carreteros resultaron dañados, por lo que FONDEN apoyo para la realizacion de 96 acciones de reconstruccion</t>
  </si>
  <si>
    <t>Alamos, Bacum, Cajeme, Quiriego, Rosario, Suaqui Grande, Yecora</t>
  </si>
  <si>
    <t xml:space="preserve">Debido a las lluvias provocadas por la cercanía de la TT Patricia, se declaro en emergencia a siete municipios del Estado de Sonora, activandose los recursos del fondo revolvente por $2,242,205 para atender a la poblacion </t>
  </si>
  <si>
    <t>Debido a la Tormenta Tropical Patricia se registraron daños en 300 viviendas. Protección Civil estatal movilizó personal y coordino las acciones de evacuación de mñas de 4160 personas. Además fue declarado en emergencia el municipio de Ahome, activando los recursos del FGondo revolvente</t>
  </si>
  <si>
    <t>Coatzintla, Coyutla, Espinal, Martinez de la Torre, Nautla, Poza Rica de Hidalgo, San Rafael y Tlapacoyan</t>
  </si>
  <si>
    <t>Debido a las fuertes lluvias del frente frio 6 resultaron dañadas 205 viviendas, de las cuales 88 fueron atendidas por FONDEN. Así mismo FONDEN aporto recursos para la realización de 73 acciones de reconstruccion de infraestructura carretera y para la rehabilitación de infraestructura de residuos solidos. Se apoyó a la población por medio de insumos adquiridos atraves del fondo revolvente.</t>
  </si>
  <si>
    <t>Debido al Ciclon Tropical Rick, se declaro en emergencia a un municipio del Estado de Colima, Activandose los recursos del fondo revolvente por $14,048 para atender a la poblacion</t>
  </si>
  <si>
    <t xml:space="preserve">Debido al Ciclon Tropical Rick, se declaro en emergencia a un municipio del Estado de Baja California Sur, activandose los recursos del fondo revolvente por $470,000 para atender a la poblacion </t>
  </si>
  <si>
    <t>Culiacan y Mazatlan</t>
  </si>
  <si>
    <t xml:space="preserve">El Huracán Rick ocasiono fuertes lluvias en los municipios mencionados. Se reportan daños en al menos 714 viviendas 5 caminos y 10 obras de infraestructura hidraulica. De igual forma el Fonden apoyo a través del Fondo Revolvente con insumos para atender a la población afectada. </t>
  </si>
  <si>
    <t>Azcapotzalco y Gustavo A. Madero</t>
  </si>
  <si>
    <t>Las fuertes lluvias ocasionaron daños en 60 viviendas, 2 escuelas, 15 vehiculos y un hospital.</t>
  </si>
  <si>
    <t>Coacalco de Berriozabal, Ecatepec de Morelos y Tultitlan</t>
  </si>
  <si>
    <t>Se registraron severas lluvias en los municipios mencionados ocasionando daños en infraestructura y viviendas, además de 5 personas fallecidas en Ecatepec y 14 lesionadas. Así mismo se reportan daños en al menos 520 viviendas con daños, 15 con daño total. La compañía ICA apoya con; 1 retroexcavadora, 3 retrocargadores, 1 barredora, 20 camiones de 14 metros cúbicos, 3 bombas de gasolina, 1 ambulancia 60 ayudantes, 18 oficiales, 20 senaleros, 7 operadores, 3 oficiales de seguridad, 6 jefes de obra y 3 superintendentes. El FONDEN apoyo con recursos para obras de recosntruccion.</t>
  </si>
  <si>
    <t>Comalcalco, Cunduacan, Paraiso, Cardenas y Huimanguillo</t>
  </si>
  <si>
    <t>Se registraron intensas lluvias a consecuencia del Frente Frio 9, mismas que causaron severas inundaciones en la Región de la Chontalpa en el estado de Tabasco. La SEGOB declaro en desastre a cinco municipios, por tal motivo, el CENAPRED realizó una misión de evaluación con el fin de cuantificar el impacto social y económico que provocó el fenómeno. Desafortunadamente dos personas perdieron la vida y se registraron daños en 2369 viviendas, además otras 59,667 requirieron de acciones de limpieza al sufrir ligera penetración de agua.</t>
  </si>
  <si>
    <t>Ostuacan, Pichucalco, Juárez y Francisco León</t>
  </si>
  <si>
    <t>Debido a la Onda Tropical 38 se registraron intensas lluvias, mismas que afectaron dos tramos carreteros y 54 viviendas</t>
  </si>
  <si>
    <t>Acayucan, Agua Dulce, Coatzacoalcos, Cosoleacaque, Ixhuatlan del Sureste, Las Choapas, Minatitlan, Moloacan, Nanchital de Lazaro Cardenas del Rio, Texistepec, Uxpanapa y Zaragoza</t>
  </si>
  <si>
    <t xml:space="preserve">Se registraron fuertes lluvias provocando el desbordamiento de rios y arroyos. Se declaro en emergencia a 12 municipio del Estado de Veracruz, con lo que se activaron los recursos del fondo revolvente por 47.7 millones de pesos aproximadamente para atender a la poblacion.  Se reportan afectaciones en 9,156 viviendas, 135 comunidades y 39 colonias. El FONDEN apoyó para acciones de reconstrucción de 243 viviendas, 20 de infraestructura urbana, 239 de caminos y puentes, 5 de infraestructura hidraulica y 19 para acciones de CONAFOR. 12 municipios fueron declarados en Desastre. </t>
  </si>
  <si>
    <t>Compostela, Ruiz, San Blas y Tuxpan</t>
  </si>
  <si>
    <t>Debido a las fuertes lluvias se registraron inundaciones en zonas de cultivo, afectando 5,182 hectáreas de cultivos de frijol, sorgo, maiz, jicama, jitomate, sandia, tomatillo, etc. Se vieron afectados 1,658 productores. El PACC apoyó con cerca de 5 millones de pesos con el fin de reactivar las actividades para el siguiente ciclo. El monto real de los daños se estimó en 70.3 millones de pesos</t>
  </si>
  <si>
    <t xml:space="preserve">Apulco, Concepción del Oro, Genaro Codina, General Panfilo Natera, Jalpa, Juchipila, Mayohua de Estrada, Nochistlan de Mejia, Noria de Angeles, Ojocaliente, Panuco, Pinos, Santa Maria de la Paz, Tabasco, Trancoso, Villa García, Villa Hidalgo, Villanueva y Zacatecas. </t>
  </si>
  <si>
    <t>La sequia ocasiono daños en aproximadamente 40,345.36 hectáreas. Se afectó a 9,975 productores. El Cultivo más afectado fue maíz. El PACC apoyó con 36,310,824 pesos.</t>
  </si>
  <si>
    <t xml:space="preserve">Apozol, Atolinga, Benito Juarez, Calera, Canitas de Felipe Pescador, Cuauhtemoc, El salvador, Fresnillo, Guadalupe, Huanusco, Jimenez del Teul, Joaquin Amaro, Juchipila, Loreto, Luis Moya, Mezquital del Oro, Momax, Monte Escobedo, Morelos, Moyahua de Estrada, Nochistlan de Mejia, Panfilo Natera, Rio Grande, Santa Maria de la Paz, Susticacan, Tepechitlan, Tepetongo, Teul de Gonzalez Ortega, Tlaltenango de Sanchez Roman, Trinidad García de la Cadena y Villa Gozalez Ortega. </t>
  </si>
  <si>
    <t>La sequia ocasionó daños a 23,522.43 unidades animales, afectando a 1629  productores. El ganado más afectado fue bovino. El PACC apoyó con 10,585,095 pesos.</t>
  </si>
  <si>
    <t>Aguililla,Alvaro Obregón, Angamacutiro, Arteaga, Buena vista, Carácuaro, Coeneo, Contepec, Copándero, Chavinda, Chucándiro, Gabriel Zamora, La Huacana, Huandacareo, Huaniqueo, Huetamo, Ixtlán, Jacona, Maravatío, Morelia, Morelos, Nocupétaro, Parácuaro, Purépero, San Lucas, Senguio, Tancítaro, Tangancícuaro, Tarímbaro, Tiquicheo de Nicolás Romero, Tlazazalca, Tumbiscatío, Turicato, Tzitzio y Zacapu.</t>
  </si>
  <si>
    <t>La sequia ocasiono daños en aproximadamente 40,622.22 hectáreas. Se afectó a 12,772  productores. El Cultivo más afectado fue maíz, frijol, sorgo, ajonjoli. El PACC apoyó con 38,022,397.92 pesos.</t>
  </si>
  <si>
    <t>Churintzio, La piedad, Numaran, Penjamillo, Tanhuato, Vista Hermosa, Yurecuaro, Zinaparo y Susupuato.</t>
  </si>
  <si>
    <t>La sequia ocasiono daños en aproximadamente 17,149.01 hectáreas. Se afectó a 4,695  productores. El Cultivo más afectado fue maíz. El PACC apoyó con 15,434,104.5 pesos.</t>
  </si>
  <si>
    <t>Del Nayar.</t>
  </si>
  <si>
    <t>La sequia ocasiono daños en aproximadamente 6,700.5 hectáreas. Se afectó a 3642  productores. El Cultivo más afectado fue maíz. El PACC apoyó con 6,271,668.0 pesos.</t>
  </si>
  <si>
    <t>Arroyo Seco, Colón, Corregidora, Ezequiel Montes, Huimilpan, Jalpan de Serra, Peñamiller, San Juan del Rio y Tequisquiapan.</t>
  </si>
  <si>
    <t>La sequia ocasiono daños en aproximadamente 17,529.88 hectáreas. Se afectó a 6,168  productores. El Cultivo más afectado fue maíz. El PACC apoyó con 16,407,967.68 pesos.</t>
  </si>
  <si>
    <t>Querétaro, El Marqués y Cadereyta de Montes.</t>
  </si>
  <si>
    <t>La sequia ocasiono daños en aproximadamente 12,991.43 hectáreas. Se afectó a 4,481  productores. El Cultivo más afectado fue frijol y maíz. El PACC apoyó con 467,691.48 pesos.</t>
  </si>
  <si>
    <t>Abasolo, Manuel Doblado, Cortazar, Dolores Hidalgo, Huanímaro, Jaral del Progreso, León, Moroleón, Pénjamo, Romita, Salvatierra, San Diego de la Unión, San Francisco del Rincon, San Luis de la Paz, Santiago Maravatío, Silao, Tarimaro, Uriangato, Valle de Santiago, Villagrán, Xichú.</t>
  </si>
  <si>
    <t>La sequia ocasiono daños en aproximadamente 32,779.32 hectáreas. Se afectó a 8,756  productores. El Cultivo más afectado fue maíz, frijol, Sorgo, Avena, Cebada. El PACC apoyó con 30,681,443.52 pesos.</t>
  </si>
  <si>
    <t>Guadalcázar.</t>
  </si>
  <si>
    <t>La sequia ocasiono daños en aproximadamente 6,843 hectáreas. Se afectó a 2,737  productores. El Cultivo más afectado fue maíz, Sorgo. El PACC apoyó con 6,405,048 pesos.</t>
  </si>
  <si>
    <t xml:space="preserve">Ocotepec, Santo Tomas Hueyotlipan, Tepeyahualco de Cuauhtemoc, Tlanepantla, Xochitlan Todos Santos, Acatlan, Ahuehuetitla, Chigmecatitlan, Chila, Chinantla, Coatzingo, Cohetzala, Cuapiaxtla de Madero, General Felipe Angeles, Guadalupe Victoria, Huixcolotla, Ixcamilpa de Guerrero, Jolalpan, Magdalena Tlatlauquitepec, Molcaxac, Ocoyucan, Palmar del Bravo, Petlalcingo, Puebla, Reyes de Juárez, Saltillo Lafragua, San Francisco Mixtla, San Gregorio Atzompa, San Geronimo Xayacatlan, San Miguel Ixitlan, San Nicolas Buenos Aires, San Pablo Anicano, San Pedro Yeloixtlahuaca, Santa Catarina Tlaltempan, Tecomatlan, Tehuitzingo, Tepeyahualco, Tlachichuca, Tlacotepec de Benito Juárez, Tlatlauquitepec, Totoltepec, Xayacatlan de Bravo y Zautla, </t>
  </si>
  <si>
    <t>La sequia ocasiono daños en aproximadamente 38,675.87 hectáreas. Se afectó a 13,816  productores. El Cultivo más afectado fue maíz. El PACC apoyó con 34,808,278.24 pesos.</t>
  </si>
  <si>
    <t xml:space="preserve">Abala, Acanceh, Akil, Baca, Buctzotz, Celestun, Chacsinkin, Chapab, Chemax, Chicxulub Pueblo, Conkal, Cuzama, Dzemul, Dzilam Gonzalez, Dzoncauich, Halacho, Hocaba, Homun, Huhi, Hunucma, Ixil, Kanasin, Kopoma, Mani, Maxcanu, Mococha, Motul, Muna, Opichen, Panaba, Peto, Progreso, Rio Lagartos, Sacalum, San Felipe, Sanahcat, Santa Elena, Seye, Sinanche, Sotuta, Tecoh, Tekal de Venegas, Tekit, Telchac Pueblo, Temax, Temozon, Ticul, Timucuy, Tixkokob, Tixpeual, Tizimin, Tunkas, Tzucacab, Ucu, Yaxcaba, Yaxkukul y Yobain. </t>
  </si>
  <si>
    <t>La sequia ocasiono daños a 9,666.2 unidades animales, afectando a 943  productores. El ganado más afectado fue bovino. El PACC apoyó con 4,523,781.6 pesos.</t>
  </si>
  <si>
    <t>106 municipios afectados</t>
  </si>
  <si>
    <t>La sequia ocasionó daños en 62,745.5 hectáreas afectando a 47,814  productores. El PACC apoyó con 58,729,788.0 pesos.</t>
  </si>
  <si>
    <t>Aquila, Coahuayana, Chinicuila y José Sixto Verduzco</t>
  </si>
  <si>
    <t>La sequia ocasionó daños en 10,040.54 hectáreas afectando a 2,906  productores. El cultivo más afectado fue el maíz, frijol y sorgo. El PACC apoyó con 9,397,945.44 pesos.</t>
  </si>
  <si>
    <t>Canatlán, Gómez Palacio, Guadalupe Victoria y Poanas</t>
  </si>
  <si>
    <t>La sequia ocasionó daños en 12,075 unidades animales afectando a 460 productores. El ganado afectado fue el bovino, caprino y ovino. El PACC apoyó con 5,651,100.0 pesos.</t>
  </si>
  <si>
    <t>Atarjea</t>
  </si>
  <si>
    <t>La sequia ocasionó daños en 1,002.07 hectáreas afectando a 529 productores. El cultivo afectado fue el maíz y frijol. El PACC apoyó con 937,937.52 pesos.</t>
  </si>
  <si>
    <t>Apulco, Concepción del Oro, Genaro Codina, General Panfilo Natera, Jalpa, Juchipila, Mayohua de Estrada, Nochistlan de Mejia, Noria de Angeles, Ojocaliente, Panuco, Pinos, Tabasco, Villa García, Villa Hidalgo, Villanueva y Zacatecas.</t>
  </si>
  <si>
    <t>La sequia ocasionó daños en 40,345.36 hectáreas y 23,522.43 unidades animales afectando a 11,603 productores. El cultivo afectado fue el maíz, avena, sorgo y frijol. El ganado afectado fue bovinos, ovinos y caprinos. El PACC apoyó con 48,771,755.76 pesos.</t>
  </si>
  <si>
    <t>Ocotepec, Santo Tomás Hueyotlipan, Tepeyahualco de Cuauhtémoc, Tlanepantla y Xochitlán Todos Santos</t>
  </si>
  <si>
    <t>La sequia ocasionó daños en 1,165.18 hectáreas afectando a 526 productores. El cultivo afectado fue el maíz, frijol y cebada. El PACC apoyó con 1,090,604.57 pesos.</t>
  </si>
  <si>
    <t>Acatlán, Ahuehuetitla, Coatzingo, Cohetzala, Cuapiaxtla de Madero, Chigmecatitlán, Chila, Chinantla, General Felipe Ángeles, Guadalupe Victoria, Ixcamilpa de Guerrero, Jolalpan, La Fragua, La Magdalena Tlatlauquitepec, Mixtla, Molcaxac, Ocotucan, Palmar de Bravo, Petlalcingo, Puebla, Los Reyes de Juárez, San Gregorio Atzompa, San Jerónimo Xayacatlán, San Miguel Ixitlán, San Nicolás Buenos Aires, San Pablo Anicano, San Pedro Yeloixtlahuaca, San Salvador Huixcolotla, Santa Catarina Tlaltempan, Tecamachalco, Tecomatlán, Tehuitzingo, Tpeyahualco, Tlacotepec de Benito Juárez, Tlachichuca, Tlatlauquitepec, Totoltepec de Guerrero, Xayacatlán de Bravo y Zautla.</t>
  </si>
  <si>
    <t>La sequia ocasionó daños en 37,510.69 hectáreas y 726 unidades animales afectando a 13,326 productores. El cultivo afectado fue el maíz, frijol, avena y cebada. El PACC apoyó con 35,446,772.8 pesos.</t>
  </si>
  <si>
    <t>Churintzio, Numerán, Penjamillo, La Piedad, Tanhuato, Vista Hermosa, Yurécuaro y Zináparo</t>
  </si>
  <si>
    <t>La sequia ocasionó daños en 17,149.01 hectáreas afectando a 4,695 productores. El cultivo afectado fue el maíz, frijol y sorgo. El PACC apoyó con 16,051,473.36 pesos.</t>
  </si>
  <si>
    <t>Akil, Buctzotz, Calotmul, Cenotillo, Chankom, Chemax, Chikindzonot, Dzitás, Dzoncauich, Espita, Hoctún, Kaua, Oxkutzcab, Panabá, Quintana Roo, Río Lagartos, San Felipe, Suculá, Tahmek, Tekax, Temozón, Tinum, Tixcacalcupul, Tizimín, Uayma, Valladolid y Xocchel.</t>
  </si>
  <si>
    <t>La sequia ocasionó daños en 8,730 unidades animales afectando a 539 productores. El ganado afectado fue el bovino. El PACC apoyó con 4,085,640.0 pesos.</t>
  </si>
  <si>
    <t>Susupuato</t>
  </si>
  <si>
    <t>La sequia ocasionó daños en 945.63 hectáreas afectando a 321 productores. El cultivo afectado fue el maíz. El PACC apoyó con 885,109.68 pesos.</t>
  </si>
  <si>
    <t>Se registraron 7 muertes a consecuencia de las bajas temperaturas. 7 por hipotermia y 6 por intoxocación con monóxido de carbono.</t>
  </si>
  <si>
    <t>Se registró 1 muerte a consecuencia de las bajas temperaturas. 1 por hipotermia.</t>
  </si>
  <si>
    <t>Se registraron 2 muertes a consecuencia de las bajas temperaturas. 2 por hipotermia.</t>
  </si>
  <si>
    <t>Se registraron 3 muertes a consecuencia de las bajas temperaturas. 3  por intoxocación con monóxido de carbono.</t>
  </si>
  <si>
    <t>Se registraron 2 muertes a consecuencia de las bajas temperaturas. 1 por hipotermia y 1 por intoxicación con monóxidode carbono.</t>
  </si>
  <si>
    <t>Se registraron 6 muertes a consecuencia de las bajas temperaturas. Todas por intoxicación con monóxidode carbono.</t>
  </si>
  <si>
    <t>Se registraron 2 muertes a consecuencia de las bajas temperaturas. Ambas por intoxicación con monóxidode carbono.</t>
  </si>
  <si>
    <t>Se registraron 9 muertes por bajas temperaturas, 2 por hipotermia y 7 por intoxocación con monoxico de carbono.</t>
  </si>
  <si>
    <t>Juchitan</t>
  </si>
  <si>
    <t>La Unidad Estatal de Protección Civil informó que el día 31 de enero a las 2:00 se registró la volcadura de tres trailers sobre la carretera 190 en el tramo La Venta-La Ventosa, a la altura del Km 85, debido a los fuertes vientos que se generan en esta zona. No se reportan daños materiales ni humanos.</t>
  </si>
  <si>
    <t xml:space="preserve">Debido a  heladas, se declaro en emergencia a un municipio del Estado de Tlaxcala, activandose los recursos del fondo revolvente  por $1,828,500 para atender a la poblacion </t>
  </si>
  <si>
    <t xml:space="preserve">La Unidad Estatal de Protección Civil informo que a las 20:00 horas del día 20 de febrero, ocurrieron fuertes ráfagas de viento en la ciudad de Campeche, principalmente en el Malecón Av Ruíz Cortínez, Colonia Centro, ocasionando el fallecimiento de una menor y tres lesionadas. Se reportó que los hechos ocurrieron en pleno desfile del corso infantil, en el marco del carnaval de Campeche 2009, cuando una ráfaga de viento derribó un poste de alumbrado público del malecón de la ciudad, provocando la muerte de la menor Jovanna Estefanía Segovia Manzano de 8 años de edad y lesionó a otras 3 personas mayores que permanecían frente al hotel del Mar junto con sus familiares. </t>
  </si>
  <si>
    <t>La Unidad Estatal de Protección Civil, reportó que el día 21 de febrero a las 18:00 horas se registró una fuerte granizada que afecto a varias colonias pertenecientes al municipio de Morelia, reportándose 6 viviendas afectadas con daño menor, sin que se reporten daños humanos.</t>
  </si>
  <si>
    <t>Tuxpan, Pueblo Viejo, Tampico Alto, Veracruz, Boca del Río, Alvarado, La Antigua, Ursulo Galván, Angel R. Cabada, San Andres Tuxtla, Catemaco, Coatzacoalcos y Agua Dulce.</t>
  </si>
  <si>
    <t>A consecuencia del Frente Frio 37 se registraron fuertes vientos acompañados de lluvia afectando 50 viviendas en sus techos. De igual forma se cerraron los pùertos de Veracruz, Tuxpan y Coatzacoalcos a la navegación.</t>
  </si>
  <si>
    <t>Atzalan</t>
  </si>
  <si>
    <t xml:space="preserve">Debido a las heladas, se declaro en emergencia a un municipio del estado de Veracruz, activandose los recursos del fondo revolvente  por $2,124,000 para atender a la poblacion </t>
  </si>
  <si>
    <t>Santa Ana Nopalucan</t>
  </si>
  <si>
    <t>Se registró una fuerte granzada afectando a 4 viviendas de material endeble en sus techos</t>
  </si>
  <si>
    <t>Nava, Zaragoza y Morelos</t>
  </si>
  <si>
    <t>La unidad Estatal de Protección Civil informó que el día 25 de marzo a las 15:30 horas se registró una fuerte granizada acompañada de lluvias en los municipios de Nava, Zaragoza y Morelos, en este último se registraron afectaciones en varios sectores del municipio, por lo cual Protección Civil del Municipio y del estado efectúan recorridos para verificar y realizar una cuantificación de daños, además de que el municipio quedo sin energía eléctrica. 200 autos, 150 viviendas.</t>
  </si>
  <si>
    <t>Solosuchiapa</t>
  </si>
  <si>
    <t>La Unidad Estatal de Protección Civil informó que el día 27 de marzo entre las 04:00 horas y las 5:30 horas, se registraron fuertes vientos, en el municipio de Solosuchiapa. En la ranchería “El Beneficio” se reportaron 12 viviendas que fueron destechadas, además de 80 personas albergadas en la casa ejidal y en la escuela primaria Melchor Ocampo. También se indicó  que hay daños en un puente en el ejido Monte Ored. En la Ranchería San Sebastián se reportó que la escuela primaria estaba destechada, y en la Ranchería Río Negro una galera cayo sobre una persona.</t>
  </si>
  <si>
    <t xml:space="preserve">Tuzamapan, Cuetzalan y San Pedro </t>
  </si>
  <si>
    <t>La Unidad Estatal de Protección Civil informó que el día 19 de junio a las 15:00 horas se registraron fuertes vientos en los municipios de: Tuzamapan, Cuetzalan y San Pedro Cholula. Estos vientos afectaron a 32 viviendas que contaban con techos endebles, ya que eran de láminas de cartón, estos vientos no causaron afectaciones humanas.</t>
  </si>
  <si>
    <t>Cosautlan de Carvajal e Ixhuatlan de los Reyes</t>
  </si>
  <si>
    <t>Se registró una fuerte granizada misma que afecto los techos de 456 viviendas. El Ayuntamiento apoyo con laminas y despensas</t>
  </si>
  <si>
    <t>Comitan</t>
  </si>
  <si>
    <t>La Unidad Estatal de Protección Civil informó que el día 10 de mayo a las 15:30 horas se registró fuerte viento y lluvia acompañada con granizo, en la comunidad de Chichima  Benito Juárez, ubicada en el Municipio de Comitán, afectando un templo y varias viviendas en sus techos.</t>
  </si>
  <si>
    <t>Ixhuatlán de los Reyes, Chocamán, Ixtacxoquitlán, Fortín, Córdoba, Coscomatepec, Río Blanco y Zongolica</t>
  </si>
  <si>
    <t>Debido a la fuerte granizada acompañada de lluvia se registraron daños de diversos tipos en 665 viviendas. Las familias afectadas recibieron apoyo</t>
  </si>
  <si>
    <t>Iguala, de la Independencia, Pungarabato</t>
  </si>
  <si>
    <t>Penetración de agua en viviendas, en diversas horas y diversas colonias y comunidades. Municipio de Iguala de la Independencia: se reportan encharcamientos, alcanzó de 30 a 40 centímetros. Municipio de Pungarabato: afectación de hasta 80 centímetros.</t>
  </si>
  <si>
    <t>La Unidad Estatal de Protección Civil Informó que el día 28 de junio se registró una lluvia acompañada de una  tormenta eléctrica en el municipio de Magdalena, como producto de esta se produjo la caída de un rayo en la zona del basurero, matando a una pepenadora con una edad de 34 años.</t>
  </si>
  <si>
    <t>La Unidad Estatal de Protección Civil informó que el día 1 de julio a las 16:30 horas se registraron lluvias fuertes acompañadas de tormentas eléctricas, lo cual genero problemas en las colonias: Lagos de Oriente y lomas de independencia, viéndose afectadas 6 viviendas, 24 personas, 38 árboles caídos, 4 espectaculares y 21vehículos.</t>
  </si>
  <si>
    <t>La Unidad Estatal de Protección Civil informó que el día 2 de julio a las 19:50 horas, se registraron fuertes lluvias en colonias y avenidas  de los muinicipios de  Ecatepec y de  Ixtapaluca, con unos tirantes de agua de entre 40 y 50 cm,de altitud, sin que se registraran perdidas humanas.</t>
  </si>
  <si>
    <t>Mexicale</t>
  </si>
  <si>
    <t>Se reportaron dos decesos por golpe de calor</t>
  </si>
  <si>
    <t>Frontera y Saltillo</t>
  </si>
  <si>
    <t>Se reportaron dos decesos de una adulto y un menos por golpe de calor</t>
  </si>
  <si>
    <t>Laredo</t>
  </si>
  <si>
    <t>Se reporta la muerte de una persona por golpe de calor</t>
  </si>
  <si>
    <t>Se registro un fallecimiento por golpe de calor</t>
  </si>
  <si>
    <t>Saric</t>
  </si>
  <si>
    <t>Una persona fallecio en el hospital por golpe de calor</t>
  </si>
  <si>
    <t>Praxedis G. Guerrero</t>
  </si>
  <si>
    <t>Se presentaron fuertes vientos denominados Downburst o correintes descendentes. Se reportan daños en 80 viviendas. Se instalo un refugio temporal mismo que atendio a 25 personas</t>
  </si>
  <si>
    <t>Cajeme</t>
  </si>
  <si>
    <t>Debido a los fuertes vientos un árbol cayo encima de un autobús, ocasionando la muerte de dos personas y lesiones a otras 4.</t>
  </si>
  <si>
    <t>Una persona fallecio por golpe de calor</t>
  </si>
  <si>
    <t>Debido a la fuerte tormenta electrica registrada, se reportaron dos personas fallecidas y 3 lesionados al ser impactados por un rayo</t>
  </si>
  <si>
    <t>Tixtla, Atlamajalcingo del Monte y Tecpan</t>
  </si>
  <si>
    <t>Daños en vivienda con penetracion de agua y daños a cultivos. 386 familias y 220 personas albergadas</t>
  </si>
  <si>
    <t>Tantoyucan</t>
  </si>
  <si>
    <t>Se presentaron fuertes vientos afectando los techos de 118 viviendas</t>
  </si>
  <si>
    <t>Se reporto la caida de un rayo a un grupo de cuatro personas. Una perdio la vida y tres mas resultaron lesionadas</t>
  </si>
  <si>
    <t>Coquimatlan</t>
  </si>
  <si>
    <t>Se reporto la muerte de una persona cuando los fuertes vientos ocasionaron que una palmera le cayera encima</t>
  </si>
  <si>
    <t>Caida de rayo en la posición 54 de la terminal aerea, causo lesiones a 4 trabajadores del AICM</t>
  </si>
  <si>
    <t>Se reporta la muerte de un menor al ser alcanzado por un rayo</t>
  </si>
  <si>
    <t>Cayó un rayo en un campo de futbol, se reporta la muerte  de un menor y un herido</t>
  </si>
  <si>
    <t>Debido a la caida de un rayo, una persona falleció</t>
  </si>
  <si>
    <t>Guadalupe, Sombrerete, Fresnillo, Ojo Caliente, Jerez, Vetagrande y Zacatecas</t>
  </si>
  <si>
    <t>Los fuertes vientos propiciaron caída de árboles, anuncios espectaculares, postes luz y telefonicos, fuga de gas domestico. Se reportan daños en 15 viviendas y 6 lesionados</t>
  </si>
  <si>
    <t>Fresnillo, Genaro Codina,General Panfilo Natera, Pinos</t>
  </si>
  <si>
    <t>Debido a las heladas, se declaro en emergencia a cuatro municipios del Estado de Zacatecas, activandose los recursos del fondo revolvente por $5,458,560 para atender a la poblacion</t>
  </si>
  <si>
    <t>Guanacevi y San Dimas</t>
  </si>
  <si>
    <t xml:space="preserve">Debido a las heladas, se declara en emergencia a dos municipios de Durango, activandose los recursos del fondo revolvente por $1,505,576 para atender a la poblacion. </t>
  </si>
  <si>
    <t xml:space="preserve">La Secretaria de Protección Civil del Gobierno del Distrito Federal informó que el día 22 de enero se registró un deslizamiento de tierra en un cerro ubicado en la colonia Palmitas de la delegación Iztapalapa, reportándose 60 viviendas con afectaciones por lo que las familias fueron desalojadas, las cuales se refugiaron con familiares y amigos, de estas familias refugiadas a 6 se les otorgó un departamento en la Delegación Álvaro Obregón, ya que sus viviendas presentaban daños estructurales; 15 familias más fueron reubicadas en predios aledaños.  </t>
  </si>
  <si>
    <t>Se registró un derrumbe en el Pico de Orizaba en elcual una persona resultó lesionada. No se reportan daños materiales</t>
  </si>
  <si>
    <t xml:space="preserve">La Unidad Estatal de Protección Civil, informó que el día 30 de enero a las 6:20 horas se registró el  desgajamiento de un cerro en el municipio de Xochitepec, los hechos se registraron en un tramo de la carretera libre México-Acapulco, a la altura de Jardines del Xochitepec, debido a que en días anteriores se realizo un corte para ampliar la carretera a 4 carriles. No se reportaron afectaciones humanas. </t>
  </si>
  <si>
    <t>La Unidad Estatal de Protección Civil informó que el día 31 de enero a las 6:10 horas se registró el derrumbe de piedras sobre la carretera Monterrey-Monclova en el km 21, resultando 4 personas sepultadas, de las cuales 2 fueron rescatadas con vida y los otros 2 fallecieron.</t>
  </si>
  <si>
    <t>Ixhuatlan de los Reyes</t>
  </si>
  <si>
    <t>Se registro un deslizamiento, mismo que ocasiono la muerte de una persona y causó lesiones a 3 más.</t>
  </si>
  <si>
    <t>Coyuca de Benítez</t>
  </si>
  <si>
    <t>Resultan afectadas por inundación de 20 a 30 centímetros, 41 viviendas en la localidad de Ejido Viejo y 23 de  Cerrito de Oro.</t>
  </si>
  <si>
    <t>Tamazula y Topias</t>
  </si>
  <si>
    <t xml:space="preserve">Se han sentido enjambres de pequeños sismos, se activó un refugio temporal el cual atendio a 80 personas. </t>
  </si>
  <si>
    <t>Se registro un deslizamiento de suelos, sepultando una vivienda construida con material endeble. Se reportan 5 personas lesionadas y un muerto</t>
  </si>
  <si>
    <t>Huehuetla</t>
  </si>
  <si>
    <t>Se registro el deslizamiento de una ladera en la comunidad 5 de mayo se reportan daños en una vivienda, así como 3 muertos y 2 lesionados</t>
  </si>
  <si>
    <t>Las fuertes lluvias ocasionaron un deslizamiento, mismo que sepulto una vivienda en la cual tres personas fallecieron y una mas resulto herida</t>
  </si>
  <si>
    <t>Se registró un deslizamiento de un cerro, mismo que sepulto una vivienda ocasionando la muerte de 1 persona y dos heridos.</t>
  </si>
  <si>
    <t>Teziutlan</t>
  </si>
  <si>
    <t>Se registro un deslizamiento de suelos en la carretera, arrastrando a un autobus. Afortunadamente solo una persona resulto lesionada</t>
  </si>
  <si>
    <t>Alvarado, Ángel R. Cabada, Tlacotalpan, San Andrés Tuxtla, Lerdo de Tejada y Medellin</t>
  </si>
  <si>
    <t>El sismo provocó daños en 14 Viviendas, 7 escuelas, 2 templos con diferentes daños estructurales y 1 pozo de agua potable y tres caminos</t>
  </si>
  <si>
    <t>Tula de Allende</t>
  </si>
  <si>
    <t>Sahuayo</t>
  </si>
  <si>
    <t>Cuautitlán Izcalli</t>
  </si>
  <si>
    <t>Matehuala</t>
  </si>
  <si>
    <t>Acatzingo</t>
  </si>
  <si>
    <t>Ahome</t>
  </si>
  <si>
    <t>Macuspana</t>
  </si>
  <si>
    <t>Acatlán de Juárez</t>
  </si>
  <si>
    <t>Cordoba</t>
  </si>
  <si>
    <t>Martinez de la Torre</t>
  </si>
  <si>
    <t>Comonfort</t>
  </si>
  <si>
    <t>Coatepec</t>
  </si>
  <si>
    <t>Salinas</t>
  </si>
  <si>
    <t>Manzanillo</t>
  </si>
  <si>
    <t>Querendaro</t>
  </si>
  <si>
    <t>Tijuana, Mexicali, Rosarito</t>
  </si>
  <si>
    <t>Afectaciones por lluvias en diversas colonias y vialidades. En total 178 viviendas afectadas. Se reportan cables caídos de energía eléctrica, telefónica, TV, cable y transformadores, tres personas desaparecidas y una lesionada. En Tijuana: se reportaron 3 derrumbes en un cerro, que colinda con las colonias Sánchez Taboada, Flores Magón y México Lindo. Se declaró en desastre a los municipios de Tijuana y Rosarito. Fuerton necesarias 21 acciones en vialidades principales, 101 acciones en infraestructura carretera, tanto estatal como federal y 10 en infraestructura hidráulica. Desafortunadamente, tres personas perdieron la vida</t>
  </si>
  <si>
    <t>CENACOM/FONDEN</t>
  </si>
  <si>
    <t>Altotonga y Atzalan</t>
  </si>
  <si>
    <t>Se registraron bajas temperaturas y heladas en el estado. Se declaro en emergencia a dos municipios con el fin de cubrir las necesidades de abrigo, techo y alimentacion.</t>
  </si>
  <si>
    <t>Campeche, Cd del Carmen,Champotón</t>
  </si>
  <si>
    <t>Lluvias acompañadas de fuertes vientos (de 55 a 77 km/hr). Caída de árboles, espectaculares, cortes de energía eléctrica, daño en techo de viviendas y evacuaciones preventivas en diversas colonias y comunidades. Cierre momentáneo de vialidades. Se registra una persona lesionada. Se registran 27 personas albergadas en el Refugio temporal Escuela Ramón G. Bonfil.</t>
  </si>
  <si>
    <t>Técpan de Galeana y Tlacoachistlauhuaca</t>
  </si>
  <si>
    <t xml:space="preserve">Durante la noche - madrugada se registraron lluvias reportando:
🔺 Afectaciones:
- Vehículos arrastrados: 7
-Caída de palmera: 1
-Corte en la carretera: 1
Municipio de Técpan de Galeana:
• Siete vehículos estacionados fueron arrastrados por el escurrimiento pluvial en la calle de la Unidad deportiva, sólo se reportaron daños materiales.
• Caída de una palmera en vía pública en la colonia Centro.
Municipio Tlacoachistlauhuaca:
• Corte en la carretera estatal Tlacoachistlahuaca – Metlatónoc, entre las localidades de Tierra Blanca y Río Tencocoya.
🔸 Acciones: 
o Corte en la carretera estatal Tlacoachistlahuaca – Metlatónoc.
</t>
  </si>
  <si>
    <t>Acapulco, Zihuatanejo, Cruz Grande</t>
  </si>
  <si>
    <t>Tormenta Tropical Beatriz. En el municipio de Acapulco,  Se reportan 217 viviendas afectadas; 12 bardas caidas; 21 derrumbes y deslizamientos de rocas; 32 árboles caídos; 4 vehículos arrastrados; 5 daños en carretera dentro de la zona urbana y 1 daño en carretera federal. En la Costa Grande.-  se reporta un árbol caído. En la Costa Chica.- 1 árbol caído en la vía pública. En la Región Centro.- 1 derrumbe en la carretera y 1 árbol caído sobre la carretera, mismo que afectó un solo carril.</t>
  </si>
  <si>
    <t>Villagrán, Valle de Santiago, Ocampo, Dr Mora, Irapuato, San Luis de la Paz,Salamanca y Manuel Doblado</t>
  </si>
  <si>
    <t>Se reportan afectaciones por incremento de canales de riego.Como acción preventiva se desalojaron a 7 personas. El Río Laja, a la altura de la comunidad  Mexicanos, provocó inundaciones en los campos de cultivo. Se reporta el desbordamiento del arroyo Blanco y canal cañones. El arroyo Cachinches, provocó la evacuación a un Refugio Temporal de 4 personas. También los ríos Querétaro y Apaseo dañaron los cultivos de las comunidades Calera de Ameche, el Nacimiento, Cuachipili y Jaral. Se registran afectaciones en campos de cultivo. Se afectaron 40 hectáreas del ejido Churubusco y 60 hectáreas del ejido Panales Jamaica. Otas 250 hectareas afectadas en Manuel Dobaldo por la ruptura de un bordo de La Presa La Recibidora.</t>
  </si>
  <si>
    <t>Agangueo, Ocampo, Tiquicheo, Tuxpan, Tuzantla, Ciudad Hidalgo, Jungapeo y Zitácuaro</t>
  </si>
  <si>
    <t>Se registraron intensas lluvias en la zona oriente del estado, afectando severamente a varios municipios, especialmente a Angangueo, en dónde un flojo de escombros ocasionó la muerte de más de 30 personas. Los daños y pérdidas superaron los 1,600 millones de pesos, convirtiendose en el desastre más severo de los últimos años en el estado.</t>
  </si>
  <si>
    <t>Gustavo A. Madero, Venustiano Carranza, Iztacalco e Iztapalapa</t>
  </si>
  <si>
    <t>Derivado de las intensas lluvias en el Valle de México se registraron afectaciones en delegaciones del Distrito Dederal. Afortunadaemtne no se registraron fallecimientos.</t>
  </si>
  <si>
    <t>Chalco y Valle de Chalco, Ecatepec y Nezahualcóyotl</t>
  </si>
  <si>
    <t>Derivado de las intensas lluvias en el Valle de México se registraron afectaciones en algunos municipios de la zona conurbada. Afortunadaemtne no se registraron fallecimientos.</t>
  </si>
  <si>
    <t>Allende, Anahuac, Apodaca, Cadereyta, Jiménez, Cerralvo, Doctor Coss, General Terán, Guadalupe, Hualahuises, Juárez, Linares, Los Herreras, Montemorelos y Monterrey</t>
  </si>
  <si>
    <t>Se registraron afectaciones a consecuencioa de los intensas lluvias en carreteras, vivienda y urbano.</t>
  </si>
  <si>
    <t>Muzquiz, Piedras Negras y Zaragoza</t>
  </si>
  <si>
    <t>Se registraron lluvias intensas en tres municipios del estado, ocasionando severos daños en la infraestructura carretera e hidraulica del estado. Derivado de los anterior se emitieron las correspondientes declaratorias de emergencia y desastre</t>
  </si>
  <si>
    <t>Zona alta, Huixtla, Motozintla, Finca La Paz, Villacomaltitlán, Huehuetan, Escuintla, Acacoyagua, Mapastepec, Pijiapan, Jaltenango, Tuzantan, Sichiate, Bejucal de Ocampo, Mazapa de Madero, Tapachula, Unión Juárez, Amatenango, Acapetahua, Ocosingo, Benemérito de las Américas</t>
  </si>
  <si>
    <t xml:space="preserve">Se registaron 86 viviendas con encharcamientos en los municipios de Suchiate, Tapachula, Mazatán y Mazapa de Madero. Se reportaron daños en infraestructura pública, 11 tramos de derrumbes en la zona alta de Tapachula. Además de la atención integral de 17 tramos de carretera en los municipios Tapachula, Villacomaltitlán, Tuzantán, Siltepec, Mazatán, Mapastepec, Escuintla, Mazapa de Madero y Unión Juárez.  Se observaron campo anegados de cultivos de plátano y mango en zonas bajas de Huehuetán. Se reportan 4 lesionados y 3 fallecidos, la suspensión momentánea de energía eléctrica. Deslizamiento del cerro en el Municipio de Escuintla, se presume sepultó a 3 personas. Se reporta la caída de árboles en Tapachula, Mazatán y Tuzantán. </t>
  </si>
  <si>
    <t>Suchiate</t>
  </si>
  <si>
    <t>Derivado de las intensas lluvias se registraron daños en vivienda, infraestructura hidráulica, hidroagrícola y carretera del estado. La SEGOB emitió la declaratoria de Emergencia y Desastre</t>
  </si>
  <si>
    <t>Varios municipios (30)</t>
  </si>
  <si>
    <t>El impacto del huracán Alex en el estado de Tamaulipas provocó severos daños en su infraestructura. Desafortunadamente, seis personas perdieron la vida, la mayoría por actos imprudenciales al intentar cruzar ríos o arroyos crecidos. El sector agrícola fue el más afectado, ya que se perdieron miles de hectáreas de diferentes cultivos</t>
  </si>
  <si>
    <t>La Paz, Loreto, Los Cabos, Mulege y Comondu</t>
  </si>
  <si>
    <t xml:space="preserve">El huracán Odile  ha sido uno de los más intenso al tocar tierra sobre la península de Baja California afectó principalmente a la actividad turística del municipio de los Cabos,  provocó la muerte de 6 personas, afectó 5,046 viviendas, 923 escuelas, 14 unidades de salud. </t>
  </si>
  <si>
    <t xml:space="preserve">Varios Municipios (32) </t>
  </si>
  <si>
    <t>El huracán Alex ocasionó severos daños en el estado de Coahuila, el monto de daños se estimó en 1,430 millones de pesos. Se reportaron seis muertos asociados directamente al fenómeno y ocho indirectos al realizar labores de evaluación de daños.</t>
  </si>
  <si>
    <t>Champoton,Calakmul,Carmen,Escárcega,Hopelchen,Candelaria</t>
  </si>
  <si>
    <t>Se registran lluvias fuertes. Evacuación, daños materiales y movilización de cuerpos de rescate, en diversas colonias y comunidades. Cortes parciales de energía eléctrica y cortes de tramos carreteros por anegaciones. Se reportaron 544 personas en los 11 Refugios Temporales instalados. 1043 viviendas dañadas. En Champoton: 9 Refugios Temporales con 538 personas. En Carmen: 2 Refugios Temporales, con 6 personas. Y alcantarillado insuficiente. Calakmul: 9 localidades con 25 viviendas afectadas. Champoton: 24 localidades con 793 viviendas con afectaciones parciales y 118 con afectaciones menores. Escarcega: 7 localidades con 30 viviendas con afectaciones. Candelaria: 35  viviendas afectadas, además de daños en el puente nuevo, así como deslave por escurrimientos y taludes (no se afectó el paso de vehículos). Hopelchen: 42 viviendas afectadas.</t>
  </si>
  <si>
    <t>Se reportan lluvias en las zonas Istmo-Costa, Soconusco, Sierra. Se reportó daño en un tramo carretero de los municipios de Chicoasén y Copainalá. Se reportaron 2 albergues, el primero en el Auditorio Municipal Juan Gutiérrez con 20 familias (54 personas), el segundo en el DIF Municipal con 45 familias (143 personas). 60 Viviendas con daños menores</t>
  </si>
  <si>
    <t>Fuertes lluvias que provocaron la crecida del arroyo El Toro. Incio a las 00:20 horas. Se reportan 3 lesionados y una persona fallecida, así como un vehículo dañado. Algunas personas se encontraban festejando y al cruzar el río para trasladarse, fueron arrastrados por la corriente.</t>
  </si>
  <si>
    <t>Afectaciones por lluvia intensa, en colonias Valle Residencial, Vázquez Bomfil, Arboledas, rinconada de Álamos, Girasoles 3a sección, Colonia La Capilla. Evacuación de 2 familias.</t>
  </si>
  <si>
    <t>Catorce</t>
  </si>
  <si>
    <t>Afectaciones en viviendas y movilización de equipos de emergencia. Iniciado a las 02:00 horas, se reportan derrumbes en caminos, desabasto de agua potable, penetración de agua en viviendas, inundaciones de hasta 1 metro de altura.  2 puentes fuertemenete colapsados en las comunidades Tohonitos, La Maroma, El Alamo. Las lluvias comenzaron el 1 de julio y terminaron hasta el día 7.</t>
  </si>
  <si>
    <t>Mier, Miguel Aleman, Camargo, Gustavo Diaz Ordaz, Reynosa, Río Bravo y Matamoros</t>
  </si>
  <si>
    <t xml:space="preserve">Se registraron severas inundaciones fluviales en varios municipios del estado. Por tal motivo el FONDEN apoyó para la realización de 1,184 acciones de reconstruccion. </t>
  </si>
  <si>
    <t>Cotija</t>
  </si>
  <si>
    <t>Se registran evacuaciones preventivas, daños materiales y movilización de cuerpos de emergencia. En diversas colonias y comunidades. Se registran algunos cortes de carretera ocasionados por deslaves. En la Comunidad El Paraíso, se reportan 12 viviendas afectadas, por penetración de agua. Hubo deslaves en la carretera Jiquilpan-Cotija. Comunidad de El Paso: se encuentra en las faldas de un cerro y por el deslave, provocó que cayera un alud de lodo y piedras sobre 8 viviendas. Comunidad de  Puerto: alojó a una planta tratadora de agua. Comunidad El Sauz, reporta penetración de agua en viviendas.</t>
  </si>
  <si>
    <t>Indaparapeo,Charo</t>
  </si>
  <si>
    <t xml:space="preserve">Desbordamiento de río, personas refugiadas y movilización de cuerpos de emergencia. 104 personas en Refugios Temporales. Las afectaciones mayores, se registraron en la colonia Miguel Hidalgo del Municipio de Indaparapeo, donde se reportó el desbordamiento del Río Cahuaro, así como afectaciones en 30 hectáreas en diversos cultivos por penetración de agua. El Refugio Temporal se habilitó en la Casa de la Cultura. </t>
  </si>
  <si>
    <t>Guadalcazar, Axtla de Terrazas, Ebano, San Martín Chalchicuautla, Tamazunchale, Tampacán y Tanquián de Escobedo</t>
  </si>
  <si>
    <t>Inundaciones con afectaciones en la población, ocurrido a  diversas horas, en diversas colonias y comunidades. Las principales afectaciones se dieron en viviendas. Debido a las precipitaciones ocurridas del 21 al 30 de julio en la zona de la Huasteca, en el Municipio San Vicente, quedaron incomunicadas más de 18 comunidades. El el Municipio de Tamuín, resultaron afectados alerdedor de 300 viviendas, con daños severos, así como afectaciones en caminos y el sistema de red de agua potable. De los 19 municipios afectados, solicitaron declaratoria de emergencia Axtla de Terrazas, Ébano, San Martín, Tamazunchale y Tanquian. En Ciudad Valles: registrados 2 Albergues Temporales con 15 y 56 personas respectivamente. El Naranjo: quedaron comunidades incomunicadas, por el daño en las carreteras. Tanquian de Escobedo: el río Escobedo descendió rápidamente, se instaló un RT, que refugia a 50 personas. Ébano: 102 personas albergadas en 3 Refugios Temporales. Tamazunchale: 2 Refugios Temporales con 28 y 63 personas respectivamente, por le deslizamiento de laderas se encuentran incomunicadas varias comunidades. . San Vicente Tancuayalab: niveles de agua obstaculizando caminos, 199 personas albergadas en un RT y otras 80 en otro. Tanlajas: 110 familias, albergadas en la galera de la comunidad. Tamuín: 2 albergues, con 200 personas. Tierra Nueva: La Presa La Muñeca vertiendo sus excedentes. Guadalcazar: evacuación de comunidades.  Xilitla: incomunicadas 350 familias por la crecida de los arroyos. Huehuetlán: incomunicadas 50 familias. Lagunillas: Creciente de ríos, mantiene incomunidacas comunidades. Santa Catarina: Comunides incomunicadas. Tierra Nueva: crecida de arroyos provoca incomunicación de comunidades.</t>
  </si>
  <si>
    <t>Santa Ana, Agua Prieta, Hermosillo</t>
  </si>
  <si>
    <t>Afectaciones a la población, a viviendas, postes y vialidades. Santa Ana: reubicación de familias, no fue necesaria la declaratoria de emergencia. Aguaprieta: se registra el fallecimiento de una persona cuando intentó cruzar el arroyo. En Hermosillo, 46 colonias inundadas, las más afectadas Tulipanes y vecinos del arroyo Las Víboras. Benjamin Hill, daño por vientos fuertes. Arispe: vientos fuertes causaron daños a viviendas.</t>
  </si>
  <si>
    <t xml:space="preserve">Atzacan, Calcahualco, Camarón de Tejeda, Cerro Azul, Chiconamel, Coscomatepec, Gutiérrez Zamora, Las Choapas, Naranjos Amatlán, Nautla, Pánuco, Platón Sánchez, Tantoyuca, Tecolutla, Temapache, Tempoal, Tuxpam y Vega de Alatorre. </t>
  </si>
  <si>
    <t>Se registraron intensas lluvias entre el 22 y 25 de julio, afectando la infraestructura del estado, sobretodo la carretera. Los efectos se sintieron en 64 municipios, aunque únicamente 18 fueron declarados en emergencia y desastre. Colonias afectadas 165. Comunidades afectadas 468. Viviendas afectadas 10,591. Ríos desbordados 28. Arroyos desbordados 30. Albergues 55. Personas albergadas 4,962. Personas rescatadas 40. Puentes afectados 26. Escuelas afectadas 2. Lesionados 1. Cultivos afectados 200 hectáreas de maíz y 65 de frijol. El FONDEN destinó 1,377 millones de pesos para la reconstrucción de la zona afectada</t>
  </si>
  <si>
    <t>CENACOM, FONDEN y CENAPRED</t>
  </si>
  <si>
    <t>265 municipioS (4 declaratorias)</t>
  </si>
  <si>
    <t>Se registraron varios eventos entre julio y septiembre de 2010 afectanco a varios municipios, por lo que fue necesario emitir 9 declaratorias de emergencia para 219 municipio y 4 de desastre para 265 municipios. El CENAPRED realizó una misión de evaluación para evaluar los daños y pérdidas ocasionados por lo fenómenos. Dentro de esta cadena de eventos se registró un fuerte deslizamiento en el municipio de Santa María Tlahuitoltepec, en el cual perdieron la vida 11 personas, estas se contabilizaron en el apartado de desastres de origen geológico. Sin embargo el monto de daños y pérdidas se considero en el apartado de lluvias e inundaciones, ya que no se conto con la información diferenciada.</t>
  </si>
  <si>
    <t>Acapetahua, Ocosingo, Benemérito de las Américas, Escuintla</t>
  </si>
  <si>
    <t>Lesionados, fallecidos e inundación, activación de los cuerpos de emregencia. Afectadas diversas comunidades y diversos tramos carreteros. Municipio de Acapetahua: se presenta el desbordamiento del río Cintalapa, con tirante de 30 a 50 cms. Municipio de Ocosingo: en el tramo Ocosingo-San Cristóbal en el km 169, se desgaja un banco de arena, cayendo dos piedras en el camino. Con tirante de 30 a 40 cms. Municipio Benemérito de las Américas, evacuadas 24 familias, con un RT con 120. Municipio de Escuintla desgajamiento de cerro, que sepultó a 5 personas.</t>
  </si>
  <si>
    <t>Altamira, Gonzalez, Ciudad Madero y Tampico</t>
  </si>
  <si>
    <t>Se registraron intensas lluvias e inundaciones en los municipios mencionados, se reportaron daños en carretero, hidráulico, urbano y vivienda. El Fonden apoyo con 544 acciones de reconstrucción</t>
  </si>
  <si>
    <t>Chontla, Tancoco, Tantima, Ozuluama, Tampico el Alto,  Pueblo Viejo y El Higo</t>
  </si>
  <si>
    <t>Se registraron intensas lluvias e inundaciones en los municipios mencionados. Por tal motivo se registraron daños en la infraestructura hidráulica y carretera, así como en el medio ambiente. El Fonden apoyó para la realización de 101 acciones de reconstrucción.</t>
  </si>
  <si>
    <t>Se reporta a las 20:00 horas, la ruptura de un cárcamo en le río chico de los Remedios, en la Colonia Izcalli. Afectando viviendas por la inundación. El canal arrastró los costales con arena, que se habían asignado para detener la corriente. El agua alcanzó casi 2 metros.</t>
  </si>
  <si>
    <t>Santa María Rayón</t>
  </si>
  <si>
    <t>Se reporta que a las 21:30 horas ocurrieron fuertes lluvias. Las viviendas reportaron daño por penetración de agua y lodo. De igual forma, la infraestructura urbana sufrió daños y por ende fue necesario emitir la declaratoria de desastre.</t>
  </si>
  <si>
    <t>Tiquicheo</t>
  </si>
  <si>
    <t xml:space="preserve">Ocurrido a las 15:28, el desbordamiento del arroyo del Muncipio de Tiquicheo, donde el agua subió 2 metros en las colonias Deportiva, Ricardo Flores Magón y Bella Vista, el lodo afectó a enseres domésticos de las viviendas. </t>
  </si>
  <si>
    <t>64 municipios (8 declaratorias de desastre)</t>
  </si>
  <si>
    <t xml:space="preserve">Entre el 8 de agosto y el 29 de septiembre se registraron varios eventos en el estado de Chiapas, mismos que ocasionaron daños en varios municipios del estado, por lo que fue necesario emitir 8 declaratorias para un total de 64 municipios.  </t>
  </si>
  <si>
    <t>Ocurrida en diversas colonias, a las 17:30 horas, afectando a Jaconá, con el desbordamiento del Río Celió a la altura de la barranca, la altura del agua alcanzó los 1.50 metros, afectando los domicilios</t>
  </si>
  <si>
    <t>Balacán, Centro, Emiliano Zapata,Tenosique, Cunduacán, Cebtla, Jalapa, Jalpa de Méndez, Jonuta, Macuspana, Nacajuca, Tacotalpa y Teapa</t>
  </si>
  <si>
    <t>Ocurrido a diversas horas del 09 de agosto.  Balancán: reporta anegaciones de hasta 30 cm, en las comunidades Buenavista, Chacavita, Frente Único, Multé y en la Ciudad de Balancán, en la colonia Palenque. Afectando con agua al interior de las viviendas. El acceso al poblado Cuba, se encuentra interrumpido por un vado de 50 cm de profundidad con 70 metros de largo. Centro: reporta incremento del Río Viejo Mezcalapa, que afecta a 40 familias del Fraccionamiento Carlos A.  Madrazo, con anegaciones de hasta 10 cm. Emiliano Zapata: reporta que debido al incremento en el Río Usumacinta, continúan anegadas viviendas, afectando a 909 familias. Tenosique: reporta afectación por el incremento en el Río Usumacinta de 177 familias. El Río Sierra también resultó de los más afectados.</t>
  </si>
  <si>
    <t>Chapala, Ixtlahuacan de los membrillos</t>
  </si>
  <si>
    <t>Inició alrededor de las 03:00 horas. Afectación en viviendas y movilización de cuerpos de emergencia, en la región de Ciénega. Durante la madrugada se registró el desbordamiento del Arroyo Grande, afectando a la comunidad Atotonilco (con 175 viviendas afectadas) que pertenece al Municipio de Chapala y a la comunidad de Atequiza (40 viviendas afectadas), que pertenece al Municipio de Ixtlahuacan de los Membrillos. El desbordamiento se debió a las lluvias. Las inundaciones llegaron hasta el metro y medio de altura.</t>
  </si>
  <si>
    <t>la precipitación pluvial se registró en la tarde-noche. Hubo movilización de cuerpos de rescate y evacuación de personas a las 19:00 horas, la zona afectado es la cercana al Puebo de Río Frío. Que se encuentra en el límite del Estado de México y Puebla. Se registran fuertes lluvias y escurrimientos de las partes altas del volcán Iztaccihuatl. Se registra el desbordamiento de la represa Río Frío, con 34 afectados. En el Refugio Temporal, se alijaron 17 personas. La comunidad de Río Frío se encontró bloqueada por agua y lodo que provocó la engación.</t>
  </si>
  <si>
    <t>Acapulco, Igualapa, Ayutla de los libres, Márquelia, San Marcos, Atoyac de Álvarez, Chilpancingo, Iliatenco, Zirándaro de los Chávez</t>
  </si>
  <si>
    <t xml:space="preserve">Afectaciones por lluvias en Acapulco, hubo afectaciones, km 0, Colonia Vicente Guerrero, caídas de barda sobre vivienda, provocando la muerte de una persona, se evacuaron a 4 familias. En la Colonia Progreso se regitran caída de árboles. En las colonias Nueva Era, Radio Koko, Ciudad Renacimiento se registra la caída de árboles sobre cables de luz. se registra deslizamiento de tierra, en la Colonia San Agustín y la Colonia Sinaí, caída de bardas. Afectaciones en carreteras, un arbol cayo sobre un vehículo causando la muerte del conductor. Igualapa, 7 viviendas afectadas por inundación. Ayutla de los libres 4 viviendas inundadadas. En Márquelia, se evacuaron a 2 familias debido al crecimiento del Río Márquelia. En Zihuatanejo 3 viviendas resultaron afectadas  por el deslizamiento de tierra, una vivienda por las lluvias y una por la crecida de un Río. Chilpancingo, en la Carretera libre México-Acapulco y en Tierra Colorada, derrumbes de tierra que obstruyeron carriles.  En Iliatenco se regsitró un desgajamiento de un cerro sobre la carretera estatal Tlpa-Márquelia en el km 28+900 sepultando una pick up 93, perdiendo la vida 3 personas. </t>
  </si>
  <si>
    <t>Se registra la movilización de cuerpos de rescate, ante las lluvias acompañadas de fuertes vientos, que afectaron a 5 casas habitación en sus techumbres y al suministro de agua potable y la corriente eléctrica</t>
  </si>
  <si>
    <t>Ajuchitlán del Progreso</t>
  </si>
  <si>
    <t>Afectación a viviendas y movilización de cuerpos de emeregencia. Lluvias provocan incremento del nivel del arroyo "Padiche", afectando a 32 viviendas, de las márgenes del arroyo. Con tirante de 50 cm, afectando muebles y enseres domésticos. No hubo daños humanos.</t>
  </si>
  <si>
    <t>Se reporta el desbordamiento  del Río Chiquito, afectando a 15 viviendas.</t>
  </si>
  <si>
    <t>Reporta que la Central Hidroeléctrica La Villita, en Lázaro Cárdenas desfogó con una alerta preventiva. En total 1,308 m3/seg, provocando un crecimiento de cauce en las comunidades Zacatula, San Francisco y Naranjito. Del Municipio de la Unión Isidoro Montes de Oca, suman 300 familias en el margen del Bajo Balsas. Se desplazaron las comunidades, para abrir los Refugios Temporales.</t>
  </si>
  <si>
    <t>Se ha presentado el incremento en el nivel de la laguna “Tres Palos”, misma que esta afectando a la colonia “Las Delicias”, provocando inundaciones de hasta un metro de altura en algunas viviendas (se estima que cerca de 200 viviendas se encuentren afectadas). Ante esta situacion se tuvieron que evacuar y llevar a 154 personas aun refugio temporal instalado en la misma colonia.</t>
  </si>
  <si>
    <t>Atoyac de Alvarez</t>
  </si>
  <si>
    <t>Derivado de las fuertes lluvias registradas, se presento un derrumbe de cerro en la comunidad del Paraiso, del municipio de Atoyac de Alvarez, sobre una vivienda, donde dormían 5 personas, mismas que fallecieron en el lugar.  Las constantes lluvias provocaron el reblandecimiento de tierra y cayo sobre cinco viviendas de madera y lamina de cartón, en la localidad de El Paraiso.</t>
  </si>
  <si>
    <t>Miguel Alemán</t>
  </si>
  <si>
    <t xml:space="preserve">Reportan 5 Refugios activados, 239  personas refugiadas. En el Municipio Miguel Alemán se recibió alimento 3 veces al día. Municipio Gustavo Díaz Ordaz, 2 colonias encharcadas y 28 viviendas con penetración de agua, alcanzando 50 centímetros. En la colonia Nueva Esperanza penetraciónde agua hasta de 60 cm. Municipio Reynosa, 10 colonias encharcadas: Los Longoria, El Banco, El Guerreño, Rancho Viejo, Los Patos, Los Corrales, El Porvenir, Los Cavazos. </t>
  </si>
  <si>
    <t>Angostura, Mazatlán, Escuinapa, Ahome, Culiacán,Navolato</t>
  </si>
  <si>
    <t>Se evacuó a alrededor de 12 mil personas asentadas en zonas de riesgo. Se registra el cierre temporal de la carretera por acumulación de agua. Se registran daños parciales en viviendas. Se reportó el descarrilamiento del tren a la altura de Tecualiya. Se dañaron 20 vagones que tranpsortaban granos, la máquina al volcarse, provocó un derrame de 9,000 litros de diesel, dos personas resultaron lesionadas. Inundaciones en el Centro que provocaron el arrastre de vehículos y caída de bardas.  Caída de árboles y evacuación de 90 personas del asilo de ancianos, postes caídos.</t>
  </si>
  <si>
    <t>Regiones, Acapulco, Costa Grande, Costa Chica, Norte, Montaña, Tierra Caliente y Centro</t>
  </si>
  <si>
    <t>Se evacuaron a personas y se afectaron diversas viviendas</t>
  </si>
  <si>
    <t>Se reporta el desgajamiento de un cerro, por lo que se evacuó a 3 viviendas. No se reportan afectaciones a personas.</t>
  </si>
  <si>
    <t>Tlaxiaco</t>
  </si>
  <si>
    <t>Afectaciones en 40 viviendas en el Muncipio de Tlaxiaco. Se otorgó apoyo de despensas, cobertores y colchonetas. No se activaron albergues.</t>
  </si>
  <si>
    <t>Ahome, Culiacán, Novolato, Angostura, Mazatlán</t>
  </si>
  <si>
    <t>Se reportan inundaciones por acumulación de basura en el alcantarillado. Culiacán: afectación en colonias Alto de Bachigualato, Infonavit Humaya, La Estancia III, Campo el Diez. Arrastre de vehículos, inundaciones. Árboles caídos. 90 evacuados. En Costa Rica 3 casas inundadas, 4 postes caídos. Novolato: Colonias Ejidal y Calderón reportan encharcamientos menores. Angostura: en la Colonia Miramar se desplomaron viviendas. Reportan afectaciones por árboles caídos y daños en el cableado eléctrico. Mazatlán: afectaciones menores en las colonias 13 de septiembre, 10 de mayo, Toledo Corro, Pueblo nuevo, Emiliano Zapata. Sin necesidad de activar albergues. En Ahome: inundaciones menores, provocadas  por acumulación de basura en el alcantarillado.</t>
  </si>
  <si>
    <t>Tepaltepetl</t>
  </si>
  <si>
    <t>Reportan lluvias fuertes iniciadas a la 01:00 horas con afectaciones a 61 viviendas y 370 personas aproximadamente, cerca de los pobaldos de Tepaltepetl y La Concordia, en viviendas con agua de hasta un metro en su interior, por lo que hubo labores de evacuación. Se presentaron caídas de bardas, incluso del panteón Municipal.</t>
  </si>
  <si>
    <t>Álvaro Obregón, Coyoacán, Cuauhtémoc, Cuajimalpa,Gustavo A. Madero, Iztacalco, Magdalena Contreras, Tlalpan, Venustiano Carranza</t>
  </si>
  <si>
    <t xml:space="preserve">Ocurrido a las 19:30 horas. Encharcamientos viales, deslizamiento de tierra y caída de árboles.  Se registraron precipitaciones fuertes, lo que ocasionó el encharcamientos viales y la caída de 8 árboles, principalmente en las Delegaciones Iztacalco y Venustiano Carranza. Derivado de  las lluvias, en la continuación de la calle Acueducto 3, Calzada Desierto de los Leones, km 24.5 en la colonia Santa Rosa Xochiac, se registró el deslizamiento de tierra. La lluvia registró una intensidad de 16 a 32 mm, sobre metro cuadrado. </t>
  </si>
  <si>
    <t>Tlayacapan, Cuautla, Jiutepec, Cd Ayala, Yautepec,Tlaltizapan</t>
  </si>
  <si>
    <t>Registrado a  las 21:00 horas, tromba, emiten alerta de inunadación en 5 Municipios que cruza el Río Yautepec, con evacuaciones preventivas, daños materiales y movilización de cuerpos de emergencia. Las zonas más afcetadas son Barrio Rosario, Exaltación y Nacapenco. Se observaron varios vehículos ararstrados por la corriente. La Barranca Chiclutla se desbordó y acusó afectaciones, con provocación de agua en 24 viviendas. Se realizó la evacuación de familias, de las cuales 8 fueron a un RT, donde se les proporcionó comida y abrigo. El RT de la Unidad Deportiva de Cuautla, registró 40 personas albergadas.</t>
  </si>
  <si>
    <t>Movilización de cuerpos de emergencia en diferentes días a diversas horas. La Presa Cointzio empezó a desfogar 2,000 metros cúbicos por segundo. Al llegar al 90% de su capacidad. Se reporta que en la colonia El Ejidal Tres Puentes, en el 45 y una bodega con el 70 presentan penetración de agua por el desbordamiento del Dren de Barajas. Se abrió la compuerta 2 a las 11, desfogando 8,196 metros cúbicos. Se proyecta inundaciones en 52 colonias. La basura, principalmente plásticos, además de ramas y hojas ocasionaron la obstrucción de alcantarillas. Se llegó a una acumulación de agua de entre 70  a 150  mm de lluvia en diferentes zonas de la Ciudad.</t>
  </si>
  <si>
    <t>Gustavo A. Madero, Tlalpan, Coyoacán, Miguel Hidalgo</t>
  </si>
  <si>
    <t xml:space="preserve">Afectadas diversas colonias, con caída de árboles. Y desbordamiento de cauce en Av 5 de mayo, esq. Río Antiguo. Como consecuencia de la bajada de aguas, se produjo acumulación de lodo y materiales de sedimento, de hasta 50 cm, afectando la vialidad y algunas viviendas, se alcanzó un tirante de 5 cms. Asimismo, enchracamientos afectaron Periférico Sur, Viaducto Tlalpan, se registró afectación de 100 metros lineales, por 40 cms de tirante. </t>
  </si>
  <si>
    <t>Desbordamiento del Río Benito Juárez, afectando a 25 casas, las familias se albergaron con familiares. Se habilitó un RT en el Auditorio Municipal con 500 a 800 personas, con apoyo de colchonetas y cobijas.</t>
  </si>
  <si>
    <t>Acapulco, Marquelia, Petatlán, La Unión y Tecpatan</t>
  </si>
  <si>
    <t>La Unidad Estatal de Protección Civil informó que debido al paso del huracán “Andrés” el día 22 de junio se generaron las siguientes afectaciones. En los municipios de Acapulco, Marquelia, Petatlán y Tecpan, registrándose un gran número de personas y viviendas afectadas. Una persona fallecio al ser arrastrada por el oleaje y otra resulto lesionada al caerle una palapa encima</t>
  </si>
  <si>
    <t>Ocosocuatla</t>
  </si>
  <si>
    <t>3 derrumbes ocasionados por las lluvias, en los km 85 y 89,  en los tramos Ocosocuautla-Jiquipilas, a la altura del Cerro de Juárez, se reporta obstrucción parcial y el el km 99 obstrucción completa.</t>
  </si>
  <si>
    <t>Zihuatanejo, Iguala</t>
  </si>
  <si>
    <t>Afectaciones en viviendas y evacuación de familias. Ocurrido a las 17:00 horas. Zihuatanejo: se registra un deslave en San José Ixtapa, afectando un carril. Se registra la caída de un árbol sobre la carretera Ixtapa-Zihuatanejo. 2 autos varados por los niveles de agua estancada, en la autopista Iguala-Cuernavaca. Afectaciones en 80 casas, por lo que se abrió 1 RT en La feria, con capacidad para 250 personas, sólo fue utilizado por 18, el resto acudió con familiares.</t>
  </si>
  <si>
    <t>Zacatlán, Olintla, Quimixtlan</t>
  </si>
  <si>
    <t>Se registran vientos acompañados de fuertes lluvias en la entidad afectando techos de viviendas de material endeble. Zacatlán, 17 viviendas. Olintla, 12 viviendas. Quimixtlan, 8 viviendas.</t>
  </si>
  <si>
    <t>Chilapa de Alvaez</t>
  </si>
  <si>
    <t>Se realizan labores de saneamiento y solicitan la intervencion del sector salud para control de vectores. Se registran daños en 86 viviendas y 44 locales comerciales</t>
  </si>
  <si>
    <t xml:space="preserve">Coyuca de Catalán </t>
  </si>
  <si>
    <t>En el municipio de Coyuca de Catalán en la población de Sierritas Coloradas, se registro una fuerte lluvia, la cual provoco, el deslave de un cerro ubicado en el Km. 80 de la carretera Altamirano - Zihuatanejo, provocando la volcadura de una pipa que transportaba 15000 litros de chapopote el cual se derramo afectando los ríos que pasan por diversas comunidades y los daños materiales reportados son una pipa</t>
  </si>
  <si>
    <t>Ometepec, Acapulco, Zirándaro, San Luis de Acatlán, Atixtac,Tlacochistlahuaca</t>
  </si>
  <si>
    <t>Lluvia fuerte el 20 y 21 de agosto. Se registra penetración de agua en viviendas. En la comunidad Las Iguanas se reportan 51 viviendas afectadas por la creciente del cauce del Río Santa Catarina. En la comunidad Tamarindos 8 viviendas con inundaciones de 50 centímetros, a causa de la creciente del cauce del Río Santa Catarina, Municipio de Tlacochistlahuaca. Comunidad de las Minas, 15 viviendas, con inundaciones de hasta 13 centímetros a causa de la crecida del Río Las Minas. En Acapulco, Col Jardín Azteca, reporta caída de árboles. El Fraccionamiento Hornos reporta la caída de espectaculares. La Comunidad Capricho refugia a 15 personas en la escuela primaria Margarita Maza de Juárez. La comunidad Cerro Prieto reporta derrumbes y cortes en la carretera. Entre Quemado y Plan de Molinos hubo derrumbes, y sin circulación en ambos carriles de la carretera. En Arrayanes 3 derrumbes.</t>
  </si>
  <si>
    <t>Tlayacapan, Tepoztlan, Tlanepantla, Totolapan, Atlatlahucan, Tetela, Yecapixtla, Ocuituco, Cuautla, Ayala, Yautepec, Jiutepec, Cuernavaca</t>
  </si>
  <si>
    <t>Aumentó el nivel de los ríos Yautepec y Nexpa, desbordándose a la altura de la Plaza del Arte, con un tirante de más de un metro. Se activaron 3 RT. La CFE ha realizado cortes preventivos. Afectaciones en  los poblados Temilpa Viejo y Ticuman, principalmente en viviendas. Encharcamientos en  Lomas de Jiutepec, Los Tabiques y Chica. Así como en la Col. Obrera del Municipio de Tepoztlán. En Tlaquiltenango se registran afectaciones en viviendas, con tirante de 50 a 100 metros.  2 puentes dañados, uno de uso vehicular y otro peatonal. Además de cortes en la energía eléctrica. 700 viviendas afectadas y 350 locales con daños. Fuertes lluvias con 137 mm, en el Río Yautepec, que presentó una crecida de 5 metros, presentando una venida que cruzó por la cabecera municipal. En Yautepec: se registran tirantes de hast 2 metros, incluso en los mercados: Centenario y Huerta Cadenas, donde se perdieron 350 locales, 12 colonias afectadas con más de 200 viviendas con daños, por penetración de agua y lodo. Se instalaron 2 RT. Se cuenta con una potabilizadiora con pipa. En Tlalquitenango: 70 viviendas afectadas por penetración de agua y lodo, 1 RT. Se solicita Declaratoria de Deasastre para Yautepec. En Tlaltizapan hay 80 viviendas afectadas, Temilpa Viejo 90, Tukuman 100 y en Tlalquitenango 130 viviendas.</t>
  </si>
  <si>
    <t>Yautepec, Tlaquiltenango y Tlaltizapán</t>
  </si>
  <si>
    <t>Se registro el desbordamiento de algunos ríos como consecuencia de las intensas lluvias registradas en el estado. Desafortunadamente se reportaron daños en viviendas, escuelas, infraestructura carretera, urbana e hidráulica. Fue necesario emitir delcaratoria de emergencia y desastre.</t>
  </si>
  <si>
    <t>Afectaciones en 15 casas,  por penetración de agua, alcanzando los 20 cm.</t>
  </si>
  <si>
    <t>Ocurrido por la mañana tarde, por las constantes lluvias que reblandecieron el cerro de nombre La Cuesta del Sirion, ubicado a la altura del km 85 de la carretera Tiquicheo-Tuzantla, del Municipio de Huetamo. 1 vehículo Nissan dañado, que fue cubierto por un alud de piedras y lodo. Este fenómeno dejó incomunicada a la Cabecera Municipal.</t>
  </si>
  <si>
    <t>Jáltipan, Cosoleacaque, Minatitlán, Texistepec</t>
  </si>
  <si>
    <t>La zona afectada en la cuenca del Papaloapan, a consecuencia de las precipitaciones, donde no hay daños humanos, con un RT que aloja a 100 personas. Se otorgó a los menores, paquetes escolares para el regreso a clases. Se registra el desbordamiento del Río Coatzacoalcos en las orillas del Malecón Minatitlán, a las 08:00, se realizan alertamientos a la población. Fuga de agua por alcantarillados de laas avenidas, el Ejército ayuda con el relleno de costales, provoca inundaciones en zonas urbanas.</t>
  </si>
  <si>
    <t>San Cristóbal de las Casas, Ángel Albino Corzo</t>
  </si>
  <si>
    <t>Afectaciones y movilizaciones de cuerpos de rescate. 1:30 horas. 346 personas evacuadas. 1 menor muerto. 150 viviendas dañadas. San Cristóbal de las Casas: desbordamiento del río amarillo, 15 viviendas inundadadas, con tirante de 40 a 50 cm, en la Colonia Molino de los Arcos 50 viviendas, en 31 de marzo 25 viviendas, Colonia Revolución 10 viviendas, Col 14 de Septiembre, 30 viviendas. Angel Albino Corzo: en Monte Cristo, deslizamiento de un cerro, se evacúa a 346 personas, las comunidades Independencia y Ojo de agua quedaron incomunicadas. Villa Corzo: una familia trata de cruzar arroyo, un menor es arrastrado.</t>
  </si>
  <si>
    <t>Se registraron daños por fuertes lluvias en 374 viviendas por penetración de agua, aprox. 1 metro, por lo que se reportaron daños en enseres. Tambi´ne se vieron afectadas 2 escuelas y un automóvil. 1 persona murio.</t>
  </si>
  <si>
    <t>Tlalixtaquilla de Maldonado</t>
  </si>
  <si>
    <t>Ocurrido en la región de la montaña, fuerte lluvia acompañada de viento,  provocada por una tormenta local, registrada la tarde del día de ayer y transcurso de la noche  en la región Montaña del Estado,  41 viviendas y una comisaria resultaron con daños en sus techos de lamina de cartón, en la localidad de Canan Municipio de Tlalixtaquilla de Maldonado. Apoyos destinados: 48 láminas de cartón, 24 cobertores, 24 colchonetas. De las 42 viviendas dañadas: 37 con daño ligero y 5 con daño alto.</t>
  </si>
  <si>
    <t>San Cristóbal de las Casas, Frontera Comalapa</t>
  </si>
  <si>
    <t>Movilización de cuerpos de emergencia. Frontera Comalapa: desbordamiento del arroyo "Xamaipac", afectando a 200 viviendas. San Cristóbal de las Casas:  afectaciones debido al desbordamiento del río amarillo, a la altura de la Colonia Peje de Oro, afectadas 150 viviendas.</t>
  </si>
  <si>
    <t>Berriozábal, Tuxtla</t>
  </si>
  <si>
    <t>Activación de los cuerpos de emergencia. Por penetración de agua y deslizamiento de suelo. En Berriozábal hay un RT en la Cabecera Municipal con 6 familias, 15 personas, anegaciones en viviendas. En Tuxtla, desbordamiento de río 1 RT con 6 familias y 6 personas. Y 200 persona afectadas de las colonias Terón, La Octava Norte, 3a Oriente, 1a Oriente,  con 4 muertos.</t>
  </si>
  <si>
    <t>Se registran inundaciones y encharcamientos a causa del desbordamiento del Río Bravo, por las lluvias registradas en el Puente Internacional Reynosa-Hidalgo, dañando colonias aledañas, como  Los Patos y 21 de marzo. Rebasando los 500 metros cúbicos por segundo.</t>
  </si>
  <si>
    <t>Metlatonoc</t>
  </si>
  <si>
    <t>Debido a las fuertes lluvias, varias viviendas sufrieron afectaciones en el municipio de Metlatonoc, se reportan 115 casas con daños de diferente tipo.</t>
  </si>
  <si>
    <t>Valparaíso</t>
  </si>
  <si>
    <t>Se presentó una precipitación pluvial de 49 mm. Y ráfagas de viento de 80 km por hora. 8 comunidades quedaron incomunicadas por la creciente de los ríos y arroyos. Daño a caminos y viviendas. El número de damnificados asciende a 25,000 personas y 8 comunidades afectadas.</t>
  </si>
  <si>
    <t>Tlapa de Comonfort</t>
  </si>
  <si>
    <t>Debido a la fuerte lluvia, acompañada de granizo de tamaño de entre uno y 2 centímetros de diámetros, con una duración de tres horas se reporto un derrumbe en la Carretera Federal Tlapa-Chilpancingo km 162, obstruyendo un carril con dirección a Chilpancingo. Se registro una inundación por acumulamiento de agua alcanzando un nivel de medio metro en las instalaciones de la feria, donde se encontraban instalados 30 puestos semifijos, se reportan solo daños  materiales, se realizan trabajos de desazolve, utilizando bombas de achique. Informan de un derrumbe en el tramo Carretero Tlapa-Puebla en el punto conocido como La Nopalera, obstruyendo un solo carril el material solido fue retirado, resultaron 3 viviendas con afectaciones menores las cuales se ubican en la Colonia Sinaí del Municipio de Tlapa de Comonfort.</t>
  </si>
  <si>
    <t>Debido a la lluvia registrada y al desfogue de la presa  Cointzio, hay encharcamiento en 17 colonias del municipio de Morelia.</t>
  </si>
  <si>
    <t>Compostela, San Blas, Acaponeta, Tecuala, Santiago, Bahía de Banderas</t>
  </si>
  <si>
    <t>Afectaciones, evacuaciones y movilizaciones de cuerpos de emergencia, del 4 al 10 de septiembre. Colapso de 3 puentes vehiculares, por la madrugada, debido a las fuertes lluvias. Los puentes comunican a El Llano-San Blas, Zacualpan-Ixtapa en Compostela, San Pancho-Sayulita en Bahía de Banderas. Daños en diversas comunidades.  Por la humedad proveniente del Pacífico, incremento en los ríos y arroyos. Río Viejo, que cruza el Llano, se colpasa un puente, dejando incomunicadas a diferentes  comunidades: El Llano, Jolotemba, El Espino, Otates y Cantarranas, Ixtapa de la concepción, Platanitos, Coastecomatillo, El Paranal, entre otros.  Se originó un derrumbe por la carretera 200 Tepic- Puerto Vallarta, entre San Francisco y Lo de Marcos. Inundaciones en el poblado Higuera Blanca, dejando incomunicado este poblado. Por la carretera, a  la altura del km 133 se registró un deslave del cerro. En el municipio de San Blas por la margen izquierda del río el Limón y el Ciruelo. Se confirman 2 puentes colapsados, uno a 1.5 km de San Pancho de esta carretera, hacia el poblado de Sayulita. Otro derrumbe en el km 119.  La carretera a Guayabitos, se cerró. Se habilitó como RT el Salón Ejidal, para personas en riesgo.  13 comunidades de Compostela afectadas, con daño 5,197 viviendas. Las localidades incomunicadas por colapso de puente Zacualpan, Platanitos, san Isidro, Ixtapa,Otates, y Cantarranas. Parcialmente inundadadas Rincón de Guayabitos, Los Ayala. En Bahía de Banderas: 10 localidades afectadas, con 1,857 viviendas dañadas. Parcialmente inundadas Lo de Marcos, Santa Fe, Bucerías, Higuera Blanca y Sayulita. 2 RT. En San Blas 9 comunidades afectadas y 2,299 viviendas con daño. Parcialmente inundadadas Santa Cruz de Miramar, Aticama, El Limón y El Ciruelo.  Acaponeta: 1 comunidad y 215 viviendas. Tecuala: 4 comunidades y 1,449 viviendas. Santiago: 7 comunidades y 2,115 viviendas.  En total 3 RT con 115 personas. En Compostela: 18,775. Bahía de banderas: 6,977.  San Blas: 8,216. Acaponeta: 215. Tecuala: 5,328. Santiago: 7,888</t>
  </si>
  <si>
    <t>13 municipios</t>
  </si>
  <si>
    <t xml:space="preserve">Debido a las lluvias provocadas por un sistema de baja presion, actualmente depresion tropical 19-E, los dias 28, 29, 30 de septiembre y  1 y 2 de octubre, se generaron afectaciones en Coyuca de Benitez: 1 vivienda inundada, 1 persona fallecida (sexo femenino de 42 años) por descarga electrica en la localidad del Huamuchito debido a que se desprendio un cable de un poste de la CFE y le cayo. En Acapulco: caida de 1 arbol, caida de 1 barda y un pequeño deslave. En Ometepec: 55 viviendas inundadas, 3 familias se quedaron refugiadas en la comisaria ejidal. Debido al desbordamiento del Arroyo Grande causaron afectaciones en Tlacochistlahuaca: inundacion de viviendas, 25 familias (100 personas) acudieron al RT y se presento 1 derrumbe. En Cocula: 1 derrumbe de material solido en la Carr. Estatal Cocula-Cuetzala del Progreso tramo Machito de las Flores km 8. </t>
  </si>
  <si>
    <t>San Blas</t>
  </si>
  <si>
    <t>Por las lluvias, cayeron 2 puentes vehiculares, en el poblado de Zacualpan en el municipio de Compostela y el segundo, en el poblado del Llano, en el municipio de San Blas. Ambos en la zona costera, por el reblandecimiento de los mismos se desplomaron. Sin daños humanos.</t>
  </si>
  <si>
    <t>Motozintla, Jiquipilas, Guaquitepec, Huehuetan, Reforma, Tapachula, Mazatan, Pijijiapan, Acapetahua, Palenque, Mapastepec</t>
  </si>
  <si>
    <t xml:space="preserve">Encharcamientos y derrumbes en diversos municipios. Viviandas encharcadas 137, con daño en enseres domésticos. 5 RT con 45 familias, en total 159 personas. Derrumbes en: Motozintla, Jiquipilas, Cuaquitepec, Huehuetan, Motozintla. Viviendas encharcadas: Huehuetan, Reforma, Tapachula, Suchiate, Mazatan. </t>
  </si>
  <si>
    <t>La Secretaria de Protección Civil estatal reportó que el día 30 de  mayo  a las 17:50 horas se registró una granizada que  afecto el techo de 35 viviendas en la comunidad de la Soledad, la cual pertenece a la comunidad de Atoyac de Álvarez.</t>
  </si>
  <si>
    <t>En la Comunidad El Centinela se reportan, 40 familias incomunicadas por 48 horas. Iniciado a las 19:00 horas. Daños en enseres domésticos y menage. Desbordamiento del río Narasco, lo que provocó que la comunidad El Centinela, quedara incomunicada, por más de 2 días. Provocando inundación en 40 domicilios. Se les ayudó con colchonetas, cobertores y despensas, así como la ayuda para las tareas de limpieza.</t>
  </si>
  <si>
    <t>Derrumbe de una vivienda y movilización de cuerpos de emergencia. Se informa del derrumbe de una vivienda, construida provisionalmente con material endeble, en la Colonia Francisco I Madero, en el Municipio de Tlaquepaque. Debido a las fuertes lluvias registradas en la madrugada. Como consecuencia del derrumbe, se reportan 3 muertos y tres lesionados.</t>
  </si>
  <si>
    <t>Tecpan</t>
  </si>
  <si>
    <t>En el municipio de Tecpan, a causa del río del mismo nombre con tirantes de 1.30 metros, dejo 500 personas damnificadas  y 120 viviendas afectadas</t>
  </si>
  <si>
    <t>Colonias al oriente de la ciudad de Saltillo. A las 20:30 se registró la precipitación más fuerte, afectando a 66 casas, con anegaciones de 20 y 30 centímetros. 19 árboles caídos, 36 bardas caídas, 32 automóviles con penetración de agua, poste incendiado. No se reportan daños humanos.</t>
  </si>
  <si>
    <t>Atoyac de Álvarez, Taxco de Alarcón</t>
  </si>
  <si>
    <t>SE presentaron grande lluvias, acompañadas con fuertes vientos</t>
  </si>
  <si>
    <t>Hopelchen, Calakmul, Champotón, Calkiní, Hecelchakán, Campeche, Escárcega, Carmen, Palizada Tenabo</t>
  </si>
  <si>
    <t xml:space="preserve">Penetración de agua en viviendas. Se tiene un RT en el municipio del Carmen, comunidad Emiliano Zapata. Escurrimientos en Champotón. Calkiní: habilitó un RT, que no se ha ocupado. Hecelchakán: sin lluvias. Hopelchén: lluvias y vientos fuertes, que dejaron afectaciones en techos de 10 familias, 55 personas, que se trasladaron a RT. Se entregaron despensas. Tenabo: llovizna, sin novedad. Campeche: Lluvias ligeras. Champotón: por lluvias, afectadas las calles 15, 16 y 18 de la colonia Pozomonte. Árboles y ramas caídas. En Villamar, casas afectadas, 1 RT.  Escárcega: lluvias fuertes, se registran cortes en la energía eléctrica. Calakmul: lluvias fuertes y vientos, que afectaron las comunidades Nueva Vida, 20 casas afectadas, 10 familias. Nuevo Becal: 3 familias afectadas, en 1 RT. Más 5 casas afectadas y 1 RT. Carmen: Lluvias intensas. Candelaria: lluvia moderada. Palizada: lluvias continuas, no afectaciones. Total de RT 20 de modo preventivo, sólo 5 de ellos fueron abiertos, albergando a 132 personas. Entrega de insumos: 7 toneladas de alimentos, 1,150 cobertores, 1,200 colchonetas y 6 cocinas comunitarias. </t>
  </si>
  <si>
    <t>32 municipios</t>
  </si>
  <si>
    <t>Derivado de las intensas lluvias provocadas por el ciclón tropical Karl, se registraron afectaciones en la infraestructura carretera del estado. El FONDEN apoyó para la realización de 16 acciones de reconstrucción.</t>
  </si>
  <si>
    <t>Inundación de 80 colonias. Las fuertes lluvias ocasionaron inundaciones en 80 colonias, se reporta un RT, con 128 personas.</t>
  </si>
  <si>
    <t>Se registraron fuertes lluvias en el municipio mencionado causando afectaciones en la infraestructura carretera e hidráulica, así como en 2 Centros de Salud.</t>
  </si>
  <si>
    <t>Zacapoaxtla</t>
  </si>
  <si>
    <t>Como consecuencia del huracán Karl. En la comunidad de Nextilapan, se registró el reblandecimiento de el piso, por un talud, afectando a una vivienda, en el derrumbe 4 personas resultaron afectadas. 2 de ellas muertas.</t>
  </si>
  <si>
    <t>Acapulco de Juárez, Chilpancingo de los Bravo, Técpan de Galeana, Atoyac de Álvarez, Benito Juárez, Ometepec, Cuautepec, Igualapa, Metlatonoc, Marquelia, Ajuchitlán del Progreso, Zihuatanejo de Azueta, Petatlán, San Marcos y Azoyú</t>
  </si>
  <si>
    <t>Huracan Enrique Municipios: (15) 
Otras afectaciones:
- 54 viviendas afectadas
- 2 vehículos afectados
• Acapulco de Juárez: 1 vehículo; 6 viviendas afectadas por penetración de agua.
• Chilpancingo de los Bravo: 2 viviendas afectadas por ingreso de tierra.
• Técpan de Galeana: 14 viviendas resultaron con ingreso de agua.
- Zihuatanejo: 1 vehículo (taxi).
• Atoyac de Álvarez: 20 viviendas con ingreso agua • Benito Juárez: 1 vivienda de madera y láminas.
• Ometepec: 1 vivienda afectada por deslave.
• Metlatonoc: Reblandecimiento de pared de adobe de 1 vivienda, 8 viviendas afectadas en la colonia Guadalupe y San José, 4 inundaciones menores y 3 por deslaves.
• San Marcos: 1 vivienda afectada por deslave.</t>
  </si>
  <si>
    <t xml:space="preserve">CENACOM </t>
  </si>
  <si>
    <t>Inundaciones en la colonia San Carlos, con tirantes de 70 cm, afectando a 125 viviendas, 27 negocios y 44 vehículos. En vía pública, hasta 120 cm.</t>
  </si>
  <si>
    <t>San Bartolo Tutotepec</t>
  </si>
  <si>
    <t>Se desalojó a 58 personas asentadas en una zona inestable, llevadas a un RT en el auditorio de Tenango de Doria, comunidad Chalma.</t>
  </si>
  <si>
    <t>Huehuetlan el chico, Chietla</t>
  </si>
  <si>
    <t>Huehuetlán el Chico: En la comunidad El Terreno, RT con 40 personas. 25 viviendas afectadas por inundación de hasta 80 cm. Chietla: 53 viviendas afectadas, por inundación de hasta 80 cm, 45 en Atencingo y 8 en Zompahuacan.</t>
  </si>
  <si>
    <t>Incremento del nivel del arroyo. Ocurrido a las 19:30, en la colonia Nueva Jerusalén, una menor intentó cruzar el arroyo, pero la corriente la arrastró.</t>
  </si>
  <si>
    <t>A  las 03:00 se reportan afectaciones en viviendas por penetración de agua, en 11 colonias, siendo evacuadas 60 personas, a 1 RT. Se rgistra un deslave en la comunidad Lomo de Toro. El Hospital General, presenta penetración de agua, por lo que se evacuaron 12 pacientes y 4 médicos.</t>
  </si>
  <si>
    <t>Evacuación de 200 familias, a las 21:00 horas. Con penetración de agua en las viviendas, por elevamiento de niveles en los arroyos cercanos. Lo que provocó el desbordamiento. Se mantiene el albergue del Club de los Leones de cercado, con 115 personas.</t>
  </si>
  <si>
    <t>Acumulamiento de basura, que generó obstrucción de alcantarillas, con introducción de agua en viviendas, con niveles de 20 a 30 cm. También provocado por el desbordamiento del arroyo Las Liebres, con niveles de 1 metro.</t>
  </si>
  <si>
    <t xml:space="preserve">San Pablo Etla </t>
  </si>
  <si>
    <t>Lluvia fuerte que afectó a 600 casas, con penetración de agua, hasta 1.20 metros, en los fraccionamientos La Cascada, Hacienda Blanca, Esmeralda.</t>
  </si>
  <si>
    <t>Ocurrido a las 19:00 horas. A consecuencia de las lluvias que se han presentado en el estado, se regsitra el colapso de un puente vehicular, que comunica a Poza Rica y a Papantla. Lo que mantiene suspendido el tránsito local. No hay lesionados. Se dio una ruta alterna para circular entre ambos municipios.</t>
  </si>
  <si>
    <t>Xalpatláhuac</t>
  </si>
  <si>
    <t xml:space="preserve">A  las 8:00 se reporta una vivienda colapsada, cosntruida de adobe y techo de teja. 2 viviendas más resultaron con daños estructurales. Al registrarse un deslizamiento de tierra y rodamiento de rocas, en Barrio Tlaseca, debido al reblandecimiento del suelo en terrenos y laderas inestables. No se reportan lesionados. </t>
  </si>
  <si>
    <t>Aproximadamente a las 18:56, 3 personas fueron arrastradas por la corriente de agua del Arroyo Los Rodríguez. Una de ellas fallecio</t>
  </si>
  <si>
    <t>A las  07:00 horas se registra el colapso del puente Puente Vehicular, debido a la crecida de 5 metros, el cual atraviesa el Arroyo Santa Rosa.</t>
  </si>
  <si>
    <t>Por la lluvia intensa, se registra la creciente del arroyo que provocó que el agua se introdujera a las viviendas de  las comunidades Rancho las Ánimas, Palo Alto de Abajo y Mitad de Noria. Con niveles de 20 centímetros, hasta un metro. Afectando puentes vehiculares, peatonales y caminos de terracería. 56 viviendas afectadas, de las que 29 se localizan en el Río Lerma y las restantes 14 cerca del Río Bravo.  Comunidad las Ánimas: 1 escuela inundada, 3 viviendas con daños en mobiliario y enseres, 27 personas, 2 puentes. 1 tramo carretero. Palo Alto de Arriba: 11 viviendas, 3 viviendas con daños mayores. 56 personas afectadas, 2 puentes. Palo Alto de abajo: 24 viviendas, 105 personas, 1 tramo carretero y 1 puente peatonal. Mitad de Noria: 24 viviendas, 132 personas, 2 caminos. En total: 66 viviendas, 58 con daños parciales y 8 con daños mayores. 320 personas afectadas. 3 puentes vehiculares, 2 puentes peatonales, 1 escuela primaria y 3  caminos.</t>
  </si>
  <si>
    <t>Dr. González, Allende</t>
  </si>
  <si>
    <t>Lluvias fuertes, que ocasionan que 3 personas sean arrastradas por el Río Pesqueira, otras 3 arrastraads en el Municipio General Allende.</t>
  </si>
  <si>
    <t>Chilón, Palenque, Comitán, La Concordia, La Trinitaria, Pichucalco, Ocozocuautla, Chalchihuitán, Sitalá, Simojovel, Pueblo Nuevo</t>
  </si>
  <si>
    <t xml:space="preserve">6 RT con 254 familias albergadas, que hacen un total de 547 personas. 5 muertos. 1,016 viviendas afectadas. Derrumbes registrados en: Chilon, 3 tramos carreteros. Palenque 1 tramo carretero. Comitán 1 tramo carretero. La Concordia: 1 tramo. La Trinitaria 2 tramos. Pichucalco: 1 tramo. Ocozocuautla: 1. Chalchihuitán: 1. Sitalá:1. Simojovel: 2. Pueblo Nuevo: 1. </t>
  </si>
  <si>
    <t>Reporta desplazamiento de tierra en el tramo carretero san Cristóbal-Ocoxingo.</t>
  </si>
  <si>
    <t>Encharcamientos en 24 viviendas, provocadas por la lluvia resgistrada en la localidad.</t>
  </si>
  <si>
    <t>San José Iturbide, Irapuato, Guanajuato</t>
  </si>
  <si>
    <t>San José Iturbide: inundaciones de 40 cm al interior de 10 viviendas, ubicadas en La Venta, devido al escurrimiento del arroyo La Desgracia. Y en 8 viviendas de la colonia La Purísima, debido al taponamiento del drenaje. Irapuato: inundaciones de 30 cm, por escurrimientos del cerro, afectando a 2 viviendas en la Comunidad San Javier. Guanajuato: se registra deslave de piedras, salida del túnel, en la nueva carretera estatal. Deslave de piedras en el camino estatal MIna de Rayas- Cerro del cuarto a la altura de la mina San Vicente. Deslave en la carretera Guanajuato-Silao a la altura de las bodegas del IFE.</t>
  </si>
  <si>
    <t>Ocurrido a las 15:30 horas, tromba acompañada de fuertes vientos y tormenta eléctrica, causando daño en 67 viviendas, 42 fueron destechadas y con penetración de agua, caída de árboles.</t>
  </si>
  <si>
    <t>Zongozontla, Tepexintla</t>
  </si>
  <si>
    <t>Se afectó a 10 familias y 10 viviendas. Reportan deslaves y cierres parciales de vialidades, daño en los techos de lámina, no se instalaron albergues, no hay lesionados.</t>
  </si>
  <si>
    <t>Ocotepec, Pantepec, Solochiapa, Yajalón Tapilula, Palenque, Salto del Agua, Trinitaria, Amatán, Pichucalco</t>
  </si>
  <si>
    <t>Afectando a diversas comunidades. Se afectaron diversos tramos carretreros. Ocotepec: se reportan 74 viviendas con afectaciones en sus techos (20 viviendas de la comunidad Santa Lucia, 15 viviendas de la comunidad San José Lomas Alta, 17 viviendas de la comunidad San Juan Bosco y 22 viviendas de la comunidad San Miguel Allende). En la comunidad de Esquipula se reporta la obstrucción de camino de un total de 180 metros3 en el tramo carretero Ocotepec-Tapalapa. En el tramo Playas de Catazaja-rancho nuevo en el kilómetro 48+300, se colapsó una obra de drenaje, por lo cual se tiene una interrupción total, a lo cual se procedió a realizar los trabajos de sustitución de la obra del drenaje.Por otro lado se informó que el depósito de captación de agua fue destruido un tubo galvanizado de 3 pulgadas. Pantepec: 3 viviendas encharcadas con niveles de 20 a 30 centímetros en la cabecera municipal. Solosuchiapa: 20 viviendas encharcadas de la colonia la Deportiva por desbordamiento del río. Las personas afectadas se trasladaron con familiares y amigos. Yahalón: 1 vivienda con penetración de lodo. En el lugar ya trabaja Protección Civil municipal en las labores de limpieza. Tapilula: 35 viviendas afectadas, las 35 familias fueron trasladadas a un refugio temporal. Palenque: 20 viviendas afectadas de la colonia Poza Azul por el desbordamiento del arroyo Tajluntie; en la colonia Primavera se reportan 12 viviendas con encharcamientos de 40 centímetros de altura por el desbordamiento del río Chivishibul. Las familias afectadas se trasladaron con familiares y amigos. Salto de Agua: Aproximadamente a las 18:30 hrs., se reportaron afectaciones en el Tramo Playas De Catazajá - Rancho Nuevo Km 48+300, así como el colapso de una obra de drenaje el cual ocurrió a las 08:30 hrs., del día ayer, presentando interrupción total. Procediendo  a la colocación de señalamiento de protección de obra, se realizaran trabajos de sustitución de obra de drenaje a través de la empresa constructora que tiene trabajos en el programa de conservación rutinaria de este tramo. Municipio de Ocotepec; Informan que desde el día 30 de noviembre de 2010, a las 13:00 hrs, inicio una lluvia con granizo la cual ocasiono daños a estas comunidades: San Pablo Guanacu: Se reportan 2300 mts lineales de tubo galvanizado de 3 pulgadas, en donde hay 3100 habitantes. Santa Lucia: Reportan 20 viviendas con destecho parcial. San José Lomas Alta: Informa de 15 viviendas con destecho parcial. Barrio Lomas Alegre: Se registro el deslizamiento de suelo con arrime de material en la escuela primaria francisco montes de oca. Barrio Plan De Ayala: Se reporta un asentamiento parcial de una calle. Cabecera Municipal; Informa de 5 postes de Luz socavados, quedando expuestos a caer debido a las fuertes corrientes por las lluvias. San Juan Bosco: Afectaciones en 17 viviendas con destecho parcial. San Miguel Allende: Reportan 22 viviendas con destecho parcial. En las Comunidades de Esquipula, San Sebastián y San Jose Plan: Hay obstrucción de camino por derrumbe. En el Tramo Carretero Coapilla-Ocotepec: Se reportan 6 derrumbes parciales. En el tramo Carretero Ocotepec-Tapalapa, hay obstrucción total de 180 metros cúbicos de material. 60 familias de la comunidad Ruiz Cortinez  fueron evacuadas debido al desbordamiento del río Tulija. Tramos carreteros afectados: Tramo Copainalá-Coapilla.- diversos derrumbes, ya se realizan trabajos de limpieza y retiro de escombros. Hasta el momento no se ha interrumpido el paso. Tramo Coapilla-Ocotepec.- se reportan diversos derrumbes y caída de árboles en la desviación de Tapala, en el lugar solo hay paso en un carril. Tramo Tecpatan-Francisco León.- diversos derrumbes cercad e la comunidad San José Maspaz. Solo hay paso en un carril. Trinitaria: Se realizaron recorridos de verificación de daños, por las Comunidades de Francisco Villa (reportan daños en el camino rural, que comunica a las tres comunidades), Sabinalito (daños a mallas y bombas de agua que estaban a la orilla del Rio) y El Vergel Rio Azul (afectaciones en cultivos de maíz, y en mobiliario de unas palapas que se encuentran a la orilla del rio). Asimismo se informa que las principales afectaciones son en los caminos, en tramos de aproximadamente de unos 500 metros, donde se desbordo el rio y se registro un deslave a la altura de la comunidad Sabinalito, de aproximadamente 8 metro de largo y unos 3 metros de ancho por unos 2.5 metros de profundidad, se realizaron las reparaciones y rehabilitación por personas de la comunidad con el apoyo de un camión de volteo del municipio de la trinitaria. Amatán: El día de ayer a aproximadamente a las 19:33 hrs., se reportaron afectaciones debido a las lluvias registradas en la entidad, afectando a las comunidades de Reforma y Planada con 25 viviendas las cuales presentaron encharcamientos con un tirante de 80 cm., la escuela telesecundaria no 932, (tres aulas con afectación no especificadas). Pichucalco: se informa que ayer se registraron afectaciones sobre la Carretera Teapa-Pichucalco, debido al incremento del agua sobre la carretera, a la altura de la gasolinera, por lo que fue suspendida la circulación,  y la cual comunica a los municipios de Nicapa, El Zoque y Suspiro.</t>
  </si>
  <si>
    <t>Las lluvias afectaron a 144 productores de café el PACC apoyó con 2,118,667.2</t>
  </si>
  <si>
    <t>Armería, Colima, Comala, Coquimatlán, Cuahutémoc, Ixtlahuacán, Manzanillo, Minatitlán, Tecomán y Villa de Álvarez</t>
  </si>
  <si>
    <t>Las lluvias afectaron a 859 productores de plantaciones de frutales perennes y cultivos de café y nopal</t>
  </si>
  <si>
    <t>Acapulco, Tecpan de Galeana, Zihuatanejo, Petatlán y San Marcos</t>
  </si>
  <si>
    <t>Derivado del paso del ciclón tropical Carlotta, se presentaron las siguientes afectaciones: 4 personas lesionadas, 80 árboles caídos, 42 viviendas presentaron penetración de agua, 9 techos caídos, 11 deslaves y derrumbes, 3 bardas caídas, 22 espectaculares caídos, 32 daños en enramadas, 7 postes caídos, 9 vehículos afectados, 1 Hospital del ISSSTE en Acapulco con daños, por ventanal roto.
Adicionalmente se activaron 3 refugios temporales con 97 personas albergadas, quienes han comenzado a regresar a sus domicilios, al día de hoy se encontraban activos 2 RT con 55 personas.</t>
  </si>
  <si>
    <t>Las lluvias torrenciales afectaron a 355 productores de cebolla, chile jitomate, maíz, lechuga, nopal y sorgo. El PACC apoyó con 1,235,108.16</t>
  </si>
  <si>
    <t>Las lluvias torrenciales afectaron a 74 productores de maíz. El PACC apoyó con 208,409.78</t>
  </si>
  <si>
    <t>Las lluvias torrenciales afectaron a 226 productores de maíz. El PACC apoyó con 340,432.56.</t>
  </si>
  <si>
    <t>Acaponeta, Bahía de Banderas, Rosamorada, Ruíz, San Blas, Santiago Ixcuintla, Tecuala, Tuxpan</t>
  </si>
  <si>
    <t>Las lluvias torrenciales afectaron a 14,141 productores de Frijol, Sorgo, Maíz, Chile, Jitomate, Melon, Sandia, Tomatillo, Tabaco, Calabaza, Pepino, Arroz, Mango, Guanabana, Papaya y Plátano.</t>
  </si>
  <si>
    <t>Aguililla, Angamacutiro, Angangueo, Apatzingán, Aquila, Arteaga, Briseñas, Buenavista, Coahuayana, Coalcomán de Vázquez Pallares, Coeneo, Chavinda, Chinicuila, Ecuandureo, Hidalgo, Huaniqueo, Huetamo, Ixtlán, Jacona, Jiquilpan, José Sixto Verduzco, Juárez, Jungapeo, Los Reyes, Maravatío, Morelia, Múgica, Ocampo, Pajacuarán, Panindícuaro, Parácuaro, Pátzcuaro, Penjamillo, Puruándiro, Queréndaro, San Lucas, Susupuato, Tangamandapio, Tangancícuaro, Tanhuato, Tepalcatepec, Tingüindín, Tiquicheo de Nicolás Romero, Tocumbo, Tuxpan, Tuzantla, Tzintzuntzan, Venustiano Carranza, Villamar, Vista Hermosa, Yurécuaro, Zamora, Zinapécuaro, Zitácuaro</t>
  </si>
  <si>
    <t>Las lluvias torrenciales afectaron a 3,658 productores en 7,947.34 hectáreas de cultivos anuales y 120.22 de perennes, a 27 productores pecuarios  y a 29 productores acuícolas en una jaula y un estanque y 1.6 hectáreas.</t>
  </si>
  <si>
    <t>Vista Hermosa</t>
  </si>
  <si>
    <t>Las lluvias torrenciales afectaron a 245 productores en sus cultivos de maíz, sorgo y camote. El PACC apoyó con 931,544.64.</t>
  </si>
  <si>
    <t>Vista Hermosa y Zinapécuaro</t>
  </si>
  <si>
    <t>Las lluvias torrenciales afectaron a 676 productores en sus cultivos de maíz, sorgo y camote. El PACC apoyó con 2,176,171.92.</t>
  </si>
  <si>
    <t xml:space="preserve">Bahía de Banderas, Compostela, Rosamorada, Tuxpan. </t>
  </si>
  <si>
    <t xml:space="preserve">Las lluvias torrenciales afectaron 672 productores de diversos cultivos y a 48 productores de ganado. El PACC apoyó con 1,333,163. </t>
  </si>
  <si>
    <t>Bahía de Banderas, Compostela, Rosamorada, Tuxpan</t>
  </si>
  <si>
    <t>Las lluvias torrenciales afectaron a 722 productores de diversos cultivos a 53 porductores de 104.25 unidades animanes de gando y 44 productores de 104.25 hectáreas de producción acuícola. El PACC apoyó con 2,521,051.</t>
  </si>
  <si>
    <t>Alcozauca de Guerrero y Cochoapa el Grande</t>
  </si>
  <si>
    <t>La Unidad Estatal de Protección Civil informó que el 21 de Abril se presentaron lluvias fuertes acompañadas de granizo en los municipios de Alcozauca de Guerrero y Cochoapa el Grande, dejando las siguientes afectaciones: Municipio de Cochoapa: se registraron 31 viviendas dañadas y una escuela de la comunidad de Tierra Blanca.Municipio de Alcozauca: se reportaron afectaciones en el techo de 11 viviendas, asi como anegaciones en 7 localidades.</t>
  </si>
  <si>
    <t>Zoquitlán</t>
  </si>
  <si>
    <t>Reportan una tromba en el Municipio de Zoquitlán, afectando a 10 viviendas. No fue necesario activar RT.</t>
  </si>
  <si>
    <t>Ocurrido en la mañana y tarde, lluvia y viento de 60 a 70 km por hora, provocando la caída de los árboles y espectaculares, en la comunidad El Pino, cayó sobre un profesor de educación artística, fallecido en el lugar, perteneciente a la localidad de Boticaria, el cuerpo fue trasladado al SEMEFO del Estado.</t>
  </si>
  <si>
    <t>Santa Catarina, Xilitla y Villa de Arriaga</t>
  </si>
  <si>
    <t>Se registraron bajas temperaturas y heladas en los municipios mencionados, por lo que se declararon en emergencia con el fin de apoyarlos con insumos para la atención de la emergencia.</t>
  </si>
  <si>
    <t>Fresnillo, General Codina, General Pánfilo Natera y Pinos</t>
  </si>
  <si>
    <t>Se registraron bajas temperaturas y heladas en el estado. Fue necesario Declarar en emergencia a cuatro municipios con el fin de ditarlos de insumos para atender la emergencia.</t>
  </si>
  <si>
    <t>Calera, General Enrique Estrada, Pánuco y Morelos</t>
  </si>
  <si>
    <t>Nevada. 58 municipios afectados, un RT en cada uno. Se registran 220  personas en albergues. Se registra una duración del evento de 9 horas continuas en la mayoría de las localidades afectadas, alcanzando una altura de 20 cm. No se registran víctimas fatales, sólo un aumento en las enfremedades respiratorias y accidentes de tránsito menores. Se estima que 3,700 viviendas sufrieron daños mínimos</t>
  </si>
  <si>
    <t>Se reportan 7 personas lesionadas. En la colonia Lomas del Rosario, al sur de la ciudad. Cuando recolectaban leña en un cerro que es área protegida por la SEMARNAT, al norte de la ciudad de Uruapan, registrándose una tormenta eléctrica, por la que cayó un rayo que causó una muerte.</t>
  </si>
  <si>
    <t>Xilitla</t>
  </si>
  <si>
    <t>Debido a la helada atípica 2,723 productores de café fueron afectados. El PACC apoyó con 14,261,156.02</t>
  </si>
  <si>
    <t>Acateno, Ahuacatlán, Amixtlán, Atlequizayan, Camocuautla, Caxhuacan, Cuetzalan del Progreso, Hermenegildo Galeana, Huehuetla, Hueyapan, Hueytlalpan, Huitzilan de Serdán, Jalpan, Jonotla, Jopala, Juan Galindo, Olintla, San Felipe Tepatlán, Tepango de Rodríguez, Tlacuilotepec, Tlaola, Tlaxco, Tuzamapan de Galeana, Xicotepec, Yaonáhuac, Zihuateutla, Zongozotla, Zoquiapan</t>
  </si>
  <si>
    <t>Debido a la helada atípica 2,162 productores de café fueron afectados. El PACC apoyó con 912,417.48</t>
  </si>
  <si>
    <t>Altotonga</t>
  </si>
  <si>
    <t>Debido a la helada atípica 1,381 productores café sufrieron afectaciones en sus cultivos. El PACC apoyó con 8,738,756.02</t>
  </si>
  <si>
    <t>Tancítaro, Uruapan</t>
  </si>
  <si>
    <t>Debido a la helada atípica 73 productores de aguacate sufrieron afectaciones en diversos porcentajes el PACC apoyó con 1,272,565</t>
  </si>
  <si>
    <t>Cherán</t>
  </si>
  <si>
    <t>Debido a la helada atípica 139 productores de maíz sufrieron afectaciones e el PACC apoyó con 288,756.02</t>
  </si>
  <si>
    <t>Tláhuac</t>
  </si>
  <si>
    <t>Debido a la helada atípica 21 productores de nopal sufrieron afectaciones. El PACC apoyó con 73,872.92</t>
  </si>
  <si>
    <t>Paracho</t>
  </si>
  <si>
    <t xml:space="preserve">Debido a la helada atípica 247 productores de maíz sufrieron afectaciones. El PACC apoyó con 585,000 pesos. </t>
  </si>
  <si>
    <t>Debido a la helada atípica 4,426 productores de nopal sufrieron afectaciones. El PACC apoyó con 11,299,718</t>
  </si>
  <si>
    <t>Puruándiro</t>
  </si>
  <si>
    <t>Debido a la helada atípica 368 porductores de maíz y sorgo sufrieron afectaciones. El PACC apoyó con 3,401,526.96</t>
  </si>
  <si>
    <t>Fallecimiento y movilización de cuerpos de emergencia, por la caída de un rayo. Hubo 2 menores afectados, uno de ellos se reporta fallecido. En el Rancho San Jorge, cuando el menor trataba de cubrirse  de la lluvia. Desbordamiento del  Canal Patria, ubicado entre los límites de Guadalajara y Zapopan, causando encharcamientos ligeros.</t>
  </si>
  <si>
    <t>Alpatláhuac, Calcahualco, Comapa, Coscomatepec, Huatusco, Perote, Sochiapa, Tenampa, Tomatlán, Totutla</t>
  </si>
  <si>
    <t>debido a la helada atípica 1,556 productores de chayote, alcatraz, tomate, frijol, papa y café sufrieron afectaciones. El PACC apoyó con 6,334,614</t>
  </si>
  <si>
    <t>Debido a la granizada 142 productores de maíz sufieron afectaciones en sus cultivos. El PACC apoyó con 345,852.</t>
  </si>
  <si>
    <t xml:space="preserve">Debido a las bajas temperaturas se registraron 26 muertes en el estado </t>
  </si>
  <si>
    <t xml:space="preserve">Debido a las bajas temperaturas se registraron 2 muertes en el estado </t>
  </si>
  <si>
    <t xml:space="preserve">Debido a las bajas temperaturas se registraron 3 muertes en el estado </t>
  </si>
  <si>
    <t xml:space="preserve">Debido a las bajas temperaturas se registro 1 muerte en el estado </t>
  </si>
  <si>
    <t>Calera, Cañitas de Felipe Pescador, Concepción del Oro, Cuauhtémoc, El Salvador, Fresnillo, Genaro Codina, General Enrique Estrada, General Francisco R. Murguía, General Pánfilo Natera, Guadalupe, Jerez, Jiménez del Teul, Loreto, Luis Moya, Mazapil, Melchor Ocampo, Monte Escobedo, Morelos, Noria de Ángeles, Ojocaliente, Pánuco, Pinos, Río Grande, Sain Alto, Santa María de la Paz, Trancoso, Valparaíso, Vetagrande, Villa de Cos, Villa García, Villa González Ortega, Villa Hidalgo, Villanueva, Zacatecas</t>
  </si>
  <si>
    <t>Debido a la sequía 40,366 productores de Avena, Cebada, Frijol, Maíz, Sorgo y Trigo sufrieron la pérdida total de sus cultivos, así como a 2,336 productores pecuarios ya que la sequia afecto agostaderos y pastizales en su totalidad, especies bovinas, ovinas, caprinas y abejas, sufrieronla falta de comida.</t>
  </si>
  <si>
    <t>Chalchihuites, Juan Aldama, Miguel Auza, Sombrerete, Susticacán</t>
  </si>
  <si>
    <t>Debido a la sequía 1,690 productores de avena, cebada, frijol, maíz y trigo, así como 338 productores pecuarios ya que la sequía afectó altamente pastizales y agostaderos donde se beneficiaban especies como bovinos, ovinos, caprinos y colmenas.</t>
  </si>
  <si>
    <t>Se registraron intensas lluvias en la zona oriente del estado, afectando severamente a varios municipios, especialmente a Angangueo, en dónde un flojo de escombros ocasionó la muerte de de 35 personas (16 de estas fueron producto de dos deslizamientos de laderas en Angangueo, éstas se contabilizaron en el apartado de desastres geológicos). Los daños y pérdidas superaron los 1,600 millones de pesos, convirtiendose en el desastre más severo de los últimos años en el estado.</t>
  </si>
  <si>
    <t xml:space="preserve">Viviendas afectads y movilización de cuerpos de rescate. El Lunes a las 6:50 hrs., se registró el deslave, afectando a 20 viviendas, de las cuales 8 presentaron daños totales, 3 parciales, 2 menores y 7 en peligro. No se pidió ayuda por ser zona residencial. Debido al deslave de cerro, registrado en el Fraccionamiento privado Laderas de Monterrey, se vieron afectadas las calles de Gladiolas, Jazmín y Clavel. Además de haberse presentado un  agrietamiento de 9 cm, por lo que se realizó una evacuación preventiva. </t>
  </si>
  <si>
    <t xml:space="preserve">Sismo de 7.2 grados Richter. Con epicentro en la Falla de Cucapah (Ejido Durango). Registrado a las 15:40 (hora local). Resultaron afectados 13 ejidos. Afectaciones en energía eléctrica, de telefonía, agua potable y carreteras. También en edificios de gobierno, escuelas, hospitales y viviendas. Colapso de estructuras, fugas de gas e incendios. Crisis nerviosas. 35,233 fueron las personas afectadas  (entre lesionados, damnificados, etc.). Evacución por anegaciones en el Valle. El total de lesionados asciende a 231. Se registraron 180 réplicas, no mayores de 5 grados, ni menores de 2.5. Se registra daño en edificios de gobierno, escuelas, hospitales y viviendas.  De los 283 planteles educativos, se reporta: 132 sin daños, 75  con daños leves, 61 con daños moderados y 15 con severos. En términos de Refugios Temporales, se registró: 1, comunidad El Faro (89 albergados). 1 Ejido de Oaxaca (105 albergados).  Gimnasio Juventud, con 20 albergados.  Además de contabilizarse Centros de Acopio en diferentes lugares de la zona urbana, como Ensenada, Mexicali y Tijuana y de ponerse en operación 19 guarderías.  Se realizaron evaluaciones en 704 viviendas, de las cuales 416 presentan daños en diversos grados: 54  están en peligro de colapso y 5 colapsadas, el resto presentan daños menores. La colonia Ampliación Solidarida fue la colonia más afectada con 300 viviendas dañadas. En el Ejido de Zacatecas, 17 vieviendas en riesgo y 6 destruidas. En el Ejido de Agualeguas, 25 destruidas. En el Ejido Oaxaca 115 con daños severos. En Río Nuevo hay viviendas en peligro por el desgajamiento de taludes. </t>
  </si>
  <si>
    <t>General Plutarco Elias Calles, Puerto Peñasco y San Luis Rio Colorado</t>
  </si>
  <si>
    <t>Derivado del sismo de 7.2 grados Richter con epicentro en Mexicali, se registraron afectaciones en los municipios colindantes del estado de Sonora, particularmente en viviendas, escuelas, infraestructura carretera e hidráulica. El FONDEN apoyo para la realización de 1,014 acciones de reconstrucción.</t>
  </si>
  <si>
    <t>Sismo de 5.9 grados Richter. Se registra el colapso de estructuras, fugas de gas e incendios, crisis nerviosas y suspensión de servicios.</t>
  </si>
  <si>
    <t>Ocurrido  a las 05:00 horas, por el desprendimiento de un cerro, en la colonia El Carmen. Se registra un alud, con arrastre de rocas y lodo, en el cerro del chiquihuite, debido al escurrimiento de agua.</t>
  </si>
  <si>
    <t>Evacuación de personas y movilización de cuerpos de emergencia. Ocurrido a las 01:00 horas, en que en la madrugada se registró el desgajamiento de tierra y rocas en el cerro del Chiquihuite en la parte que colinda con la Colonia Ampliación Castillo Grande. Como medida preventiva se desalojó a 50 personas, confirmando que ninguna  tuvo lesiones. Se instaló un Refugio Temporal, pero no se hizo uso de él, la gente quiso acudir con familiares.</t>
  </si>
  <si>
    <t>Xichu, Romita</t>
  </si>
  <si>
    <t>Xichu: se registra el derrumbe de piedras, en la carretera Xichu-Comunidad Agua Zarca, obstruyendo ambos carriles. Romita: se registra un choque en la carretera Romita-Cuerámaro 10+800 a la altura de la comunidad Gavia de Rivas, en el que se vieron involucrados una camioneta Ford Ranger, contra una Nissan, resultando 5 lesionados.</t>
  </si>
  <si>
    <t>Zihuatlán</t>
  </si>
  <si>
    <t>A las 21:11 se registró un sismo de 6.4 a 300 km del Municipio de Zihuatlán.</t>
  </si>
  <si>
    <t>Puerto Vallarta, Bahía de Banderas</t>
  </si>
  <si>
    <t>Sucedido en los límites de Jalisco y Nayarit, entre las 02:00 y las 03:00 horas. Se registra daño en un puente y 4 vehículos. El Puente se localizaba en Río Ameca.</t>
  </si>
  <si>
    <t>Angel Alvino Corzo</t>
  </si>
  <si>
    <t>Deslizamiento de cerro, que impactó a 40 familias</t>
  </si>
  <si>
    <t>San Javier</t>
  </si>
  <si>
    <t>Ocurrido  a las 10:47, afectando a una persona. Se registra derrumbe ocurrido en una mina de grafito. Derivado de ello, hubo un fallecimiento, además de personas atrapadas. Se desconoce la causa del derrumbe.</t>
  </si>
  <si>
    <t>Coyuca de 
Benítez</t>
  </si>
  <si>
    <t xml:space="preserve">Debido a las fuertes lluvias registradas el día de
 ayer y la madrugada de hoy, se presentó el incremento y desbordamiento del arroyo El Tlacuache, a la altura de la localidad El Papayo, en el municipio de Coyuca de Benítez, se registran 44 viviendas con penetración de agua, como medida correctiva se realizaron trabajos necesarios para encausar el arroyo, con la finalidad de evitar que el agua continuara ingresando en las viviendas. </t>
  </si>
  <si>
    <t>Ante los desprendimientos del cerro Colorado en la comunidad San Marcos, se inunda con agua y lodo. Colonias Rincón de Urías, Felipe Angeles y Ampliación Felipe Ángeles.</t>
  </si>
  <si>
    <t>Se registro un deslizamiento de laderas en la carretera Villa Guerrero ocasionando la muerte de 10 personas en el km 8 de la carretera, varios vehículos transitaban por ahí.</t>
  </si>
  <si>
    <t>Lluvias fuertes con actividad electrica registradas a causa de la onda tropical Num. 8, afectaron a la Col. Fidel Velazquez con 3 viviendas (daño parcial) integradas por 3 familias (19 personas), se les brindo apoyo con 6 pacas de laminas, 6 colchonetas, 6 cobertores, 3 despensas y 3 kits de limpieza. Tambien, al Fracc. Sn. Agustin con 5 viviendas (daño parcial) integradas por 5 familias (25 personas), se les brindo apoyo con 12 pacas de laminas, 10 colchonetas, 10 cobertores, 5 despensas y 5 kits de limpieza.</t>
  </si>
  <si>
    <t>San Miguel Totolapan</t>
  </si>
  <si>
    <t xml:space="preserve">Areas Afectadas: Localidad de Ventanas y Patlacala.  Personas Afectadas: 24 familias. Lluvia acompañada de granizo, en el municipio de San Miguel Totolapan, en la localidad de Ventanas se registraron 16 viviendas afectadas en sus techos de laminas de carton y en la localidad de Patlacala 8 viviendas mas resultaron con daños parciales. </t>
  </si>
  <si>
    <t>Acapulco, Copala y Tlapehuala</t>
  </si>
  <si>
    <t>Las fuertes lluvias causaron daños a 43 viviendas. No se reportaron daños humanos</t>
  </si>
  <si>
    <t>Chilpancingo,</t>
  </si>
  <si>
    <t>Se reportaron fuertes lluvias en el municipio de Chilpancingo, se reportan cinco personas lesionadas al ser arrastradas por la corriente.  Así mismo se reportaron anegaciones en varias viviendas, un mercado.</t>
  </si>
  <si>
    <t xml:space="preserve">Se registraron fuertes lluvias en el municipio de Atoyac, dejando una persona lesionada al derrumbarse su casa, así mismo se presentaron también inundaciones en 30 viviendas con un tirante de 1.5 metros. </t>
  </si>
  <si>
    <t>Ixtacomitan</t>
  </si>
  <si>
    <t>Se registra un desalojo de 34 familias (156 personas), debido al riesgo que correon por deslizamiento de suelo. Se instalaron en el auditorio municipal de la cabecera del municipio.</t>
  </si>
  <si>
    <t>Juquila</t>
  </si>
  <si>
    <t xml:space="preserve">Deslave de cerro, en la madrugada y tarde-noche del 21, no hay víctimas, dado que se desalojaron 24 horas antes del suceso. Sólo reportados daños materiales. Sepultando 5 casas, 30 más estuvieron en riesgo, en la sierra Chatina. Esta población, está catalogada por el Programa para el Desarrollo de Zonas Prioritarias (PDZP), como de alta marginación, con poco más de 2,400 pobladores. </t>
  </si>
  <si>
    <t>Tenango</t>
  </si>
  <si>
    <t>A las 4:15 se registró un desgajamiento de tierra sobre la autopista Tenango-Ixtapa de la Sal km 19, debido a las lluvias y el respectivo reblandecimiento de tierra, ocasionando el derrumbe de 2 mil metros cúbicos sobre la cinta asfáltica. No se reportan lesioandos.</t>
  </si>
  <si>
    <t>Amatán y Ángel Albino Corzo</t>
  </si>
  <si>
    <t xml:space="preserve">Entre el 8 de agosto y el 29 de septiembre se registraron varios eventos en el estado de Chiapas, mismos que ocasionaron daños en varios municipios del estado. Además como consecuencia de las lluvias se registraron dos deslizamientos de ladera en el municipio de Amatán y en Angel Albino Corzo, como resultado 19 personas perdieron la vida, 16 en Amatan y 3 en Angel Albino Corzo. Estas muertes se contabilizaron en el apartado de Desastres Geológicos, sin embargo el monto de daños y pérdidas se consideró en el apartado de lluvias e inundaciones. </t>
  </si>
  <si>
    <t>Deslizamiento de tierra/suelo, personas heridas, cierre de carretera. Ocurrido a las 12:00 horas, con 5 personas afectadas. 2 vehículos y un local comercial. Cierre temporal de la carretera. El deslizamiento implicó un cerro con 100 metros de ancho, 130 de largo y 3 metros de alto. Ubicado en el km 16 del tramo carretero Zacapoaxtla-Acuaco a la altura del Ejicayan. Se reportaron 5 lesionadas, 2 vehículos dañados y afectaciones a un local comercial.</t>
  </si>
  <si>
    <t>Santa María Tlahuitoltepec</t>
  </si>
  <si>
    <t>Se registraron varios eventos entre julio y septiembre de 2010 afectanco a varios municipios. Dentro de esta cadena de eventos se registró un fuerte deslizamiento en el municipio de Santa María Tlahuitoltepec, en el cual perdieron la vida 11 personas, estas se contabilizaron en el apartado de desastres de origen geológico. Sin embargo el monto de daños y pérdidas se considero en el apartado de lluvias e inundaciones, ya que no se conto con la información diferenciada.</t>
  </si>
  <si>
    <t>Tuxtla de Guerrero</t>
  </si>
  <si>
    <t>Las lluvias y el nivel alto de la laguna negra del valle de Tuxtla registraron escurrimientos, afectando 45 familias, mismas que fueron evacuadas y trasladadas a un R T. 160 personas evacuadas</t>
  </si>
  <si>
    <t>Carmen</t>
  </si>
  <si>
    <t>Paraíso</t>
  </si>
  <si>
    <t>Acámbaro</t>
  </si>
  <si>
    <t>Concepción del Oro</t>
  </si>
  <si>
    <t>San Martín Texmelucan</t>
  </si>
  <si>
    <t>Huixquilican</t>
  </si>
  <si>
    <t>Minatitlán</t>
  </si>
  <si>
    <t>Apaseo El Grande</t>
  </si>
  <si>
    <t>Tierra Colorada</t>
  </si>
  <si>
    <t>Perote</t>
  </si>
  <si>
    <t>Uriangato</t>
  </si>
  <si>
    <t>Arcelia</t>
  </si>
  <si>
    <t>Debido a las fuertes lluvias registradas en el municipio antes mencionado se reportan daños parciales en 18 viviendas, además se evacuó a 32 personas.</t>
  </si>
  <si>
    <t>San Marcos</t>
  </si>
  <si>
    <t>Irapuato, Abasolo, Salvatierra</t>
  </si>
  <si>
    <t>Debido a las lluvias se han registrando las siguientes afectaciones. Irapuato; afectaciones por una lluvia Intensa e insuficiencia del drenaje, provocando  encharcamientos  a nivel de banqueta  en varias vialidades, asi como penetración de agua con  niveles de  hasta 40 cm., en las colonias, Plan Guanajuato - Calle Celaya con 12  viviendas, La Colonia los Hoyos con 12 viviendas, en la Colonia Prolongación la Moderna - Calle  Juan de Urbina con 3 viviendas y el Fraccionamiento  los Cobos sin datos de viviendas, alcanzando un tirante de 10  a 30 cm., se reporta la caída de 11 arboles en diferentes puntos de la ciudad. Abasolo. Se presentaron afectaciones por lluvias  fuertes e insuficiencia del drenaje en la calle Guanajuato, Colonia Guadalupe, con introduccion de agua de niveles de 40 a 50 cm, se desconoce el número de viviendas afectadas. Salvatierra, se registraron encharcamientos por acumulacion de agua en patios de la colonia Santa Anita</t>
  </si>
  <si>
    <t>Delegacion Gustavo A Madero</t>
  </si>
  <si>
    <t>Una colonia afectada, en 10 viviendas y varias fábricas. Por el desbordamiento del río de los Remedios, debido a la caída de un árbol que abrió un agujero. 10 calles presentaran inundaciones con diversos tirantes de agua (al momento los niveles alcanzan los 10 a 20 centímetros). A esta hora se trabaja en la colocación de costaleras en el lugar del boquete para controlar la fuga, la cual está disminuyendo considerablemente.</t>
  </si>
  <si>
    <t>Angel R Cabada</t>
  </si>
  <si>
    <t>17 municipios</t>
  </si>
  <si>
    <t>5to. año consecutivo de inundaciones. En este caso se consideraron desde noviembre a septiembre. Es el segundo año más costo después de 2007. El sector de carreteras  fue el más afectado.</t>
  </si>
  <si>
    <t>Se desarrolló un sistema de tormenta local entre las sindicaturas de Higueras y RosarioSe presentaron inundaciones en las zonas bajas del municipio, mientras que el arroyo de los jabalines se desbordó en la mayor parte de su canal. Se contabilizaron un aproximado de 3,004 viviendas afectadas.</t>
  </si>
  <si>
    <t>Tehuantepec</t>
  </si>
  <si>
    <t>Una muerte, por la caida de un rayo a consecuencia de las lluvias.</t>
  </si>
  <si>
    <t>San Miguel Huautepec</t>
  </si>
  <si>
    <t>Debido a las lluvias que se presentaron en el poblado el Camaron Huautepec, se registro la bajada de agua de un arroyo hacia la carretera lo que ocasiono el deslave del Cerro Yano de Ornicas, llevándose a su paso una vivienda de 3 x 5 mts construida de material endeble, encontrandose dentro de ella una familia integrada por 7 personas (dos adultos y 5 menores) , siendo arrastrados entre el agua y lodo, sobreviviendo sus padres y 4 hermanos.</t>
  </si>
  <si>
    <t>Chalco, Valle de Chalco</t>
  </si>
  <si>
    <t>Se registró la ruptura de una de las paredes del canal de la “Compañía”, Chalco.- Se realizan trabajos de limpieza de las zonas afectadas y de algunas viviendas en las cuales se registró penetración de aguas negras y basura, personal del H. Ayuntamiento envía pipas con agua y cloro, para apoyar en los trabajos de limpieza. Se menciona que ya finalizaron los trabajos de reparación en el boquete del canal. Valle de Chalco Solidaridad.- Se reportan 250 viviendas afectadas con encharcamientos de diversos niveles, provocadas por el desbordamiento del canal. Durante las primeras horas de la contingencia, se evacuaron preventivamente a las familias de dichas viviendas, trasladándolas a un lugar seguro del mismo municipio</t>
  </si>
  <si>
    <t>Zihuatanejo de Azueta, Petatlán y la Unión de Isidoro Montes de Oca</t>
  </si>
  <si>
    <t xml:space="preserve">Derivado de las lluvias moderadas registradas durante la madrugada en los municipios de Zihuatanejo, Patatlán y La Unión, a consecuencia de los desprendimientos nubosos del huracán “Bud”. Además, debido al alto oleaje, se mantienen en operación 2 refugios temporales: uno en la comunidad de Boca Chica, Municipio de Tecpan de Galeana con 15 familias (75 personas); y el segundo en la comunidad de Petacalco, municipio de La Unión con 23 personas, generando un total de 98 personas. No se reportan daños humanos. Asimismo se registran las siguientes afectaciones:
• 42 árboles caídos,
• 2 carreteras con arrastre de material sólido,
• 140 viviendas inundadas, 
• 1 velero encallado,
• 6 Hoteles y salones de fiestas,
• 316 enramadas y restaurantes.
</t>
  </si>
  <si>
    <t>Ometepec y Marquelia</t>
  </si>
  <si>
    <t>Los niveles del río Santa Catarina rebasaron su limite, desbordándose afectando 44 viviendas</t>
  </si>
  <si>
    <t>Delegacion Alvaro Obregon, Benito Juarez, Coayoacan, Cuauhtemoc, Gustavo A. Madero, Iztacalco, Iztapalapa, Miguel Hidalgo, Tlahuac, Tlalpan y Venustiano Carranza.</t>
  </si>
  <si>
    <t>Se presentaron fuertes vientos en las delegaciones Álvaro Obregón, Benito Juárez, Coayoacán, Cuauhtémoc, Gustavo A. Madero, Iztacalco, Iztapalapa, Miguel Hidalgo, Tláhuac, Tlalpan y Venustiano Carranza, lo que provocó la caída de 37 árboles (dos de ellos cayeron sobre varios vehículos) y 8 anuncios espectaculares.</t>
  </si>
  <si>
    <t>Delegaciones, Gustavo A. Madero, Venustiano Carranza</t>
  </si>
  <si>
    <t>Se registraron fuertes lluvias ocasionando afectaciones a 867 viviendas de varias delegaciones con tirantes desde 30 cm. Hasta 80cm. Al interior de las viviendas, además se registraron afectaciones en la Tienda Departamental Chedraui y en diversas vialidades. Además se reporta la muerte de dos personas</t>
  </si>
  <si>
    <t>Delegacion Beinito Juarez</t>
  </si>
  <si>
    <t>En Colonia San Pedro de los Pinos, se presentó una grieta de aproximadamente 12 metros de profundidad y 8 metros de ancho, afectando 2 edificios con dañados en su estructura, personal de protección civil se trasladaron para brindar apoyo, 49 personas habitantes del lugar fueron evacuados para evitar riesgos y se les ha ofrecido alojarse en un hotel. Se clausura la obra y se  llevan a cabo los peritajes.</t>
  </si>
  <si>
    <t>Se registraron lluvias torrenciales puntuales, ocasionando una avenida de agua y el deslave de un Cerro en la Localidad Urbana de Santiago, debido a ello una de las viviendas fue arrastrada, reportandose un falleciemiento.   El segundo deceso, fue de una persona víctima de que un arroyo socavó la carretera provocando un hundimiento al cual cayó el vehículo que conducía, murió de un infarto por la impresión.</t>
  </si>
  <si>
    <t>Derivado de las fuertes lluvias registradas el día de hoy,  se presentaron escurrimientos del “Arroyo Seco”, que baja del cerro de la parte alta de San Cristóbal y pasa por debajo de la cinta asfáltica del tramo carretero Chiapas de Corzo a Villa de Alcalá, ocasionando encharcamientos en  la carretera y en varios domicilios del poblado la Esperanza. De manera precautoria se habilitó un refugio temporal en la Escuela Primaria Federal 21 de Octubre de 1863, donde fueron trasladadas 16 familias (57 personas, de las cuales son 36 adultos, 18 mujeres y 18 hombres y 21 menores de edad, 12 niñas y 9 niños), a quienes el DIF Municipal y Protección Civil del municipio proporcionaron colchonetas, cobertores, bebidas y kits de limpieza.</t>
  </si>
  <si>
    <t>Fallecimiento de un menor de 4 años de edad y 3 lesionados, por la madrugada, en la comunidad Altamirano, del Municipio de Mapastepec.  El accidente se produjo por el deslizamiento de un cerro reblandecido por las lluvias y llevándose entre los montículos de tierra la vivienda de dichas personas.</t>
  </si>
  <si>
    <t>Una muerte por caida de rayo. En la atención participo  Protección Civil Municipal y elementos de SSP Municipal.</t>
  </si>
  <si>
    <t>Escuinapa y Rosario</t>
  </si>
  <si>
    <t xml:space="preserve">Se registraron intensas lluvias en los municipios mencionados ocasionando daños en infraestructura hidráulica, carretera y educativa. </t>
  </si>
  <si>
    <t>Coyomeapan y San Gabriel Chilac</t>
  </si>
  <si>
    <t xml:space="preserve"> Debido a los fuertes vientos ocasionaron que en los municipios Coyomeapan resultaran afectadas 61 casas en sus techos y San Gabriel Chilac 41 casas en sus techos (material endeble). No reportan personas lesionadas, personal de protección civil estatal y municipal acudieron a la zona y después de contabilizar, se entregaron apoyos consistentes de laminas de cartón a las familias afectadas. Cabe mencionar No se implementaron refugios temporales.  </t>
  </si>
  <si>
    <t>Atempan</t>
  </si>
  <si>
    <t>Tormenta tropical Arlene,  se reportaron al menos dos deslaves, la obstruccin parcial de carreteras, afectaciones a viviendas y la saturacion de presas. Una vivienda se colapso en la comunidad de Tacopan, del municipio de Atempan, como consecuencia del reblandecimiento de la tierra. Ante la destruccion del inmueble, los habitantes fueron trasladados a un albergue regional. Otras tres casas tambien sufrieron afectaciones por el reblandecimiento de la tierra en el municipio de Eloxochitlan. Asimismo, en la jurisdiccion de Zacatlan se informo de otro deslave de la carretera que conduce al municipio de Tetela de Ocampo. Fallece una mujer, por caida de arbol en vivienda.</t>
  </si>
  <si>
    <t>Tlatlautepec, Tlachichuca y Ayatosco de Guerrero</t>
  </si>
  <si>
    <t xml:space="preserve">Debido al incremento del agua y como medida preventiva fueron evacuadas 27 familias, de las cuales solo 19 familias se encuentran albergadas en la casa del Director de los Derechos Indígenas, en el resto de las familias se trasladaron con amigos y/o parientes. En el municipio de Tlachichuca, se reportó un deslave en el kilómetro 2+200 del tramo carretero Timiztlán-Analco, mismo que obstruyó en su totalidad la circulación. </t>
  </si>
  <si>
    <t>Marquelia</t>
  </si>
  <si>
    <t>A las 10:30 horas se reportan afectaciones de 4 viviendas y 6 enramadas, ubicadas sobre la franja de arena, dañadas por la crecida del río que cruza en la Playa La Bocana, municipio de Marquelia; presentan daño progresivo por socavación, debido a los eventos recientes de alto oleaje provocado por eventos de mar de fondo y el paso de ciclones tropicales. De las 4 viviendas afectadas, una presenta daño estructural alto por socavación y 3 daños parciales, mientras que las enramadas también fueron afectadas por socavación.</t>
  </si>
  <si>
    <t>Delegacion Cuauhtemoc</t>
  </si>
  <si>
    <t>San Juan Evangelista</t>
  </si>
  <si>
    <t>San Andres Tlalnehuayocan, Banderilla</t>
  </si>
  <si>
    <t>Debido a las lluvias registradas en las ultimas 48 horas en la zona centro del estado provocaron que un alud de tierra sepultara 2 viviendas en el municipio de San Andres Tlalnehuayocanantes los hechos ocurrieron la madrugada, cuando las precipitaciones reblandecieron la tierra de un cerro, registrando un deceso de sexo femenino. En Banderilla, se registro el desgajamiento del cerro conocido como La Martinica, a causa de la Tormenta Tropical Arlene ubicado en Circuto Roble 32 tramo estatal de la cabecera municipal del mismo municipio, provocando daños a 6 vehículos y 1 vivienda sin que se tenga reporte de personas lesionadas.</t>
  </si>
  <si>
    <t>62 Muncipios</t>
  </si>
  <si>
    <t>Se registraron intensas lluvias provocadas por los efectos de la entrada en la zona norte de la entidad de la tormenta tropical “Arlene”, que impactó en diversos sectores.</t>
  </si>
  <si>
    <t>CENAPRED/FONDEN</t>
  </si>
  <si>
    <t>Tlaxcala, Totolac, Xaltocan, Panotla, Hueyotlipan, San Lucas Tecopilco, Atlangatepec, Tlaxco, Muñoz De Domingo Arenas</t>
  </si>
  <si>
    <t>Debido a las lluvias acompañadas de granizo,  se reportaron en Tlaxcala 9 municipios con afectaciones principalmente en sus techos de láminas de cartón y de asbesto, haciendo un total de 815 viviendas. Siendo un total de 680 viviendas con daños en techos de asbesto y cartón. Viviendas con registro de daños por encharcamiento: 135. Siendo un total de 11 personas hospitalizadas por heridas craneoencefálicas.</t>
  </si>
  <si>
    <t>Se presentaron fuertes vientos (algunas versiones indican que posiblemente fue un tornado), en la comunidad de Villa de las Flores, del municipio de Atlangatepec, donde se vieron afectados los techos de 6 viviendas, afectaciones en 3 bodegas, la caída de 2 anuncios espectaculares y afectaciones en señalamientos viales. No se reportan daños humanos.</t>
  </si>
  <si>
    <t>Panotla, Totolac, Tlaxcala, Chicotizinco</t>
  </si>
  <si>
    <t>Debido a las lluvias que se han generado en la mayor parte del estado, se reporta el desbordamiento del Rio Zahuapan; Afectando los municipios de Panotla, Totolac, Tlaxcala, Chicotizinco, siendo los siguientes daños; Reportan 40 viviendas afectadas las cuales presentaron anegación de agua en su interior con un tiraje de 15 a 20 cm. En el municipio de  Chicotizinco, 5 de las 40 viviendas, su afectación fue mayor debido a que el tiraje del agua alcanzó los 50 cm 5 familias fueron evacuadas de sus viviendas y permanecen con familiares, por lo que no fue necesaria la instalación de algún albergue.</t>
  </si>
  <si>
    <t>Derivado de la intensa lluvia registrada en la fecha señalada, se presentaron daños en 2 centros de salud, infraestructura carretera y urbana. Desafortunadamente dos menores perdieron la vida</t>
  </si>
  <si>
    <t>Mazatlan, Elota, San Ignacio, Rosario</t>
  </si>
  <si>
    <t xml:space="preserve">Se reportan 32 colonias afectadas por desbordamiento del arroyo Jabalíes, llegando a alcanzar una altura de inundación de 1.8 mts. Se realizó la evacuación preventiva de 42 personas, trasladándolas a los refugios temporales habilitados. Se reportó un incendio en una casa habitación, por efecto de un rayo, y el desgajamiento de un cerro.  Se reportaron 8 Escuelas con inundación.  Durante la madrugada, 4 familias (12 personas) fueron evacuadas, siendo llevadas al albergue municipal. Asimismo se reporta el derrumbe del Puente vehicular. “, el agua de la Presa Higueras comenzó a verter el agua, originando que el río Roberto se desbordara afectando 9 comunidades con tirantes de los 35 a 80 cms. Como dato preliminar reportan de 700 a 900 viviendas afectadas, se evacuaron a varias familias, mismas que se trasladaron con familiares y amigos, por lo que no fue necesario abrir el Refugio Temporal que se tiene habilitado. </t>
  </si>
  <si>
    <t>Nopalucan</t>
  </si>
  <si>
    <t>Debido a la lluvia fuerte en la comunidad de Rincón Zitlaltepetl, Municipio de Nopalucan. Afectado a 70 viviendas en sus techumbres y penetración de agua, se activo un RT, en La Biblioteca de la Junta auxiliar. Con 125 personas, se les proporciona el apoyo por parte del Estado y Municipio. 30 catres 40 cobertores 40 impermeables 5 paquetes de agua 15 galones de cloro 15 Kit de limpieza 40 kit de aseo personal.</t>
  </si>
  <si>
    <t>Tlatlautepec, Ayatosco de Guerrero</t>
  </si>
  <si>
    <t>En la comunidad de Yolocsin se desgajo un cerro sepultando una vivienda en la cual se encontraba habitada por una persona de sexo masculino quedando sepultada falleciendo en el lugar, en el Municipio de Ayatosco de Guerrero.- A causa de las lluviasen la comunidad de Gachupiñete, se evuacuaro a 7 familias conformadas por 19 niños y 5 adultos de sus viviendas por penetración de agua con tirantes de 50 cm de altura, las cuales fueron trasladadas al RT. Casa del Maestro en donde se brinda el apoyo correspondiente ubicado en la misma comunidad, asi mismo se evacuaro a 4 personas, 2 menores y 2 adultos.</t>
  </si>
  <si>
    <t xml:space="preserve">Debido a las lluvias registradas en el municipio de Ecatepec, se reporto el deceso de una persona. La causa de la muerte fue electrocución, ya que mientras intentaba cruzar una anegacion en compañia de su abuelo , accidentalmente se sostuvieron de una reja metálica que se encontraba en contacto con un cable de alta tension desprendido de la red de distribución; estos hechos ocurrieron en la colonia Croc de Aragon. </t>
  </si>
  <si>
    <t>Tlahuelilpan</t>
  </si>
  <si>
    <t>Debido a las lluvias en la Zona Sur del Estado, se reportaron afectaciones en los municipios de Tlahuelilpan; Desbordamiento del Río Salado, afectando 50 viviendas por penetración de agua a su interior alcanzando un tirante de 30cm a 1mt.</t>
  </si>
  <si>
    <t>Atoyac de Álvarez, Benito Juárez, Acapulco, Chilpancingo de los Bravo</t>
  </si>
  <si>
    <t>Debido a lluvias de moderadas a fuertes acompañadas de fuerte viento y granizo en la parte alta  de la Sierra ,189 casas se vieron afectadas por desprendimiento de techos, 179 de ellas por desprendimiento parcial y 10 por desprendimiento total. Además se registró la caída de tres árboles y cuatro localidades se quedaron sin servicio de energía eléctrica. Debido al taponamiento provocado por una obra en construcción se reportaron encharcamientos.</t>
  </si>
  <si>
    <t>Acapulco de Juarez, Ajuchitlán del Progreso, Iliatenco, Juchitán, Atlixtac, Alpoyeca</t>
  </si>
  <si>
    <r>
      <t xml:space="preserve">Debido a las tormentas locales, acompañadas de fuertes vientos, registradas en las últimas 48 horas, se reportaron las siguientes afectaciones: en el municipio de Acapulco ocurrió el arrastre de material sólido en la Carretera Federal Acapulco – Pinotepa Nacional Km. 40;  en el municipio de Ajuchitlán del Progreso, daños en techos en </t>
    </r>
    <r>
      <rPr>
        <sz val="9"/>
        <color indexed="10"/>
        <rFont val="Arial"/>
        <family val="2"/>
      </rPr>
      <t xml:space="preserve">8 </t>
    </r>
    <r>
      <rPr>
        <sz val="9"/>
        <rFont val="Arial"/>
        <family val="2"/>
      </rPr>
      <t xml:space="preserve">viviendas, </t>
    </r>
    <r>
      <rPr>
        <sz val="9"/>
        <color indexed="10"/>
        <rFont val="Arial"/>
        <family val="2"/>
      </rPr>
      <t>1</t>
    </r>
    <r>
      <rPr>
        <sz val="9"/>
        <rFont val="Arial"/>
        <family val="2"/>
      </rPr>
      <t xml:space="preserve"> escuela  y </t>
    </r>
    <r>
      <rPr>
        <sz val="9"/>
        <color indexed="10"/>
        <rFont val="Arial"/>
        <family val="2"/>
      </rPr>
      <t>1</t>
    </r>
    <r>
      <rPr>
        <sz val="9"/>
        <rFont val="Arial"/>
        <family val="2"/>
      </rPr>
      <t xml:space="preserve"> gasolinera en la Cabecera Municipal; en el municipio de Alpoyeca, daños en techos en </t>
    </r>
    <r>
      <rPr>
        <sz val="9"/>
        <color indexed="10"/>
        <rFont val="Arial"/>
        <family val="2"/>
      </rPr>
      <t xml:space="preserve">1 </t>
    </r>
    <r>
      <rPr>
        <sz val="9"/>
        <rFont val="Arial"/>
        <family val="2"/>
      </rPr>
      <t xml:space="preserve">vivienda en la Cabecera Municipal; en el  municipio de Atlixtac, daños en techos de </t>
    </r>
    <r>
      <rPr>
        <sz val="9"/>
        <color indexed="10"/>
        <rFont val="Arial"/>
        <family val="2"/>
      </rPr>
      <t>1</t>
    </r>
    <r>
      <rPr>
        <sz val="9"/>
        <rFont val="Arial"/>
        <family val="2"/>
      </rPr>
      <t xml:space="preserve"> vivienda en la Cabecera Municipal también en el techo de </t>
    </r>
    <r>
      <rPr>
        <sz val="9"/>
        <color indexed="10"/>
        <rFont val="Arial"/>
        <family val="2"/>
      </rPr>
      <t>3</t>
    </r>
    <r>
      <rPr>
        <sz val="9"/>
        <rFont val="Arial"/>
        <family val="2"/>
      </rPr>
      <t xml:space="preserve"> viviendas en la Localidad de Xaxocotla, en </t>
    </r>
    <r>
      <rPr>
        <sz val="9"/>
        <color indexed="10"/>
        <rFont val="Arial"/>
        <family val="2"/>
      </rPr>
      <t>1</t>
    </r>
    <r>
      <rPr>
        <sz val="9"/>
        <rFont val="Arial"/>
        <family val="2"/>
      </rPr>
      <t xml:space="preserve"> vivienda en la Localidad de Agua Zarca.  ; en el municipio de Iliatenco, daños en los techos de </t>
    </r>
    <r>
      <rPr>
        <sz val="9"/>
        <color indexed="10"/>
        <rFont val="Arial"/>
        <family val="2"/>
      </rPr>
      <t>19</t>
    </r>
    <r>
      <rPr>
        <sz val="9"/>
        <rFont val="Arial"/>
        <family val="2"/>
      </rPr>
      <t xml:space="preserve"> viviendas en el Cerro Tejón;  en el municipio de Juchitán.</t>
    </r>
  </si>
  <si>
    <t>Debido a las fuertes lluvias registradas  en el municipio de Mapastepec, se registró un desgajamiento de cerro  en la comunidad de Altamira primera sección, el cual afecto una vivienda, resultando el fallecimiento de un menor de 4 años y medio, así como 4 personas lesionadas.</t>
  </si>
  <si>
    <t>Se registraron intensas lluvias en el estado de Chiapas resultando afectado el municipio de Tuxtla Gutierrez en su infraestructura carretera, hidráulica, educativa, urbana y en algunas viviendas</t>
  </si>
  <si>
    <t>Escuintla</t>
  </si>
  <si>
    <t>Por una tormenta electrica que se registro el dia 29 de junio en el municipio de Escuintla, en “La Finca La Permuta” un fallecimiento, por haber sido alcanzado por un rayo.</t>
  </si>
  <si>
    <t>Fuertes lluvias ocasionaron daños en Tapachula afectando 5 viviendas y la infraestructura hidráulica y carretera del municipio.</t>
  </si>
  <si>
    <t>Inundaciones momentaneas de hasta 1 metro en zonas bajas de la zona sureste de Mexicali, donde se presento penetración de agua en aproximadamente 30 viviendas, donde el agua alcanzó hasta 30 centímetros. Asimismo, se presentó la caída de un anuncio espectacular sobre 2 vehículos particulares y un taller mecánico, ocasionando daños parciales en este local. Por otro lado se reporta la caída de algunos árboles y postes de energía eléctrica, ocasionando cortes de energía eléctrica.</t>
  </si>
  <si>
    <t>10 municipios</t>
  </si>
  <si>
    <t xml:space="preserve">El ciclón tropical Jova en el km 8 al Sur de la población de La Fortuna, Jalisco como huracán de categoría II.Debido a la magnitud del fenómeno y a sus efectos sobre la población y sus bienes, así como en la infraestructura pública y los sectores productivos, se declararon en desastre  a los 10  municipios del estado de Colima. </t>
  </si>
  <si>
    <t>Tlaltetela, Coscomatepec, Ixtaczoquitlán, Totutla, Zongolica, Fortín de las Flores, Ixhuatlancillo</t>
  </si>
  <si>
    <t>Se registró una granizada en los municipios de Tlaltetela, Coscomatepec, Ixtaczoquitlán, Totutla, Zongolica, Fortín de las Flores, Ixhuatlancillo, Atzacan. Los municipios que se tienen contabilizados con daños en techumbres con un total de 2,048 techumbres. No hubo necesidad de implementar refugios temporales.</t>
  </si>
  <si>
    <t xml:space="preserve">Se reportó como desaparecida una persona de 37 años de edad, misma que fue arrastrada por la corriente del río Puxcatán (esto por las fuertes lluvias), a la altura de la Ranchería Allende Alto 2ª Sección Paredón. </t>
  </si>
  <si>
    <t>Mazatlan, Rosario, Escuinapa</t>
  </si>
  <si>
    <t xml:space="preserve">Se afectaron 15 colonias  por anegamientos, debido a ellos se evacuaron a 14 personas (7 adultos y 7 niños) se encuentran con familiares y amigos.  Rosario: desbordamiento de arroyos, anegamientos en poblados de Potrerillos, Agua Verde y Zona Urbana de Rosario.  Escuinapa: 175 personas evacuadas de las cuales 45 están albergadas en un Refugio Temporal de la Parroquia Francisco de Asís, el resto se encuentra con familiares y amigos. 300 casas afectadas de las colonias Pueblo Nuevo, Insurgentes, Azteca, INFONAVIT Arroyo, INFONAVIT Arroyo Seco, Malecon Siglo XXI, Calle Occidental y parte de la Colonia Centro. En las comunidades del Valle de Escuinapa:  Celaya, Isla del Bosque, Palmito del Verde, Cristo Rey y Teacapan, por reblandecimiento de tierra, se registró el desgajamiento de cerro  de la Maxi Pista Mazatlán  Tepic, en el lugar personal de obras públicas trabajan con maquinaria, no hubo la necesidad de cerrar la carretera.        </t>
  </si>
  <si>
    <t>Tampacam, Xilitla,  Cd. Valles, San Vicente Tancuayalab, Tamazunchale, Rioverde, Rayon, Ebano, Tamasopo, Tanlajas,  Tanquian de Escobedo, El Naranjo</t>
  </si>
  <si>
    <t xml:space="preserve">Se reportanron 538 albergados, Ciudad Valles: 79, San Vicente Tancualab: 155, Tamazunchale: 65, Ebano: 153, Xilitla: 71, Tanquian de Escobedo: 15. Aunque los niveles de agua han bajado, continua cerrado el paso a la comunidad Cañon del Gato y El Higo, Veracruz.  Rioverde; Debido a que el nivel del rio que pasa por la comunidad de San Sebastian continua con un nivel importante de agua, seran llevadas despensas para la poblacion de esta comunidad.  Rayon; La comunidad de El Carnero continúa incomunicada y presenta una lámina de agua de aprox. 100 cm. de profundidad. </t>
  </si>
  <si>
    <t>Queretaro, El Marquez, Corregidora</t>
  </si>
  <si>
    <t>Viviendas afectadas por penetracion de agua.   Las Colonias mas afectadas en el Municipio de Corregidora son: Residencial San Mateo, Pocitos y Villas Campestre. En Residencial San Mateo se encuentran tres calles con tirantes de agua de 80 cms a 1 mt., asi mismo se evacuo a una familia integrada por cuatro personas, ya que su domicilio resulto afectado por la caida de una barda al desbordarse el dren.  Tambien se vieron afectadas por inundaciones las autopistas de cuota y libre en la entrada a Queretaro.</t>
  </si>
  <si>
    <t xml:space="preserve">Atlixco y Huejotzingo </t>
  </si>
  <si>
    <t>Se reportó granizada en los municipios de Atlixco y Huejotzingo donde resultaron dañadas 2 viviendas en sus techos de láminas de cartón, hasta el momento no se reportan daños humanos, un taller mecánico fue afectado, donde 11 autos que se encontraban en reparación.</t>
  </si>
  <si>
    <t>Chilchota</t>
  </si>
  <si>
    <t>Daño en viviendas ocasionado por lluvias, apoyo a las personas afectadas con láminas de cartón, despensas y ropa para bebe.</t>
  </si>
  <si>
    <t>Zihuateutla</t>
  </si>
  <si>
    <t>Debido a las lluvias registradas en la Sierra de Puebla, el dia 1 de julio en el municipio de Zihuateutla, se reporto el deceso de una persona al caer un arbol sobre su vivienda.</t>
  </si>
  <si>
    <t>San Juan Copala Ixtlahuaca</t>
  </si>
  <si>
    <t>Debido a las lluvias que se registran en la entidad, se reportan 2 fallecimientos en la comunidad de Yodoyuxi, debido a un deslizamiento de tierra el cual cayo sobre un taxi en el que viajaban 7 personas, falleciendo una de ellas. Asimismo se informa que el dia de ayer fue rescatado el cuerpo de quien fallecio al tratar de cruzar un Puente ubicado sobre el Río “Paso de Piedra”,   cuando se suscito el deslave el mismo dia viernes. Siendo localizado a 5 km del puente.</t>
  </si>
  <si>
    <t>Zaachila, San Francisco</t>
  </si>
  <si>
    <t xml:space="preserve"> Se registraron fuertes lluvias en gran parte del estado, provocando afectaciones en 2 Municipios. Municipio de Zaachila, reportan 40 viviendas por penetración de agua en su interior con un tirante de 10 cm, informando que debido a las circunstancias de las viviendas se instaló 2 albergues temporales, ubicados en la Colonia Bicentenario y Renacimiento, ubicados , uno en el Templo Cristiano, y el otro en una sala de usos múltiples. Señalando que hasta el momento elementos del cuerpo de Bomberos, Personal de Protección Civil Estatal y Municipal,  trabajan en las labores de limpieza, en calles y viviendas, incluso personal de la CFE,  realiza trabajos de restablecimiento de energía eléctrica, las cuales también presentaron afectaciones en su cableado. Se notifica que el número de personas albergadas son de 60 a 80 personas aproximadamente en cada alberge. No se reportan personas lesionadas. Municipio San Francisco, reporta 5 viviendas las cuales  presentaron  afectaciones  mínimas, estas por penetración de agua con un tirante de 5 cm. De acuerdo con información señalada, el día de hoy las viviendas se encuentran en situación normal. No se reportan personas lesionadas.               </t>
  </si>
  <si>
    <t>San Lucas Zoquiapam</t>
  </si>
  <si>
    <t>Informa que debido a las lluvias fuertes registradas en la Región de la Cañada, en la Comunidad de los Frailes municipio de San Lucas Zoquiapam, se registro el desgajamiento de un cerro sobre sobre una vivienda, reportandose 3 fallecimientos, asi como resultaron lesionados 2 personas mas.</t>
  </si>
  <si>
    <t xml:space="preserve">Se registró un derrumbe  afectando 2 Casas, sin embargo 11 casas mas y un y total de 45 personas se encuentran en riesgo ante la inestabilidad del suelo en el que se encuentran ubicadas las viviendas, razón por la cual tuvieron que ser evacuadas. No se registraron lesionados ni defunciones. </t>
  </si>
  <si>
    <t>Yautepec,Tepoztlan</t>
  </si>
  <si>
    <t>Constantes lluvias que se han registrado en el Municipio de Yautepec se registraron escurrimientos en una zona de barrancas, afectando 5 colonias, 62 viviendas registraron penetración de agua y lodo alcanzando un tirante entre 50 cm y 1 mt., daños en enseres domésticos, se realizan los trabajos de limpieza y desazolve dela zona afectada por parte de las autoridades Estatales y Municipales. Se activó un refugio temporal en las instalaciones del IMSS, ubicado en el centro del Municipio al cual llegaron 10 familias. Asimismo, en el Municipio de Tepoztlan reportan 2 colonias con encharcamientos.</t>
  </si>
  <si>
    <t>Aquila</t>
  </si>
  <si>
    <t>Debido al paso de la TT Arlene, se registraron las siguientes afectaciones en el municipio de Aquila.  El  se registraron 3 deslaves en dos carriles de las Carreteras que comunican a Aquila, Tecoman, y la Virgencita. Quedando varados 3 Trailers que trasportaban Nitrato de Amonio, en el tramo Aquila – El Duin. . El Puente Mojahuita presento la caida de un carril de aproximadamente 10 cm. Asimismo 3 Km. adelante de “Colola”, direccion Maruata, la carretera fue cerrada a la circulacion debido a que aproximadamente 20 mts. de la carretera se daño por un deslave. La comunidad de San Juan de Alima a Aquila a la altura de Las Brisas se registro otro deslave. Tambien confirmaron 3 cortes importantes a la circulacion, en tres tramos carreteros de la via costera. El fin de semana, se proporcion el apoyo consistente en viveres, colchonetas, laminas de carton, cobijas, despensas, material de aseo y limpieza, enseres domesticos basicos, etc.</t>
  </si>
  <si>
    <t>Afectando principalmente al Municipio de Zapopan, donde se registró el desbordamiento de un canal, provocando la afectación en 55 viviendas,  reporta que los niveles del agua fueron de 80 a 2.30 metros, en el que se informa que el nivel del agua ha descendido. Reportaron 11 casas con daños  parcial y 44 con daño total por penetración de agua del canal de aguas negras, entre ellas  3 con daño estructural,  también se vieron afectados 2 comercios de abarrotes y 10 vehículos. Se evacuaron 380 personas, las cuales se refugiaron con familiares, se instaló un albergue.</t>
  </si>
  <si>
    <t>San Felipe Orizatlan</t>
  </si>
  <si>
    <t>Desbordamiento de los rios Tultitlan y El Llano, a la altura de la cabecera municipal de Orizatlán.  Las colonias afectadas fueron: Hidalgo Unido, La Peña, El Llano, La Ribera, Las Pilas, Totonicapa, Bella vista, Zacayahual, El Limonar, La vega y Campanas; reportándose un total de 450 casas afectadas, en el momento sus habitantes fueron evacuados, pero como son ríos de respuesta rápida (el nivel sube y baja varios metros en pocas horas), ya el nivel está de nuevo abajo de la escala de desbordamiento y se encuentran en sus viviendas realizando labores de limpieza.</t>
  </si>
  <si>
    <t>Acapulco, Buenavista de Cuellar, Chilpancingo de los Bravos, Juan R. Escobedo, Acapulco, Tlalixtaquilla de Maldonado, Tixtla de Guerrero</t>
  </si>
  <si>
    <t>Se reporto a una persona desaparecida en el Rio Papagayo que pasa en las inmediaciones del poblado de Cacahuatepec,  se procedió a realizar la búsqueda de la persona desaparecida. Col.  Ampliación las Calaveras, Deslizamiento de tierra de un cerro, sobre una vivienda de construcción de madera y lamina de asbesto, siendo evacuado y  trasladando las pertenencias con familiares. Col. San Rafael Oriente, Deslizamiento de tierra e inundación de una vivienda, se evacuó a la familia y pertenencias, trasladándose con familiares. Juan R. Escudero. Poblado de Papagayo, Deslizamiento de tierra e inundación de 20 viviendas, se evacuaron a las familias,  utilizado como Refugio Temporal La Iglesia de la Localidad, sumando un Total de 109 Personas, 47 Adultos Y 62 Niños. Chilpancingo: 50 personas afectadas, trasladadas a un RT, por 10 viviendas de material endeble.</t>
  </si>
  <si>
    <t>Se reportan afectaciones menores en 40 viviendas debido a las fuertes lluvias que se presnetaron en el municipio. Así mismo se reportó el desbordamiento del arroyo denominado "El cucaracho"</t>
  </si>
  <si>
    <t>Se reportaron fuertes vientos en el municipio de Chilapa ocasionando daños a los techos de 40 viviendas</t>
  </si>
  <si>
    <t>Acapulco, Atoyac de Alvarez, Coyuca de Catalan, Chilpancingo, Chilapa, San Jeronimo, Tixtla de Guerrero, Omtepec, Alcozauca de Guerrero</t>
  </si>
  <si>
    <t>Se informa de afectaciones a viviendas por penetracion de agua y derrumbes afectando tramos carreteros. No se reportan daños humanos. Se evacuaron a 24 personas</t>
  </si>
  <si>
    <t>Delegacion Cuajimalpa</t>
  </si>
  <si>
    <t xml:space="preserve">Se registro un deslave,  en un área aproximada de 6 mts. de ancho por 15 mts, de largo, lo que provoco el arrastre de un árbol y dejó uno más de 15 mts de alto en riesgo de caer, asimismo se reporta afectado un domicilio particular. Se informa que al romperse el techo de lámina de asbesto de la vivienda, penetró el agua pluvial y material de arrastre, se alcanzó un nivel de 10 cm al interior. La familia afectada, fue evacuada siendo traslada con familiares. </t>
  </si>
  <si>
    <t>Catazaja</t>
  </si>
  <si>
    <t>Se registraron intensas lluvias en el municipio ocasionando daños severos en 7 viviendas así como en la infraestructura hidráulica y carretera. Además 1,600 viviendas sufrieron inundaciones.</t>
  </si>
  <si>
    <t xml:space="preserve">Se registraron lluvias intensas en el municipio de Arriaga, en dónde 21 viviendas sufrieron afectaciones, así como la infraestructura carretera e hidráulica. </t>
  </si>
  <si>
    <t xml:space="preserve">Debido a las lluvias moderadas a fuertes por la tarde y acompañadas de tormentas eléctricas. Se registro una muerte. Luego de que le cayó un rayo cuando realizaba un recorrido a caballo en el Centro turístico "Grutas de Rancho Nuevo", a unos ocho kilómetros al oriente de la ciudad. Municipio de San Cristóbal. Así mismo, reportan con lesiones las hermanas  que se encontraban cerca del lugar. </t>
  </si>
  <si>
    <t>Guadalupe, Apodaca</t>
  </si>
  <si>
    <t xml:space="preserve">Se registraron lluvias fuertes en la mayor parte del estado, lo que originó afectaciones en vialidades por encharcamientos e inundación en los desniveles de las principales avenidas, así mismo el arroyo Talaverna (que atraviesa por los municipios mencionados) al incrementar su nivel, arrastró dos vehículos en los cuales se transportaban seis personas. </t>
  </si>
  <si>
    <t xml:space="preserve">Lluvias fuertes en algunos municipios del estado, dichas lluvias ocasionaron inundaciones a 45 viviendas en la comunidad de Teapan perteneciente al municipio de Escuinapa, en donde autoridades municipales acordaron realizar una evacuación de 120 personas como medida preventiva, las cuales pasaron la noche en el Refugio Temporal ubicado en la cabecera municipal.  Se realiza la entrega de despensas y kit de limpieza no se reportan daños humanos. </t>
  </si>
  <si>
    <t xml:space="preserve">Se registro un derrumbe en una mina falleciendo una persona en donde extraian oro, con razon social Peñales La Herradura, ubicada al norte de Sonora en el Ejido Juan Alvarez del Municipio de Caborca, la persona fallecida era el operador de la mina. </t>
  </si>
  <si>
    <t>Con afectacion de 50 personas aproximadamente por las fuertes lluvias registradas en esa localidad y como consecuencia la inundacion de sus viviendas, ubicadas en un asentamiento irregular en la Av. Rotarismo del  municipio de Rosario, este asentamiento se ubica en una zona baja, por lo que es más susceptible de inundación. No hubo necesidad de habilitar albergues ya que las personas se trasladaron a casas de  familiares y amigos.</t>
  </si>
  <si>
    <t>Huehuetlan</t>
  </si>
  <si>
    <t>Las lluvias en la zona Huasteca, asi mismo se reporta en Cd Valles 1 albergue con 137 personas, en la preparatoria Ortiz 20 personas, en el Naranjo 2 albergues, DIF municipal y primaria Carlos Ozuna (se desconoce el numero de personas albergadas),el  rio Curtillo a punto de desbordarse, se evacuaron a familias cercanas al rio, en la calle Morelos, en el municipio de Huhuetlan 4 barrios incomunicados, Francisco Villa, Yoloczin, El Nacimiento y Ampliacion Huchihuayan, en San Martin Sanchicuahutla se reportan 25 personas albergadas en la comunidad la Meza del Toro, en Ebano 57 personas albergadas en la escuela primaria 123 y 11 personas en la Escuela Primaria Benito Juarez, Tanquián 1 albergue en la escuela primaria Escobedo con 15 personas en Tamazunchale en el Hospital Civil, 23 personas albergadas, 12 personas en el callejon Tatiano y 53 personas en un domicilio particular. Se reportan 3 personas fallecidas, 2 por tratar de cruzar un rio y una mas no identificada.</t>
  </si>
  <si>
    <t>Santa María Chilchotla</t>
  </si>
  <si>
    <t xml:space="preserve">Infraestructura Dañada: 50 Viviendas, Escuelas, Comercios y  Casas de Salud . Debido a las fuertes lluvias y al desbordamiento del Río Sapo, del cual toma su nombre la comunidad afecto 50 viviendas con aproximadamente 150 personas  las cuales perdieron todo. En la comunidad de Cuauhtémoc se desgajo parte del cerro afectando la estructura de la escuela de educación Preescolar de nombre “ Luz y Saber”  En la población de rio sapo, en la Escuela Primaria Benito Juarez afecto 3 aulas en su totalidad así como muebles y libros de las diferentes aulas. En el Paraje Loma Mango afecto la barda de la escuela así como muebles y libros. Caminos afectados:   Se encuentra  en malas condiciones la carretera para llegar a  la población de Rio Sapo, del municipio de Santa Maria Chilchotla, ya que presenta cuatro partes con deslaves. Asimismo, reportan que existe una tienda de LICONSA y que debido a las condiciones del camino de acceso a la comunidad y en virtud de la posibilidad  de que continúen las lluvias, hace difícil el acceso. La casa de Salud del Barrio Loma se vio afectada por lo que todos los medicamentos están inservibles. </t>
  </si>
  <si>
    <t>Ixtapaluca, Chalco, Valle de Chalco, Nezahualcoyotl y Ecatepec</t>
  </si>
  <si>
    <t>Se registro la salida de cause de un rio, que ocasiono que se desbordara y afectara a 4 viviendas de la calle rio Panuco,  Municipio de Ixtapaluca. El agua penetro en las viviendas hasta 70 cm de altura, afectando los enseres domestico. Las 15 personas (4 familias) que resultaron afectadas, se trasladaron con familiares y vecinos. Se realizan trabajos desazolve de alcantarillas y limpieza de la zona y viviendas. En el municipio de Ixtapaluca, principalmente en la zona del fraccionamiento Jose de la Mora se registro salida de aguas negras del Canal el Capulin, afectando vialidades , patios y 4 domicilios con un tirante  de 15 a 20 cm de altura, sin afectaciones de consideración. Asimismo en la Colonia de Santa Barbara de igual forma debido a la salida de aguas del canal Lerma afecto algunos domicilios, asi como el descenso de tierra con lodo que revento una barda perimetral, afectando por las aguas  negras  varias calles: Otumba, Texcoco, El Oro, Jilotepec,  Tenango del Valle y Boulevard Cuauhtémoc (carretera federal México- Puebla) en total resultaron 45 viviendas afectadas 42 en patios y 3 con daños severos, como medida preventiva se implemento un refugio temporal en la cabecera municipal.  En Chalco, resultaron afectadas un aproximado de 200 viviendas, con un tirantes de 70 a 80 cm de agua con lodo en el interior y patios de los domicilios.</t>
  </si>
  <si>
    <t>Atizapan de Zaragoza, Cuautitlan Izcalli, Cuautitlán México y Teoloyucan</t>
  </si>
  <si>
    <t xml:space="preserve">Se confirma la muerte de tres personas: 1.-Una persona de 19 años, al intentar cruzar el río en la zona Esmeralda del municipio de Villa Nicolás Romero   2.- Una persona de 60 años, al encontrarse en el interior de su vehículo el cual fue arrastrado por la corriente del río, en el municipio de Villa Nicolás Romero.Una persona de 17 años, al intentar cruzar un canal de aguas negras fue arrastrado por la corriente.  líneales. Dicho boquete se genero 1.2 kms antes de la unión del rio Cuautitlan (Emisor Poniente) y el Interceptor Poniente, punto en el cual se forma el Gran Canal. Actualmente la Presa Guadalupe registra un almacenamiento del 95% y le está vertiendo al rio Cuautitlan 60m. En Cuautitlan Izcali se instalo un RT y se afectaron 200 viviendas (Fraccionamiento Fresnos, Los Olivos, Valle de Loto, Colonia San José Puente Grande). En Teoloyucan por el desbordamiento del Rio Cuautitlan, 50 personas fueron albergadas en 1 RT. Tambien por el desbordamiento del mismo rio con tirantes de hasta 1.20 metros, 40 personas se refugiaron en un RT del DIF y 25 en 1 RT del gimnansio municipal. . En Atizapan de Zaragoza, 50 personas en un RT.  Se cuantificaron 100 viviendas, 600 costales.  TLALNEPANTLA: Debido a la falta de capacidad hidráulica que presentaba el interceptor poniente, el río San Javier también se desbordo a la altura de la colonia Valle Dorado, perteneciente al municipio de Tlalnepantla, afectando un aproximado de 40 viviendas con tirantes de 20 – 30 cms en jardines y calles. CUAUTITLÁN IZCALLI: Por saturación del sistema no permitió el desagüe, viéndose afectada por inundación la Colonia Ejidal San Isidro (junto a Perinorte), se maneja un dato preliminar de 60 viviendas afectadas por penetración de agua y lodo, con tirantes de 60 – 80 cms. Actualmente hay un Rt en operación con 40 personas albergadas en un jardín de niños de la colonia Niños Héroes. </t>
  </si>
  <si>
    <t>Acapulco de Juárez, Juan R. Escudero, Ahuacotzingo, San Marcos, San Jerónimo, Coyuca de Benítez, Chilpancingo de los Bravo, Atoyac de Álvarez, Lliatenco, Zihuatanejo de Azueta, Tepecoacuilco de Trujano, Malinaltepec, Benito Juárez y Técpan de Galeana</t>
  </si>
  <si>
    <t xml:space="preserve">Defunciones 
• 1 fémina fallecida
• 1 masculino fallecido (localizado)
- 1 menor de 8 años fallecido por colapso de barda
Vehículos 
- 1 vehículo afectado (Taxi)
Viviendas afectadas 
- 1 vivienda afectada por penetración de agua en la colonia Ciudad Renacimiento  -1 vivienda colapsada
- 1 vivienda de adobe afectada en la localidad San Juan de las Flores.
-6 desprendimientos de techo, en Llano Real
- 2 viviendas afectadas por desprendimiento de techo, en las colonias Francisco Villa y Manuel Tellez
- 1 vivienda afectada por desprendimiento de techo
- 1 vivienda afectada con desprendimiento de techo en la colonia Hidalgo
</t>
  </si>
  <si>
    <t>Villa de Alvarez</t>
  </si>
  <si>
    <t>Se registraron lluvias fuertes lo que ocasionaron un incremento en el nivel de Arroyo Seco el cual se ubica en la Comunidad El Chical, en el que  se registro el arrastre de una camioneta, quien fue localizado el dia domingo a 5 km. del arroyo hacia el Sur, del lugar del incidente.</t>
  </si>
  <si>
    <t>Pantelho, Chalchihuitan, Tuxtla Gutierrez, Jiquipilas, Tila</t>
  </si>
  <si>
    <t xml:space="preserve">Las lluvias , han generado afectaciones en los municipios como en Chiapa de Corzo, Huixtla, Unión Juárez, Frontera Comalapa e Ixtapa, en donde se han presentado diversos problemas, como árboles caídos, daños a techos de vivienda, deslaves y encharcamientos menores. Pantelho; se registró una  lluvia fuerte acompañada de viento, durando aproximadamente una hora, afectando parcialmente los techos de 26 viviendas ubicadas en cabecera municipal. Chalchihuitan;  se reportaron afectaciones parciales en techos de 25 viviendas, ubicadas en la Comunidad Chiquinshulum, por lo que algunas personas se albergaron con familiares. Tuxtla Gutiérrez; se registró una lluvia ocasionando encharcamientos en el Libramiento Norte y en 4 viviendas de la Colonia Plan de Ayala, así como dos árboles fueron derribados por el viento. Jiquipilas; se reportan 6 viviendas con encharcamientos de 5 a 10 cm en sus patios, Tila; se registraron fuertes lluvias,  afectando 39 viviendas en sus techos de material endeble, así mismo se suspendió el suministro de energía eléctrica. </t>
  </si>
  <si>
    <t>Por taponamiento de puentes con troncos de árboles de gran tamaño, esto en dos puntos diferentes; el primero en la carretera costera en donde resultó afectada una ambulancia del IMSS la cual transitaba sobre esta carretera después de haber dejado un paciente en el hospital del IMSS y al pasar por el puente fue arrastrada por una fuerte corriente dejándola en malas condiciones y los ocupantes lograron salir salvos de dicha unidad, de igual forma dicho río afectó a una empresa llantera ya que este río se desbordo por la parte trasera de dicho negocio, arrastrando la corriente con varias llantas de ese negocio. en el Ejido  viva México se reportaron  38 viviendas, en la colonia de colon del porvenir 13 viviendas,  en la colonia campestre 26 viviendas, en la colonia 13 de febrero 9 viviendas  y en el ejido Álvaro obregón 186 viviendas. Un alberge  en la Localidad de Álvaro obregón en la casa ejidal del Municipio de Tapachula con 109  personas. Desgajamientos de 3 cerros en distintos puntos, estos en los tramos  Huixtla km 45,  en el km 63 y  km 89.</t>
  </si>
  <si>
    <t xml:space="preserve">Debido a las lluvias registradas, se reporto el desbordamiento del Arroyo Potinaspak, afectando un total de 277 viviendas por penetracion de agua, alcanzando un tirante de entre los 30 cm y el metro y medio.  Siendo el Fraccionamiento Madero, Santos y Sector Centro los mas afectados, por lo que se activó un Refugio Temporal en “Casa Digna” del ayuntamiento ubicada en Colonia Centro, con 15 personas (10 menores y 5 adultos), retornando a sus domicilios en el trascurso del dia domingo.  </t>
  </si>
  <si>
    <t>Sonda Campeche</t>
  </si>
  <si>
    <t>Debilitamiento de la plataforma Trinity, Personal del Centro de Coordinacion y Apoyo a Emergencias de Petroleos Mexicanos informo de los daños humanos ocasionados por este evento: 6 personas rescatadas con vida.</t>
  </si>
  <si>
    <t>Bochil</t>
  </si>
  <si>
    <t>Se registró el  desbordamiento del rio Santo domingo, perteneciente al municipio de Bochil, afectando107 viviendas, por lo que se realizó una evacuación preventiva de 75 personas, la cuales fueron trasladadas a dos Refugios Temporal, ubicados en La Escuela Primaria Ávila Camacho y La Secundaria Técnica N° 27, no se reportan personas lesionadas.</t>
  </si>
  <si>
    <t>Chiautempan, Panotla, San Damián Texoloc, Santa Isabel Xiloxoxtla, Tlaxcala, Totolac</t>
  </si>
  <si>
    <t>Debido a la granizada atípica que azotó al estado, emitió declaratoria de Emergencia debido a las afectaciones que sufrieron viviendas en 33 Municipios de la Entidad, los más afectados son: Chiautempan, Panotla, San Damián Texoloc, Santa Isabel Xiloxoxtla, Tlaxcala, Totolac. Asimismo el director del  Instituto Estatal de Protección Civil, Mateo Morales Báez, menciono que hasta el momento se han registrado 10,150 viviendas afectadas en sus techos de lamina de cartón  o asbesto que fueron dañadas por el granizo. Así mismo afirmo que se presentaron afectaciones a mas de 850 domos en viviendas de interés social, debido al granizo que presento un diámetro de 4 cm. Refirió que el día de la emergencia, se instalaron 3 refugios temporales en el municipio de Tlaxcala. En el cual permanecieron 41 personas . Se reportan 11 personas lesionadas.</t>
  </si>
  <si>
    <t>Tampico, Ciudad Madero, Altamira, Gonzalez y Aldama</t>
  </si>
  <si>
    <r>
      <t>Ciclon tropical “Arlene”, se registro la muerte de una persona en la colonia Morelos, del municipio de Tampico. Debido a los fuertes vientos se cayo un cable de alta tensión sobre un charco, lo que ocasiono que esta persona se electrocutara. De los 6 RT, 2 en Tampico, 1 en Cd Madero, 2 en Altamira y 1 en Aldama. Personas Afectadas: 44,500 personas (en riesgo). Se presentó un incendio en casa habitación en el fraccionamiento Petroleros, solo se reportan daños materiales</t>
    </r>
    <r>
      <rPr>
        <i/>
        <sz val="9"/>
        <rFont val="Arial"/>
        <family val="2"/>
      </rPr>
      <t xml:space="preserve">. </t>
    </r>
    <r>
      <rPr>
        <sz val="9"/>
        <rFont val="Arial"/>
        <family val="2"/>
      </rPr>
      <t xml:space="preserve">Municipio de Hidalgo.- Colapso de puente, por lo cual todos los ejidos incomunicados. </t>
    </r>
  </si>
  <si>
    <t>Tampico, Gonzalez</t>
  </si>
  <si>
    <t xml:space="preserve">Se registraron  2 fallecimientos, en los siguientes municipios. Tampico; El dia 30 de junio se reporto un deceso. Debido a los fuertes vientos un cable de alta tension cayo sobre un encharcamiento, el ahora occiso se encontraba caminando por la calle cunado piso el encharcamiento lo que ocasiono su electrocucion. Un falleciminto mas de  quien fue arrastrado por el cauce de Rio “Cojo”. </t>
  </si>
  <si>
    <t>Comalcalco</t>
  </si>
  <si>
    <t>Novolato</t>
  </si>
  <si>
    <t>Fallecimiento por la caída de un rayo, en la comunidad de El Castillo perteneciente al municipio de Navolato.</t>
  </si>
  <si>
    <t>Debido a las fuertes lluvias registradas por la  madrugada se generaron escurrimientos, azolve de drenaje y alcantarillado, resultando 49 casas dañadas con un tirante de 60 cm de agua en el interior de cada inmueble.</t>
  </si>
  <si>
    <t>Infraestructura Dañada:  57 viviendas afectadas,se registro una fuerte lluvia en el Mpio de Ocampo afectando las Comunidad las Trojes y Ejido Asoleadero, 7 casas de madera con daño total y 50 con daños parciales, por desborde del Rio Rosario, provocado por obstrucción de ramas y follaje de árboles caídos originando el taponamiento del cauce de Río El Rosario.  Se evacuaron 100 personas por penetración de agua en sus domicilios con tirantes de hasta un metro. Las personas evacuadas fueron trasladados un dos RT, a cargo de Seguridad Pública Municipal y DIF, uno en la Presidencia Municipal con 50 personas y el otro RT, en el Auditorio Municipal con 40 personas. Se tiene reporte de una persona muerta encontrada entre el lodo de nombre Gumaro Sánchez Ramirez de 35 años, originario del mismo municipio de la comunidad La Troje. Se brindo el apoyo de 120 cobertores y 20 colchonetas, se trabaja en el lugar por parte del municipio con 3 excavadoras y 3 retro de CONAGUA al momento el cauce del río ya corre normal.</t>
  </si>
  <si>
    <t>Nezahualcoyotl y Ecatepec</t>
  </si>
  <si>
    <t xml:space="preserve"> Al menos 30 calles de la colonia El Sol, asi como vialidades importantes en Nezahualcoyotl, estado de Mexico, se encuentran inundadas por el desbordamiento del Bordo de Xochiaca a causa de las fuertes lluvias que se registraron el domingo. Algunos habitantes de esa colonia abandonan sus domicilios, en tanto que otros se resguardan en sus azoteas para evitar riesgos por la presencia de aguas negras, que comienzan a inundar sus hogares. En la colonia Prizo I, el Río de los Remedios a la altura del dren General del Valle se registró un desbordamiento afectando 7 calles de la Colonia del Prisco I.Se activo 1 RT. Ubicado en el Centro Cívico de Santa Clara mismo que no fue ocupado. La Colonia del Sol se han registrado afectaciones en varias viviendas sin cuantificar con penetración de agua de hasta 50 cm de altura y continúa lloviendo en la zona se habilitaron 2 RT.  de los cuales solo uno se encuentra activo sin cuantificar el número de personas.</t>
  </si>
  <si>
    <t>Tenancingo</t>
  </si>
  <si>
    <t xml:space="preserve"> Debido a las fuertes lluvias que se registraron se incrementó el nivel del río Atotonilco, lo que provoco que este desbordara sobre las colonias San Mateo, Cienega, Valle de Guadalupe, San Pedro Ejido de Tecoman, El Salitre y los Chiperes (o Chifon), esto ocasiono anegaciones. Asimismo, se presento un deslave ocasionando la caída de cerca de 6,000 metros2 de tierra y lodo, sobre 3 viviendas de la colonia La Pedrera que se reportan afectadas en su totalidad. Por otro lado, como medida preventiva fueron evacuadas 12 familias (48 personas), mismas que fueron trasladadas con familiares y amigos. La Unidad Estatal de Proteccion Civil envio 300 cobijas, 300 colchonetas y 300 despensas para ser entregadas entre las familias afectadas.</t>
  </si>
  <si>
    <t>Cuautitlan Izcalli, Tepoztlan</t>
  </si>
  <si>
    <t>Municipio de Cuautitlán Izcalli. Debido a las fuertes lluvias, se registraron escurrimientos del río Hondo en la comunidad de Axolotlán, lo que provocó que se anegaran cerca 60 metros de cultivos y la penetración de agua principalmente en los patios de 60 viviendas. Tepozotlán.- a consecuencia de las lluvias fuertes que se presentaron en el municipio, resultaron afectadas un aproximado de 20 viviendas, estas de los márgenes del rio Hondo. Asimismo, alrededor de 50 personas afectadas. Cabe mencionar que el tirante alcanzó un aproximado de  metro y medio. Estas zonas son federales y no cuentan con servicios de drenaje y de desazolve, por tal motivo se tuvo que trabajar con una bomba de achique para desazolvar la zona.</t>
  </si>
  <si>
    <t>Ecatepec de Morelos y Nezahulacoyotl</t>
  </si>
  <si>
    <t xml:space="preserve">Se registró una fuerte lluvia, misma que esta afectando principalmente a las Colonias de Valle de Aragón de la 1ra, 2da y 3ra Sección así como a la Colonia del Sol, presentando encharcamientos a nivel de banqueta, principales vialidades como el Circuito Mexiquense y Calle 40. Por las fuertes lluvias se registraron afectaciones en vialidades y anegamientos en algunos domicilios ubicados en: Colonias Ampliación Valle de Aragón 3ra Sección, Calle de Atenas esquina con Calle de Guadiana, Fuentes de Aragón, Arboledas de Aragón y Los Álamos. Reportan tirantes de agua de hasta 60 cm dentro de los domicilios.  </t>
  </si>
  <si>
    <t xml:space="preserve">Se reportaron 2 cañonistas expertos fueron victimas de una creciente en el Rio Mismaloya, en el municipio de Puerto Vallarta y se convirtieron en las primeras victimas del temporal de lluvias 2011 en Jalisco, iniciaron una ruta de escalada siguiendo la línea del Rio Mismaloya, misma que dominaban plenamente puesto que se trataba de 2 espeleologos certificados que habian recorrido la ruta con anterioridad y que contaban con el equipo para hacerlo. </t>
  </si>
  <si>
    <t>Huejutla de Reyes</t>
  </si>
  <si>
    <t xml:space="preserve">Se registro el arrastre de una Señora de 70 años de edad, misma que intentó cruzar el rio Santa Catarina, a la altura de la comunidad “El Chote”, mismo que presentaba una fuerte corriente. </t>
  </si>
  <si>
    <t>Zihuatanejo</t>
  </si>
  <si>
    <t xml:space="preserve"> General Heliodoro Castillo</t>
  </si>
  <si>
    <t>Debido a las fuertes lluvias acompañadas de granizo registradas este día en el municipio de General Heliodoro Castillo se reportaron 50 viviendas dañadas, un adulto y un menor muertos por arrastre de corriente y otras dos personas desaparecidas.</t>
  </si>
  <si>
    <t>Chilpancingo de los Bravo, Tixtla de Guerrero y Xochistlahuaca</t>
  </si>
  <si>
    <t>Lluvias fuertes que afectaron en Chilpancingo de los Bravo: 9 viviendas afectadas y 2 derrumbes en la Carr. Chilpancingo-Tixtla en los km 3 y 7, por penetracion de agua, 2 arboles caidos. En Tixtla de Guerrero: 15 viviendas afectadas por introduccion de agua, colapso de 1 muro de contencion en un tramo de 5 m en el margen del Rio Coztlapa. En Xochistlahuaca: colapso de 1 barda afectado en su totalidad 1 vivienda de material endeble.</t>
  </si>
  <si>
    <t>Magnitud 5.7 a 59 km al sureste de San Marcos Guerrero, Latitud 16.45 Longitud -98.97 , Profundidad 19 km Guerrero: percibido por la población de moderado a fuerte en Costa Chica, Acapulco, Centro y Montaña. Sin reporte de afectaciones.
Oaxaca: percibido de moderado a fuerte en Pinotepa Nacional, Huayápam, Costa, Valles Centrales y Mixteca. Sin reporte de afectaciones.
Morelos: percibido de forma moderada. Sin reporte de afectaciones.
CDMX, Estado de México, Puebla, Veracruz y Michoacán: percibido de forma ligera por la población. Sin reporte de afectaciones.</t>
  </si>
  <si>
    <t xml:space="preserve">Se registró la caída de la carpa del circo, en plena función,  afectando de entre 60 a 70 personas, de los cuales 20 personas aproximadamente resultaron lesionadas,  localizado en  la plaza del centro comercial Sendero, las causas que originaron el siniestro se debieron a las fuertes ráfagas de viento (tipo remolino). </t>
  </si>
  <si>
    <t xml:space="preserve">En relacion al deslizamiento de suelo sobre el margen del Rio Sabinal, fueron aproximadamente cerca de 60 metros lineales de tierra los que se derrumbaron dejando a los tres trabajadores bajo el alud. </t>
  </si>
  <si>
    <r>
      <t>Motozintla, San Cristóbal de las Casas; Chiapa de Corzo, Yajalon, Tuxtla Gutiérrez</t>
    </r>
    <r>
      <rPr>
        <b/>
        <sz val="9"/>
        <rFont val="Arial"/>
        <family val="2"/>
      </rPr>
      <t xml:space="preserve"> </t>
    </r>
  </si>
  <si>
    <t>Se registraron lluvias de moderadas a fuertes en la Cabecera Municipal, presentándose solo encharcamientos de entre 10 y 20 cm. en algunas viviendas las cuales se encuentran ubicadas a  un costado del cauce del Rio Allende. San Cristobal de las Casas; lluvias fuertes, con encharcamientos, lluvias acompañadas de vientos, ocasionado afectaciones en techos de laminas de zinc de 8 viviendas, asi como una presento penetracion de agua. Yajalon;  lluvia intensa acompañada de fuertes rachas de vientos, se convirtio en tromba, por lo que se reportan daños en 8 viviendas,  por las rachas de viento, se presentaron afectaciones en techos  y desgarramiento de vigas y viguetas, las cuales se ubicada en la  cabecera municipal, asi como arboles derribados en caminos y viviendas. Perdida total en la Telesecundaria ubicada en el barrio Belen, todo esto desarrollandose en aproximadamente  de 25 a 30 minutos. De las 8 familias afectadas, solo 3 de ellas (siendo 15 personas en total) se encuentran albergadas temporalmente en la casa del pueblo, debido a que las casas de estas familias se encuentran completamente inhabitables y en riesgo de sufrir mas daño. Tuxtla Gutierrez;se registro una lluvia fuerte lo que ocasiono un derrumbe en el Rio Sabinal, (un talud de 20 metros lineales)  el cual cayo sobre una casa, quedando  atrapadas 3 personas, de las cuales dos fallecen y una resulta lesionada.</t>
  </si>
  <si>
    <t xml:space="preserve">Se registró una precipitación de granizo sobre la parte de la Zona Altos del Estado, afectando los techos de láminas de cartón de las comunidades Taza de Agua y Yaljof del municipio de San Cristóbal de Las Casas y de la comunidad de Chimojoltik del municipio de San Juan Chamula. De forma preliminar se reportan 100 viviendas afectadas y cultivos de maíz. Por lo que se proporcionó la ayuda necesaria a las familias que resultaron afectadas por la presencia de este fenómeno perturbador, las cual consiste en mil láminas de asbesto, 100 despensas, 100 kits de limpieza y 400 cobertores. Cabe destacar que hasta el momento no se abrieron albergues, debido a que las familias afectadas decidieron trasladarse a casa de familiares y amigos por mayor comodidad. </t>
  </si>
  <si>
    <t>Juarez, Pichucalco, Bella Vista, Tila</t>
  </si>
  <si>
    <t xml:space="preserve">Se registraron afectaciones diversas en varias comunidades debido a las lluvia acompañadas de vientos fuertes. La mayor parte fue  las viviendas sufrieron afectaciones en sus techos de lamina de zinc, por lo que las personas tuvieron que ser apoyadas,  para albergarse con familiares.Las comunidades de, Juarez Galeana 2da. Sección; Huapaque 1ra. Sección y Ejido La Arena, reportan afectaciones  en 8 viviendas en sus techos de las laminas de material endeble, siendo evacuadas las personas con familiares. (En total 46 personas). Pichucalco;  varios vehiculos quedaron varados, arboles y ramas que cayeron sobre el tramo Federal. Bella Vista; (Zona baja del municipio) C. Tila; Informan de 25 casas afectadas por destechamiento de laminas de zinc, se reportan 3 personas lesionadas por cortadura de lamina, de las cuales a una se le enterro una varilla, siendo traslada al Hospital municipal, asi como en la comunidad de Petalzingo se reportan afectadas 4 viviendas en sus techos de lámina de zinc, (una con afectacion total y tres con afectacion parcial). </t>
  </si>
  <si>
    <t>Autlan de Navarro, Puerto Vallarta</t>
  </si>
  <si>
    <t>Autlan: Se evacuaron a 1000 personas aproximadamente, de las cuales 600 se encuentran albergadas en 4 Refugios Temporales, ubicados en las Instalaciones del DIF, Cruz Roja, Casa Ejidal y Salón Mutualista. El resto de las personas se trasladaron con familiares. Se reportan fallas en el suministro de energía eléctrica y en  los pozos de abastecimiento de agua potable, por lo que ésta se encuentra escasa, CFE trabaja en las reparaciones de la red de electricidad.   Los arroyos se encuentran al 100% de su capacidad, algunos presentan desbordamiento. Puerto Vallarta: Hay 7 RT, 120 evacuados.</t>
  </si>
  <si>
    <t>Misantla</t>
  </si>
  <si>
    <t>Se colapsó el puente –vado Santa Cruz, a consecuencia de las lluvias que ha dejado el frente frio 33 y de  la fuerte corriente de agua, ubicado en la carretera de Martínez de la Torres  que va hacia puente Vado, comunidad de Santa Clara Misantla y Martínez de la Torre.Cabe mencionar que este puente estaba construido con tubos y se utilizaba de manera provisional.</t>
  </si>
  <si>
    <t>Teocelo</t>
  </si>
  <si>
    <t xml:space="preserve">Personas Afectadas: 12 familias. Se registraron  lluvias acompañadas de vientos fuertes,  en la mayor parte del estado, provocando la caida de  arboles y afectaciones  en las vialidades. Municipio Teocelo,  Comunidad “El Sumidero”, se presentaron fuertes vientos, reportandose 12 viviendas afectadas en sus techos de material endeble, siendo evacuadas con familiares, no se reportan personas lesionadas.  El municipio entrego los apoyos consistentes en láminas, asi  mismo se realizan recorridos de valoracion de daños.   </t>
  </si>
  <si>
    <t>Coatepec, Nautla, Tenochtitlan, Tlatetela, Angel R Cabada, Saltabarranca, Tlacotalpan, Carlos A. Carrillo, Acula, Otatitlan, Cosamaloapan de Carpio, Tuxtilla, Amatitlan, Vega de Alatorre y Ixmatlahuacan</t>
  </si>
  <si>
    <t xml:space="preserve">Tlacotalpan:Se trasladaron a las personas a lugares secos en las localidades y en la cabecera, se procedió a realizar los desazolves de caños y rellenos de espacios bajos y de respuesta rápida. Carlos A Carrillo:  Como consecuencia de las lluvias, 5 municipios del Centro: Coatepec, Nautla, Tenochtitlan, Tlatetela, Angel R Cabada, Saltabarranca, obtuvieron 334 viviendas dañadas, 4 deslaves, 1 tramo carretero afectado, 3 personas lesioandas, 30 personas en 1 RT en Tenochtitlán. Cosamaloapan de Carpio: Se monitorea cada 2 horas el Río Papaloapan, mantener informada a la población mediante la radiodifusora local e indicar la ubicación de los RT. Amatitlan: Medicamento, Alimentación, Vestimenta, Láminas de Zinc y Despensas, Artículos De Higiene Personal, Ropa, Botas de Hule, Unidades de Rescate Vía Terrestre, comida para bebe, Palas, Carretillas, etc.  Ixmatlauacan: Debido a la falta de empleo, por las condiciones con las que se encuentran los cultivos y el campo en general las familias del municipio tienen muchos problemas para conseguir alimentos. </t>
  </si>
  <si>
    <t>Socavacion de los diferentes caminos vecinales por la fuerte corriente. Servicios estrategicos afectados: en primera instancia la energia electrica, los caminos vecinales por socavacion, el sistema de alcantarillado de la cabecera municipal se saturó. Cultivos afectados: caña de azúcar (por las fuertes rachas de viento), maíz y yuca. Personas rescatadas: 5 Personas lesionadas: 4 (tres por la caida de rayo en su vivienda) Necesidades: carretillas, palas, picos, costales, kits de limpieza, despensas, botiquines, laminas, botas de hule y ropa diversas.</t>
  </si>
  <si>
    <t>Banderilla, Ciudad Mendoza, Coatepec, Huiloapan, La Perla, Mariano Escobedo, Nogales, San Andres Tenejapan, Río Blanco, Zongolica, Acayucan.</t>
  </si>
  <si>
    <t>Afectadas 80 viviendas, 6 comunidades y 15 Colonias afectadas en total, asimismo se informa que 4 ríos se desbordaros (Río Chiquito, Carbonera, Metlac, El Bordo); Se tienen activados 11 Refugios temporales con 537 personas.</t>
  </si>
  <si>
    <t xml:space="preserve">Tlacotepec, Tlachixchuca, Xicotlán, La Fragua, Chichiquila, </t>
  </si>
  <si>
    <t>Se registraron vientos fuertes en el Municipio de Tlacotepec, resultando 60 Viviendas con techos afectados, 20 en el Municipio de Tlachichuca, 33 Viviendas en el Municipio de Xicotlan, en el Municipio de la fragua 12 viviendas, en el Municipio de  Chichiquila 21 viviendas, se informo que a estas Familias ya se les ha comenzado  a proporcionar los apoyo necesarios.</t>
  </si>
  <si>
    <t>Atlixco, Cholula</t>
  </si>
  <si>
    <t xml:space="preserve">El Río Rabanillo presentó desbordamiento ocasionando la penetración de agua al interior de 28 viviendas a nivel patio. No fue necesario realizar evacuación, ni habilitar RT. Atlixco;  se registraron lluvias fuertes en la entidad, debido a ello el Río Cantarranas presentó una crecida, lo que ocasionó el arrastre de un vehículo particular , en la Colonia Valle Sur, y en el que viajaban dos personas (un adulto y un menor). </t>
  </si>
  <si>
    <t>Santo Domingo Tomaltepec</t>
  </si>
  <si>
    <t>Se registro lluvia acompañada de tormenta electrica en el Paraje El Guamuchil, Municipio de Santo Domingo Tomaltepec.  Un campesino de 48 años aproximadamente, se resguardo de la lluvia bajo un árbol y al presentarse una descarga electrica el campesino la recibio, muriendo instantaneamente.</t>
  </si>
  <si>
    <t>Guevea de Humboldt</t>
  </si>
  <si>
    <t xml:space="preserve">Alrededor de 12 mil indigenas de 30 comunidades de la sierra mixe zapoteca estuvieron incomunicados por los deslaves que ocasionaron las lluvias generadas por la onda tropical 4. Los caminos fueron afectados por las lluvias de tres dias. Derivado de las lluvias registradas en el Municipio de Guevea de Humboldt, se registro un derrumbe en el paraje denominado “La Cumbre” obstruyendo uno de los accesos al municipio.Personal de Caminos y Aeropistas de Oaxaca utilizó maquinaria para realizar el retiro de material y limpieza de la carretera. </t>
  </si>
  <si>
    <t>San Juan Bautista, Valle Nacional</t>
  </si>
  <si>
    <t>Comunidad Cerro Marín 34 viviendas con 122 personas afectadas por desbordamiento del río penetrando el agua a los domicilios. Comunidad Paso del Jobo viviendas incomunicadas por el desbordamiento del rio dañando el acceso a la población  Desgajamiento de la Carretera de Terracería Valle Nacional –Arroyo Banco incomunicando las Comunidades de: Arroyo Banco, San Juan Palantla, Arroyo Paloma, San Isidro Laguna, Cerro de Pita, San Antonio Ocote y San Antonio Texas con un aproximado de 3,000 viviendas incomunicadas.  En la Comunidad La Finca se afectaron cultivos de maíz y ganado.</t>
  </si>
  <si>
    <t>Amatitan</t>
  </si>
  <si>
    <t>Desgajamiento de un cerro, en San Miguel Cuyutlan, afecto a 3 manzanas. Avenida con material de arrastre de varias toneladas. Se reportan 13 casas con daño estructural, 8 atenciones medicas por golpes leves y crisis nerviosas, daño en 2 puentes vehiculares y uno peatonal causado por material de arrastre y 12 calles con residuos de material de arrastre.</t>
  </si>
  <si>
    <t>Cuautepec de Hinojosa</t>
  </si>
  <si>
    <t>Se registró una lluvia acompañada de granizo, en 8 comunidades, como son Hueyapan, Sta. María Nativitas, Texcaltepec, Almoloya, Venturriones, San José Lula Hermosa y Francisco I. Madero, donde se presentaron afectaciones por encharcamientos, así como en techos de láminas de asbesto y cartón, siendo un total de 180 viviendas las afectadas. Debido a la granizada se reporta un menor de 11 años con lesiones en el cráneo.  Se les proporciono apoyo a las personas afectadas, consistente en láminas.</t>
  </si>
  <si>
    <t>54 municipios</t>
  </si>
  <si>
    <t>Arlene se ha convertido en el desastre más costoso en la historia de la entidad, provocó la muerte de 5 personas. El sector que resintió el mayor impacto fue la infraestructura económica principalmente las carreteras.</t>
  </si>
  <si>
    <t xml:space="preserve">Debido a las fuertes lluvias acompañadas de, granizo y fuertes vientos en la Capital: En la Colonia Constitución, 120 viviendas, En la Colonia el Rosario, 80 viviendas.  Ambas colonias, presentaron afectaciones en viviendas con techumbres de lámina. </t>
  </si>
  <si>
    <t>Como resultado 9 familias afectadas. Se registro un deslizamiento  de talud, ocurrido por las fuertes lluvias de la temporada ya que los drenajes de los domicilios cercanos vierten sus aguas residuales directamente sobre la pared de la barranca, lo anterior por no contar con la infraestructura hidráulica.</t>
  </si>
  <si>
    <t>Se reportan dañadas 77 viviendas y 2 bardas. En 11 colonias. Desbordamiento de ríos: Texcuyapan, Pumpuapa. Se habilitó 1 RT.</t>
  </si>
  <si>
    <r>
      <t xml:space="preserve">Tuxtla Gutierrez, </t>
    </r>
    <r>
      <rPr>
        <sz val="9"/>
        <color indexed="8"/>
        <rFont val="Arial"/>
        <family val="2"/>
      </rPr>
      <t xml:space="preserve">Ocozocoautla de Espinoza, Cintalapa, Chiapa de Corzo, Villa Comaltitlan, </t>
    </r>
    <r>
      <rPr>
        <sz val="9"/>
        <rFont val="Arial"/>
        <family val="2"/>
      </rPr>
      <t>Huitiupan</t>
    </r>
  </si>
  <si>
    <t>Tuxtla Gutierrez; se reporto  el arrastre por agua de un arroyo que se encontraba crecido, de un vehiculo  en el que viajaba una familia integrada por  4 personas. Asimismo ayer por la noche, y debido a las lluvias fuertes acompañadas de actividad eléctrica, se registraron afectaciones en 2 casas por taponamiento en el drenaje, 3 viviendas por escurrimiento, con un tirante de 15 a 30 cm de agua. Asi como la caida de un arbol sobre una camioneta. Ademas  la presencia de lluvias afectandose 5 viviendas por encharcamientos en patios con un tirante de 15 a 20 cms.; asi como 3 casas en Barrio Asuncion, presentaron  en sus patios un nivel de agua de 15 cms., y 2 viviendas más presentaron penetración de agua. Cintalapa; un vehiculo Escort, fue arrastrado por la corriente del canal a cielo abierto, dejando atrapados a su tripulantes., Chiapa de Corzo;  se registraron lluvias acompañadas de fuertes vientos,9 viviendas con daño parcial en techado, debido a rachas fuertes de vientos; 9 viviendas con encharcamientos de alrededor de 20 y 40 centímetros, debido a la insuficiencia de desfogue de un dren pluvial, provocando saturación o cuello de botella; 05 árboles derribados. Villa Comaltitlan;  Barrio San Isidro, 17 casas afectas (encharcadas 30 cm ), por mal desfogue de las alcantarillas, debido a la mala construcción de las mismas. Barrio Santa Lucia, 15 casas afectadas (encharcadas 35 cm) por el mal funcionamiento del alcantarillado. Barrio San Bartolo, 10 casas encharcadas por las lluvias, alcanzando un nivel de 40 cm. Esto por el taponamiento de una ventana del rio: "Chalacas". Ninguna vivienda presento daños en su interior. No se requirió evacuación alguna.  Huitiupan; Reporta que el día sábado por la tarde, se informó que una persona, al intentar cruzar el rio en el tramo de la comunidad ramos cubilete, el cual se le conoce como arroyo ramos, fue arrastrado sin que hasta el momento sea localizado, este arroyo es afluente del Rio Catarina.</t>
  </si>
  <si>
    <t xml:space="preserve">Reportan  caída de muros que obstruyeron vehicularmente avenidas, deslizamiento de rocas y derrumbe de tierra que obstruyeron un carril de la carretera Acapulco-Zihuatanejo, 15 viviendas de  la colonia Praderas de Costa Azul dañadas por introducción de material sólido arrastrado por la lluvia. Col Progreso y carretera federal Aacapulco-Pinotepa, resgistra caída de árboles. En la Colonia La Laja, hubo caída de árboles con afectación a viviendas. </t>
  </si>
  <si>
    <t>Nopalucan de la Granja</t>
  </si>
  <si>
    <t xml:space="preserve">Se registro lluvia fuerte a en el municipio de Nopalucan de La Granja.- En la comunidad de Rincón Zitlaltepetl se reportan afectadas 35 viviendas en sus techumbres y penetración de agua, se activo un RT, en La Esc. Emiliano Zapata con 100 personas, se les proporciona el apoyo por parte del Estado y Municipio. </t>
  </si>
  <si>
    <t>Huautepec</t>
  </si>
  <si>
    <t xml:space="preserve">Se registró un delizamiento del Cerro denominado Camarones en la agencia municipal del mismo nombre, perteneciente al municipio de Huautepec, sepultando una vivienda quedando una familia atrapada de 5 integrantes, de los cuale cuatro fueron rescatados con vida y trasladados al hopital del municipio. El accidente se origino debido a los efectos de la Onda Tropical No. 13 y las 48 hrs de lluvias continuas que se registran en la parte alta de la Sierra Mazateca. Asi mismo informan que debido al deslizamiento del cerro quedaron incomunicadas 7 comunidades del mismo municipio con un aproximado de 200 personas, asi como otras 8 comunidades San Juan Papaloapan, Arroyo Blanco, San Lucas, Arroyo Paloma, Arroyo Colorado, San Idsidro Laguna, Cerro Pite, San Antonio Ocote y San Antonio Texas, del municipio de Valle Nacional con un aproximado de 3000 mil personas. </t>
  </si>
  <si>
    <t>Putla de Villa Guerrero</t>
  </si>
  <si>
    <t>Derivado de las fuertes lluvias registradas en el estado de Oaxaca, el pasado 26 de agosto, se presento un deslizamiento de suelo en la comunidad La Joya-El Mamey, del municipio Putla de Villa de Guerrero, ocasionando el daño total en 4 viviendas y daños parciales en 4 viviendas mas. No se reportan daños humanos y las familias afectadas se trasladaron con familiares y amigos.</t>
  </si>
  <si>
    <t>Xoxocotlan, Soledad de Etla, Ixtlan de Juarez, San Antonio de la Cal, Santa Lucia del Camino, Santo Domingo Tomaltepec, Santa Ines Yatzache y Animas Trujano</t>
  </si>
  <si>
    <t>Municipio de Xoxocotlan: Raya se presento el desbordamiento de Rio Atoyac, dejando afectadas 25 casas que fueron desalojadas, los familias permanecieron en casas de parientes. Solo 3 personas fueron llevadas a un refguio temporal, instalado en San Juan Bautista de la Raya. Municipio de Santo Domingo Tomaltepec: 4 viviendas han sido afectadas con la entrada de agua de entre 40-70 centimetros. 70 familias fueron evacuadas para evitar algun riesgo. Solicitan apoyo con 50 colchonetas y 50 cobertores. Municipio de Santa Ines Yatzache: Se presenta 1 metro en nivel del agua dentro del inmueble, y en el centro de salud, lugar habilitado como albergue temporal, el nivel del agua es de 20 centimetros. Desalojo de los aproximadamente 700 habitantes a un lugar seguro, pero de acuerdo al reporte, los habitantes se niegan a trasladarse a los albergues en Zimatlan de Alvarez. Municipio de Animas Trujano: Se reportan 65 casas afectadas por la entrada de lluvia y otras 45 afectadas por la creciente del cauce del arroyo. Istmo de Tehuantepec:  El afluente de los pequeños arroyos que pasan por la poblacion subieron su nivel considerablemente, inundando las calles: Juan Aldama, Nicolas Bravo, Miguel Hidalgo, Josefa Ortiz de Dominguez y avenida 5 de mayo, donde el nivel del agua alcanzo 8 centímetros en su punto mas alto. Informa además que la autoridad municipal ha dispuesto ya de 4 lugares para ser utilizados como albergues temporales: Escuela Primaria Revolucion, el Palacio Municipal, La Iglesia Santa Maria y la Escuela Primaria Jose Vasco, con una capacidad para atender a 600 personas.</t>
  </si>
  <si>
    <t>Debido a las lluvias que se registraron en días pasados en la entidad, se esta presentando el reblandecimiento de tierra, lo que provoco un deceso,  por un alud de tierra.</t>
  </si>
  <si>
    <t>Acapulco y Zihuatanejo</t>
  </si>
  <si>
    <t>Se registraron fuertes lluvias acompañadas de vientos provocando daños en los techos de 11 viviendas, así mismo se reporto la caída de varios árboles, dañando totalmente a tres vehículos</t>
  </si>
  <si>
    <t>Se reporto el derrumbe de una vivienda en la localidad de Atlamajalcingo del Rio, donde resultaron lesionados cuatro menores de edad, lo anterior, se debio  al reblandecimiento de los muros de la vivienda, que a su vez, fue originado por la presencia de lluvia, en dias pasados; asimismo, las personas afectadas, decidieron acudir  con familiares, y les fueron entregados, siete cobertores y siete colchonetas.</t>
  </si>
  <si>
    <t>Ahuacotzingo</t>
  </si>
  <si>
    <t>A consecuencia de las lluvias registradas en la temporada,  se suscitó un deslizamiento de tierra, causando daño estructural a 4 viviendas construidas de adobe y madera, en la localidad de Ostoyahualco. Personal del departamento de geología se trasladó al lugar para realizar los estudios  correspondientes, para posteriormente emitir un dictamen técnico de la situación. Fueron entregadas 12 pacas de lámina de cartón, 16 cobertores, 12 colchonetas, 8 despensas y 4 kits de limpieza, a las 4 familias que se vieron afectadas en sus viviendas, quienes por medida preventiva fueron evacuadas, trasladándose con familiares.</t>
  </si>
  <si>
    <t>Tlacoapa, Ometepec</t>
  </si>
  <si>
    <r>
      <t>Fuertes lluvias ocurridas el dia 17 y 18 afectaron a los municipios de: Tlacoapa, techos de lamina de carton de 5 viviendas en la cabecera municipal, brindandose apoyo a familias afectadas y entrega de 8 pacas de laminas, 8 cobertores, 8 colchonetas, 8 Kits de Limpieza, 8 Kits de aseo personal y 2 despensas.</t>
    </r>
    <r>
      <rPr>
        <b/>
        <sz val="9"/>
        <rFont val="Arial"/>
        <family val="2"/>
      </rPr>
      <t xml:space="preserve"> </t>
    </r>
    <r>
      <rPr>
        <sz val="9"/>
        <rFont val="Arial"/>
        <family val="2"/>
      </rPr>
      <t>Ometepec, techos de lamina de carton de 11 viviendas y 1 iglesia de nombre Virgen de Guadalupe en la localidad el Mango Norte, brindandose apoyo a familias afectadas y entrega de 26 pacas de laminas, 11 cobertores, 11 colchonetas, 11 Kits de Limpieza y 11 despensas.</t>
    </r>
  </si>
  <si>
    <t>Debido a las fuertes lluvias registradas en la delegacion de Tlalpan, por acumulacion de agua provoco el Talud de la parte de un cerro, afectando un domicilio, ubicado en  la calle Yobain esquina con Ciclo Vía en la Col. Cultura Maya. El deslave, colapso el techo de lamina de la vivienda, resultando una persona fallecida.</t>
  </si>
  <si>
    <t>Ciudad Acuña</t>
  </si>
  <si>
    <t>Se reportan 52 viviendas, ubicadas en diferentes colonias y fraccionamientos de la cabecera municipal, donde se registraron encharcamientos que alcanzaron un nivel de entre los 15cm y 50 cm, no se reportan afectaciones mayores.</t>
  </si>
  <si>
    <t>Tuzantan</t>
  </si>
  <si>
    <t>Debido a las lluvias registradas el dia 19 de septiembre,  resultaron afectadas 40 viviendas con encharcamientos de 10, 15 y 20 centímetros de altura en patios y dentro de las viviendas. DIF Estatal entregará 40 kits de limpieza a las familias afectadas de la colonia Islamapita.</t>
  </si>
  <si>
    <t>Ocozocoautla, Cintalapa, Socoltenango, Frontera Comalapa, Pichucalco, Copainala, Montecristo de Guerrero</t>
  </si>
  <si>
    <t xml:space="preserve">En el Municipio de Ocozocoautla, se origino un derrumbe en la carretera Xiquipila en el Municipio de Cintalapa, en el Ejido de Lazaro Cardenas, 14 viviendas resultaron afectadas presentando desprendimiento en sus laminas, a consecuencia de las lluvias y los fuertes vientos. En el Municipio de Socoltenango, a consecuencia  de las lluvias y los fuertes vientos, 4 viviendas resultaron con afectaciones presentado desprendimiento en sus  láminas de cartón, por lo que autoridades del municipio realiza el apoyo, de entrega de láminas nuevas  a las viviendas afectadas, no se reportan personas lesionadas. En el Municipio de Frontera Comalapa, a consecuencia de las fuertes lluvias  acompañadas de fuertes vientos, 3 ejidos resultaron afectados con desprendimiento de láminas: En el Ejido de Sinaloa: 43 viviendas. En el Ejido de Laureles: 39 viviendas. En el Ejido de Linda vista: 15 viviendas. </t>
  </si>
  <si>
    <t>Se realizo una verificacion en la Colonia Coquelexquitzan a 12 viviendas, debido a un deslizamiento, encontrando afectaciones parciales por fisuras en piso, deslizamiento en el terreno, a causa de una edificación de una constructora y por el tipo de material arcilloso. Por lo que se realizo una evacuacion preventiva de 5 familias, de las cuales 2 familias (5 personas), se trasladaron al Refugio Temporal “Una Noche Digna”, las otras 3 (13 persona) se retiraron con familiares y amigos.</t>
  </si>
  <si>
    <t>Chamula</t>
  </si>
  <si>
    <t xml:space="preserve">En la comunidad de “La Venta”, se registró la caída de un rayo sobre 4 personas, una mujer adulta que sufrió pequeñas lesiones y 3 menores de 14, 6 y 3 años que fallecieron en el lugar. Estas 3 menores se encontraban jugando cerca de una cueva al momento de la caída del rayo. Debido a los usos y costumbres de la región, se roció a los cuerpos de las fallecidas con aguardiente y se envolvieron en plástico durante 24 horas, para intentar revivirlas. </t>
  </si>
  <si>
    <t>Puerto Vallarta, Mascota, Cabo Corrientes, Tomatlan, La Huerta, Casimiro Castillo, Cuautitlan de los Garcia Barragan, Villa Purificacion, Cihuatlan, Toliman, Autlan de Navarro, Talpa de Allende y San Gabriel.</t>
  </si>
  <si>
    <t>Emisión de  la declaratoria de emergencia y de desastre para 13 municipios de la Entidad a causa de Jova que afectó a varios sectores.</t>
  </si>
  <si>
    <t>Noria de Angeles, Miguel Auza, Pinos,Valparaiso</t>
  </si>
  <si>
    <t>Noria de Ángeles: Se reportan 75 viviendas inundadas con aproximadamente 1 metro de agua, afectando enseres domésticos. El Centro de Salud también se inundó, no reportaron daños a equipos, ni medicamentos. Como medida preventiva varias personas fueron evacuadas de sus domicilios. 
Asimismo se reportan viviendas afectadas en; Cabecera Municipal de Río Grande, 3 viviendas encharcadas; Cabecera municipal de Valparaíso 4 viviendas.
Miguel Auza: Una persona del sexo masculino perdió la vida al tratar de cruzar un arroyo en su vehículo.  Refugios Activados: En el municipio de Noria de ángeles se encuentra instalado un RT en el salón de la Ganadera, ninguna persona ha acudido, ya que los damnificados se albergaron con familiares y vecinos.</t>
  </si>
  <si>
    <t>Ixcatepec, Nautla, Pánuco, Papantla, Tecolutla, Vega de Alatorre;  Colipa, Actopan, Las Minas, Las Vigas, Martinez de la Torre.</t>
  </si>
  <si>
    <t>Tormenta Tropical Nate. Con 5 deslaves (1 en Colipa, en la Comunidad Teodoro A. Dehesa; 1 en Ixcatepec, en el tramo hacia Sacamango; 2 en Las Minas, en el tramo Los Molinillos – Landaco – Pimiento; 1 en Las Vigas, en el camino rural Las Vigas – Úrsulo Galván).</t>
  </si>
  <si>
    <t xml:space="preserve">Un total de 23 colonias inundadas, 42 personas rescatadas de vehiculos arrastrados, vialidades afectadas, cortes de energia electrica y suspension de agua potable es el saldo que dejo una tormenta que azotó esta tarde en Reynosa,  la corriente arrastro a 35 vehiculos y de donde se logro rescatar a un total de 42 personas. </t>
  </si>
  <si>
    <t>15 personas trasladadas a un Refugio Temporal.Se presentó una fuerte lluvia acompañada de vientos en el municipio de Mazatlán, lo que provocó que el arroyo Jabalíes se desbordara y ocasionara inundaciones en 54 colonias de la zona urbana y 1 colonia más de la zona rural. Se presentó el colapso de un muro de contención lo que ocasionó la muerte de 2 menores y lesiones en 5 personas.</t>
  </si>
  <si>
    <t>Tancanhuitz, Ciudad Valles</t>
  </si>
  <si>
    <t>Dos personas fallecen por golpe de calor y una por agotamiento  por el calor.</t>
  </si>
  <si>
    <t>Derivado de las fuertes lluvias registradas el pasado 30 de agosto y de la acumulación de basura y escombro, se presentó la penetración de agua en 17 viviendas, de las cuales solo 2 presentaron afectaciones, ya que las otras 15 solo presentaron ligeros encharcamientos. No fue necesario la activación de algún refugio temporal. . Se entregaron 51 sobres de Vida Suero Oral, 20 tratamientos de Miconazol.</t>
  </si>
  <si>
    <t>Juan R. Escudero</t>
  </si>
  <si>
    <t>Acapulco, Marquelia y Heliodor Castillo</t>
  </si>
  <si>
    <t>Debido a las fuertes lluvias presentadas en el estado se presentó la caída de varios árboles, daños en 102viviendas, así mismo se reportó el naufragio de 1 embarcación, rescatando a tres de los tripulantes, una persona continua desaparecida  y una persona se reporta fallecida. Una escuela también presento daños</t>
  </si>
  <si>
    <t>Tecpan de Galeana</t>
  </si>
  <si>
    <t>Se reportaron afectaciones a 10 viviendas, principalmente en sus enseres domésticos, lo anterior debido a las fuertes lluvias registradas durante las últimas 24 horas.</t>
  </si>
  <si>
    <t>Se realiza la excavacion de los cimientos para la construccion de un edificio, que aunado a el reblandecimiento de suelo por efecto de las lluvias, se registro el deslizamiento de una de las paredes quedando una socavacion de 4 metros de ancho por 5 metros de largo y 30 metros de profundidad, por lo que se realizo la evacuacion preventiva de dos edificios adjuntos de tres niveles cada uno para realizar la inspeccion de rutina y determinar si son habitables.</t>
  </si>
  <si>
    <t>Ciudad Juarez</t>
  </si>
  <si>
    <t>Se registraron lluvias fuertes, en el municipio de Casas Grandes, provocando el desbordamiento del “Rio Verde”. Como medida preventiva se evacuaron a 12 personas que se ubicaban en las márgenes del Río, siendo llevadas a un Refugio Temporal,  habilitado en el Auditorio Municipal.</t>
  </si>
  <si>
    <t>Ixhuatan, Ostuacan</t>
  </si>
  <si>
    <t>Debido al paso del frente Frio No. 32, el día de ayer se registraron lluvias de ligeras a moderadas en la Región Norte y Selva, provocando las siguientes afectaciones. Mpio. Ixhuatán; Por la mañana del día de ayer, se registró un derrumbe sobre la carretera Federal Km. 122,  quedando obstaculizada, la cual permaneció  cerrada mientras se realizaron trabajo de limpieza y remoción de material rocoso. No se reportan daños humanos ni materiales. Mpio. Ostuacán; Debido a las lluvias se registró una bajada de agua penetrando ésta a 11 viviendas,  se reportan afectaciones leves, por lo que no fue necesario realizar evacuación, se realizaron trabajos de limpieza. No se reportan daños humanos ni materiales.</t>
  </si>
  <si>
    <t>Palizada</t>
  </si>
  <si>
    <t>Se registró una inundación fluvial a consecuencia de las intensas lluvias registradas en la región, que provocaron que el Río Palizada se saliera de su cauce provocando daños en la infraestructura carretera e hidráulica principalemnte. Se declaro en desastre y emergencia al municipio. Tambien la infraestructura de residuós sólidos registro daños, así como algunas unidades de salud. Además se reportaron 794 viviendas inundadas, auqnue estas no fueron atendidas vía FONDEN</t>
  </si>
  <si>
    <t>Suchiapa, Yajalon</t>
  </si>
  <si>
    <t xml:space="preserve">Suchiapa; se reportaron once viviendas afectadas por encharcamiento, debido a una barda que se construyo a lado de una casa obstruyendo el cauce de un arroyo el cual con las lluvias se formó como una represa. </t>
  </si>
  <si>
    <t>Villa Comaltitlan</t>
  </si>
  <si>
    <t>Se verificó en el Ejido Teziutlán, sobre el bordo camino, que conduce a la Comunidad Cantón Sacualpa al Ejido Teziutlán. En la Colonia  Xochicalco fueron afectados 11 viviendas (11 familias) por la rotura de una ventana del Rio Despoblado que se apertura alrededor de 300 metros, registrando un tirante de 35 cm al interior de la viviendas, por lo que se realizó una evacuación preventiva, siendo trasladados al Refugio Temporal ubicado en la Escuela Emiliano Zapata, el DIF Regional proporcionó los apoyos consistentes en Kits de limpieza. Por parte de CONAGUA se apoyara con maquinaria excavadora.</t>
  </si>
  <si>
    <t xml:space="preserve">Se reporto que el Rio Huixtla en su margen izquierdo se desbordo a la altura de la Comunidad Lechugas 1, reportándose  afectaciones en 5 viviendas donde se alcanzo un tirante de 30cm a 40 cm,  derivado a 6 ventanas sobre el bordo camino que conduce de la cabecera hacia lechugas 1. Como medida preventiva se evacuaron a 24 personas (12 adultos y 12 menores), quienes fueron llevadas a una casa particular ubicada en una zona alta de la comunidad. </t>
  </si>
  <si>
    <t>Atizapan de Zaragoza, Tlalnepantla de Baz, Tultitlan y Cuautitlán Izcalli</t>
  </si>
  <si>
    <t>Se registró una intensa lluvia en los municipios mencionados, ocasionando daños en la infraestructura hidráulica y urbana de los mismos. Los daños en vivienda no se captaron ya que fueron atendidos por otro programa distinto al FONDEN</t>
  </si>
  <si>
    <t>Cuautitlan y Teoloyucan</t>
  </si>
  <si>
    <t>Debido a las fuertes lluvias registradas en ambos municipios el gobierno del estado solicitó las declaratorias de emergencia y desastre para atender a la población afectada y realizar las labores de reconstrucción.</t>
  </si>
  <si>
    <t>Se registro una fuerte lluvia en el municipio ocasionando daños en la infraestructura urbana e hidráulica</t>
  </si>
  <si>
    <t>Salina Cruz, San Blas Atempa, San Pedro Huamelula, San Pedro Huilotepec, Santiago Astata y Santo Domingo Tehuantepec</t>
  </si>
  <si>
    <t xml:space="preserve">Se registraron intensas lluvias en los municipios afectados, causando daños en la infraestructura carretera e hidráulica, así como en 73 viviendas. </t>
  </si>
  <si>
    <t>Huautepec, Huautla de Jimenez, San Lucas Zoquiapam y Santa Maria Tepoxco</t>
  </si>
  <si>
    <t>Derivado de las intensas lluvias registradas en los municipios mencionados se reportaron daños en la infraestructura hidráulica y carretera, así como en 46 viviendas. Desafortunadamente 4 personas perdieron la vida, una mujer de 74 años y tres niños, dos de nueve y uno de seis años</t>
  </si>
  <si>
    <t>Mazatlan Villa de Flores</t>
  </si>
  <si>
    <t>Las intesas lluvias provocaron afectaciones en la infraestructura carretera, de salud y 11 viviendas.</t>
  </si>
  <si>
    <t>Putla Villa de Guerrero, Heroica Ciudad de Tlaxiaco, San Juan Diuxi y Asunción Nochixtan</t>
  </si>
  <si>
    <t>Se registraron deslizamiento de laderas en los municipios mencionados, mismos que afectaron 303 viviendas e infraestructura carretera e hidráulica</t>
  </si>
  <si>
    <t>Yutanduchi de Guerrero, San Juan Bautista Cuicatlan, Santa Ines Yatzeche, San Andres Zabache y San Martin Lachila</t>
  </si>
  <si>
    <t>Se registraron lluvias intensas en los municipios afectados, se reportan afectaciones en la infraestructura carretera e hidraulica, así como en 12 viviendas</t>
  </si>
  <si>
    <t>Se reportaron lluvias severas en 32 municipios del estado, por lo que se delcaro en desastre la zona. Los daños se concentraron en la infraestructura hidráulica y carretera</t>
  </si>
  <si>
    <t>Santa Maria Tataltepec, Santa Maria Yucuhiti y Magdalena Jaltepec</t>
  </si>
  <si>
    <t>Se registraron movimientos de laderas por lo que fueron declarados en desastre tres municipios. Se reportan afectaciones en vivienda e infraestructura carretera</t>
  </si>
  <si>
    <t>29 Municipios</t>
  </si>
  <si>
    <t>Derivado de las intensas lluvias se reporto el deceso de un joven de 17 años, así como daños en 19 viviendas y en la infraestructura carretera de 29 municipios</t>
  </si>
  <si>
    <t>Se registró una lluvia severa que afectaó a dos centros de salud y la infraestructura carretera del estado. Se evacuó a 200 personas de zonas de riesgo</t>
  </si>
  <si>
    <t>19 municipios</t>
  </si>
  <si>
    <t>Se registraron intensas lluvias en 19 municipios del estado, ocasionando severos daños en la infraestructura carretera de la Región Huasteca. Dos personas perdieron la vida por arrastre. La inundación fue pluvial y fluvial</t>
  </si>
  <si>
    <t>Debido a las lluvias fuertes que se presentaron en la region, una camioneta fue arrastrada cuando intentaba cruzar el arroyo conocido como Sabino Walano, ubicado en la sindicatura de San Benito, el cual había incrementado su nivel. En el vehículo viajaba un adulto y tres menores (dos niñas y un niño), se informa que el señor logro poner a salvo a  dos menores, se reporta una desaparecida.</t>
  </si>
  <si>
    <t>Muerte por la caída de un rayo,  al momento del hecho se encontraba en un campo de futbol.</t>
  </si>
  <si>
    <t>Altamira, Ciudad Madero, Gonzalez, Tampico y El Mante</t>
  </si>
  <si>
    <t>Derivado de las intensas lluvias se reportaron daños en 5 municipios del estado, sobretodo en el sector carretero e hidráulico, así mismo se registraron daños de diferente magnitud en 259 viviendas</t>
  </si>
  <si>
    <t>Cazones Herrera, Poza Rica de Hidalgo y Tihuatlan</t>
  </si>
  <si>
    <t>Se registro el desbordamiento del Río Cazones ocasionando daños en 101 viviendas y en la infraestructura hidráulica, carretera y urbana de los municipios afectados. Se evacuó a 1,600 personas de zonas de riesgo</t>
  </si>
  <si>
    <t>26 municipios</t>
  </si>
  <si>
    <t>Angel R Cabada, Lerdo de Tejada y Saltabarranca fueron los únicos declarados en desastre, el resto fueron declarados en emergencia. Los daños se presentaron en Infraestructura hidráulica, urbana, educativa y en 57 viviendas</t>
  </si>
  <si>
    <t>17 Municipios</t>
  </si>
  <si>
    <t>Se registraron intensas lluvias por lo que se declaro a 15 municipios en desastre por este concepto, y otros dos por deslizamiento de laderas. Desafortunadamente no se obtuvo la suficiente información para desagregar el impacto del deslizamiento por lo que se conjuntaron los efectos. Se reportaron 427 viviendas afectadas, así como daños en infraestructura carretera, hidráulica  y urbana</t>
  </si>
  <si>
    <t>Jaltipan, Mecayapan, Minatitlan, Pajapan y Zaragoza</t>
  </si>
  <si>
    <t xml:space="preserve">Se registraron intensas lluvias en los municipios mencionados , se reportaron daños en la infraestructura hidráulica, carretera, urbana educativa y 48 viviendas. </t>
  </si>
  <si>
    <t>Agua Dulce, Chinameca, Cosoleacaque, Ixhuatlan del Sureste, Las Choapas, Moloacan, Nanchital de Lazaro Cardenas del Rio y Uxpanapa</t>
  </si>
  <si>
    <t>Se registraron intensas lluvias que ocasionaron afectaciones en 101 viviendas y en infraestructura carretera e hidrúalica.</t>
  </si>
  <si>
    <t>Aguascalientes, Calvillo, Cosio, Jesus Maria, El Llano, Pabellon de Arteaga, Rincon de Romos, San Francisco de los Romo, San Jose de Gracia y Tepezala</t>
  </si>
  <si>
    <t>Derivado de la intensa sequia, se declaro en desastre a 10 municipios del estado con el fin de garantizar el abasto de agua potable en la zona.</t>
  </si>
  <si>
    <t>Amatan</t>
  </si>
  <si>
    <t>Derivado de los deslizamientos de laderas registrados el en el municipio mencionado se registraron afectaciones en 9 viviendas, infraestructura carretera e hidrúalica.</t>
  </si>
  <si>
    <t>Se reportó el colapso de una  barda de aproximadamente 3 metros de altura y 6 metros de largo, la cual al caer arrastró una barda de una casa aledaña,  fallecen dos personas del sexo femenino.</t>
  </si>
  <si>
    <t>37 municipios</t>
  </si>
  <si>
    <t>Derivado de la intensa sequia registrada, se declaro en desastre a 37 municipios del estado con el fin de garantizar el abasto de agua potable en la zona.</t>
  </si>
  <si>
    <t>Derivado de la intensa sequia registrada, se declaro en desastre a 29 municipios del estado con el fin de garantizar el abasto de agua potable en la zona.</t>
  </si>
  <si>
    <t>34 municipios</t>
  </si>
  <si>
    <t>Derivado de la intensa sequia registrada, se declaro en desastre a 34 municipios del estado con el fin de garantizar el abasto de agua potable en la zona.</t>
  </si>
  <si>
    <t>Debido a las fuertes lluvias se reportaron varios deslaves en la autopista del sol, así mismo se reportan daños menores en 21 viviendas.</t>
  </si>
  <si>
    <t>Derivado de la intensa sequia registrada, se declaro en desastre a 26 municipios del estado con el fin de garantizar el abasto de agua potable en la zona.</t>
  </si>
  <si>
    <t>Arizpe, Bacoachi, Caborca, Cananes, Imuris, Magdalena, Nogales, Pitiquito y Santa Cruz</t>
  </si>
  <si>
    <t>Derivado de la intensa sequia registrada, se declaro en desastre a 9 municipios del estado con el fin de garantizar el abasto de agua potable en la zona.</t>
  </si>
  <si>
    <t>42 municipios</t>
  </si>
  <si>
    <t>Derivado de la intensa sequia registrada entre el 1 de mayo y el 30 de noviembre, se declaro en desastre a 42municipios del estado con el fin de garantizar el abasto de agua potable en la zona.</t>
  </si>
  <si>
    <t>Santa Ana y Cucurpe</t>
  </si>
  <si>
    <t>Derivado de la intensa sequia registrada entre el 1 de mayo y el 30 de noviembre, se declaro en desastre a 2 municipios del estado con el fin de garantizar el abasto de agua potable en la zona.</t>
  </si>
  <si>
    <t>Se registraron heladas severas en el municipio mencionado por lo que se declaro en emergencia para atender a la población vulnerable.</t>
  </si>
  <si>
    <t>16 Municipios</t>
  </si>
  <si>
    <t>Chiautempan, Panotla, San Damian Texoloc, Santa Isabel Xiloxoxtla, Tlaxcala y Totolac</t>
  </si>
  <si>
    <t>Se registro una granizada intensa en el estado de Tlaxcala por lo que se declaro en emergencia a los municipios mencionados con el fin de atender a la población afectada</t>
  </si>
  <si>
    <t>Santa Maria Mixtequilla</t>
  </si>
  <si>
    <t>Se declaro en emergencia al municipio por la presencia de intensas lluvias el día mencionado.</t>
  </si>
  <si>
    <t>Eloxochitlan de Flores Magon, Huautla de Jimenez, San Jose Tenango, Santa Cruz Acatepec y Santa Maria Chichotla</t>
  </si>
  <si>
    <t>Se declaro en emergencia al municipio por la presencia de intensas lluvias con elv fin de atender a la población afectada</t>
  </si>
  <si>
    <t>Se declaro en emergencia al municipio por la presencia de lluvias intensas con el fin de atender a la población afectada</t>
  </si>
  <si>
    <t>Cosoleacaque, Hidalgotitlan, Jaltipan, Jesus Carranza, San Juan Evangelista, Sayula de Aleman y Texistepec</t>
  </si>
  <si>
    <t>Derivado de las intensas lluvias se registraron afectaciones en la actividad agrícola de los municipios mencionados. Los cultivos afectados fueron chile, frijol, arroz, sandia, melon y papaya.</t>
  </si>
  <si>
    <t>Comondu, La Paz y Loreto</t>
  </si>
  <si>
    <t>Se registró una prolongada sequía desde finales del 2010 y hasta el 28 de febrero de 2011 ocasionando escasez de alimento para el ganado. Derivado de lo anterior SAGARPA apoyo a los productores afectados a través del programa CADENA.</t>
  </si>
  <si>
    <t>Se registró una prolongada sequía ocasionando escasez de alimento para el ganado. Derivado de lo anterior SAGARPA apoyo a los productores afectados a través del programa CADENA.</t>
  </si>
  <si>
    <t>Derivado de la sequía que azotó la Sagarpa puso en marcha el Componente de Atención a Desastres Naturales (CADENA) para la reactivación de la actividad pecuaria.</t>
  </si>
  <si>
    <t>35 municipios</t>
  </si>
  <si>
    <t>Derivado de la sequía que azotó al estado, la Sagarpa puso en marcha el Componente de Atención a Desastres Naturales (CADENA) para la reactivación de la actividad agrícola y pecuaria.</t>
  </si>
  <si>
    <t>Huhuetlan</t>
  </si>
  <si>
    <t>Se registraron altas temperaturas y falta de precipitación, lo que provocó que el cultivo de Litchie se viera afectado considerablemente.</t>
  </si>
  <si>
    <t>Acateno, Ayotoxco de Guerrero, Caxhuacan, Cuetzalan Del Progreso, Huehuetla, Hueytamalco, Jonotla, Olintla,Tenampulco, Tuzamapan de Galeana y Zoquiapan</t>
  </si>
  <si>
    <t>Se registraron severas afectaciones por la sequía en los municipios mencionados, el cultivo afectado fue principalmente Maíz. Sagarpa aplicó el programa CADENA para reactivar la actividad de la zona afectada</t>
  </si>
  <si>
    <t>Pantepec y Venustiano Carranza</t>
  </si>
  <si>
    <t>Derivado de la falta de precipitación en los municipios mencionados, se registraron afectaciones en el follaje para mantener al ganado, por lo que la SAGARPA activo el programa CADENA para reactivar la actividad en la zona afectada</t>
  </si>
  <si>
    <t>Sagarpa</t>
  </si>
  <si>
    <t>14 municipios</t>
  </si>
  <si>
    <t>52 municipios</t>
  </si>
  <si>
    <t>Perote y Villa Aldama</t>
  </si>
  <si>
    <t>Se registraron daños severos en los cultivos de maíz, frijol. Haba y papa derivado d la intensa helada que afecto a los municipios mencionados</t>
  </si>
  <si>
    <t>Aljojuca y San Juan Atenco</t>
  </si>
  <si>
    <t>Se registraron daños en el cultivo de maíz a consecuencia de la helada severa. La SAGARPA apoyo a los productores afectados a través del programa CADENA</t>
  </si>
  <si>
    <t>Se registraron daños en el cultivo de maíz y durazno a consecuencia de las heladas severas. La SAGARPA apoyo a los productores afectados a través del programa CADENA</t>
  </si>
  <si>
    <t>Actopan, Banderilla, Coahuitlan, Filomeno Mata, Lerdo de Tejada, Otatiltan, Panuco, Paso de Ovejas. Playa Vicente y Zongolica</t>
  </si>
  <si>
    <t>Como consecuencia de la intensa sequía sufrida durante el mes de mayo se registraron afectaciones en cultivos de maíz, caña, sorgo, café, chile y papaya, así como afectaciones en ganado por falta de forraje. Sagarpa apoyó a los productores afectados a través del programa CADENA</t>
  </si>
  <si>
    <t>Chignahuapan e Ixtacamaxtitlan</t>
  </si>
  <si>
    <t>Se registró una intensa helada en los municipios mencionados afectando principalmente cultivos de maíz. Sagarpa apoyó a través del programa CADENA</t>
  </si>
  <si>
    <t>Temapache</t>
  </si>
  <si>
    <t>Derivado de la sequía se registraron afectaciones en cultivos de naranja, limon y mandarina, por lo que SAGARPA apoyó a los productores afectados a través del programa CADENA</t>
  </si>
  <si>
    <t>Se registraron afectaciones en cultivos de papaya, tamarindo, Platano, naranja, mango, limon, coco, cacahuate y maíz a consecuencia de la lluvia torrencial. Además se registró la muerte de ganado y daños en 4 embarcaciones Sagarpa apoyo a los productores afectados a través del programa CADENA</t>
  </si>
  <si>
    <t>Encarnacion de Diaz, Lagos de Moreno, Ojuelos de Jalisco y Teocaltiche</t>
  </si>
  <si>
    <t>Derivado de la intensa sequia se registraron afectaciones en el forraje por lo que Sagarpa apoyó a través del programa CADENA con suplementación alimenticia a los productores afectados. 19,990 fueron afectadas</t>
  </si>
  <si>
    <t>Atlequizayan, Tlacuilotepec y Xicotepec</t>
  </si>
  <si>
    <t>Como producto de la intensa sequia se registraron afectaciones en cultivos y ganado, por lo que Sagarpa apoyo a los productores afectados mediante el programa CADENA.</t>
  </si>
  <si>
    <t>Arteaga, Contepec, Lázaro Cárdenas, Tumbiscatio y Zinapecuaro</t>
  </si>
  <si>
    <t>Derivado de la prolonga sequia se registro mortandad de ganado bovino y daños en cultivos. Sagarpa apoyo a los rpoductores afectados mediante el programa CADENA</t>
  </si>
  <si>
    <t>Aquila, Chumatlan, Espinal, Puente Nacional, Tantima y Tuxpam</t>
  </si>
  <si>
    <t>La sequia registrada ocasiono afectaciones en cultivos de maíz, papaya y mango, por lo que Sagarpa apoyo a los productores afectados a través del programa CADENA.</t>
  </si>
  <si>
    <t>Tampico Alto</t>
  </si>
  <si>
    <t>Se registro una lluvia torrencial en el municipio mencionado ocasionando daños en cultivos de maiz y sorgo así como en pastizales, por lo que Sagarpa apoyo a los productores afectados para reactivar la actividad agricola y pecuaria</t>
  </si>
  <si>
    <t>Ciudad Valles, El Naranjo, Tamasopo y Tanlajas</t>
  </si>
  <si>
    <t>Se registro una lluvia torrencial en los municipios mencionados ocasionado daños en la actividad agricola, sobretodo en el cultivo de la caña. Sagarpa apoyo a través del programa CADENA.</t>
  </si>
  <si>
    <t>Bolaños, Chimaltitlan, Huejucar, Huejuquilla el Alto, Mexquitic, San Martin de Bolaños y Villa Guerrero</t>
  </si>
  <si>
    <t>Derivado de la sequía se registraron daños en pastizales por lo que Sagarpa apoyó a tra ves del programa CADENA con suplementación alimentaria</t>
  </si>
  <si>
    <t>Mexticacan, Union de San Antonio y Villa Hidalgo</t>
  </si>
  <si>
    <t>66 municipios</t>
  </si>
  <si>
    <t>Jalostotitlan y San Juan de los Lagos</t>
  </si>
  <si>
    <t>Aguascalientes, Calvillo, El Llano, Pabellon de Arteaga, San Francisco de los Romo, San Jose de Gracia y Tepezala</t>
  </si>
  <si>
    <t>La prolongada sequia ocasiono daños en cultivos, principalmente de maiz y frijol, así como afectaciones en pastizales, por lo que Sagarpa apoyó a los productores afectados mediante el programa CADENA</t>
  </si>
  <si>
    <t>Como producto de la intensa sequia registrada, se registraron afectaciones en cultivos y ganado, por lo que Sagarpa apoyo a los productores afectados mediante el programa CADENA.</t>
  </si>
  <si>
    <t>31 municipios</t>
  </si>
  <si>
    <t>La intensa sequia registraron afectaciones en cultivos y ganado, por lo que Sagarpa apoyo a los productores afectados mediante el programa CADENA.</t>
  </si>
  <si>
    <t>Colotlan y  Totatiche</t>
  </si>
  <si>
    <t>La prolongada sequía sigue afectando al estado en esta ocasión se requirió apoyo alimentario para 2,829 unidades animal, mismo que se proporcionó a través del programa CADENA de Sagarpa</t>
  </si>
  <si>
    <t>Del Nayar</t>
  </si>
  <si>
    <t>La prolongada sequía ha provocado serios daños en la actividad agrícola del municipio mencionado, por lo que Sagarpa apoyo a los productores afectados a través del programa CADENA</t>
  </si>
  <si>
    <t>Se registró una severa afectando la actividad agrícola del estado significativamente la formación de cristales de hielo intracelulares provoco la ruptura de la pared celular, deshidratación, clorosis, desvanecimiento del porte normal y muerte de las plantas, toda vez que las etapas fenológicas fueron las más suceptibles. Además se registraron severos daños en más de 18 mil colmenas. Por tal motivo Sagarpa apoyo a los productores afectados a través del programa CADENA</t>
  </si>
  <si>
    <t>36 municipios</t>
  </si>
  <si>
    <t>La prolongada sequía ha tenido efectos devastadores en el la actividad agropecuaria del estado, por lo que la Sagarpa a través del programa CADENA ha apoyado a los productores afectados con el fin de reactivar su economía</t>
  </si>
  <si>
    <t>Jalacingo, Perote y Villa Aldama</t>
  </si>
  <si>
    <t>Se registraron dos eventos significativos, ocasionando daños severos en el cultivo del maíz. Sagarpa apoyo a los productores afectados a través de CADENA</t>
  </si>
  <si>
    <t>Nahuatzen y Paracho</t>
  </si>
  <si>
    <t>Se registró una intensa helada, ocasionando daños severos en el cultivo del maíz. Sagarpa apoyo a los productores afectados a través de CADENA</t>
  </si>
  <si>
    <t>Se registraron afectaciones a consecuencia de la intensa helada en diferentes cultivos. Sagarpa apoyo a los productores afectados a través del programa CADENA</t>
  </si>
  <si>
    <t>Almoloya, Apan, Emiliano Zapata, Huasca de Ocampo, Mineral de la Reforma, Nopala de Villagran, Tepeapulco, Tepeji del Rio de Ocampo, Tlanalapa, Tolcayuca, Villa de Tezontepec, Zapotlan de Juarez</t>
  </si>
  <si>
    <t>Como consecuencia de la intensa helada que afectó a los municipios mencionados, se registraron severos daños en la actividad agrícola, principalmente el cultivo del maíz resultó perjudicado. Sagarpa apoyo a los productores a través del programa CADENA</t>
  </si>
  <si>
    <t>Canelas, Otaez, Santiago Papasquiaro, Tamazula, Topia</t>
  </si>
  <si>
    <t>La producción de cultivos como frijol, maíz y avena fueron casi nulas en los municipios mencionados a consecuencia de la prolongada sequía, así mismo la actividad pecuaria también resintió los efectos del fenómeno. Sagarpa apoyó a través del programa CADENA</t>
  </si>
  <si>
    <t>Aldama, Antiguo Morelos, Burgos, Bustamante, Camargo, Casas, Cruillas, El Mante, Gomez Farias, Gonzalez, Güemez, Gustavo Diaz Ordaz, Hidalgo, Jimenez, Llera, Mainero, Matamoros, Mendez, Mier, Miguel Aleman, Miquihuana, Nuevo Laredo, Nuevo Morelos, Ocampo, Padilla, Palmillas, Reynosa, Rio Bravo, San Carlos, San Fernando, San Nicolas, Soto la Marina, Tula, Valle Hermoso, Victoria</t>
  </si>
  <si>
    <t>Se registraron serias afectaciones en los cultivos de Sorgo, maiz, frijol, trigo, cebada, avena y soya a consecuencia de la prolongada sequía que ha afectado al estado. Además las afectaciones también se presentaron en la actividad pecuaria por falta de forraje para alimentar a las cabezas de ganado. Sagarpa apotyo a los productores afectados mediante el programa CADENA</t>
  </si>
  <si>
    <t>Alvaro Obregon, Arteaga, Cojumatlan de Regules, Contepec, Cuitzeo, Chilchota, Chucandiro, Churumuco, Epitacio Huerta, Huandacareo, Huaniqueo, Morelia, Numaran, Penjamillo, Puruándiro, Santa Ana Maya, Tangancícuaro, Tanhuato, Tarimbaro, Tlazazalca, Yurecuaro, Zinaparo, Zinapecuaro</t>
  </si>
  <si>
    <t>El cultivo del maíz y sorgo han resultado seriamente afectados a consecuencia de la intensa sequía. Sagarpa apoyo a los productores afectados mediante el programa CADENA</t>
  </si>
  <si>
    <t>Tanlajas</t>
  </si>
  <si>
    <t>Se registraron afectaciones en la actividad agrícola a consecuencia de la sequía prolongada en el municipio mencionado. Sagarpa apoyo a través del programa CADENA</t>
  </si>
  <si>
    <t>Angamacutiro, Charapan, Ixtlan, Jacona, La Piedad, Maravatio, Senguio, Tiquicheo de Nicolas Romero, Turicato, Zacapu</t>
  </si>
  <si>
    <t>Se registraron afectaciones en la actividad agrícola a consecuencia de la sequía prolongada en los municipios mencionados. Sagarpa apoyo a través del programa CADENA</t>
  </si>
  <si>
    <t>Arteaga, Candela, Escobedo, General Cepeda, Parras, Saltillo, Sierra Mojada</t>
  </si>
  <si>
    <t>Castaños, Francisco I. Madero, General Cepeda, Ocampo, Ramos Arizpe, San Pedro, Sierra Mojada, Torreón</t>
  </si>
  <si>
    <t>La severa sequia que ha golpeado fuertemente al estado ocasiono perdidas economicas importantes en cultivos de maiz, frijol, avena, sorgo forrajero, areas de cultivo que se reconvirtieron a plantaciones de nopal y maguey. En todos los cultivos se reportan perdidas del 100%, en algunos casos se sembro y la planta alcanzo a germinar y en la mayoria de las hectreas afectadas no se presento germinacion o fue imposible realizar la siembra pese a que se realizaron las labores culturales, la totalidad de la superficie es considerada de autoconsumo humano para los casos de maiz y frijol, en los cultivos de sorgo, avena, nopal y maguey forman parte de la alimentacion que se les proporciona al ganado que poseen estos productores.</t>
  </si>
  <si>
    <t>Sonora, Sinaloa, Chihuahua, Durango, Zacatecas, Veracruz</t>
  </si>
  <si>
    <t>Heladas severas provocadas por el Frente Frío número 26.</t>
  </si>
  <si>
    <t>A causa de las bajas temperaturas una persona perdió la vida por intoxicación ene le municipio de Tijuana.</t>
  </si>
  <si>
    <t>Saltillo, Ramos Arizpe</t>
  </si>
  <si>
    <t>A causa de las bajas temperaturas dos personas perdieron la vida por intoxicación en los municipios de Saltillo y Ramos Arizpe.</t>
  </si>
  <si>
    <t>Juarez, Ojinaga, Huachochi, Chihuahua, Camargo, Buenaventura, Urique, Guerrero, Delicias, Matachí</t>
  </si>
  <si>
    <t>A causa de las bajas temperaturas 20 personas perdieron la vida: 8 por hipotermia, 2 por quemaduras, y 10 por intoxicación en varios municipios.</t>
  </si>
  <si>
    <t>El Salto, Durango, Nombre de Dios, Santiago Papasquiaro, Panuco de Coronado</t>
  </si>
  <si>
    <t>A causa de las bajas temperaturas 7 personas perdieron la vida: 1 por hipotermia y 6 por intoxicación en varios municipios.</t>
  </si>
  <si>
    <t>A causa de las bajas temperaturas una persona perdió la vida por hipotermia.</t>
  </si>
  <si>
    <t>San Antonio</t>
  </si>
  <si>
    <t>A causa de las bajas temperaturas una persona perdió la vida por intoxicación.</t>
  </si>
  <si>
    <t>Nogales, Agua Prieta, San Luis, Coajeme, Bacum, Benjamin Hill</t>
  </si>
  <si>
    <t>A causa de las bajas temperaturas 12 personas perdieron la vida: 4 por hipotermia, 1 por quemaduras y 7 por intoxicación en varios municipios.</t>
  </si>
  <si>
    <t>Derivado de las intensas lluvias se reportaron afectaciones en 325 hectáreas de diferentes cultivos. SAGARPA apoyó a los 325 productores con 618 mil pesos.</t>
  </si>
  <si>
    <t>San Felipe Jalapa de Diaz, San Felipe Usila, San Jose Chiltepec, San Juan Bautista Valle Nacional y Santa Maria Jacatepec</t>
  </si>
  <si>
    <t>A consecuencias de las intensas lluvias se registraron afectaciones en 438 hectáreas de maíz pertenecientes a 449 productores. CADENA apoyó a los productores con 585 mil pesos aproximadamente.</t>
  </si>
  <si>
    <t>Candela, Muzquiz, Progreso, Ramos Arizpe y Sierra Mojada</t>
  </si>
  <si>
    <t xml:space="preserve">Derivado de la sequia registrada durante el mes de enero se reportaron afectaciones en 804.72 hectáreas de diversos cultibvos, así como escasez de alimento para 18,036 cabezas de ganado bovino y 9,324 de caprino, por los que la SAGARPA apoyo con el programa CADENA a los productores con un monto de 13.3 millones de pesos. </t>
  </si>
  <si>
    <t>Lazaro Cardenas y Ziracuaretiro</t>
  </si>
  <si>
    <t>Derivado de las intensas lluvias registradas en los municipios mencionados se presentaron afectaciones en 436.6 hectáreas de aguacate, mango y zarzamora, siendo este último el más afectado. Sagarpa apoyó a través de CADENA a 208 productores afectados con un monto de 987 mil pesos aproximadamente.</t>
  </si>
  <si>
    <t>Como resultado de las intensas lluvias se reportaron afectaciones en 16 hectáreas de mango pertenecientes a 12 productores.</t>
  </si>
  <si>
    <t>Copandaro</t>
  </si>
  <si>
    <t>Se registró una granizada que afectó cerca de 250 hectáreas de diversos cultivos pertenencientes a 103 productores. CADENA apoyó con 563 mil pesos aproximadamente con el fin de reactivar la economía en el sector.</t>
  </si>
  <si>
    <t>Casas Grandes y Nuevo Casas Grandes</t>
  </si>
  <si>
    <t>Como resultado de las heladas registradas en los municipios mencionados se reportaron afectaciones en cultivos de cereza, durazno y manzana. Pertenecientes a 38 productores. CADENA apoyó con 487 mil pesos aproximadamente</t>
  </si>
  <si>
    <t>Se registraron intensas lluvias en varios municipios del estado ocasionando daños en 466 hectáreas de maíz. CADENA apoyó a los afectados con 622 mil pesos aproximadamente</t>
  </si>
  <si>
    <t>Francisco I Madero, Parras y San Pedro</t>
  </si>
  <si>
    <t>La Ganaderia del Estado de Coahuila es principalmente bovina y caprina, tras 15 meses de falta de precipitaciones la disponibilidad de forraje en el agostadero es nula y los estanques o bordos de abrevadero en su mayoria estan completamente secos, los principales efectos son baja de peso en los becerros, en un año normal las crias al destete llegan alcanzar en promedio entre los 180 y 220 kg ahora apenas lograron alcanzar los 100kg, vacas que en promedio pesan los 450kg hoy alcanzan los 250 o 300 kg, en ambos casos aparte de la baja en el peso tambien se vieron afectados en una disminucion en su precio de venta, asi mismo para el año 2012 habra un menor porcentaje de paricion. CADENA apoyo a los productores a través del programa de suplemento alimenticio.</t>
  </si>
  <si>
    <t>Derivado de las intensas lluvias se registraron afectaciones en 915 hectáreas de diversos cultivos pertenecientes a 334 productores. CADENA apoyó con 1.4 millones de pesos aproximadamente.</t>
  </si>
  <si>
    <t>Ixtaczoquitlan, Orizaba y Rafael Delgado</t>
  </si>
  <si>
    <t>Se registró una granizada que afectó alrededor de 541 hectáreas de diferentes cultivos pertenecientes a 405 productores. CADENA apoyó con 830 mil pesos aproximadamente.</t>
  </si>
  <si>
    <t>Matachi y Temosachi</t>
  </si>
  <si>
    <t>Derivado de las intensas heladas se registraron daños en el cultivo de la manzana, por lo que CADENA apoyo con 584 mil pesos aproximadamente.</t>
  </si>
  <si>
    <t>Ayahualulco y Perote</t>
  </si>
  <si>
    <t>Se registró una intensa helada en la cual se vieron afectadas 7,437 hectáreas de maiz, frjol, haba y papa. Estas pertenecian a 2,139 productores, mismos que fueron apoyados a través de CADENA con 9.9 millones de pesos.</t>
  </si>
  <si>
    <t>Se registraron intensas lluvias en el municipio mencionado que afectaron 546 hectáreas de maiz. Estas pertenecian a 387 productores.</t>
  </si>
  <si>
    <t>Villa Aldama</t>
  </si>
  <si>
    <t>Se registro una helada severa que afectó 263.5 hectáreas pertenecientes a 110 productores. Cadena apoyo con 352 mil pesos aproximadamente.</t>
  </si>
  <si>
    <t>Derivado de las intensas lluvias se registraron daños en 30 hectareas de Mango pertenecientes a 8 productores. CADENA apoyo con 67 mil pesos aproximadaemente.</t>
  </si>
  <si>
    <t>Allende</t>
  </si>
  <si>
    <t>Como consecuencia de una intensa granizada se reportaron afectaciones en 1520 hectáreas de nogal, pertenecientes a 387 productores. CADENA apoyó con 3.4 millones de pesos aproximadamente.</t>
  </si>
  <si>
    <t>Contepec e Irimbo</t>
  </si>
  <si>
    <t>Se registro sequia durante los meses de abril y mayo, misma que afectó 154.55 hectareas de maizs, pertenencientes a 55 productores. CADENA apoyó con 206 mil pesos aproximadamente.</t>
  </si>
  <si>
    <t>15 municipios</t>
  </si>
  <si>
    <t>Como resultado de las intensas lluvias se registraron daños en 4,627 hectareas de diversos cultivos siendo el platano el más afectado, así mismo se reportaron 379 Unidades animal afectadas, entre equinos, ovinos, caprinos, bovinos, porcinos, aves y colmenas y 12 embarcaciones. CADENA apoyó con 10 millones de pesos aproximadamente.</t>
  </si>
  <si>
    <t>Jose Azueta, Playa Vicente, Santiago Sochiapan y Tlacojalpan</t>
  </si>
  <si>
    <t xml:space="preserve">Como consecuencia de las intensas lluvias se registraron daños en 948 hectareas de maiz, hule y caña de azucar pertenecientes a 303 productores. CADENA apoyó con 1.3 millones de pesos aproximadamente. </t>
  </si>
  <si>
    <t>Bachiniva y Namiquipa</t>
  </si>
  <si>
    <t>Como consecuencia de la intensa helada registrada se presentaron afectaciones en 4,649.74 hectáreas de manzana pertenecientes a 926 productores. CADENA apoyó con 10.5 millones de pesos.</t>
  </si>
  <si>
    <t>Matamoros y Viesca</t>
  </si>
  <si>
    <t>Como consecuencia de la falta de precipitaciones la disponibilidad de forraje en el agostadero es nula y los estanques o bordos de abrevadero en su mayoria estan completamente secos, los principales efectos son baja de peso en los becerros, en un año normal las crias al destete llegan alcanzar en promedio entre los 180 y 220 kg ahora apenas lograron alcanzar los 100kg, vacas que en promedio pesan los 450kg hoy alcanzan los 250 o 300 kg, en ambos casos aparte de la baja en el peso tambien se vieron afectados en una disminucion en su precio de venta, asi mismo para el año 2012 habra un menor porcentaje de paricion. CADENA apoyó con el programa de suplemento con 8.8 millones de pesos.</t>
  </si>
  <si>
    <t>Gomez Palacio, Lerdo, San Juan Guadalupe y Tlahualilo</t>
  </si>
  <si>
    <t>Derivado de la intensa sequía hay una falta de capacidad de producción por la poca disponibilidad de agua en el ciclo vegetativo. Por tal motivo se registraron afectaciones en 6,010 hectáreas y falta de alimento para 15,796.95 Unidades animales entre Bovinos, Equinos, Ovinos, Caprinos, Porcinos y Aves. CADENA apoyó con 19.4 millones de pesos.</t>
  </si>
  <si>
    <t>47 municipios</t>
  </si>
  <si>
    <t>Derivado de las intensas lluvias se registraron afectaciones en diferentes cultivos de varios municipios, así como en la actividad ganadera y acuicola. En total se reportaron 2406 productores afectados, 5517 hectareas, 118 unidades animales y 12 unidades acuicolas.</t>
  </si>
  <si>
    <t>Derivado de una intensa granizada se presentaron daños en 416.52 hectáreas de cultivos de avena, maiz y zarzamora pertenecientes a 111 productores. CADENA apoyó con 558 mil pesos aproxomadamente.</t>
  </si>
  <si>
    <t>Derivado de la prolongada sequía se registraron afectaciones en 12,601 hectáreas de maiz, ajonjoli y sorgo. Por tal motivo CADENA apoyó a los 4133 productores afectados con 16.8 millones de pesos.</t>
  </si>
  <si>
    <t>Cojumatlan de Regules, Churumuco, Jiquilpan, La Huacana, La Piedad, Morelia, Sahuayo, Tlazazalca y Zinapecuaro</t>
  </si>
  <si>
    <t>Derivado de la prolongada sequía se registraron afectaciones en 7,209.03 hectáreas de maiz, sorgo, frijol y cebada. Por tal motivo CADENA apoyó a los 2,526 productores afectados con 9.6 millones de pesos.</t>
  </si>
  <si>
    <t>La Huacana</t>
  </si>
  <si>
    <t>Como consecuencia de las lluvias se registraron daños en cultivos de jamaica y ajonjoli pertenecientes a 125 productores. CADENA apoyo con 528 mil pesos.</t>
  </si>
  <si>
    <t>Debido a la fuerte lluvia, fue necesario dotar de insumos a 11 municipios del estado de Veracruz.</t>
  </si>
  <si>
    <t>Cochoapa</t>
  </si>
  <si>
    <t>Se registró una fuerte lluvia acompañada de granizo afectando a un total de 16 viviendas en donde habitaban 50 personas aprox. Los principales daños se dieron en los techos y en el menaje de la casa por lo que se apoyo con 50 pacas de lámina de cartón y 5o colchonetas. Así mismo se presentaron daños en 2 hectáreas de maíz</t>
  </si>
  <si>
    <t>28 municipios por el sismo y 48 mas por replicas</t>
  </si>
  <si>
    <t xml:space="preserve">El sismo del 20 de marzo, ha sido uno de los fenómenos más importantes que han ocurrido en la entidad, por los perjuicios que ocasionó principalmente en el de la vivienda que significó el 57.6% de los daños y pérdidas totales . </t>
  </si>
  <si>
    <t>Se presentó una nevada que afectó al municipio de Madera, por lo que se activaron recursos del FONDEN para proporcionar insumos a la población.</t>
  </si>
  <si>
    <t>Emiliano Zapata, Banderilla y Xalapa</t>
  </si>
  <si>
    <t>Debido a la lluvia y granizo en tres municipios se proporcionó apoyo a la población.</t>
  </si>
  <si>
    <t>Martinez de la Torre y Tlapacoyan</t>
  </si>
  <si>
    <t xml:space="preserve">Las lluvias ocasionaron inundación en el municipio que afectó a varios sectores. </t>
  </si>
  <si>
    <t>Acajete y Nogales</t>
  </si>
  <si>
    <t>La granizada severa el día 30 de marzo afectó a dos municipios, por lo que fue necesario apoyar a la población con diversos insumos.</t>
  </si>
  <si>
    <t>Colipa, Juchique de Ferrer, Misantla, Tenochtitlan, 
Tonayan y Yecuatla</t>
  </si>
  <si>
    <t>Las lluvias ocasionaron afectaciones en viviendas, residuos sólidos  y el sector hidráulico.</t>
  </si>
  <si>
    <t>Temapache, Las Choapas y Tlaltetela</t>
  </si>
  <si>
    <t>La lluvia afectó a tres municipios por lo que se dotó de recursos para atender las necesidades alimenticias, de abrigo y de salud de la población afectada</t>
  </si>
  <si>
    <t>Debido a los vientos característicos de tormenta tropical el municipio de Allende sufrió afectaciones.</t>
  </si>
  <si>
    <t>Acapulco, Ometepec, La Unión</t>
  </si>
  <si>
    <t>Se reporta la instalación de los Consejos Municipales y estatales de Protección Civil, activación de Progarmas de Prevención y auxilio a la población y activación de Refugios Temporales. Se habilitaron los RT en las comunidades del Naranjo, Zacatula y San Francisco en el Municipio de La Unión. En Ometepec se habilitaron 2 RT. En la comunidad Tamarindos, se refugian 12 familias, con un total de 90 personas afectadas. En la Comunidad Capricho, 24 refugiados. Precaución en la zona de la barrabca por posibles deslaves. derrumbes y rodamiento de peidras. La presencia de viento puede provocar marejadas en zonas de playa y oleaje. En Tlacoachistlahuaca, comunidad de Las Minas, se afectó a 15 viviendas, por inundaciones menores. Atoyac de Álvarez, comunidad Cerro Prieto, derrumbes y cortes en la carretera en ambos carriles. Entre Quemado y Plan de Molinos derrumbes y no hay circulación. 3 derrumbes entre las comunidades Arrayanes, Delicias,Piloncillos. A la altura del Río Atoyac, puente Ticui cerca del balenario Coyotomate se registra afectación en 4 enramadas. Caída de espectaculares en Acapulco y y un derrumbe-deslizamiento de rocas sobre la carrera Acapulco-Zihuatanejo, Col. Venustiano Carranza. Zirándaro de los Chavez: rocas en los km 25 y 26 en la carretera Zirándaro-Coyuca de Catalán.</t>
  </si>
  <si>
    <t>103 municipios</t>
  </si>
  <si>
    <t>El huracán Carlotta provocó severos daños en varios sectores del estado, por lo que el cenapred organizó una misión de evaluación para estimar el impacto socioeconómico que provocó el fenómeno.</t>
  </si>
  <si>
    <t>San Martin Texmelucan</t>
  </si>
  <si>
    <t xml:space="preserve">Las lluvias ocasionaron inundación en el municipio que afectó a los sectores educativo e hidráulico. </t>
  </si>
  <si>
    <t>Santiago Choapam</t>
  </si>
  <si>
    <t>El 22 de junio  ocurrió  un movimiento de ladera ocasionado por lluvias severa, en el municipio de Santiago Choápam que afectó viviendas e infraestructura hidráulica y carretera.</t>
  </si>
  <si>
    <t>Ixtacuitla de Mariano Matamoros</t>
  </si>
  <si>
    <t>Debido a la lluvia severa sufrió afectación el municipio de Ixtacuixtla de Mariano Matamoros.</t>
  </si>
  <si>
    <t>General Panfilo Natera, Luis Moya, Panuco y Vetagrande</t>
  </si>
  <si>
    <t>LA lluvia del 20 de julio a fectó a los municipios de General Pánfilo Natera y Luis moya y la lluvia del 26 de julio a ñps de Pánuco y Vetagrande.</t>
  </si>
  <si>
    <t>Cardenas y Huimanguillo</t>
  </si>
  <si>
    <t>La lluvia afectó a dos municipios del estado por lo que se apoyo con insumos.</t>
  </si>
  <si>
    <t>Se desbordo un arroyo superficial, mismo que a su vez, ocasiono inundaciones que afectaron a 15 viviendas que se encuentran asentadas en los margenes de dicho arroyo ubicado en las colonias Zapata y El Jardin, las dos se encuentran en la cabecera municipal. Cabe señalar que no fue necesario trasladar a la poblacion a un refugio temporal, dado que en cuanto dejo de llover, el nivel del arroyo bajo, y tambien porque las afectaciones ocurridas en las mencionadas viviendas, solo fueron menores.</t>
  </si>
  <si>
    <t>71 municipios</t>
  </si>
  <si>
    <t>Ciclón tropical Ernesto</t>
  </si>
  <si>
    <t>Los Cabos, Comondu y Loreto</t>
  </si>
  <si>
    <t>Debido a la ocurrencia de lluvia los días 16 y 17 de agosto fueron afectados tres municipios.</t>
  </si>
  <si>
    <t>La lluvia del 21 de agostó afectó a la población del municipio de La Paz.</t>
  </si>
  <si>
    <t>Cerro Azul, Chinampa de Gorostiza y Naranjos Amatlan</t>
  </si>
  <si>
    <t>La lluvia afecto a la población de tres municipios.</t>
  </si>
  <si>
    <t>Oaxaca de Juarez, Santa Cruz Amilpas y Santa Lucia del Camino</t>
  </si>
  <si>
    <t>La lluvia severa y los fuertes vientos remanentes del ciclón tropical Isaac ocasionaron afectaciones en el sector hidráulico.</t>
  </si>
  <si>
    <t>Lerdo y Gomez Palacio</t>
  </si>
  <si>
    <t>El 13 de septiembre ocurrió una inundación que afectó a dos municipios del estado.</t>
  </si>
  <si>
    <t>Acajete, Banderilla, Tlalnehuayocan y Rafael Lucio.</t>
  </si>
  <si>
    <t>La lluvia ocasionó afectaciones sobre el sector hidráulico. Y fue necesario solicitar recursos para atender a la población de 4 municipios más.</t>
  </si>
  <si>
    <t>La Paz y Comondu</t>
  </si>
  <si>
    <t>El huracán Miriam ocasionó afectaciones sobre dos municipios del estado.</t>
  </si>
  <si>
    <t>Comondu, La Paz, Loreto, Los Cabos y Mulege</t>
  </si>
  <si>
    <t>A causa del huracán Paul fueron afectados varios sectores de la población entre los que destacan Vivienda, sector Hidráulico, Urbano, Carreteras, Deportivo, Cultural, Turismo y agropecuario.</t>
  </si>
  <si>
    <t>Acapulco, Zihuatanejo y Chilpancingo</t>
  </si>
  <si>
    <t>Debido a las fuertes lluvias fue necesaria la evacuación de 58 habitantes de una colonia ubicada en zonas de peligro, así mismo, en el municipio de Chilpancingo se registraron daños en 4 viviendas, 3 con daños parciales y una con daño total, por lo que se evacuó a 20 personas. Y enZihuatanejo también se presentaron daños parciales en algunas viviendas</t>
  </si>
  <si>
    <t>Angel R. Cabada, Catemaco, Minatitlan, 
Saltabarranca, San Andres Tuxtla y Santiago Tuxtla</t>
  </si>
  <si>
    <t>Debido a la lluvia ocurrida el 29 de enero fue necesario apoyar a 6 municipios con diversos insumos.</t>
  </si>
  <si>
    <t>Acajete, Banderilla, Jilotepec, Rafael Lucio y 
Tlacolulan</t>
  </si>
  <si>
    <t>Se presentó una lluvia severa que afectó a la población de cinco municipios.</t>
  </si>
  <si>
    <t>Bocoyna, Maguarichi, Moris y Ocampo</t>
  </si>
  <si>
    <t>Se presentó neveada que afectó a cuatro municipios del estado, por lo que se dotó de insumos a la población afectadas.</t>
  </si>
  <si>
    <t>Se registraron lluvias de moderadas a fuertes, afectando a 9 municipios, hasta el momento se reportan 399 viviendas esto por el desbordamiento del río Bobos, se informa que se mantienen 2 refugios temporales, uno en el municipio de Amatitlán con 15 personas y en Carlos A. Carrillo con 26 personas</t>
  </si>
  <si>
    <t>Atzacan</t>
  </si>
  <si>
    <t>Tlalnepantla de Baz</t>
  </si>
  <si>
    <t>Villa del Carbon</t>
  </si>
  <si>
    <t xml:space="preserve">Se registró una fuerte granizada en la comunidad de Taxhima y del municipio de Villa del Carbón, resultando 25 viviendas afectadas en sus techos por acumulación de granizo y desplome parcial de algunos. 170 personas fueron alojadas en el auditorio municipal a quienes se lesa poyó con alimentos y cobijas. </t>
  </si>
  <si>
    <t>Pachuca de Soto y Mineral de la Reforma</t>
  </si>
  <si>
    <t>Alas 18:00 hrs se registro una fuerte lluvia acompañada con granizo en el municipio de Mineral de la Reforma, en el poblado de Calera se reportan afectaciones a 3 viviendas por desplome de sus techos por acumulamiento y peso del granizo, asi como el techo de una bodega ubicada en el poblado de Palma Gorda a la altura del Km. 8, se brindo el apoyo por parte del municipio.</t>
  </si>
  <si>
    <t>Se registró a las 16:30 hrs., una granizada, debido a ello se realizó una evaluación de daños, informando que en la cabecera municipal, se registraron 18 viviendas y en la comunidad de Santa Bárbara, se registraron 22 viviendas, con afectaciones parciales.Asimismo se informa que se tiene un aproximado de 130 personas damnificadas.En la cabecera municipal,fueron albergadas a 4 personas integrantes de una familia, en un refugio temporal, ubicado en el Salón Parroquial.</t>
  </si>
  <si>
    <t>Ahumada</t>
  </si>
  <si>
    <t>Tolvanera que afecto la visibilidad en la Carr. Villa ahumada-Cd. Juarez km 260, ocasionando 1 choque multiple entre 1 trailer, 1 camion de pasajeros y 6 vehiculos particulares,  resultando 1 persona fallecida (sexo femenino de 30 años) y 12 mas lesionadas (sexo desconocido),  trasladadas a diversos hospitales de la zona.</t>
  </si>
  <si>
    <t>Chilpancingo de los Bravo</t>
  </si>
  <si>
    <t xml:space="preserve">Fuertes lluvias acompañadas de granizo provocaron en 17 colonias encharcamientos que alcanzaron un tirante de 70 cm, desplome de 9 techos de lamina y 1 barda. Solo 8 familias fueron apoyadas con laminas, madera, cobertores, colchonetas y despensas. </t>
  </si>
  <si>
    <t>xalapa</t>
  </si>
  <si>
    <t xml:space="preserve">Lluvia atipica acompañada de tormenta electrica, resultando 1 persona fallecida al instante (sexo masculino de 28 años) que se encontraba en un partido de futbol y fue alcanzado por 1 rayo, originario de la comunidad Acahuatal del municipio de Amatlan de los Reyes. </t>
  </si>
  <si>
    <t>Tehuacan y Zoquitlan</t>
  </si>
  <si>
    <t>Lluvias de moderadas a fuerte afectando a los municipios Tehuacan: 28 viviendas con techos de material endeble en la Col. San Miguel, activacion de 1 RT Comunidad de San Diego Chalma con 24 personas del sexo femenino y 4 menores (sexo desconocido), los cuales solo pasaron la noche y despues regresaron a sus domicilio. Axalpan: Sierra Negra 37 viviendas en sus techos y 200 ha de papalo Santa Maria Nativas. Se les brindo apoyo con laminas galvanizadas, despensas, colchonetas y cobertores.</t>
  </si>
  <si>
    <t>Lluvia con fuerte granizada, afectando 2 colonias, siendo la Col. Barrio de Pajaritos la mas afectada: 42 familias (210 personas) en sus techos de lamina de carton y galvanizada,  cristales rotos y abolladuras en automoviles; apoyadas con alimentos y laminas.</t>
  </si>
  <si>
    <t>Santa Maria Tlahuitoltepec</t>
  </si>
  <si>
    <t>Tormenta electrica y de granizo acompañada de lluvias en la Region Mixe, resultando 6 personas fallecidas: 3 del sexo femenino (7, 15 y 46 años) y 3 del sexo masculino (11, 20 y 27 años); 2 personas lesionadas (del sexo femenino de 6 años y del sexo masculino de 3 años) al caerles un rayo en su domicilio, Comunidad de la “Escobilla” y trasladadas al hospital de Tanazulapam del Progreso.</t>
  </si>
  <si>
    <t>Fuertes vientos de 119 km/h en varios puntos del municipio, provocaron 120 arboles caidos (algunos sobre edificios publicos, vehiculos  y/o viviendas), caida de cables de energia electrica y telefonia (provocando suspension temporal de servicios), daños en los techos de varias viviendas de material endeble, 12 personas atendidas por crisis nerviosa y ligeras cortaduras por la caida de cristales (sexo desconocido) y afectaciones en las Colonias: Centro, Moitzai, Juan Pablo II y Garcia Jimenez.</t>
  </si>
  <si>
    <t xml:space="preserve">Debido a la lluvia y fuerte granizada en la poblacion de California, el granizo que cayo fue del tamaño de una pelota de “Ping Pon”, resultando afectados los techos de carton y lamina de zinc de diversas viviendas, rotura de parabrisas de los automoviles, ganado ovino (muertos), y resultaron 2 personas lesionadas (1 con crisis nerviosa y otra lesiones leves). Preventivamente se instalo un RT en el que el DIF apoyo con cobertores. </t>
  </si>
  <si>
    <t>Xalapa, Martinez de la Torre y Tlapacoyan</t>
  </si>
  <si>
    <t>Fuertes lluvias en  varios municipios. En Martinez de la Torre: desbordamientos de arroyos, afectaciones a 320 viviendas con penetracion de lodo, en lineas vitales, se implemento 3 refugios temporales (650 personas),  son apoyadas por el DIF municipal y el Ayuntamiento con cobertores, colchonetas y alimentos, daños en enseres. En Tlapacoyan: 4 personas cayeron al rio San Bartolo y se encuentran desaparecidas, y se tiene un RT. Por parte de SEDENA se implementa el Plan DN-III.</t>
  </si>
  <si>
    <t xml:space="preserve">Las lluvias presentadas ocasionaron una subita crecida del afluente del Rio San Bartolo, provocando el arrastre de 4 personas cuando intentaban cruzarlo: 3 del sexo femenino (14, 38 y 62 años) y 1 del sexo masculino (39 años). </t>
  </si>
  <si>
    <t>Lluvias fuertes en la region de la Huasteca Hidalguense, que provoco la presencia de escurrimientos en los rios San Felipe y Tultitlan, ocasionando acumulacion de agua en 60 viviendas (principalmente daños en enseres), las familias fueron apoyadas con electrodomesticos y muebles.</t>
  </si>
  <si>
    <t xml:space="preserve">Granizada en la comunidad de Pie de Gallo, Del. Santa Jauregui, ocasionando daños en los techos de 25 viviendas y la perdida total de una vivienda, todas construidas con material endeble. Registrandose una persona lesionada al caerle una lamina en la cabeza, traslada para su atencion medica. Las familias afectadas se trasladaron con familiares y amigos. </t>
  </si>
  <si>
    <t>Colipa, Martinez de la Torre, Misantla Texistepec, Tonayan, Tlapacoyan y Yecuatla</t>
  </si>
  <si>
    <t>Las afectaciones que se registraron a causa de las lluvias fuertes registradas por la tarde noche, fueron en 7 municipios, 1,122 viviendas afectadas, 45 colonias afectadas, 75 comunidades afectadas, 3 comunidades incomunicadas, 3 corrientes desbordadas, 8 puentes afectados, 1 establecimientos afectado, 26 vias de comunicacion afectadas, 4 deslaves, 1 servicio estrategico afectado, 3 cultivos dañados.</t>
  </si>
  <si>
    <t>18 municipio</t>
  </si>
  <si>
    <t>Poblacion afectada por granizada y lluvia, en diversas Col. de varios municipios principalmente en cultivos y algunas viviendas en la zona rural, sobre todo en las casas con techo de lamina. Asi como, anegamientos arriba de las banquetas, en las principales vialidades, automoviles varados y Centros Comerciales. Resultando 17,900 personas afectadas, 2,112 viviendas, 45 colonias afectadas, 62 comunidades, 1 deslave, 1 escuela, 7 cultivos (de pastizal, maiz, frijol, papa, platano, arroz, caña de azucar) y 3 RT activados que refugio a 232 personas.</t>
  </si>
  <si>
    <t>Delegaciones Gustavo A. Madero, Benito Juarez, Venustiano Carranza, Cuauhtemoc y Miguel Hidalgo</t>
  </si>
  <si>
    <t>Lluvias y fuertes vientos, generaron las siguientes afectaciones: 68 arboles caidos, 8 espectaculares caidos, 6 fugas de gas Lp, 20 vehiculos daños, 6 derrumbes, cortes de energia electrica por caida de cableado, 26 personas lesionadas del CNTE, en la plancha del Zocalo, debido a que estaban mal colocadas sus carpas y esto ocasiono que les cayeran encima (de estas solo 1 fue trasladada para su atencion) y 7 personas mas por caida de ramas, (1 de ellas necesito traslado a un hospital), evacuacion preventiva de la Catedral Metropolitana y del Sagrario Metropolitano.</t>
  </si>
  <si>
    <t>Debido a la fuerte lluvia registrada acompañada de granizo en el municipio de Cadereyta, afecto las comunidades de Bollesito, resultaron 60 viviendas afectadas y del municipio de Chilar 2 viviendas en sus techos de material endeble y penetración de agua resultando un total de 100 familias afectadas.</t>
  </si>
  <si>
    <t>Chignahuapan</t>
  </si>
  <si>
    <t xml:space="preserve">Fuerte lluvia afectaron 90 viviendas en sus techos de material endeble y penetracion de agua, en las comunidades de Tenancingo y San Jose Corral Blanco, y en cultivos. Las familias afectadas se fueron con familiares y amigos.El estado y municipio brindaron el apoyo a las familias afectadas: mil despensas, 440 cobijas y 180 colchonetas, y laminas. </t>
  </si>
  <si>
    <t>soto la Marina</t>
  </si>
  <si>
    <t xml:space="preserve">A consecuencia de una tromba se efectaron 240 viviendas en techos de material endeble y con anegamientos de agua en las mismas y corte de energia electrica.  </t>
  </si>
  <si>
    <t>San Martin Texmelucan y Acatzingo</t>
  </si>
  <si>
    <t xml:space="preserve">Debido a las constantes lluvias en el municipio de San Martín Texmelucan se presento el desbordamiento del Río Atoyac, afectando 30 viviendas con penetración de agua y lodo, así mismo en el municipio de Acatzingo reportan 20 viviendas con penetración de agua. Cabe mencionar que en los dos casos solamente se presentaron afectaciones en enseres domésticos y no se implementaron refugios temporales. Las autoridades locales apoyaron a las familias afectadas. </t>
  </si>
  <si>
    <t>La Unión, Taxco, Pungarabato, Cutzamala, Tlapehuala, Zirándaro</t>
  </si>
  <si>
    <t>Se reporta el desfogue de la Presa La Villita, no se repostan afectacione en viviendas en las comunidades: Naranjo, Zacatula y San Francisco. En el Centro, se registra el crecimiento del Río Balsas en las comunidades de Mezcala. Tierra caliente, inundaciones en Querendas y Tlapeguala, Cutzamala, incremento del caudal del río. Norte: en Taxco, 5 personas arrastradas por intentar cruzar el río San Juan de Dios, vehículo VW verde, quedando un desaparecido.  En la comunidad Querendas, se reportan afectadas 4 viviendas con penetración de agua en un tirante de 80 cm, a consecuencia de la apertura de la Presa El  Gallo.</t>
  </si>
  <si>
    <t>Se registró un derrumbe sobre la carretera federal Tierra Colorada-Ayutla, se reportan 4 vehículos afectados, No hubo péridas humanas ni lesionados</t>
  </si>
  <si>
    <t xml:space="preserve">Lluvias provocaron que debido al cause de Av. Drim al cruce con Av. Federalismo, fuera 1 persona arrastrada (sexo masculino). En la Col. Mesa Colorada del Municipio de Zapopan, se presentaron 12 viviendas con penetracion de agua, asi como fallas del servicio de energia electrica y telefonia. </t>
  </si>
  <si>
    <t>Las lluvias fuertes que se registraron ocasionaron que 20 viviendas fueran afectadas con penetración de agua y lodo. Así como una caída de barda de 10 metros de largo y dos de altura  a un costado de la Escuela Primaria Leonardo Da Vinci. Debido a esta situación las personas afectadas 49 (adultos y menores) fueron evacuados y trasladados a un Refugio Temporal. El Gobierno Estatal ha proporcionado alimentos, cobijas cobertores, catres y agua, a las personas afectadas.</t>
  </si>
  <si>
    <t>Delegacion Magdalena Contreras</t>
  </si>
  <si>
    <t>Deslave en un cerro en la Col. Tierra Colorada en Andador Chabacano y Mirador, resultando 17 viviendas dañadas (12 con daños parciales y 5 perdida total), 17 familias afectadas (2 menores: sexo masculino de 2 y 5 años; y  2 de sexo femenino: una de 65 años y otra se desconoce la edad, trasladadas  para su atención) y 7 personas atendidas en el lugar por crisis nerviosas (sexo desconocido).  Las Familias afectadas fueron evacuadas a un RT (La Iglesia Tierra Colorada), entre ellos 31 personas adultas y 15 menores, que se les apoyo con 50 cobertores, cobijas, agua, cafe y pan.</t>
  </si>
  <si>
    <t>Se registró un deslizamiento de tierra, en la poblacion de “San Juan del Río Choapam”, perteneciente a la región de la Cuenca de Papaloapan, debido a las intensas lluvias que se presentaron desde el día de ayer.Se estima que generó daños a 5 viviendas, dejando a 3 personas lesionadas, dos mujeres de nombre Julia Sandoval Pacheco y Gorgonia Yescas Cruz, ambas de 45 años de edad y un menor de nombre Eduardo Yescas, de 12 años.</t>
  </si>
  <si>
    <t>Desgajamiento de cerro, debido a las constantes lluvias y a la saturacion de agua en el suelo,en la Col. Los Colorines, provocando que lodo y escombros afectaran a 3 viviendas, se evacuaron 10 personas al DIF de los Colorines (habilitado como refugio temporal).</t>
  </si>
  <si>
    <t xml:space="preserve">Desprendimiento de una roca que golpeo 1 barda cayendo sobre 1 vivienda, en la Comunidad de Tomatlan, por el reblandecimiento de tierra por las lluvias registradas en la entidad, resultando 2 personas fallecidas (sexo masculino de 6 y 11 años) y 1 persona elsionada (sexo masculino de 5 años), trasladado para su atencion. </t>
  </si>
  <si>
    <t>Fuertes lluvias provocaron el desbordamiento del rio Atoyac, a la altura de la Col. San Isidro, Solidaridad, San Lucas Atoyactenco y Domingo Arenas y la Junta Auxiliar San Cristobal Tepatlaxo, resultando 160 viviendas con penetracion de agua. Preventivamente se evacuaron 80 personasfectaciones en 160 viviendas, por penetración de agua.</t>
  </si>
  <si>
    <t>Tizapan el Alto</t>
  </si>
  <si>
    <t>Fuertes lluvias provocaron el desbordamiento de 1 arroyo (afluente del rio Tizapan), provocando penetracion de agua en 74 viviendas del ejido Emiliano Zapata, de las cuales 20 presentaron daños en sus enseres. Preventivamente, se evacuaron 80 personas, mismas que fueron llevadas a un RT.</t>
  </si>
  <si>
    <t>Santo Domingo Tonala</t>
  </si>
  <si>
    <t xml:space="preserve">Se reportó una persona fallecida de sexo femenino de 42 años ( por el momento se desconoce el nombre) en donde Autoridades Estatales informaron que se encontraba realizando labores de terreno, cuando fue impactada por el rayo. </t>
  </si>
  <si>
    <t>Romita</t>
  </si>
  <si>
    <t xml:space="preserve">Debido la caida de 1 rayo en el Rancho Los Barroso, resulto lesionado 1 persona (sexo masculino de 14 años), trasladado para su atencion. </t>
  </si>
  <si>
    <t>Zacatelco y Cuapiaxtla</t>
  </si>
  <si>
    <t>Derivado de las intensas lluvias se reportan daños en 35 viviendas con daño menor. Así mismo se instaló un refugio temporal, mismo que tuvo una afluencia de 7 personas.</t>
  </si>
  <si>
    <t>Fuerte lluvia registrada genero afectaciones en la Col. Loma Bonita: en la calle de Churubusco, resultaron 10 casas con penetracion de agua. En el Fracc. Begoña: 12 casas. En la Comunidad San Jose: 1 casa.</t>
  </si>
  <si>
    <t xml:space="preserve">Debido a las lluvias fuertes se presento anegacion y flujos de lodo en las Colonias Rio Grande, Malacates e nstituto Mexicano de Salud, afectando 15 viviendas con penetracion de agua y lodo (resultaron afectados en enseres domesticos), asi como encharcamientos en vialidades y en la Carr. Federal Tuxpan. Las familias se trasladaron a 1 refugio temporal en el Auditorio Municipal y se entregaron apoyos de alimentos y cobijas. </t>
  </si>
  <si>
    <t>San Juan de Sabinas</t>
  </si>
  <si>
    <t>Debido a las lluvias fuertes registradas en el municipio de Culiacán, se presento anegación en las siguientes colonias: Gabriel Leyva, Los malacates, Salamita, Lomas de Viqueras, Las cuacas, Los lirios y Mirador; debido a que se encuentran al margen de un arroyo y en zona baja. 18 casas reportan afectación debido a que el tirante de agua alcanzo hasta un metro de altura.</t>
  </si>
  <si>
    <t>Las lluvias de 51 mm, acompañadas de fuertes vientos en el pasado afecto 12 viviendas: 5 fueron por inundacióon y las otras por daños en los techos,
debido a los fuertes vientos. Ademas, de quedar sin energia electrica. 8 arboles caidos. 4 transformadores de energía eléctrica. 3 postes de energia electrica. 2 anuncios luminosos derribados.</t>
  </si>
  <si>
    <t>Luvias fuertes con granizo, tormenta electrica y fuertes vientos, causando la creciente del  Arroyo “Los sietes” ocasionando daños en 60 viviendas (principalmente en sus techos), en las comunidades: km 5, los Hoyos y Cumpas (2 familias se trasladaron al Salon Ejidal y a la Escuela Primaria de la localidad). El DIF municipal apoyo a las familias afectadas con plastico negro, para cubrir las viviendas, caida de 12 postes de energia electrica, arboles, cableado y varias mufas dañadas (suspension de luz).</t>
  </si>
  <si>
    <t>Chinipas</t>
  </si>
  <si>
    <t>Lluvia acompañada de una tormenta electrica en la Comunidad La Reforma, provocando la caida de 1 rayo a unos 6 m del domicilio de 1 persona (sexo femenino de 24 años), que fallecio instantaneamente al ser alcanzada por el este.</t>
  </si>
  <si>
    <t>Tumbala</t>
  </si>
  <si>
    <t>Lluvias acompañadas de fuertes vientos en la Comunidad “Cascadas de Agua Azul”, provocaron la caida de 1 arbol sobre 1 palapa de un restaurante, resultando 2 personas fallecidas (sexo femenino de 38 años y masculino de 15 años) y 3 personas lesionadas (sexo masculino: 2 de 49 años y 1 de 39 años), trasladadas al hospital.</t>
  </si>
  <si>
    <t>Santa Cruz de Juventino Rosas y Celaya</t>
  </si>
  <si>
    <t>Fuertes lluvias provocaron en el municipio de Juventino Rosas: penetracion de agua en 2 viviendas, en la calle Manuel Doblado de la Comunidad Pozos. En Celaya: arbol caido en la calle de Ignacio de Borunda, Col. Fovissste, derrumbe de 1 barda en la calle de Poniente 4 #118 en la empresa Monroe (50 m aprox. de la barda perimetral), desprendimiento de 1 lona afectando 3 vehiculos. Poste de TELMEX caido en las calles de Salvador Ortega esq. Av. Tecnologico. Derrumbe de techo de 1 vivienda en Calle de Aurelio Bonilla #159, Col. Ampliacion Emiliano Zapata, resultando 1 persona lesionada (sexo masculino de 6 años) al caerle una viga en la cabeza, trasladado para su atencion y la familia integrada por 4 personas evacuaron la vivienda. Inundacion menor de aprox. de 2 viviendas en la calle de Jazmin con el numero #547 y #549 y  de 15 viviendas en calles Presa Juriquilla, Presa de la Angostura, Presa de la Amistad y Presa de Mal Paso de la col. Alfredo Vazquez Bonfil.</t>
  </si>
  <si>
    <t xml:space="preserve">Sinaloa </t>
  </si>
  <si>
    <t>Derivado de las lluvias que se registraron en el poblado de Curimi de Portales perteneciente al municipio de Sinaloa de Leyva, resultaron afectadas entre 70 a 80 viviendas por inundación, con un tirante de entre 60 y 70 cm, resultando sólo con daños materiales</t>
  </si>
  <si>
    <t>Cuautlancingo</t>
  </si>
  <si>
    <r>
      <t>Las lluvias registradas ocasionaron anegaciones con un tirante de hasta 50 cm, Col. la Virgen, provocando penetracion</t>
    </r>
    <r>
      <rPr>
        <b/>
        <sz val="9"/>
        <rFont val="Arial"/>
        <family val="2"/>
      </rPr>
      <t xml:space="preserve"> </t>
    </r>
    <r>
      <rPr>
        <sz val="9"/>
        <rFont val="Arial"/>
        <family val="2"/>
      </rPr>
      <t xml:space="preserve">de agua a 25 viviendas, preventivamente se evacuo a las personas de dichas viviendas y se les proporciono despensas y cobijas. La avenida de agua arrastro a 2 menores de edad (Sexo desconocido) que jugaban en la calle y 1 taxi. </t>
    </r>
  </si>
  <si>
    <t>Villa Etla</t>
  </si>
  <si>
    <t>Se registraron lluvias moderadas acompañadas de una tormenta eléctrica, asimismo, se informa del fallecimiento del C. Marcelino Ramírez Garcia de 38 años por caída de rayo además provocando lesiones a Victoria Ramírez Garcia de 36 años y Rosalía Rojas Chavez de 38 años, las cuales fueron trasladadas al Hospital Civil de la Ciudad de Oaxaca para su valoración y atención medica.</t>
  </si>
  <si>
    <t>Lluvias que presentaron afectaciones en 40 carros arrastrados por el agua, 35 casas y 40 negocios con penetracion de agua y lodo. Apoyados por gobiernos estatales y municipales.</t>
  </si>
  <si>
    <t xml:space="preserve">Fuertes lluvias incremento el arroyo Jalpilla, saliendose de su cause a la altura del puente CECYTEG, provocando en la Comunidad de Jalpilla la evacuacion de 11 personas de 3 viviendas, trasladads con sus familiares. </t>
  </si>
  <si>
    <t>Se presentó una fuerte lluvia, provocando tirantes de 30 a 40 cm, en diversas zonas de la colonia Fuentesuelas, además de penetración de agua en 3 domicilios, ubicados entre las calles Josefa Ortiz de Dominguez, Melchor Ocampo e Hidalgo en el municipio de Tequisquiapan. El H. Ayuntamiento a poyo a las personas afectadas con kits de limpieza, colchonetas y cobertores</t>
  </si>
  <si>
    <t>Debido a las lluvias se registró el llenado del  bordo “La Fuente” el cual se encuentra a un 100 % de su capacidad, debido a esto la calle Miguel Hidalgo presentó inundación con una tirante de hasta 40 cm. Debido a ello fue necesario evacuar a 30 familias de las cuales 5 familias fueron llevadas aun RT y 25 mas se refugiaron con familiares.</t>
  </si>
  <si>
    <t>Abasolo, Irapuato, Penjamo, Dolores Hidalgo y San Francisco del Rincon.</t>
  </si>
  <si>
    <t>Las lluvias registradas afectaron a los muncipios de Abasolo: 2 vivivendas con penetracion de agua y 1 persona lesionada. Irapuato: 17 viviendas con penetracion de agua. En Penjamo: 1 Centro de Salud y el Jardin de Niños de la Col. Morelos, 1 vivienda y 1 tienda en la comunidad Churincillo. En Dolores Hidalgo: Derrumbe de rocas en la Carr. Estatal Dolores- Guanajuato altura comunidad Peña Colorada y Ojo de Agua de Calvillo. En San Francisco del Rincon: 3 bordos con ruptura en el Rancho San Cristobal, afectando 2 viviendas con inundacion.</t>
  </si>
  <si>
    <t>Hidalgo del Parral</t>
  </si>
  <si>
    <t>Las fuertes lluvias ocasionaron el desbordamiento del arroyo Las Adelitas en la Col. Heroes de la Revolucion, penetrando el agua a 12 viviendas (tirante 80 cm de altura), no fue necesario la evacuacion de 60 personas (sexo desconocido) que habitaban las viviendas ya que el Cuerpo de Bomberos coloco bombas de achique, para sacar el agua de los domicilios afectados.</t>
  </si>
  <si>
    <t>Cd. Altamirano</t>
  </si>
  <si>
    <t xml:space="preserve">Se informa de fuertes lluvias afectando 15 viviendas de 4 colonias, no se reportan afectaciones mayores </t>
  </si>
  <si>
    <t>Chilpancingo y Acapulco</t>
  </si>
  <si>
    <t>Debido a las fuertes lluvias se registraron afectaciones en 15 viviendas, así mismo se reporto el fallecimiento de una persona</t>
  </si>
  <si>
    <t>Fuertes lluvias con vientos fuertes provocaron acumulamiento de agua del arroyo Tecolotero, al tratar de cruzar 1 persona (sexo femenino), fue arrastrada y se ahogo, ademas de resultar 18 arboles caidos.</t>
  </si>
  <si>
    <t>Derrumbe en el tramo de la Carr. libre Durango-Mazatlan. Km 194 que provoco el cierre de la circulacion vehicular en ambos sentidos, provocando 230 vehiculos a quienes se les proporciono cobijas, agua potable y liquidos calientes, así como 1 persona fallecida al caer el material desprendido en el trailer que conducia.</t>
  </si>
  <si>
    <t>Se registró una lluvia acompañada de actividad eléctrica, derivado de ello se registró el fallecimiento de una mujer de 69 años por caída de rayo,</t>
  </si>
  <si>
    <t>Derivado de las lluvias fuertes se afectaron 9 viviendas y se afectaron a 52 personas (27 adultos y 25
menores), 12 de ellos se trasladaron al RT del Centro Gerontologico. Se proporciono a las familias afectadas, 30 Colchones, 106 Cobertores y 9 Parrillas.</t>
  </si>
  <si>
    <t>Nacozari de Garcia</t>
  </si>
  <si>
    <t>Se registró una fuerte lluvia acompañada de vientos fuertes y tormenta eléctrica. Un rayo derribó el tendido eléctrico (trozando el cableado), además ocasionando daño en 3 mufas y provocando el colapso total de un techo de una casa habitación.</t>
  </si>
  <si>
    <t>Calpulalpan, Tepetitla de Lardizabal, Nativitas, Nanacamilpa de Mariano Arista e Ixtacuixtla de Mariano de Matamoros</t>
  </si>
  <si>
    <t>Fuertes lluvias incremento el nivel del rio Atotonilco, ocasionando desbordamiento del mismo, resultando daños en 200 viviendas (techos y estructuras), asi como afectaciones en tuberias y vialidades, encharcamientos en zonas bajas. Se tiene 2 refugio temporal, y fueron apoyadas por parte del gobierno.</t>
  </si>
  <si>
    <t>Ajuchitlan del Progreso y Coyuca de Catalan</t>
  </si>
  <si>
    <t>Fuertes lluvias acompañadas de vientos provoco en Ajuchitlan del Progreso afectaciones en 3 viviendas (apoyadas con 20 colchonetas, 6 cobertores, 2 despensas, kits de limpieza y 4 pacas de lamina de carton); y afecto en Coyuca de Catalan los techos de laminas (carton) de 3 viviendas (apoyadas con 40 pacas de lamina de carton, 20 cobertores y 20 kits de limpieza). A traves, del Fondo Solidario de Contingencias del estado.</t>
  </si>
  <si>
    <t>Se registró una tormenta local, la fuerte lluvia provocó el desbordamiento de la barranca conocida como agua fría causando introducción de agua y lodo en viviendas en la localidad de San Sebastián, así como la muerte de 2 personas  y una más desaparecida. Se activaron los planes de emergencia enviando personal al lugar para apoyar en la búsqueda de las víctimas y  atender a la población que resultó afectada. Se tiene un preliminar de 45 viviendas con afectaciones en la comunidad de San Sebastián por introducción de agua y lodo, por lo que se activó un refugio temporal en el comedor comunitario donde prevalecen 7 familias un total de 37 personas.</t>
  </si>
  <si>
    <t xml:space="preserve">Lerdo </t>
  </si>
  <si>
    <t>Debido a las fuertes lluvias y a las bajadas de agua de las partes altas de la sierra Las Lajas, afectaron a 30 familias (30 domicilios construidos, de material endeble, adobe, carrizo y madera), por el anegamiento en su interior y daños en sus enseres, colapso de algunos techos y bardas de adobe. Preventivamente, se habilitaron refugios temporales en la oficina ejidal de la localidad y en la oficina de la junta de municipal, asistiendo de 10 a 12 personas momentaneamente, se les proporciono colchonetas, cobertores y despensas.</t>
  </si>
  <si>
    <t xml:space="preserve">Debido a las fuertes lluvias en la Zona Urbana Ejidal de Santa Marta, se registraron en la calle Jose Peñon del Valle 27 domicilios afectados, por penetracion e agua, asi como en 13 vehiculos.  </t>
  </si>
  <si>
    <t>Huachinango</t>
  </si>
  <si>
    <t>Se registró un deslizamiento en un camino rural de la comunidad de Coacuila, mismo que ocasiono la muerte de un hombre de 55 años de edad.</t>
  </si>
  <si>
    <t>Fuertes lluvias con presencia de granizo registradas en la comunidad de Aldama, provocaron el desbordamiento del arroyo el panteon, inundando 17 viviendas por encontrarse en zonas en declive: 9 en el Camino Real, 2 en calle San Martin, 2 en calle San Francisco, 2 en calle San Cleriano,  2 en calle Vallarta y daño estructural de 1 barda perimetral y penetracion de agua a 1 vehiculo Grand Marquis. Preventivamente se evacuo a 50 personas, se habilito 1 RT en la iglesia de Santiago Apostol.</t>
  </si>
  <si>
    <t xml:space="preserve">Las lluvias acompañadas de actividad electrica, en la Comunidad Pila de los Arboles, se registro la caida de un rayo, falleciendo 1 persona (sexo masculino de 60 años) y 1 lesionada (sexo femenino de 58 años), trasladada para su atencion. </t>
  </si>
  <si>
    <t>Tlaquepaque, Tlajomulco de Zuñiga y Atotonilco el Alto</t>
  </si>
  <si>
    <t>Las lluvias registradas en la entidad, provocaron afectaciones en el municipio de Tlaquepaque: en la zona industrial y Cerro de Cuatro se presento una descarga de agua ocasionando que los carros que circulaban en la Av. Principal quedaran varados. En la Col. El Vergel 35 viviendas, con penetracion de agua y el desbordamiento del Arroyo Grande, afectando las Col. Artesanos, afectando 20 viviendas por penetracion de agua, Mira Valles afectaciones en via publica provocando en las Colonias Quinta Velarde,  Las Conchas, La Nogalera, El Dean, problemas en la circulacion vial, quedando varados algunos vehiculos. Asi como 25 arboles caidos. En Tlajomulco de Zuñiga:  Col. la Gigantera 4 viviendas presentaron penetracion de agua y Atotonilco el Alto en su Zona Centro se reportan inundaciones, en 40 locales ubicados en Calle Independencia y en 2 viviendas.</t>
  </si>
  <si>
    <t>La precipitación registrada el día de ayer, misma que fue de 46 mm. en Hermosillo, ocasionó que el cauce del arroyo de las víboras se incrementara y con ello el arrastre de tres menores, dos de ellos fallecieron y uno mas resulto lesionado. Así mismo se reportan 14 viviendas con daño menor.</t>
  </si>
  <si>
    <t>San Jose de Gracia</t>
  </si>
  <si>
    <t xml:space="preserve">Las fuertes  lluvias ocasionaron la crecida del rio Potrero de los Lopez en la Comunidad de Paredes, resultando 1 persona fallecida (sexo masculino de 15 años), arrastrada por la corriente cuando intentaba cruzar al otro lado del rio. </t>
  </si>
  <si>
    <t>Fuertes lluvias provocaron el crecimiento del Rio Jaral, al abrir la compuerta en la Col. El Jaral provoco su desbordamiento, afectando 22 viviendas en la Col. Jaral, y la Col. Villas de la Hacienda.</t>
  </si>
  <si>
    <t>Acambaro, Dolores Hidalgo, San Diego de la Union, Irapuato y Cueramaro</t>
  </si>
  <si>
    <t>Las lluvias registradas afectaron a los municipios de Irapuato: penetracion de agua en 1 vivienda en la Col. Plan Gto. y 2 viviendas en la Col. Los Hoyos. En Cueramaro: 9 viviendas con penetracion de agua. En Acambaro: afecto solo cultivo. En Dolores Hidalgo: 23 casas por acumulación de agua (6 con daños estructurales, 4 de techos y 2 en barda perimetral), 133 damnificados y se activo 1 RT en el Auditorio Municipal “Mariano Abasolo” con 4 personas. En San Diego de la Union: 84 casas por acumulacion de agua (2 colapsadas, 9 con daño en paredes), 2 pozos de agua contaminados y 420 personas damnificadas.</t>
  </si>
  <si>
    <t xml:space="preserve">Ometepec e Igualapa </t>
  </si>
  <si>
    <t>Se registraron fuertes lluvias en los municipios de Ometepec e Igualapa ocasionando la muerte de una mujer de 80 años que fue arrastrada por la corriente de un arroyo que se desbordo. 16 viviendas sufrieron daños.</t>
  </si>
  <si>
    <t xml:space="preserve">Fuertes lluvias provocaron la creciente del Rio Chalma, en la Col. Providencia resultando 40 viviendas afectadas, se activo 1 Refugio temporal en la Escuela "Icatmor", albergando a 200 personas (sexo desconocido). Se les proporciono por parte del Estado y el Municipio comida, colchonetas, cobertores y material de limpieza.
</t>
  </si>
  <si>
    <t>Tlacotepec, San Miguel Totoloapan, Atoyac.</t>
  </si>
  <si>
    <t>Se registraron afectaciones en los techos  de carton de 145 viviendas,   debido a la fuerte lluvia que acompañada de granizo cayo por espacio de una hora en las Localidades de  El frío 70 viviendas, Margarita 10 viviendas, Primavera 30 Viviendas y Capulines 35 viviendas;  en la brecha de terraceria de Chilpancinguito-Durazno De san Valentin se registraron algunos derrumbes afectando el paso vehicular,  todas en el municipio de Tlacotepec. En San Miguel Totolapan en la población de Campamento de Vaca. Una persona  de 23 años resulto lesionada por la caida de un rayo sobre su vivienda.</t>
  </si>
  <si>
    <t>El sismo registrado en el estado de Oaxaca también ocasiono algunos percances en el vecino estado de Guerrero, en dónde se registró el derrumbe de una vivienda ocasionando lesiones a una persona que se encontraba en su interior.</t>
  </si>
  <si>
    <t>Debido a la fuerte lluvia registradas el día lunes 6 de agosto Una señora de 35 años sus dos hijos de 17 y 6 años, quienes al intentar cruzar por la Avenida Orizaba y Calle 5 de mayo, fueron arrastrados por la corriente  hacia un canal de aguas negras que desemboca en la Barranca San Isidro y la cual tiene una caída de 70 mts. aproximadamente en el Rio Orizaba, los cuerpos de los menores fueron encontrados sobre el río Orizaba.</t>
  </si>
  <si>
    <t>Yahualica</t>
  </si>
  <si>
    <t>Deslave de tierra, registrado en la Comunidad de Santa
Teresa, afectando 42 viviendas, y 360 personas afectadas y 1 persona fallecida (sexo femenino de 74 años), debido a las lluvias y reblandecimiento de suelo, 150 de ellas han logrado regresar a sus viviendas las cuales sufrieron daños mínimos. Se habilito 1 RT en la Escuela Primaria Bilingúe Nazahualcoyotl. Se implemento el Plam DNIII</t>
  </si>
  <si>
    <t xml:space="preserve">134 municipios </t>
  </si>
  <si>
    <t>Las afectaciones de la tormenta tropical Ernesto provoco el desbordamiento de los rios Valle nacional, rio chiquito y el sabin, asi como colapso de puentes, y desgajamiento de un cerro sobre 2 viviendas, de la comunidad de Santiago Tecaltzingo, falleciendo 3 personas (2 del sexo masculino de 6 y 12 años, y 1 del sexo femenino de 8 años), que se encontraban en una de las viviendas
afectadas.</t>
  </si>
  <si>
    <t xml:space="preserve">Incremento del Rio Chalma, debido a las fuertes lluvias que se registraron en el Edo. de México, reportandose 21 viviendas con penetracion de agua. </t>
  </si>
  <si>
    <t>Tenancingo y Tenango</t>
  </si>
  <si>
    <t>Las fuertes lluvias ocasionaron petracion de agua en 200 viviendas del municipio de Tenancingo y 30 del municipio de Tenango, preventivamente 200 familias se evacuaron, trasladadas con sus familiares y amigos. Deichas familias fueron apoyadas por el municipio y el estado con colchonetas, cobertores y despensas.</t>
  </si>
  <si>
    <t>Luis Moya, General Panfilo Natera, Luis Moya, Tlaltenango de Sanchez Roman, Calera, Guadalupe, Panuco, Vetagrande y Villa Gonzalez Ortega</t>
  </si>
  <si>
    <t>Debido a las fuertes lluvias se registro un acumulamiento de agua en varios causes de arroyos, el arroyo de nombre El Coecillo, rebaso su nivel critico provocando que en la parte alta se desbordara afectando vivendas con daños menores, resultando afectadas 13, 510 personas y 2702 viviendas.</t>
  </si>
  <si>
    <t>San Luis de La Paz</t>
  </si>
  <si>
    <t xml:space="preserve">Tormenta electrica que provoco la caida de 2 rayos en la Comunidad Pozo-Blanco a la altura del puente de ferrocarril provocando el fallecimiento de 1 persona (sexo masculino de 18 años) y otra leionada en la Comunidad Pringon (sexo masculino de 15 años), trasladada para su atencion. </t>
  </si>
  <si>
    <t>Arrastre de 2 personas, derivado de un deslave de un cerro y el desbordamiento de una corriente, que se localiza en la comunidad Coetzapotitla, en el municipio de Coetzala; 65 años 15 años, perdieron la vida al intentar cruzar la corriente, ellos fueron arrastrados por la corriente, muriendo ahogados.</t>
  </si>
  <si>
    <t>Cuencame y Poanas</t>
  </si>
  <si>
    <t xml:space="preserve">Lluvias fuertes presentadas el 7 y 8 de agosto, ocasionaron penetracion de agua, en 300 viviendas aprox. de los poblados de La Joya y Cuauhtemoc, mismas que se les distribuyo cobijas, colchonetas, agua embotellada y despensas. </t>
  </si>
  <si>
    <t>Lluvias fuertes provocaron el desbordamiento del arroyo  Buñiga y de la presa Peñon, siendo necesario habilitar 2 RT (Palacio Municipal y la Iglesia), administrados por el DIF y en los que se trasladaron 40 familias de las Col. Juana Gomez, Infonavit Buenos Aires y el Malecon, resultaron 150 viviendas afectadas por penetración de agua.</t>
  </si>
  <si>
    <t>Guasave, Angostura, Sinaloa  y Mazatlan</t>
  </si>
  <si>
    <t>Derivado de las intensas lluvias se presentaron encharcamientos en diversas zonas de los municipios mencionados. Fue necesaria la evacuación preventiva de 1,150 personas, así mismo se intalaron dos refugios temporales en los que se albergaron 250 personas.</t>
  </si>
  <si>
    <t>San Miguel de Horcasitas y Hermosillo</t>
  </si>
  <si>
    <t xml:space="preserve">Se reportan 2 viviendas afectadas, dejando a 7 personas atrapadas en un árbol, bajando ellas por su propio pie, en cuanto bajo el nivel del rio, las personas quedaron a salvo, sin alguna otra complicación. En Hermosillo se evacuaron a 4 familias cercanas el arroyo Pesqueira, debido a que la crecida de estos ponía en peligro a esas familias, las cuales se negaron a ir a un alberge. </t>
  </si>
  <si>
    <t>Las lluvias registradas desbordaron el canal Rio San Juan, afectando 8 viviendas por penetracion de agua.</t>
  </si>
  <si>
    <t>Cuernavaca, Yautepec, Emiliano Zapata y Jiutepec</t>
  </si>
  <si>
    <t>Las fuertes lluvias registradas genero daños en el municipio de Cuernavaca: afectaciones en las colonias Flores Magon, Tulipanes y Santa Martha, resultando calles anegadas, 10 locales comerciales y 10 casas con encharcamientos. En Yautepec: Col. Centro con 4 casas encharcadas. En Zapata: Col. Centro y Capiri de 7 a 8 casas resultaron encharcadas. En Jiutepec: desbordo de la Barranca “La Gachupina” afectando de 20 a 30 viviendas en sus enseres domesticos.</t>
  </si>
  <si>
    <t xml:space="preserve">Debido a las lluvias y desbordamiento de un arroyo, en la Comunidad de Cuamio, resultaron 200 viviendas afectadas, por penetracion de agua y lodo. Preventivamente se habilitaron 2 refugios temporales (sin necesidad de ocuparlos). </t>
  </si>
  <si>
    <t>Comundu</t>
  </si>
  <si>
    <t>Lluvia acompañada de actividad electrica en la Comunidad de Cd. Insurgentes, ocaionando eñ fallecimiento de 2 personas (sexo masculino de 28 y 34 años) por caida de 1 rayo y 1 persona lesionada (sexo masculino) de 27 años, mismas que viajaban en un vehiculo que quedo atascado y al intenar seguir su marcha fueron alzados por el rayo.</t>
  </si>
  <si>
    <t>Chinicuila</t>
  </si>
  <si>
    <t>Debido a las lluvias registradas, desbordandose el Rio que atraviesa el pueblo, resultando 1 persona arrastrada (sexo masculino de 13 años), cuando caminaba con su padre; ademas de 10 casas afectadas y la caida de 1 puente.</t>
  </si>
  <si>
    <t>Guadalajara, Tlajomulco de Zuñiga y Zapopan</t>
  </si>
  <si>
    <t xml:space="preserve">Las lluvias fuertes registradas en la entidad provocaron afectaciones en el municipio de 
Tlajomulco: Fracc. Valle del Eucalipto, con 9 viviendas con penetracion de agua, Zapopan: Col. La Primavera, con 33 viviendas con penetracion de agua, Col. Carlos Rivera Aceves, con 174 viviendas con penetracion de agua; y Guadalajara: con encharcamientos en calles y vialidades principales. </t>
  </si>
  <si>
    <t>Fuertes lluvias afectaron a la Comunidad de Tehuixtla con un ligero deslave de tierra y lodo, afectando a 15 viviendas de material endeble que presentaron daños parciales, así como en una secundaria, primaria y kinder con penetracion de agua (suspendiendo las clases), y 5 viviendas mas presentaron inundaciones.</t>
  </si>
  <si>
    <t>Calakmul, Champoton, Escarcega, Candelaria, Carmen, Palizada y Campeche</t>
  </si>
  <si>
    <t>A causa del huracán Ernesto en el estado fueron aefctados los sectores educativo, hidráulico y carretero.</t>
  </si>
  <si>
    <t>Candelaria de los Loxicha</t>
  </si>
  <si>
    <t>Una vivienda quedo sepultada debido a un derrumbe del talud. Falleciendo una familia la cual quedo bajo los escombros, integrada por Silvia Juárez de 40 años, Gonzalo Martínez de 20 años, Ailin N de 6 meses y Francisco NN de 5 años. Así como se reportan lesionados a Domingo Martínez, Adaneli  y Domingo Martínez Juárez de 15 y 14 años respectivamente.</t>
  </si>
  <si>
    <t xml:space="preserve">Derivado de las lluvias registradas del pasado domingo, se presentó un desgajamiento de cerro en el municipio Candelaria de los Loxicha, el cual afecto 10 viviendas con perdida total, así mismo se reporta una persona fallecida de nombre Noé Garcia Hernandez de 24 años, autoridades Estatales y Municipales realizan diversos recorridos en las zonas afectadas,  las familias damnificadas se refugiaron, algunas con familiares otras en el Palacio Municipal. </t>
  </si>
  <si>
    <t>Coahuitlan</t>
  </si>
  <si>
    <t>Un cerro se desgajo afectando una vivienda resultando sepultadas dos menores de 8 Y 6 años, las cuales sus cuerpos ya fueron recuperados</t>
  </si>
  <si>
    <t>El Fuerte y Guasave</t>
  </si>
  <si>
    <t>se registró la muerte de 2 personas por caída de rayo, una en el municipio de El Fuerte y otra en Guasave. Los dos fallecidos eran de sexo masculino de 77 y 54 años.</t>
  </si>
  <si>
    <t>Cuernavaca y Huitzilac</t>
  </si>
  <si>
    <t>Las fuertes lluvias en el municipio de Cuernavaca y zona metropolitana generaron un incremento de los causes de barrancas. En Cuernavaca 40 viviendas de las colonias Buenavista, Ocotepec y Bellavista, presentaran penetracion de agua; y en Huitzilac en el Paraje Columpios la crecida de una barranca, provoco el arrastre de 1 camioneta en la que viajaban 2 personas, de las cuales 1 salio del vehiculo (sexo femenino) y otra fallecio al ser arrastrada (Sexo masculino de 18 años).</t>
  </si>
  <si>
    <t>Antiguo Morelos</t>
  </si>
  <si>
    <t>Se registraron lluvias de moderadas a fuertes acompañadas de tormentas eléctricas, lo que ocasionó la caída de un rayo en un domicilio causando la muerte de 2 hombres que tomaban café en el interior de su vivienda construida de palma.</t>
  </si>
  <si>
    <t>Acajete, Angel R. Cabada, Atzalan, Banderilla, Jilotepec, Naranjal, San andres Tuxtla, Tlalnehuayocan, Rafael lucio, Xalapa y Zongolica.</t>
  </si>
  <si>
    <t>Fuertes lluvias afectando 895 viviendas, 11 municipios, 34 colonias, 24 comunidades, 2 deslaves, 2 escuelas, 3 bardas caidas, 31 vias de comunicación, 2 servicios estrategicos y 2 corrientes desbordadas . Se activaron 4 RT (en Banderilla, El Naranjal, San Andres y Xalapa).</t>
  </si>
  <si>
    <t xml:space="preserve">Lluvia fuerte acompañada de viento, provocado por la onda tropical No. 14, afecto los fraccs. Alamos, Vergel, Arboledas y Cedros, localizados detras de la subestacion electrica Kala. Debido a los encharcamientos en la zona entre 20-30 cm y 50 (en la zona mas baja), se evacuaron 20 familias de sus viviendas. Asimismo, en la comunidad de Xictu, se reporaron 20 viviendas con penetracion de agua y en tramos carreteros con encharcamientos. </t>
  </si>
  <si>
    <t>Las lluvias registradas afectaron a la comunidad  “El Limonar”, provocando que el Rio el Sabinal subiera su nivel, colapsando el puente vehicular en el km 25 del tramo Carretero Chicomuselo-Union Buena Vista, presentandose un deslizamientos de tierra en los Km. 43, 45 y 46 , interrumpiendose el paso vehicular. En la Comunidad Sn. Fco. Las Palmas, el Rio Sabinal incremento su nivel, desbordando e inundando 9 viviendas alcanzando un tirante entre  20 y 50 cm y afectaciones al puente de Hamaca de aprox. 30 m de largo. En la Comunidad Rosario Buenavista se registro el incremento del nivel del Rio el Sabinal que provoco su desbordamiento y con el daño que sufrio el Puente Hamaca,aproximadamente se afectaron 500 personas.</t>
  </si>
  <si>
    <t>Debido a las fuertes lluvias  registradas ayer se reportaron encharcamientos y en zonas bajas penetración de agua en 51 viviendas en la comunidad Xicotencatl, mismas que se cuantificaron como daño menor y en enseres domésticos.</t>
  </si>
  <si>
    <t xml:space="preserve">Lluvias fuertes en la zona sur de la capital, afectando 80 viviendas con penetracion de agua, arboles caidos y anuncios espectaculares, en la Col. Leonardo Coca, resultando 1 persona fallecida por un infarto (sexo masculino de 80 años). </t>
  </si>
  <si>
    <t>San Juan del Rio</t>
  </si>
  <si>
    <t>Técpan de Galeana/ Benito Juárez</t>
  </si>
  <si>
    <t xml:space="preserve">SISMO Magnitud 6.0 Loc 22 km al SUR de TECPAN, GRO 11/12/22 08:31:30 Lat 17.02 Lon -100.66 Pf 5 km
Reporte de daños:
Guerrero: 
• 6 viviendas con daños en acabados y fisuras (1 Técpan de Galeana, 5 Benito Juárez) 
• Fallas en el servicio eléctrico en algunas colonias y en el Hospital Básico de Técpan de Galeana, ya atendidos por CFE.
</t>
  </si>
  <si>
    <t>Derivado de las bajas temperaturas se registraron 5 muertes en el estado, 4 por intoxicación y una por hipotermia</t>
  </si>
  <si>
    <t>Derivado de las bajas temperaturas se registraron 30 muertes en el estado, 16 por intoxicación, 9 por hipotermia y 5 por quemaduras</t>
  </si>
  <si>
    <t>Derivado de las bajas temperaturas se registraron 3 muertes en el estado, 2 por intoxicación y una por hipotermia</t>
  </si>
  <si>
    <t>Derivado de las bajas temperaturas se registro una muerte en el estado por hipotermia</t>
  </si>
  <si>
    <t>Derivado de las bajas temperaturas se registraron 2 muertes en el estado, una por intoxicación y una por hipotermia</t>
  </si>
  <si>
    <t>Derivado de las bajas temperaturas se registraron 7 muertes en el estado, 6 por intoxicación y una por hipotermia</t>
  </si>
  <si>
    <t>Como consecuencia de las altas temperaturas se reportaron tres muertes por golpe de calor</t>
  </si>
  <si>
    <t>Como consecuencia de las altas temperaturas se reporto una muerte por golpe de calor</t>
  </si>
  <si>
    <t>Como consecuencia de las altas temperaturas se reporto una muerte por Agotamiento y 9 por golpe de calor.</t>
  </si>
  <si>
    <t>Ocotepec, Pichucalco, Reforma y San Cristobal de las Casas</t>
  </si>
  <si>
    <t>A causa del huracán Ernesto en el estado fueron aefctados los sectores vivienda, hidráulico y carretero.</t>
  </si>
  <si>
    <t>Felipe Carrillo Puerto y Othon P. Blanco</t>
  </si>
  <si>
    <t xml:space="preserve">El huracán Ernesto afectó a los sectores hidráulico, carretero y naval. </t>
  </si>
  <si>
    <t>Playa Vicente</t>
  </si>
  <si>
    <t>La lluvia afectó al sector hidráulico y carretero.</t>
  </si>
  <si>
    <t>Delicias y Meoqui</t>
  </si>
  <si>
    <t>Se registró una intensa sequía por lo que fue necesario delcarar en desastre a ambos municipios, con el fin de invertir en infraestructura hidráulica para la construcción de pozos.</t>
  </si>
  <si>
    <t>Magdalena Mixtepec,  Totontepec Villa de Morelos y Magdalena Peñasco</t>
  </si>
  <si>
    <t>Se registraron deslizamientos de laderas en los municipios mencionados, por lo que se declararon en desastre con el fin de apoyar las viviendas afectadas y resarcir los daños en la infraestructura carretera</t>
  </si>
  <si>
    <t>Santiago Comotlan y Santa María Tlahuitoltepec</t>
  </si>
  <si>
    <t>Se registró el movimiento de laderas en los municipios mencionados, por lo que se declararon en desastre con el fin de resarcir los daños en vivienda e infraestructura carretera</t>
  </si>
  <si>
    <t>San Baltazar Yatzachi el Bajo</t>
  </si>
  <si>
    <t>Se registró un sismo que causó daño total en una vivienda. El Fonden apoyó con 249,600 pesos para su reubicación.</t>
  </si>
  <si>
    <t>19</t>
  </si>
  <si>
    <t>Los cultivos afectados por la lluvia torrencial que se presentó el mes de septiembre de 2013, principalmente fueron el maíz, sorgo y soya y los daños que sufrieron, se debieron a la inundación y exceso de humedad, así provocando daños en la producción agrícola que estaba por cosecharse. Se tuvo una pobalción indigena afectada de 2,537 personas.</t>
  </si>
  <si>
    <t>Los cultivos que fueron afectados y los daños que sufrieron debido a la inundación de este fenómeno meteorológico son: noche buena, cempazuchitl, romero, ruda, millonarias, elias, belen, jitomate, durantas, amaranto de ornato, lechuga,verdologa, espinaca, calabaza y chile.</t>
  </si>
  <si>
    <t>43</t>
  </si>
  <si>
    <t>Los cultivos afectados y dañados debido la lluvia torrencial  son: sorgo,maíz,frijol,soya,tomate,chile,papaya,caña de azúcar y papaya y otras  actividad agropecuarias en sus diferentes actividades como en los cultivos de camarón, tilapia y bagre se afectaron las jaulas y la liberación de organismos.</t>
  </si>
  <si>
    <t xml:space="preserve"> 13,637.00 
</t>
  </si>
  <si>
    <t>Los cultivos que fueron afectados y los daños que sufrieron debido a la sequía son: cártamo de otoño-invierno de temporal, sufriendo muerte el tejido vegetal por lo que la sequía impidio el desarrollo del cultivo.</t>
  </si>
  <si>
    <t>López y Rosales</t>
  </si>
  <si>
    <t>Los cultivos afectados debida a la fuerte granizada son de hortalizas, trigo y alfalfa con afectaciones de un 90% en su cosecha.</t>
  </si>
  <si>
    <t>13</t>
  </si>
  <si>
    <t>Los cultivos gravemente afectados a los cultivos por etapa frenológica en que se encontraban se mermo la producción, debido a las fuerte granizada.</t>
  </si>
  <si>
    <t>38</t>
  </si>
  <si>
    <t>Los cultivos gravemente afectados debido al las bajas temperaturas de -9 °C y -1  °C, son los siguientes: alcatraz, calabaza, chile, frijol, haba, maíz, papa y tomate y así como los cultivos perennes de aguacate, café, caña, chayote y platano dañados irreversiblemente.</t>
  </si>
  <si>
    <t>Armería,Coquimatlán,Ixtlahuacán,Manzanilly Tecomán.</t>
  </si>
  <si>
    <t>Los cultivos afectados por el fenómeno meteorológico, debido a la fuerte sequía presentada en  los municipios de Armería,Coquimatlán, Ixtlahuacán, Manzanillo y Tecomán ya que tuvieron daños de clorocis, perdida de producción y muerte de las plantas.</t>
  </si>
  <si>
    <t>10</t>
  </si>
  <si>
    <t>Los cultivos afectados por el fenómeno meteorológico presentado de bajas temperaturas en  los municipios de Cadereyta de Montes, Colón, Corregidora, El Marqués, Ezequiel Montes,Humilpan,Pedro Escobedo,Querétaro,San Juan del Río y Tequisquiapan, debido a las bajas temperaturas sufrió daños severos en sur cultivos, presentando quemaduras totales en las plantas con daños irreparables en los cultivos.</t>
  </si>
  <si>
    <t>39</t>
  </si>
  <si>
    <t>Los cultivos que principalmente fueron dañados debido al fenómeno meteorológico son: la cebada, el trigo y la lenteja. En el cultivo de cebada y trigo la afectación ocurrió en la etapa de floración y llenado de grano. En el cultivo de lenteja, el daño ocurrió en la etapa de llenado de grano dejando así a los 39 municipios afectados.</t>
  </si>
  <si>
    <t>Milpa Alta, Tláhuac y Xochimilco</t>
  </si>
  <si>
    <t>Los cultivos que fueron dañados debido a las bajas temperaturas presentadas en el Distrito Federal tuvo como consecuencias las quemaduras en los ápices(puntas) y bordes de los nopales y así también presentando un daño moderado en la planta madre con coloración amarillenta y pérdida de turgencia.</t>
  </si>
  <si>
    <t>11</t>
  </si>
  <si>
    <t>Los cultivos que fueron afectados y los daños que sufrieron durante los días 2,3 y 4 de marzo registrados por la severa helada, en la región productora de nopal, verdura, tuna y xoconostle, afectando la pérdida total , en los 11 municipios afectados.</t>
  </si>
  <si>
    <t>51</t>
  </si>
  <si>
    <t>Los cultivos que fueron afectados  y los daños que sufreron son: trigo,lenteja,cartamo,garbanzo,ebo,avena,ciruea,cebada,frijol,fresa,jitomate,durazno,maíz,ejote,haba,sandía,aguacate,camote,calabacita,alfalfa,tomate,pepino,zanahoría,pastos perennes,chile,chicharo,jicama,cilantro,guayaba,brocolí,cebolla,colíflor,pera,tamarindo,nopal,colíflor,lechuga,esparrago y manzana, los daños al cultivo de trigo por estas bajas temperaturas consisten en los siguientes daños en la planta: pérdida de la actividad fotosintética y área foliar por clorosis y muertes de sectores de la lámina de la hoja, también pérdida de la espiga.</t>
  </si>
  <si>
    <t>Tetela del Volcán y Totolapan</t>
  </si>
  <si>
    <t>Los cultivos que fueron afectados  y los daños que sufreron son: aguacate,durazno,granada,ciruela,chilacayota,café y nopal debido a las bajas temperaturas presentadas en el estado de Morelos.</t>
  </si>
  <si>
    <t>40</t>
  </si>
  <si>
    <t>Los cultivos afectados por las bajas temperaturas son: maíz,frijol,haba,calabaza,chicharo,pap,alberjon,chile,manzana,durazno,aguacate,nopal,nopal  verdura, pera, ciruela, etc.</t>
  </si>
  <si>
    <t>21</t>
  </si>
  <si>
    <t>Debido a las bajas temperaturas del estado de San Luis Potosí, durante el mes de marzo se afectaron de forma importante la supervivencia de los pastos nativos, el potencial forrajero y la flotación de varias especies.</t>
  </si>
  <si>
    <t>Los cultivos que fueron afectados y los daños que sufrieron, debido a la severa sequía que ha golpeao fuertemente al Estado ocasionó pérdidas  económicas importantes en el cultivo de trigo del ciclo O-I  y, en las plantaciones de pastos perennes, nopal y maguey. En el caso del trigo se reportan pérdidas del 100% ya que en algunos casos se sembró la planta y no alcanzó a germinar o fue imposible realizar la siembra pese a que se realizarón los laboresculturales.</t>
  </si>
  <si>
    <t>41</t>
  </si>
  <si>
    <t>Los cultivos que fueron afectados son: sorgo,cartamo,maíz,pepino,cacahute y soya. Estos fueron los principales cultivos que fueron afectados por la sequía que se presento en el estado de Tamaulipas.</t>
  </si>
  <si>
    <t>En este estado fue afectado el sector del ganado debido a las escasas precipitaciones que se presentaron en las zonas del Antiplano, central y Media del Estado, durante el 2013, la situación en el campo potosino es alarmante por el escaso recurso de los pastos nativos en los agostaderos provocando una alimentación deficiente de las diferentes especies tales como: bovinos,caprinos,ovinos y equinos. Provocando que no puedan desarrollar su ciclo reproductivo en detrimento de una baja producción primaria con la consecuente pérdida de ingreso para los sectores productores agropecuarios del  Estado.</t>
  </si>
  <si>
    <t>En este estado fue afectado el sector del ganado debido a las escasas precipitaciones que se presentaron en las zonas del Antiplano, central y Media del Estado, durante el 2013, la situación en Durango, es alarmante las especies que fueron afectadas son: los hatos de ganado bovino y lafectación se deriva en los animales debido a la falta de alimentos.</t>
  </si>
  <si>
    <t>Francisco I. Madero, San Pedro y Viesca</t>
  </si>
  <si>
    <t>Los cultivos que fueron afectados por dicho fenómeno que se presento de manera extraordinaria en los municipios de Francisco I. Madero, San Pedro y Viesca, ocasionaron diversas actividades agricolas, principalmente en el algodón, nogal,forrajes,melón y otras hortalizas</t>
  </si>
  <si>
    <t>Los cultivos que fueron afectados afectados y daños que sufrieron, el evento de granizada que se presentó el 24  de mayo del presente, debido a su  intensidad y duración ocasionó daños en una gran superfiecie de la región, afectando principalmente a productores de manzano. Se registraron daños en fruto, árboles e infraestructura, ya que el fenómeno fue acompañado de fuertes vientos.</t>
  </si>
  <si>
    <t>Reinosa y San Fernando</t>
  </si>
  <si>
    <t>Los cultivos que fueron afectados y los daños que sufrieron debido a la sequía se afecto al cultivo de sorgo temporal .</t>
  </si>
  <si>
    <t>Los cultivos que fueron afectados y los daños que sufrieron son papaya,caña de azúcar,arándano,guanábana,limón,tamarindo,zarzamora,estrella africána,jitomate, plátano,naranja,palma de coco y mango. así también perjudicando a las especies de bovinos y colmenas siendo los daños muerte por arrastre y crecimiento de ríos y  arroyos los municipios afectados son: Armería,Colima,Comala,Coquimatlán,Cuahtémoc,Ixtlahuacán,Manzanillo,Minatitlán,Tecomán y Villa Álvares</t>
  </si>
  <si>
    <t>30</t>
  </si>
  <si>
    <t>Los daños y las afectacione en el estado que hubo fue la muerte por ahogamiento y arrastre debido al ciclón tropical presentado, teniendo daños severos en las especies y cultivos. Se tuvo una pobalción indigena afectada de 1,945 personas.</t>
  </si>
  <si>
    <t>36</t>
  </si>
  <si>
    <t xml:space="preserve">Los cultivos que fueron afectados y los daños que sufrieron derivado al ciclón y los fuertes vientos el cultivo de maíz que se encontraba en la etapa de grano lechoso origino pudrición y carme de la planta y entre sus demás cultivos y las plantas. </t>
  </si>
  <si>
    <t>Madero y Ziracuretiro</t>
  </si>
  <si>
    <t>Los cultivos que fueron afectados y los daños que sufrieron derivado al exceso de la humedad y los fuertes vientos el cultivo de maíz que se encontraba en la etapa de grano lechoso origino pudrición y carme de la planta y entre las demas plantas tambíen hubo daños de formación del fruto.</t>
  </si>
  <si>
    <t>Cárdenas,Centla,Centro,Cunduacán,Huimanguillo,Jalapa de Méndez,Jonuta,Macuspana y Nacajuca</t>
  </si>
  <si>
    <t>especies que fueron afectadoas y dañadas debido a la inundación presentada en el estdo son:  especies de bovino por daños de afectación en pastura</t>
  </si>
  <si>
    <t>34</t>
  </si>
  <si>
    <t>Debido la nevada se registran 14 carreteras cerradas, 41 municipios nevados, 4 municipios con afectaciones en suministro de electricidad y 1 accidente carretero en la Carr. Matachi-Guerrero (derrape de pipa de combustible, obstruccion del tramo “curva de la masaca”).</t>
  </si>
  <si>
    <t>Desgajamiento de un cerro, ocasionando que la presa de Hales de la Mina de Basis, en la Comunidad San Juan de Basasis, se desbordara arrastrando a su paso basura y lodo, asi como 1 vivienda, en la cual se encontraba 1 familia integrada por 5 personas, misma que para su rescate intervinieron 8 oficiales del Grupo USAR-Jalisco Mexico (Urban Search and Rescue), 1 can de busqueda y equipo especializado, 2 elementos de Cruz Roja Mexicana a bordo de 2 helicopteros del Grupo Fenix de Jalisco, y 1 helicoptero y 1 avioneta del Gobierno de Durango, resultando 3 personas fallecidas (2 del sexo femenino y 1 del sexo masculino), 1 lesionada (sexo masculino)  y 1 desaparecida (sexo femenino).</t>
  </si>
  <si>
    <t>Tekax</t>
  </si>
  <si>
    <t xml:space="preserve">Vientos fuertes provocaron la caida de 1 arbol (18 m. aprox.), en la Calle Hamburgo y Buerdeos, Col. Juarez. Resultando 5 personas afectadas: 2 del sexo femenino de 45 años prom. que se encontraban vendiendo de bajo del arbol, trasladadas para su atencion, y otras 3 fueron atendidas en el lugar. Asi como afectados 4 vehiculos cercanos al lugar. </t>
  </si>
  <si>
    <t>Oaxaca de Juarez, Santa Cruz Xoxocotlan, Santa Lucia del Camino, Santa Cruz Amilpas, San Jacinto Amilpas, Cienegas de Zimatlan y Ocotlan de Morelos.</t>
  </si>
  <si>
    <t>Lluvias fuertes acompañada de vientos y granizadas afectando la Carr. Mexico-Oaxaca por deslaves de lodo y rocas. En Oaxaca de Juarez: 95 viviendas afectadas (penetracion de agua), arboles caidos y daños en infraestructura, 1 RT el gimnacio el mpio que no se ocupo, apoyo a la poblacion con cobijas, 2 hospitales con ligera penetracion de agua, 2 personas arrastradas en sus vehiculos al arroyo San Felipe: 1 lesionada trasladada para su atencion y otra desaparecida. En  San Jacinto Amilpa: caida de 1 barda de una vivienda y 1 persona fallecida (sexo femenino de 50 años). Santa Cruz Xoxocotlan: encharcamientos en vialidades y viviendas. Santa Lucia del Camino: se habilito 1 RT que no se ocupo, 4 viviendas afectadas (2 techos y 2 penetracion de agua).</t>
  </si>
  <si>
    <t>Fuertes lluvias acompañadas con tormentas electricas, provocando el fallecimiento de 2 personas (sexo menino de 15 y 7 años) por alcance de un rayo al momento que se encontraban preparando alimentos.</t>
  </si>
  <si>
    <t>Fuertes lluvias provocaron encharcamientos en distintas parte de la ciudad, afectando las Colonias Fco. Villa (el agua se introdujo en 20 viviendas), Benito Juarez, Volundad y Trabajo 4, Las Torres, Fracc. Benito Juarez, Fracc. Campanario (en 15 casas), Lomas del Rio y una parte de la zona del Sector Centro, se a evacuaron a 18 personas (8 menores y 10 adultos), trasladados al Albergue Municipal. Asimismo, en la Col. Villas de San Miguel se registraron 3 personas fallecidas al intentar pasar un arroyo en la camioneta en la que se encontraban abordo, mismo que la corriente arrastro.</t>
  </si>
  <si>
    <t>Monclova y Piedras Negras</t>
  </si>
  <si>
    <t xml:space="preserve">Fuertes lluvias registradas en el estado, afectaron los municipios de Monclova: encharcamientos principalmente en zonas bajas, 10 viviendas con penetracion de agua y 1 vivienda colapsada (de material endeble). Piedras Negras: encharcamientos en varios sectores, asi como en vialidades provocando que varios vehiculos quedaran varados, debido a que el sistema electrico se averio por la penetracion de agua; en la Col. la Luna se presentaron encharcamientos de 20 cm (solo en calles), por lo cual se tuvo que utilizar una bomba para desalojar el agua de dicha colonia. </t>
  </si>
  <si>
    <t>Tepeji del Rio</t>
  </si>
  <si>
    <t>Lluvias fuertes acompañadas de granizo en la zona centro del municipio, asimismo, se presento un deslave en las colonias San Mateo Primera y 2da. Seccion, diversas vialidades fueron cubiertas por tierra, lodo, escombros y basura. Aprox. 300 viviendas presentaron penetracion de agua y 15 vehiculos fueron arrastrados.</t>
  </si>
  <si>
    <t>En el Km 70+000 cuerpo “B” Autopista Mexico-Queretaro. Se cerro el sector por derrumbe de talud que abarco los 3 carriles del cuerpo “B” debido a la tormenta en esa zona. Se rescataron 3 vehiculos sepultados y 2 mas siniestrados, con un saldo de 7 decesos (3 del sexo femenino de 35 años prom. y 4 del sexo masculino de 37 años prom.) y 4 lesionadas (3 del sexo femenino de 28 años prom. y 1 del sexo masculino de 7 años), que fueron trasladados para su atencion, que viajaban a bordo de dos vehiculos.</t>
  </si>
  <si>
    <t>San Pedro Tapanatepec, San Francisco Ixhuatán, San Dionisio del Mar, San Francisco del Mar y Chahuites</t>
  </si>
  <si>
    <t xml:space="preserve">
Debido a la presencia del Huracán "Bárbara" el 29 de mayo de 2013, en los municipios de San Pedro Tapanatepec, San Francisco Ixhuatán, San Dionisio del Mar, San Francisco del Mar y Chahuites del Estado de Oaxaca, se presentaron diversos daños y afectaciones a la población, 1 persona fallecida de sexo masculino de 26 años (arrastrada al intentar cruzar un rio). Santa Cruz Zenzontepec: 1 persona fallecida de sexo masculino de 60 años que intento cruzar el rio el Chapulin. Salina Cruz: 1 persona fallecida de sexo masculino de 51 años (extranjera que hizo caso omiso de las señalizaciones). Se presentaron daños en vivienda y la parte de carreteras.</t>
  </si>
  <si>
    <t>Ocosocuanutla de Espinosa, Cintalapa, Jiquipilas, Arriaga, Tonala, Villa Flores, Villa Corzo, Pijijiapan, La Concordia y Mapastepec.</t>
  </si>
  <si>
    <t>En Tonala: 24 comunidades y 8 barrios con 725 familias (3, 625 personas afectadas), se repartieron 2 mil cobertores, 2 mil colchonetas, 2 mil despensas, 45 mil litros de agua para consumo humano, ropa, calzado, pañales desechables, leche, toallas sanitarias y brigadas medicas. En Arriaga: se evacuo a 750 personas de la comunidad de Punta Flor, 10 viviendas afectadas (techos con material endeble), diversas rancherías. Se habilitaron 18 RT en 5 municipios con 2,044 personas albergadas.</t>
  </si>
  <si>
    <t>Teuchitlan</t>
  </si>
  <si>
    <t>Fuertes lluvias, granizada intensa y rachas de vientos. De las partes altas (Cerro) se registro arrastre de solidos y lodo, asi como el desbordamiento del rio Teuchitlan, afectando a 90 viviendas (con tirantes entre 30 y 150 cms de agua). Se realizoel saneamiento en las vias publicas y desasolve del Rio Teuchitlan, 75 personas fueron rescatadas por embarcaciones en sus viviendas y azoteas. Se evacuaron 200 personas (13 trasladadas a 1 RT en el DIF Municipal y el resto con familiares y amigos).</t>
  </si>
  <si>
    <t>Las lluvias fuertes registradas por la noche y madrugada ocasionaron que 1 vehiculo particular fuera arrastrado por una corriente subita de agua en un paso cercano a la Carr. 57 km. 177 de la comunidad La Luz. Resultando 2 personas fallecidas (sexo femenino) y 2 mas lesionadas (sexo masculino), atendidas en el lugar.</t>
  </si>
  <si>
    <t>Debido a la caida de 1 rayo se registro el fallecimiento de 1 personas (sexo masculino de 17 años), en el rancho Los Gavilanes del Ejido Tulipan, cuando este iba a caballo.</t>
  </si>
  <si>
    <t xml:space="preserve">Debido a las lluvias se registro la crecida en el arroyo y por la fuerza de la corriente arrastro 1 vehiculo Nissan doble cabina cuando se dirigian del Ejido Vicente Guerrero al Ejido Donaji. En este se encontraba a bordo 2 personas fallecidaso (sexo femenino de 50 años y sexo masculino de 8 años). </t>
  </si>
  <si>
    <t>Gomez palacio</t>
  </si>
  <si>
    <t>Una lluvia fuerte acompañada de viento y granizo, reporto afectaciones en la comunidad de San Felipe y el ejido El Compas, asi como 6 viviendas y 1 Iglesia que presentaron penetracion de agua, la caida de 1 poste de CFE (reportandose fallas en el suministro de energia electrica por algunas horas).</t>
  </si>
  <si>
    <t>Villa de Ramos y Tamasopo</t>
  </si>
  <si>
    <t xml:space="preserve">Lluvias fuertes que ocasionaron en los municipios Villa de Ramos:  comunidad Pozo Blanco afectaciones en 5 viviendas por penetracion de agua, evacuandose 5 familias (12 personas), trasladadas a un hotel cercano. En Tamasopo: comunidad Tambaca se reportan 15 viviendas con penetracion de agua. Ademas varias bardas de adobe colapsadas. </t>
  </si>
  <si>
    <t>76 municipios</t>
  </si>
  <si>
    <t xml:space="preserve">Lluvias ligeras a moderadas en el centro y norte del estado por la tormenta tropical Barry, genero afectaciones en 31 municipios: 1, 116 viviendas afectadas, 90 colonias, 86 comunidades, 16 comunidades incomunicadas, 12 vias de comunicaciin, 21 corrientes desbordadas, 41  deslaves, 4 arboles caidos, 1 barda afectada, 1 escuela, 2 socavamientos, 12 puentes, 2 cultivos afectados, 2 RT activados, 2, 367 personas refugiadas, 10 personas rescatadas,  quienes preventivamente se evacuaron de las cuencas de los rios Misantla, Nautla, Tecolutla y Cazones. Particularmente en la Comunidad Chapultepec (mpio. de Cocoatzintla), fallecio 1 persona de sexo masculino de 48 años  al ser arrastrado por la corriente del rio La Mole al internar cruzar a caballo. </t>
  </si>
  <si>
    <t>Debido al paso de la depresion tropical 2 del Mar Caribe, se presentaron lluvias fuertes, reportandose 85 viviendas con penetracion de agua: 60 en la cabecera municipal, 10 en la comunidad El Porvenir (cercanas al margen rio de la localidad), 15 en la comunidad Venustiano Carranza. Preventivamente 18 personas fueron trasladadas al RT que se habilita en el Instituto de Capacitacion para el Trabajo, en la cabecera municipal.</t>
  </si>
  <si>
    <t>San Francisco de los Romo</t>
  </si>
  <si>
    <t>Las lluvias fuertes generaron afectaciones en 450 familias afectadas en sus bienes muebles (por penetracion de agua) de varias localidades, mismas que les entregaron apoyos (despensas, colchones, catres con colchon, cobijas, agua ambotellada, cal y cemento). Se albergo a 39 personas en el DIF Municipal.</t>
  </si>
  <si>
    <t>San Juan del Rio y Tequisquiapan</t>
  </si>
  <si>
    <t xml:space="preserve">Las lluvias de fuertes a intensas presentaron en los municipios Tequisquiapan afectaciones en: 46 viviendas (por penetracion de agua) de la localidad Bordo Blanco, 3 viviendas de la localidad Adolfo Lopez Mateos, 7 viviendas de la localidad San Nicolas, se apoyo a la poblacion con 74 kits de limpieza, colchonetas. En San Juan del Rio: 37 viviendas afectadas de la comunidad El Paraiso, 24 de la comunidad Hacienda Santa María, 24 de la comunidad Hacienda Xajai, 19 viviendas de la comunidad La Pradera, 1 Escuela Secundaria Rafael Olvera (10 cm de encharcamientos y lodo). </t>
  </si>
  <si>
    <t xml:space="preserve"> Morelos, Nava, Piedras Negras, Sabinas y Zaragoza</t>
  </si>
  <si>
    <t>Las fuertes lluvias causaron las siguientes afectaciones en varios muncipios como Monclova: caida de cables y postes de energia en la Col. Flores Oriente y Fracc. Rivera. Morelos: encharcamientos en varias zonas bajas, afectacion en la Col. Ampliacion Santa Rita, Los Perales, Ejido Morelos y Abelardo Galindo; arboles caidos y activacion de 2 RT (Mutualista y  Auditorio) y cierre en la Carr. Estatal No. 29 Morelos-Acuña. Nava: afectaciones en la Col. Zaragoza y evacuacion de personas (trasladadas al RT Santiago V. González y familiares). Zaragoza: encharcamientos y 25 personas refugiadas (en el Auditorio Municipal).Piedras Negras:  10, 183 viviendas afectadas en 42 colonias (El Eden, SUTERM, Las Maravillas, Zapata, Las Argentinas, Haciendas de la Luna, Santa Rita, Los Montes, Vista Hermosa, Villa fuente, Buenavista, entre otras), 40, 329 poblacion afectada, 6 RT habilitados: Casa del Peregrino, Ejercito de Salvacion, Iglesia Anglicana El Buen Pastor, Club de Leones, Auditorio Santiago V. Gonzalez y Parque Industrial, daños en la planta tratadora de aguas residuales (ptra) con un costo estimado de 3.5 MDP, daños a  sistema de agua potable y drenaje, escuelas (bardas y mobiliario) y 1 clinica del ISSSTE y el Hospital General de Piedras Negras, vialidades afectadas y cortes de energia, en la Col. Buenavista se cayo 1 barda provocando el fallecimiento de 1 persona (sexo masculino de 34 años) y 3 mas lesionadas.</t>
  </si>
  <si>
    <t>Putla Villa de Guerrero</t>
  </si>
  <si>
    <t xml:space="preserve">Debido a las fuertes lluvias se registro el fallecimiento de 2 personas (2 de sexo masculino de 55 y 18 años) que fueron arrastrados por la corriente del arroyo cuando intentaron  cruzarlo a bordo de una camioneta. </t>
  </si>
  <si>
    <t>Leon y Silao</t>
  </si>
  <si>
    <t>Debido a la lluvia acompañada de tormenta electrica se registraron las siguientes afectaciones, en Leon: 1 persona fallecida (sexo masculino de 18 años) por la caida de 1 rayo en la Comunidad Nuevo Valle de Moreno. En Silao: en el Fracc. la curva resultaron 5 casas afectadas (penetracion de agua).</t>
  </si>
  <si>
    <t>Cutzamala de Pinzón y Tixtla de Guerrero</t>
  </si>
  <si>
    <t>Municipio de Cutzamala de Pinzón: A las 23:00 horas del 05 de septiembre, la Dirección Municipal de Protección Civil informó al Centro de Atención a Emergencias región Tierra Caliente, que 30 viviendas resultaron con inundaciones en la cabecera municipal, lo anterior debido a que el río Cutzamala subió su nivel, al recibir el derrame controlado que realiza la Conagua en la presa del Gallo.</t>
  </si>
  <si>
    <t xml:space="preserve">Putla de Guerrero, Santa Catarina Juquila, Santa Cruz Itundujia, San Andres Cabecera Nueva,
Santa Lucia Monteverde y Santiago Juxtlahuaca
</t>
  </si>
  <si>
    <t xml:space="preserve">Debido a las lluvias registradas se reportan afectaciones en Huajuapan de Leon y Santiago Juxtlahuaca:  el tramo carretero de la desviacion a Carrizal-Putla de Guerrero  sufrio  derrumbes  de aprox. 40 m, cayendo el puente ubicado en la curva del pajaro. Santa Catarina Juquila: desbordamiento del Rio Humo. Putla Villa De Guerrero: se presentaron derrumbes. Asimismo, varias viviendas se inundaron en el Fracc. las Garzas Putla de Guerrero y Union Zafra. </t>
  </si>
  <si>
    <t>Soledad de Graciano Sanchez</t>
  </si>
  <si>
    <t>Debido a las lluvias fuertes en las colonias la Constancia y Division del Norte, en la calle de Negrete se revento el drenaje por la presion del agua. Preventivamente, se evacuaron a 4 personas que viven en esta calle las cuales se refugiaron con familiares.</t>
  </si>
  <si>
    <t xml:space="preserve">Debido a las fuertes lluvias a causa del desbordamiento de la Laguna denominada el  “Jahuey”, en la comunidad del Carmen, se reportaron afectadas 50 viviendas en  la Col. Haciendas de Tizayuca, En Quma 4, En Las Plazas 4, Emiliano Zapata 3, Ex presidentes Ejidales 6 y  En Rancho San Antonio 3, siendo un total de 70 viviendas. Asimismo resultaron 2 vehiculos arrastrados por el agua y 5 bardas derribadas. </t>
  </si>
  <si>
    <t xml:space="preserve"> Acapulco</t>
  </si>
  <si>
    <t>Se registraron fuertes lluvias en el municipio de Acapulco de Juárez ocasionando daños menores a 11 viviendas</t>
  </si>
  <si>
    <t>Fuerte lluvia que provoco escurrimientos del cerro San Juan arrastrando piedras, lodo y vehiculos a su paso. Subio el nivel del arroyo El indio el cual se desbordo, afectando las colonias 25 de Abril, Pueblo Nuevo, Plan de Andareñas, Ramos Millan, Navarreño 2, Villas de Guadalupe y Parte del Centro. Se implementaron 2 RT: el primero con 125 personas en una Escuela Secundaria Tecnica No. 2 y el Segundo con 110 en el Meson. Se aplico el plan DNIII.  1 personas fallecida que se encontro en el arroyo que va de camino viejo a Pantanal y 2 desaparecidas.</t>
  </si>
  <si>
    <t>San Pablo Citlaltepec</t>
  </si>
  <si>
    <t>Por la crecida del rio ubicado en el municipio de San Pablo Citlaltepec, fue arrastrada 1 persona de sexo femenino de 55 años de edad.</t>
  </si>
  <si>
    <t>4 menores de edad (sexo masculino de 11 años prom.), intentaron cruzar el rio que atraviesa la Comunidad Arcilla, debido a la fuerte corriente, siendo arrastrados y posteriormente rescatados con vida a 2.5 km aguas abajo. Asimismo, se presentó 1 fallecimiento (sexo masculino).</t>
  </si>
  <si>
    <t>Pedro Escobedo, Colon, El Marques y Queretaro</t>
  </si>
  <si>
    <t>Debido a las fuertes lluvias se registraron en los municipios: Pedro Escobedo: 49 viviendas afectadas por penetracion de agua y desbordamiento que atraviesa la comunidad de Fandela de Pedro Escobedo. Colon: 2 escuelas y Centro de salud, resultaron encharcadas. 
El Marques: encharcamientos en vialidades y caminos de 2 localidades. Queretaro: Comunidad de Palo Alto encharcamientos en zonas bajas.</t>
  </si>
  <si>
    <t>Cerro de San Pedro</t>
  </si>
  <si>
    <t>En la Comunidad de Portezuelo, se reporto el fallecimiento de un menor de 4 años (sexo masculino) que se encontraba junto a otros niños, los cuales se refugiaban de la lluvia en 1 vivienda inhabitable y deteriorada,  la cual se colapso atrapando a los 5 menores, 4 de ellos fueron trasladados con lesiones.</t>
  </si>
  <si>
    <t>Hecelchakan</t>
  </si>
  <si>
    <t>Lluvias intensas provoco inundaciones en viviendas, rebosamiento de fosas septicas en varias colonias. 750 familias (3,000 personas) resultaron afectadas, asi como carpeta asfaltica, asi como pozos de absorcion y banquetas de las mismas. Preventivamente se reactivo 1 RT en la Comisaria Ejidal de Hecelchakan. Inundaciones en el Jardin de Niños Juan Pacheco Torres, Escuela Primaria Estado de Yucatan, Escuela Primaria Estado de Tabasco y Escuela Primaria Justo Sierra Mendez.</t>
  </si>
  <si>
    <t xml:space="preserve">Lluvias provocaron que se precipitara 1 barda de adobe de 1 vivienda antigua en galeana num. 104 zona centro,  afectando 1 vehiculo Nissan Tsuru y a su tripulante le provoco una contusion en la extremidad inferior derecha que no pone en riesgo su vida. Tambien en la comunidad de Tanque de Dolores, se anego 1 vivienda habitada por tres familias, mismas que se reubicaron con sus familiares. </t>
  </si>
  <si>
    <t>Morelia y Tarimbaro</t>
  </si>
  <si>
    <t>Lluvia fuerte afectado los municipios de Morelia:  25 personas aprox. rescatadas del interior de sus vehiculos. 1 persona fallecida arrastrada por el agua en la Col. Nicolaitas Ilustres (sexo femenino de 25 años). Tarimbaro:  1 barda que divide el Fracc. Puerta del Sol y Metropolis se derrumbo, lesionando a 1 persona de sexo masculino de 24 años de edad, encharcamientos  quedando varados 2 vehiculos, por lo se rescataron a 5 personas del interior de ellos, algunas viviendas sufrieron penetracion de agua, se habilito 1 RT.</t>
  </si>
  <si>
    <t xml:space="preserve">Aldama, Balleza, Buenaventura, Chihuahua, Cuauhtémoc, Jiménez, Julimes, Meoqui, Rosales y Satevó </t>
  </si>
  <si>
    <t>Las fuertes lluvias causaron afectaciones: 2 personas al intentar cruzar el rio Chohuixca fueron arrastradas por la corriente. Se habilitaron 23 RT (1,468 personas), 2,320 evacuados, interrupcion de la anergia electrica y agua potable, contaminacion en pozos de abastecimiento de agua, deslaves, cierre del Aeropuerto Internacional Rodolfo Fierro y en tramos carreteros, inundaciones y derrumbes en casas habitacion (2,075 viviendas), desbordamiento de arroyos; afectaciones en vehiculos, cultivos y animales, puentes derribados. Se repartieron despensas, cobertores, lámina tipo “B”, kits de limpieza, guantes de carnaza, impermeables, botas y rollos de hule.</t>
  </si>
  <si>
    <t>Debido a las lluvias se registro el reblandecimiento del suelo provocando el colapso 1  barda (aprox. 8 m de alto), en la comunidad la Cieneguita, Hacienda de Guadalupe, en donde se llevaba a cabo un  evento “campamento de retiro religioso”. Resultando 7 personas lesionadas ('6 de sexo femenino de 16 años prom. y 1 del sexo masculino de 14 años), trasladadas para su atencion.</t>
  </si>
  <si>
    <t>Sain Alto</t>
  </si>
  <si>
    <t>Lluvias fuertes acompañadas de tormentas electricas registraron 1 fallecimiento (1 se sexo masculino de 64 años) en el Cerro San Jose, debido a una descarga electrica al caer 1 rayo, cuando pastaba su ganado.</t>
  </si>
  <si>
    <t>Atenco</t>
  </si>
  <si>
    <t>Debido a las lluvias registradas 1 camioneta Ford Lobo de doble cabina fue arrastrada por la corriente del rio Macuchi, afectando 2 personas que viajaban en el interior del vehiculo, de las cuales 1 del sexo masculino de 58 años logro salir del vehiculo y la otra fue arrastrada por la corriente misma que fallecio (1 de sexo masculino de 27 años).</t>
  </si>
  <si>
    <t>Temoaya</t>
  </si>
  <si>
    <t>2 personas fallecidas por caida de rayo en el Centro Ceremonial Otomi (1 de sexo femenino de 22 años y otra de sexo masculino de 32 años) y 5 lesionadas (4 de sexo femenino de 19 años prom. y 1 de sexo masculino de 55 años), trasladadas para su atencion.</t>
  </si>
  <si>
    <t>Fuerte lluvia provocando encharcamientos de 20 a 30 cm en zonas bajas, reportandose penetracion de agua en 24 viviendas en diversas colonias (Mesoamerica, Francisco Villa, Centro, Esparza, Obrera, entre otras), asi como en el hospital del IMSS. Resultando 16 personas con crisis nerviosa.</t>
  </si>
  <si>
    <t>San Francisco de los Romo y Jesus Maria</t>
  </si>
  <si>
    <t>Derivado de las fuertes lluvias se presentaron las siguientes afectaciones en los mpios: San Francisco de los Romos encharcamientos en vialidades, y en Jesus Maria, penetracion de agua en aprox. 50 viviendas de las comunidades Barrio San Miguelito, Barrio Ejidal, Barrio el Torito y Avenida San Lorenzo.</t>
  </si>
  <si>
    <t>Durango, Nombre de Dios, Guadalupe Victoria y Lerdo</t>
  </si>
  <si>
    <t>Luvias fuertes generaron afectaciones en los mpios.: En Durango 250 colonias con  penetracion de agua en viviendas. En Nombre de Dios 25 viviendas con penetracion de agua (125 personas) y 1 deslave en el cerro Las Siete Curvas. En Guadalupe Victoria 1 vivienda con penetracion de agua. En Lerdo 5 familias con penetracion de agua (25 personas).</t>
  </si>
  <si>
    <t xml:space="preserve">Las lluvias registradas provocaron afectaciones en 13 viviendas con penetracion de agua de la comunidad Pozo de Gallegos y 20 viviendas de la comunidad Cerrito, por escurrimientos del “Arroyo del Muerto”;  asi como 4 viviendas de la comunidad La esperanza y 70 viviendas de la comunidad Acapulquito. Deslave de tierra y rocas del cerro sobre el potrero de 1 vivienda en la comunidad Chichimequillas.      </t>
  </si>
  <si>
    <t xml:space="preserve">Tormenta afectando 9 colonias, 32 personas evaluadas (se albergaron en el DIF Municipal). 164 viviendas afectadas por las lluvias ocasionadas  (121 viviendas presentaron un tirante de agua  de 5 a 10 cm, el resto con menor de 5 cm.). Daños en 27 Vehiculos y en 47 negocios. </t>
  </si>
  <si>
    <t>Queretaro, El Marques y San Juan del Rio</t>
  </si>
  <si>
    <t>Lluvia ocasionando afectaciones vehiculos varados y arrastre, caida de 2 arboles, 33 vivienda con penetracion de agua, 1 vivienda con techo colapsado, el agua se introdujo a varios locales (1 comercio copalsado y otro con penetracion de agua) y 1 barda caida. Una persona fue arrastrada por la corriente del agua.</t>
  </si>
  <si>
    <t>Fallecimiento de 1 persona de sexo masculino de 36 años, por descarga electrica causada por la caida de rayo, en el km 113+800 de la Carr. estatal Mazocahui-Moctezuma al oriente de Sonora. Al momento que descendio de su vehiculo para acomodar unas maletas.</t>
  </si>
  <si>
    <t>Dr. Mora</t>
  </si>
  <si>
    <t>Lluvia fuerte ocasionando escurrimientos del arroyo, provocando penetracion de agua al interior de 10 viviendas. Se rescato con vida 1 persona del sexo masculino de 46 años, trasladada para su atencion.</t>
  </si>
  <si>
    <t>Aguililla</t>
  </si>
  <si>
    <t xml:space="preserve">Lluvia fuerte, debido a ello se registro el desbordamiento de un arroyo en la Comunidad Aguilillas, reportandose 30 viviendas afectadas por penetracion de agua y lodo al interior (tirante de 60 cm de altura), solo se reportan daños a enseres domesticos. Se entregaron cobijas; y serealizaron las labores de limpieza con maquinaria. Asimismo, un indigente (sexo masculino de 37 años) fallecio. </t>
  </si>
  <si>
    <t>Debido a las fuertes lluvias se registro el desbordamiento de un arroyo pequeño. Una camioneta Nissan intento cruzar el arroyo quedando cubierta  en su totalidad  y posteriormente ocasionando el arrastre y muerte de 1 persona (sexo masculino de 60 años) en la Av. Monterrey Eloy Cavazos, Col. Rancho Viejo.</t>
  </si>
  <si>
    <t>Colapso de 1  barda de piedra al interior de la Gasolinera “Servicios Ruiz”, debido al reblandecimiento de suelo por las lluvias en dias pasados, resultando 1 trabajador fallecido (sexo masculino de 40 años).</t>
  </si>
  <si>
    <t>Manuel Ojinaga</t>
  </si>
  <si>
    <t>Fuertes vientos acompañado de lluvias, reportaron que en la cabecera municipal entre 40 a 50 casas afectadas en sus techos (por fuerte viento fueron destechadas). Por parte de las autoridades de PC Estatal y Municipal les entregaran laminas, despensas y cobijas, como medida preventiva fueron abiertos algunos albergues.</t>
  </si>
  <si>
    <t>Abasolo, Valle de Santiago y Jaral del Progreso</t>
  </si>
  <si>
    <t>En el municipio de Abasolo: en la comunidad  denominada  “Estación de Corralejo”, resulto 1 persona fallecida (sexo femenino de 53 años) al ser sacada de su domicilio y arrastrada por la fuerte bajada de agua y fue localizada debajo de una camioneta en la calle 5 de mayo. En Valle de Santiago: en la Col. Ucuac de la calle Potreros de 40 casas con nivel de 90 cm. aprox. de agua al interior,  Col. Morelos calle Delicias  de 30 a 40 casas con un nivel al interior de agua de 40 cm. En Jaral del Progreso: afectaciones al interior de viviendas en la comunidad de Zempoala en las calles de: Reforma, Juárez, Guerrero y Vicente Guerrero con niveles 40 a 50 cm.</t>
  </si>
  <si>
    <t>Epazoyucan</t>
  </si>
  <si>
    <t xml:space="preserve">Lluvia y tormenta electrica, en el campo de futbol denominado “Raul Castelazo", en la cabecera municipal, debido al impacto de la cauda de un rayo, lesiono a 6 personas (3 de sexo femenino de 33 años prom. Y 3 del sexo masculino de 35 años prom.) al resguardarse cerca de un arbol y 1 vehiculo, trasladadas para su atencion. . 
</t>
  </si>
  <si>
    <t>Guadalajara, Tlaquepaque y Zapopan</t>
  </si>
  <si>
    <t>Lluvia de moderada generando diversas afectaciones en los siguientes municipios Tlaquepaque: inundacion en via publica, en la Col. Mezquitera  se presento la caida de cables de CFE. En Guadalajara: inundaciones en via publica y en 2 domicilios (1 en la Col. Jardines de Alcalde 30 cm y la 2 en la Col. San Andres con 50 cm), desplome de 1 arbol.  Zapopan: inundaciones en la via publica. En Zapopan: 74 arboles caidos.</t>
  </si>
  <si>
    <t>Deceso de 1 persona de 82 años (sexo femenino) por arrastre de rio, cuando intento cruzarlo para darle de comer a sus animales de granja y al resbalar con la humedad del suelo se golpeo falleciendo instantaneamente.</t>
  </si>
  <si>
    <t>Delegacion Magdalena Conteras</t>
  </si>
  <si>
    <t xml:space="preserve">Lluvias el los ultimos dias genero un deslizamiento de suelo provocando la caida de una barda sobre 4 personas, en la Col. La Carbonera, calle Aile No.4. Resultando 1 persona fallcida (sexo femenino) y 3 lesionadas. </t>
  </si>
  <si>
    <t>Cuetzamala de Pinzón</t>
  </si>
  <si>
    <t>Se reportaron fuerte lluvias en el municipio de Cuetzamala de Pinzón, se reportan afectaciones en una vivienda de adobe que sufrió pérdida total, así como en los enseres de varias viviendas mas, así mismo se registraron daños en algunos cultivos y animales.</t>
  </si>
  <si>
    <t>En la Col. 1 de Mayo se colapso una vivienda por lo inestable del suelo</t>
  </si>
  <si>
    <t>Hueyapan</t>
  </si>
  <si>
    <t>Debido a las lluvias fuertes en la Sierra Norte del estado ocasionando la creciente del Rio Atexcaco, que al momento de intertar cruzar 2 personas fueron arrastrados por la corriente, de las cuales 1 fallecio (sexo femenino de 25 años) y la otra desaparecio (menor de 3 años).</t>
  </si>
  <si>
    <t xml:space="preserve">Como consecuencia de la tormenta electrica se registro el fallecimiento de 1 persona (sexo masculino de 58 años) por caida de rayo, cuando se encontraba pastoreando a su ganado en la comunidad Isla Cirio. </t>
  </si>
  <si>
    <t>Fuertes lluvias acompañadas de tormentas electricas causando el fallecimiento de 1 persona (sexo masculino de 22 años) por caida de rayo en el Crucero al Cerro de la Bufa  y Betagrande.</t>
  </si>
  <si>
    <t>Debido a las lluvias registradas se presento el derrumbe de 1 casa en la comunidad de Guadalupe Papaloapan falleciendo 1 persona (sexo masculino de 23 años) y otra resulto lesionada (sexo masculino de 5 años), trasladada para su atencion.</t>
  </si>
  <si>
    <t>50 municipios</t>
  </si>
  <si>
    <t xml:space="preserve">Debido a las lluvias registradas por el paso del ciclon tropical “Fenand”, se reportan 109 viviendas afectadas, 83 colonias, 286 comunidades, 69 comunidades incomunicadas, 35 corrientes desbordadas (12 rios, 21 arroyos y 2 lagunas), 120 deslaves, 96 vias de comunicacion, 28 puentes, 8 cultivos, 3 escuelas, 1 socavamiento, 370 personas rescatadas, 4 servicios estrategicos, 20 RT, 1,333 personas refugiadas; asi como 13 personas fallecidas (8 del sexo femenino y 5 del sexo masculino). Hubo una segunda declaratoria por cinco muncipios más. </t>
  </si>
  <si>
    <t>Debido a las lluvias registradas se presento la caida de 1 barda de 1 vivienda construida de piedra y adobe en  la comunidad de  Santa Maria de los Baños. Resultando 3 personas fallecidas (2 del sexo femenino de 4 años prom y 1 del sexo masculino de 2 años), asi como 7 lesionados de los cuales 2 fueron trasladadas para su atencion (1 del sexo femenino de 34 años y otra del sexo masculino de 32 años) y 4 que fueron atendidas en el lugar (1 del sexo femenino de 15 años y 3 del sexo masculino de 27 años prom.)</t>
  </si>
  <si>
    <t>La Paz, Los Cabos, Mulege, Comondu y Loreto.</t>
  </si>
  <si>
    <t xml:space="preserve">Derivado del ciclon tropical Ivo ocasino las siguientes afectaciones en los municipios afectando a 8,500 viviendas, acueductos pozos de agua potable, red de distribucion y bordos, caida de arboles y postes de energia, suspension de clases, trafico aereo y maritimo, arroyos y puentes. Resultando 5 personas fallecidas (3 personas por intoxicacion de monoxido de carbono al introducir una planta generadora de energia electrica en una habitacion, otra electrocutada al momento de mover unos cables tirados de energia electrica  y 1 mas por sumercion al intentar curzar un arroyo), asi como 4 lesionadas.  </t>
  </si>
  <si>
    <t xml:space="preserve">
Atzacan, Córdoba, Coscomatepec, Cuichapa, Fortín, Ixtaczoquitlán, Orizaba, Totutla, Castillo de Teayo, Cerro Azul, Chicontepec, Zontecomatlán de López y Fuentes, Benito Juárez, Tepetzintla, Zacualpan,  Ixhuatlán de Madero, El Higo, Pánuco y Pueblo Viejo
</t>
  </si>
  <si>
    <t xml:space="preserve">Debido a los efectos del huracán Ingrid fueron emitidas en el estado tres declaratorias que sumaron 19 municipios afectados. La primera de ellas por lluvia severa del 9 al 10 de septiembre en los municipios de Atzacan, Córdoba, Coscomatepec, Cuichapa, Fortín, Ixtaczoquitlán, Orizaba y Totutla. La segunda por lluvia severa del 13 al 16 de septiembre en ocho municipios, Castillo de Teayo, Cerro Azul, Chicontepec, Zontecomatlán de López y Fuentes, Benito Juárez, Tepetzintla, Zacualpan e Ixhuatlán de Madero. Y finalmente, por Lluvia severa e inundación Fluvial del 20 al 22 de septiembre 2013 en los municipios de El Higo, Pánuco y Pueblo Viejo.   </t>
  </si>
  <si>
    <t>Varios municipios (49)</t>
  </si>
  <si>
    <t>El huracán Alex ocasionó severas lluvias en el área metropolitana de Monterrey en el la mayor parte del estado. Las afectaciones fueron severas, sobretodo en infraestructura carretera y urbana. Desafortunadamente nueve personas perdieron la vida. Este desastre es el más costoso de los últimos 20 años en el estado de Nuevo Léon.</t>
  </si>
  <si>
    <t>Santa María Yucuhiti </t>
  </si>
  <si>
    <t>Daños por el fenómeno de movimiento de ladera, ocasionado por lluvia severa y acumulación de agua en subsuelo los días 1 y 2 de septiembre de 2013, en el municipio de Santa María Yucuhiti del Estado de Oaxaca.</t>
  </si>
  <si>
    <t>San Miguel Quetzaltepec</t>
  </si>
  <si>
    <t>Daños por el fenómeno de movimiento de ladera ocasionado por lluvia severa y acumulación de agua en subsuelo el día 9 de septiembre de 2013, en el municipio de San Miguel Quetzaltepec del Estado de Oaxaca.</t>
  </si>
  <si>
    <t>Asunción Cacalotepec, Candelaria Loxicha, Coicoyán de las Flores, La Reforma, Putla Villa de Guerrero, San Esteban Atatlahuca, San Francisco Ozolotepec, San Marcial Ozolotepec, San Martín Itunyoso, San Martín Peras, San Mateo Piñas, San Miguel Coatlán, San Miguel Suchixtepec, San Pedro el Alto, San Sebastián Coatlán, San Sebastián Tecomaxtlahuaca, Santa Catarina Juquila, Santa Catarina Yosonotú, Santa María Ozolotepec, Santiago Comaltepec, Santiago Juxtlahuaca y Santiago Nuyoó</t>
  </si>
  <si>
    <t>Fenómeno de movimiento de ladera ocasionado por la Tormenta Tropical Manuel y Huracán Ingrid, que traen consigo fuertes lluvias provocando acumulación de agua en subsuelo durante los días del 19 al 23 de septiembre de 2013, para los municipios de Asunción Cacalotepec, Candelaria Loxicha, Coicoyán de las Flores, La Reforma, Putla Villa de Guerrero, San Esteban Atatlahuca, San Francisco Ozolotepec, San Marcial Ozolotepec, San Martín Itunyoso, San Martín Peras, San Mateo Piñas, San Miguel Coatlán, San Miguel Suchixtepec, San Pedro el Alto, San Sebastián Coatlán, San Sebastián Tecomaxtlahuaca, Santa Catarina Juquila, Santa Catarina Yosonotú, Santa María Ozolotepec, Santiago Comaltepec, Santiago Juxtlahuaca y Santiago Nuyoó del Estado de Oaxaca.</t>
  </si>
  <si>
    <t>57</t>
  </si>
  <si>
    <t>57 municpios fueron declarados en desastre a causa de las lluvias provocadas por la Tormenta Tropical "Manuel" y Huracán "Ingrid" (Lluvia severa) del 12 al 14 de septiembre (10 municipios) y 13 al 17 de septiembre de 2013 (47 municipios)</t>
  </si>
  <si>
    <t>Chihuahua y Juarez</t>
  </si>
  <si>
    <t>Por efectos de Manuel se presentó inundación fluvial, señalando que la entrada de aire tropical con mucha humedad que interaccionó con una línea de baja presión, provocó lluvias y lloviznas constantes durante el período del 9 al 13 de septiembre de 2013. Este fenómeno provocó afectación en la cabecera municipal del Juárez, con inundaciones corrientes de agua por las calles y el desborde de diversos Diques tales como: "La Presa", "Soriana" y "El Parque Central". En el municipio de Chihuahua la afectación principal se registró en desbordamiento de arroyos, inundación de las principales avenidas. En ambos municipios hubo daños severos en la infraestructura de las viviendas e inundación pluvial.</t>
  </si>
  <si>
    <t>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t>
  </si>
  <si>
    <t>Afectaciones por el fenómeno de ciclón tropical (Huracán 1)"Ingrid" (lluvia severa) del 13 al 18 de septiembre de 2013, en los municipios de Atlapexco, Calnali, Chapulhuacán, Eloxochitlán, Huautla, Huazalingo, Huehuetla, Huejutla de Reyes, Jacala de Ledezma, Jaltocán, La Misión, Lolotla, Metepec, Metztitlán, Mineral del Chico, Molango de Escamilla, Nicolás Flores, Pacula, Pisaflores, San Agustín Metzquititlán, San Bartolo Tutotepec, San Felipe Orizatlán, Tenango de Doria, Tepehuacán de Guerrero, Tianguistengo, Tlahuiltepa, Tlanchinol, Xochiatipan, Xochicoatlán, Yahualica y Zacualtipán de Ángeles del Estado de Hidalgo. En total 31 municipios declarados en desastre.</t>
  </si>
  <si>
    <t>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t>
  </si>
  <si>
    <t>Daños debido a fenómeno de Tormenta Tropical "Manuel" (lluvia severa) del 14 al 18 de septiembre de 2013 en los municipios de Amacueca, Atotonilco el Alto, Autlán de Navarro, Ayutla, Cabo Corrientes, Cañadas de Obregón, Chapala, Cuautitlán de García Barragán, Cuautla, El Grullo, Gómez Farías, Jilotlán de los Dolores, Juchitlán, La Barca, Pihuamo, Quitupan, San Gabriel, Santa María del Oro, Sayula, Talpa de Allende, Tamazula de Gordiano, Tapalpa, Tenamaxtlán, Tlajomulco de Zúñiga, Tonaya, Tuxcacuesco, Tuxpan, Zapotiltic y Zapotlán el Grande del Estado de Jalisco.</t>
  </si>
  <si>
    <t>Amacuzac, Puente de Ixtla, Tlaquiltenango y Jojutla</t>
  </si>
  <si>
    <t>Daños por el fenómeno de huracán "Ingrid" y tormenta tropical "Manuel" (inundación fluvial) del 13 al 16 de septiembre de 2013, en los municipios de Amacuzac, Puente de Ixtla, Tlaquiltenango y Jojutla del Estado de Morelos.</t>
  </si>
  <si>
    <t>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t>
  </si>
  <si>
    <t>Daños por fenómeno de lluvia severa e inundaciones fluviales y pluviales del 14 al 17 de septiembre de 2013 para los municipios de Allende, Aramberri, Bustamante, Cadereyta Jiménez, Galeana, Gral. Escobedo, Gral. Terán, Gral. Zaragoza, Guadalupe, Hualahuises, Iturbide, Juárez, Lampazos de Naranjo, Linares, Montemorelos, Monterrey, Rayones, Sabinas Hidalgo, San Nicolás de los Garza, San Pedro Garza García, Santiago y Vallecillo del Estado de Nuevo León.</t>
  </si>
  <si>
    <t xml:space="preserve">Aquila, Arteaga, Coahuayana, Huetamo, Lázaro Cárdenas, Tacámbaro, Tepalcatepec, Turicato Tumbiscatío y San Lucas </t>
  </si>
  <si>
    <t>Se declara como zona de desastre a los municipios de Aquila, Arteaga, Coahuayana, Huetamo, Lázaro Cárdenas, Tacámbaro, Tepalcatepec, Turicato y Tumbiscatío del Estado de Michoacán de Ocampo por la ocurrencia de lluvia severa el día 15 de septiembre de 2013 provocada por el huracán "Manuel", así como al municipio de San Lucas de dicha Entidad Federativa por inundación fluvial el día 19 de septiembre de 2013.</t>
  </si>
  <si>
    <t>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t>
  </si>
  <si>
    <t>Daños por fenómeno de lluvia severa ocurrida del 12 al 16 de septiembre de 2013 acausa de la Interación de las tormentas tropicales Ingrid y Manuel, en los municipios de Ahuazotepec, Aquixtla, Atempan, Chiconcuautla, Chignautla, Francisco Z. Mena, Honey, Huauchinango, Hueyapan, Huitzilan de Serdán, Jalpan, Jopala, Juan Galindo, Naupan, Nauzontla, Pahuatlán, Pantepec, Teteles de Avila Castillo, Tetela de Ocampo, Teziutlán, Tlacuilotepec, Tlaola, Tlapacoya, Tlaxco, Xicotepec, Xiutetelco, Xochiapulco, Xochitlán de Vicente Suárez, Zacapoaxtla, Zaragoza y Zihuateutla del Estado de Puebla.</t>
  </si>
  <si>
    <t>Angostura, Badiraguato, Culiacán, Navolato, Rosario, Mocorito, Sinaloa, Escuinapa y Salvador Alvarado</t>
  </si>
  <si>
    <t>Se declara como zona de desastre a los municipios de Angostura, Badiraguato, Culiacán, Navolato, Rosario, Mocorito, Sinaloa, Escuinapa y Salvador Alvarado del Estado de Sinaloa, por la ocurrencia de lluvia severa provocada por el huracán "Manuel", los días 18 y 19 de septiembre de 2013.</t>
  </si>
  <si>
    <t>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t>
  </si>
  <si>
    <t>Afectaciones por el fenómeno de lluvia severa ocurrida el día 16 de septiembre de 2013, para los municipios de Abasolo, Aldama, Altamira, Antiguo Morelos, Burgos, Bustamante, Casas, Ciudad Madero, Cruillas, El Mante, Gómez Farías, González, Güémez, Hidalgo, Jaumave, Jiménez, Llera, Mainero, Méndez, Miquihuana, Nuevo Morelos, Ocampo, Padilla, Palmillas, San Carlos, San Fernando, San Nicolás, Soto la Marina, Tampico, Tula, Victoria, Villagrán y Xicoténcatl del Estado de Tamaulipas.</t>
  </si>
  <si>
    <t xml:space="preserve">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 </t>
  </si>
  <si>
    <t>Daños por el fenómeno de lluvia severa e inundación a causa de la interacción de los ciclones tropicales Ingrid y Manuel, para los municipios de Aquismón, Axtla de Terrazas, Ciudad Fernández, Ciudad Valles, Coxcatlán, Ebano, El Naranjo, Huehuetlán, Matlapa, Rioverde, San Antonio, San Martín Chalchicuautla, San Vicente Tancuayalab, Tamazunchale, Tampacán, Tampamolón Corona, Tamuín, Tancanhuitz, Tanlajás, Tanquián de Escobedo, Villa de Arista, Xilitla y Catorce del Estado de San Luis Potosí.</t>
  </si>
  <si>
    <t>San Blas, Santiago Ixcuintla y Tecuala, Acaponeta, Rosamorada y Tuxpan</t>
  </si>
  <si>
    <t>Daños por el fenómeno de lluvia severa e inundación fluvial los días 17 y 18 de septiembre de 2013, para los municipios de San Blas, Santiago Ixcuintla,Tecuala Acaponeta, Rosamorada y Tuxpan del Estado de Nayarit.</t>
  </si>
  <si>
    <t>Armería, Ixtlahuacán, Tecomán, Manzanillo, Colima, Comala, Coquimatlán, Cuauhtémoc, Minatitlán y Villa de Álvarez</t>
  </si>
  <si>
    <t>Afectaciones a causa del fenómeno de Tormenta Tropical Manuel (lluvia severa), los días 16 y 17 de septiembre de 2013, en los municipios de Armería, Ixtlahuacán, Tecomán, Manzanillo, Colima, Comala, Coquimatlán, Cuauhtémoc, Minatitlán y Villa de Álvarez del Estado de Colima.</t>
  </si>
  <si>
    <t xml:space="preserve">Arriaga, Cintalapa, Catazajá </t>
  </si>
  <si>
    <t xml:space="preserve">Daños y pérdidas provocadas por la tormenta tropical Ingrid en el Golfo de México y tormenta tropical Manuel en el Océano Pacífico que provocaron lluvias fuertes y persistentes e inundación fluvial del 12 al 15 de septiembre de 2013, se declar como zona de desastre los municipios de Arriaga y Cintalapa del Estado de Chiapas por la ocurrencia de lluvia severa, así como al municipio de Catazajá de dicha Entidad Federativa por inundación fluvial, del 12 al 15 de septiembre de 2013. </t>
  </si>
  <si>
    <t>Canatlán, Canelas, Durango, Hidalgo, Mapimí, Otáez, San Juan de Guadalupe, Súchil, Tamazula, Topia y Vicente Guerrero</t>
  </si>
  <si>
    <t>Se declara como zona de desastre a los municipios de Canatlán, Canelas, Durango, Hidalgo, Mapimí, Otáez, San Juan de Guadalupe, Súchil, Tamazula, Topia y Vicente Guerrero del Estado de Durango, por la ocurrencia de inundación fluvial y pluvial (lluvia severa) del 15 al 19 de septiembre de 2013.</t>
  </si>
  <si>
    <t xml:space="preserve">Daños por el fenómeno de lluvia severa el día 21 de septiembre de 2013, para el municipio de Pénjamo del Estado de Guanajuato, a causa de la interacción de los ciclones tropicales Ingrid y Manuel </t>
  </si>
  <si>
    <t>Benito Juárez, Cozumel, Isla Mujeres, Lázaro Cárdenas y Solidaridad</t>
  </si>
  <si>
    <t>Daños por fenómeno de lluvia severa del 1 al 5 de junio de 2013, en los municipios de Benito Juárez, Cozumel, Isla Mujeres, Lázaro Cárdenas y Solidaridad del Estado de Quintana Roo.</t>
  </si>
  <si>
    <t xml:space="preserve">Afectaciones a causa de la iteracción de los ciclones tropicales Ingrid y Manuel. </t>
  </si>
  <si>
    <t>Chalchihuites, Fresnillo, General Francisco R. Murguía, Pinos, Río Grande, Sain Alto, Sombrerete y Villa de Cos</t>
  </si>
  <si>
    <t>Daños por fenómeno de lluvia severa los días 15 y 16 de septiembre de 2013 a causa de los ciclones Ingrid y Manuel en los municipios de Chalchihuites, Fresnillo, General Francisco R. Murguía, Pinos, Río Grande, Sain Alto, Sombrerete y Villa de Cos del Estado de Zacatecas.</t>
  </si>
  <si>
    <t>Jesus Maria</t>
  </si>
  <si>
    <t xml:space="preserve">Derivado de las lluvias se registro la ruptura de una presa denominada “Las Pilas”, cual afecto a  2 comunidades, 12 viviendas afectadas con 43 habitantes. Se otorgo apoyo a la poblacion. </t>
  </si>
  <si>
    <t>Fuertes lluvias acompañada de tormentas electricas afectaron a 200 viviendas aprox. con penetracion de agua en las siguientes Col. H. Casas, Rodeo, Gobernadores, Ruinas de Jauja, Cayapan. Se implemento 1 RT en el DIF Municipal (se albergaron 3 familias). Falleciendo 1 persona (sexo masculino de 39 años) por la caida de 1 arroyo y otra lesionada (sexo masculino), trasladada para su atencion. Estas personas realizaban ejercicios en el Deportivo “Provincia”.</t>
  </si>
  <si>
    <t>Arrastre de 1 camioneta tipo pickup Toyota, por creciente de un arroyo, por las fuertes lluvias registradas, en el punto conocido la “Piedra Parada”, localidad de Sto. Domingo, resultando 1 persona fallecida (sexo masculino de 3 años) al ser arrastrada por la corriente.</t>
  </si>
  <si>
    <t>Derivado de la lluvia atipica se instalaron 4 albergues: Centro Social Carmen Boullosa, Centro Social Angeles Apanoaya, Centro Social de Jardines de San Lorenzo, asi como el Parque Cuauhtemoc. Resultaron 21 colonias afectadas y partciparon 166 brigadistas en la cuantificacion de daños. El DIF brindo atencion medica a 101 personas y 48 consultas dentales. Se repartieron mas de mil l de agua, 200 colchonetas y 400 despensas. La Oficialia Mayor entrego mas de 40 mil kits de limpieza, despensas, 11 mil cobijas, 8 mil garrafones de agua, 68 colchones, box lunch, bombas sumergibles y coloco 90 sanitarios portatiles. La Secretaria de Salud ofrecio 80 atenciones medicas, distribuyo 987 sobres de Vida Suero Oral, 379 frascos de plata coloidal y 19 vacunas.</t>
  </si>
  <si>
    <t>Se declara como zona de desastre al municipio de Tuxtla Gutiérrez en el Estado de Chiapas, por la ocurrencia de movimiento de ladera en la Colonia 6 de junio, del 12 al 14 de septiembre de 2013.</t>
  </si>
  <si>
    <t>Francisco Leon y Tecpan</t>
  </si>
  <si>
    <t>Debido a las fuertes lluvias se presento el deslave de un cerro sobre el arroyo que atraviesa la comunidad San Jose Mazpac, ocasionado que se obstruyera el cause. Provocando penetracion de agua en 1 vivienda alcanzando 20 cm. Preventivaente se evacuaron 5 familias, trasladadas a la Casa Ejidal de la misma comunidad.</t>
  </si>
  <si>
    <t>Pajacuaran</t>
  </si>
  <si>
    <t xml:space="preserve">Caida de una roca de 20 ton aprox. en Calle Alvaro Obregon No. 440 y Calle 5 de Fedrero, a un costado del Cerro denominado La Estrella, Col. La Esperanza, . Resultando 5 viviendas con perdida total, sus ocupantes fueron evacuados. </t>
  </si>
  <si>
    <t>Debido a las lluvias acompañadas de tormentas electricas, se reporto el fallecimiento de 1 persona (sexo femenino) de 72 años, por caida de rayo a la altura de la comunidad de Arrastre cuando caminaba por la calle.</t>
  </si>
  <si>
    <t>Tecuala, Acaponeta y Tuxpan</t>
  </si>
  <si>
    <t>Fuertes lluvias ocasionando el desbordamiento del Rio Acaponeta y San Pedro. Evacuacion preventiva de 600 personas de las comunidades el Mezcal, Tecomate, Tamarindo y San Vicente, trasladas a refugios temporales instalados en el municipio de Tuxpan. 1 persona fallecida (sexo masculino de 87 años) al intentar cruzar el rio, 340 viviendas con penetracion de agua.</t>
  </si>
  <si>
    <t>Santa María Colotepec</t>
  </si>
  <si>
    <t xml:space="preserve">Debido a las lluvias registradas en la Region de la Costa, se registro el fallecimiento de 1 persona (sexo masculino de 67 años), quien intento cruzar el Rio Colotepec, a la altura del Paraje La Bomba, y fue arrastrado por la corriente. </t>
  </si>
  <si>
    <t>Mezcalapa</t>
  </si>
  <si>
    <t>Debido a las lluvias registradas se desgajo un cerro en la comunidad de Lindavista, reportandose 5 viviendas colapsadas en su totalidad, se evacuaron 195 personas (120 personas se trasladaron a 1 RT).</t>
  </si>
  <si>
    <t>Debido a las lluvias registradas provocaron el desbordamiento del Rio Usumacinta y Tulija, resultardon efectadas 120,408 personas, 34,339 familias, 83 RT, 436 comunidades afectadas, 4 carreteras estatales afectadas, 2 puentes dañados y 1, 289 viviendas con anegaciones (principalmente ligeras).</t>
  </si>
  <si>
    <t>Lluvias fuertes en la Comunidad de Belisario Dominguez, 45 casas afectadas con perdidas totales. En la Comunidad de Pueblo Juarez 50 casas afectadas con perdidas (desde un 50% a 100% en sus enseres domesticos). En el poblado Puente Seco 8 viviendas con inundaciones de 1.5 m de tirante debido a que este lugar se encuentra en un asentamiento irregular.</t>
  </si>
  <si>
    <t>Alto Lucero de Gutiérrez Barrios, Atzalan, Chiconquiaco, Ilamatlán, Jalacingo, Jilotepec, Juchique de Ferrer, La Perla, Las Minas, Poza Rica de Hidalgo, Tatatila, Tlacolulan y Xalapa</t>
  </si>
  <si>
    <t>Daños por fenómeno de movimiento de ladera, del 30 de septiembre al 2 de octubre de 2013, para los municipios de Alto Lucero de Gutiérrez Barrios, Atzalan, Chiconquiaco, Ilamatlán, Jalacingo, Jilotepec, Juchique de Ferrer, La Perla, Las Minas, Poza Rica de Hidalgo, Tatatila, Tlacolulan y Xalapa</t>
  </si>
  <si>
    <t>39 municipios</t>
  </si>
  <si>
    <t>Afectaciones por el Frente Frio 11: y 12  9 RT, 16,702 viviendas afectadas, 62, 141 poblacion afectada, 62 corrientes desbordadas, 22 deslaves, 71 vias de comunicacion afectadas, 31 puentes, 2 socavamientos, 2 escuelas, 10 cultivos y 4 servicios estrategicos afectados.</t>
  </si>
  <si>
    <t>Angostura, Mocorito, Culiacan, Navolato, Concordia, El Rosario, Elota y Mazatlan.</t>
  </si>
  <si>
    <t>1 deslave en el km 167 de la autopista Durango-Mazatlan a la altura del tunel el Sinaloense, 3 puentes provisionales dañados (instalados por el huracan Manuel). 1 persona fallecida (sexo masculino de 59 años) quien salio de pesca. 1,140 personas en 10 RT, corte de la Maxipista (tramo Mazatlan-Culiacan en el km 158 y 156). 1,80 viviendas afectadas con daños menores.</t>
  </si>
  <si>
    <t>Lluvias que provocaron la saturacion del rio Pantepec que afecto el camino y al cruzar 1 camioneta con 2 tripulantes los arrastro la corriente, mismas que fueron arrastradas las personas fallecidas (sexo masculino). Algunas viviendas resultaron con penetracion de agua (no se tiene la cuantificacion).</t>
  </si>
  <si>
    <t>Comondu y Loreto</t>
  </si>
  <si>
    <t xml:space="preserve">Lluvia severa por los efectos de la Tormenta Tropical IVO, del día 24 de agosto de 2013, en los municipios de Comondú y Loreto. No se tiene el detalle de los efectos de esta lluvia por cada sector, sin embargo se integra el monto de los apoyos del FONDEN en las siguiente infraestructura: Deportivo Estatal, Urbano, Hidráulico Federal, Carretero Federal, Turistíco Federal, Carretero Estatal, Naval Federal
Zonas Costeras, Federal, Salud Estatal
  </t>
  </si>
  <si>
    <t xml:space="preserve">Fuertes lluvias, tormenta electrica y granizada afecto en la Col. 10 de Mayo  e Insurgentes a 2 viviendas con daños severos y 35 con afectaciones menores, por lo que las familias que habitaban se reubicaron con sus familiares; arrastre de 6 vehiculos. </t>
  </si>
  <si>
    <t>El día 02 de noviembre a las 21:00 horas, debido a las fuertes precipitaciones  y a los escurrimientos generados, en calle principal de la Colonia Libertad, en el municipio de Chilpancingo, se registró  el arrastre de 2 personas que se encontraban en el interior de un vehículo, en el rio Huacapa, mismas que se reportaron como desaparecidas. El día 03 de noviembre a las 11:00 horas, fue encontrado un cuerpo sin vida en el río Coscamila en Quechultenango. A las 11:15 horas del 05 de noviembre, durante las labores de búsqueda se logró localizar y rescatar en la presa Colotlipa, el segundo cuerpo sin vida.</t>
  </si>
  <si>
    <t>Zitlala</t>
  </si>
  <si>
    <t xml:space="preserve">Se registró una lluvia fuerte, afectando a 9 viviendas y un jardín de niños, por penetración de agua, en el poblado de Mazatepec, se informa que la inundación sólo se mantuvo el tiempo que tardo la lluvia, por lo que una vez finalizada la precipitación, las familias realizaron labores de limpieza, reportando afectaciones en muebles y electrodomésticos. Siendo un total de 37 personas las afectadas. Se entregaron 11 despensas, 22 colchonetas, 11 kit de limpieza y 44 cobertores, a las personas afectadas. </t>
  </si>
  <si>
    <t xml:space="preserve">Desbordamiento del arroyo “Agua Dulce”, regreso a su nivel normal. Evacuandose 204 personas en 3 RT (Escuela Primaria Cuauhtémoc, Escuela Primaria Amado Nervo y uno ubicado en un domicilio particular de la Col. Solidaridad). </t>
  </si>
  <si>
    <t xml:space="preserve">Se habilito diversos 15 RT por la presencia de bajas temperaturas en el Estado con las siguientes anotaciones: 152 personas refugiados (10 del sexo femenino, 58 del sexo masculino, y el resto del sexo desconocido). </t>
  </si>
  <si>
    <t>Coatzintla, Tihuatlan, Banderilla, Ixhuatlan de los Reyes y Rafael Lucio</t>
  </si>
  <si>
    <t xml:space="preserve">Debido al frente frio resultaron 5 municipios afectados, 386 viviendas, 1, 540 poblacion afectada, 6 comunidades incomunicadas, 1 arroyo (cocineros) desbordado, 7 deslaves, 4 vias de comunicacion, 1 puente afectado, servicios estrategicos afectados (energia electrica y drenaje) y 1 RT activado. </t>
  </si>
  <si>
    <t>Mulege, Loreto, Comondu, La Paz y Los Cabos</t>
  </si>
  <si>
    <t>Como consecuencia del ciclon tropical Lorena se registraron lluvias de moderadas a fuertes, se suspendio clases en todos los niveles en los municipios de Los Cabos y La Paz. En este último se activaron 13 RT (de los cuales 2 albergaron a 62 personas). En la Col. Villas del Cortez se reporto un joven electrocutado (sexo masculino de 16 años) que intento jalar un cable de energia electrica, trasladada para su atencion.</t>
  </si>
  <si>
    <t xml:space="preserve">Buenavista y Villa Madero </t>
  </si>
  <si>
    <t>Debido a las intensas lluvias se reporta el desbordamiento de 1 arroyo en las comunidades de Mata de Platano y Pinzandaro, afectando 130 viviendas con penetracion de agua (las familias fueron albergadas en 1 RT. En Villa Madero: 1 camioneta Nissan intento cruzar 1 arroyo y fue arrastrada por la creciente resultando 1 persona fallecida (de sexo masculino de 33 años) y otra del mismos sexo se encuentra desaparecida.</t>
  </si>
  <si>
    <t xml:space="preserve">Debido a las lluvias registradas se reportan las siguientes afectaciones en 229 viviendas con penetración de agua (aprox. entre 40 y 70 cm).
</t>
  </si>
  <si>
    <t>Debido a las lluvias registradas, ocurrio el desgajamiento de un cerro que sepulta dos personas quienes fallecieron, los hechos se registraron en Calle Pedro Sáenz Baranda del Fraccionamiento Costa Azul donde las precipitaciones provocaron el reblandecimiento del terreno y el deslave del cerro. Quedaron sepultados bajo cuatro toneladas de tierra.  Las lluvias también provocaron encharcamientos y socavamientos en diversas calles del puerto, entre ellas la avenida Costera, donde un camión urbano se hundió aproximadamente un metro de profundidad a la altura del Centro Internacional Acapulco.</t>
  </si>
  <si>
    <t xml:space="preserve">Derivado de las fuertes lluvias registradas en las últimas 24 horas en la colonia San AgustínMunicipio Juan R. Escudero:
- Penetración de agua en 10 viviendas, al desbordarse el río Guayapa, que cruza la colonia San Agustín.
- Derrumbe de tierra y rocas, sobre la carretera Federal Acapulco - Chilpancingo.
- Socavón sobre un carril de la carretera Tierra Colorada - Ayutla. Derivado de lo anterior, se reporta volcadura de una camioneta Nissan, repartidora de la empresa Barcel. Al momento, no se tiene reporte de lesionados y/o fallecidos.
- Daños estructurales a un puente, de la colonia San Antonio, por lo cual fue cerrada la circulación vehicular que comunican a las Localidades El Terrero, Tlayolapa, Villa Guerrero, San José El Puente, Michapa y El Tabacal.
- Se habilitó un refugio temporal en las instalaciones de usos múltiples del H. Ayuntamiento municipal.
</t>
  </si>
  <si>
    <t>Hidalgo del Parral </t>
  </si>
  <si>
    <t>Afectaciones por la inundación fluvial e inundación pluvial, precisando que con la entrada del ciclón tropical "Manuel" se registraron lluvias severas en diversos municipios del Estado de Chihuahua, así como en el municipio de Hidalgo del Parral. Lo anterior impactó severamente en la cuenca que atraviesa dicho municipio, derivado principalmente de los escurrimientos que se presentaron en los cuerpos de agua que se encuentran en un nivel más alto, lo que provocó el desbordamiento de la Presa Parral, el Río Parral y demás afluentes de agua, esto aunado a los registros inusuales de precipitaciones que se presentaron en la Entidad, las cuales fueron de 162 mm3, en el periodo del 19 al 21 de septiembre de 2013.</t>
  </si>
  <si>
    <t>Batopilas</t>
  </si>
  <si>
    <t>Las lluvias registradas provocaron deslizamientos de laderas y deslaves. Al ir descendiendo los niveles del rio Batopilas se encontro 2 cuerpos (del sexo masculino) y se habilitaron 3 RT y 5 personas extraviadas, aprox. 35 comunidades afectadas.  Deslave de cerro en la comunidad de Saguajagachi, afectando 1 vivienda y resultando 2 personas fallecidas (sexo masculino) y la desaparicion de otra.</t>
  </si>
  <si>
    <t>Amatan, Ixtapangajoya, Juarez, Reforma y Pichucalco.</t>
  </si>
  <si>
    <t>Derivado de las lluvias se reportan en el municipio de Ixtapangajoya afectaciones en 5 viviendas por deslizamiento de ladera, 2 personas lesionadas y daños materiales. En el municipio de Pichucalco encharcamientos en 55 viviendas. En el municipio de Reforma encharcamientos en 51 viviendas, se albergaron a 15 personas en el casino municipal. En municipio de Juarez se registraron afectaciones en potreros, patios, tras patios en 508 viviendas en 15 comunidades, se habilitaron 2 RT (1 en la escuela secundaria de la comunidad el paraiso donde se albergaron a 36 personas y otro en la casa hogar de la cabecera municipal con 9 personas. En el municipio de Amatan se registran afectaciones por deslizamiento de ladera en 44, viviendas presentando afectaciones parciales por derrumbes. Asimismo se reportan 6 caminos dañados</t>
  </si>
  <si>
    <t>Lluvia fuerte en la entidad provocada por el paso del frente frio numero 20 con una duracion aprox. de 2 hrs. Afectando 17 municipios, 497 comunidades, 59,951 familias afectadas, 234,971 personas, 30 RT con 477 personas.</t>
  </si>
  <si>
    <t>Hasta la semana 01 del 2013 se han notificado 2 defuciones asociadas a la hiipotermia presentada por las bajas temperaturas del estado. Hasta la semana  03 Y 06 del 2013 se han notificado 4 defuciones  por intoxicación CO y/u otros gases.</t>
  </si>
  <si>
    <t>Hasta la semana 01 hasta la semana 06 del 2013 se han notificado 14 defuciones asociada a la hipotermia presentada por las bajas temperaturas del estado, 12 por intoxicación por CO y/ y otros gases y 3 por quemaduras.</t>
  </si>
  <si>
    <t>Hasta la semana 01 del 2013 se han notificado 1 por causa de intoxicación por CO y/u otro gas.</t>
  </si>
  <si>
    <t>Hasta la semana 02 del 2013 se han notificado 1 muerte asociada a la hiipotermiapresentada por las bajas temperaturas del estado y 1 por quemadura.</t>
  </si>
  <si>
    <t xml:space="preserve">Hasta la semana 02 del 2013 se han notificado 1 muerte asociada a la hiipotermiapresentada por las bajas temperaturas del estado. </t>
  </si>
  <si>
    <t>Hasta la semana 02 y 06  del 2013 se han notificado 10 defuciones por intoxicación CO y/u otro gas 4 por hipotermia y una por quemadura.</t>
  </si>
  <si>
    <t>Hasta la semana 02 del 2013 se han notificado 1 defución  por intoxicación CO y/u otro gas y 5 por hipotermia.</t>
  </si>
  <si>
    <t xml:space="preserve">Hasta la semana 04 del 2013 se han notificado 2 defuciones  por por hipotermia </t>
  </si>
  <si>
    <t>Hasta la semana 05 del 2013 se han notificado 1 defución por hipotermia.</t>
  </si>
  <si>
    <t>Hasta la semana 10 del 2013 se han notificado 1 defuciones por intoxicación CO y/u otro gas.</t>
  </si>
  <si>
    <t>Se  reporto una defución asociada al golpe de calor dentro de este estado.</t>
  </si>
  <si>
    <t>Se  reportaron 3 defuciones asociadas al golpe de calor dentro de este estado.</t>
  </si>
  <si>
    <t>Se  reportaron 2 defuciones asociadas al golpe de calor dentro de este estado.</t>
  </si>
  <si>
    <t>7 municipios</t>
  </si>
  <si>
    <t xml:space="preserve">Debido a las fuertes llevias y vientos ocasionados por el huracán "Wilma" se presentaron severas afetcaciones en los diferentes sectores,. </t>
  </si>
  <si>
    <t>38 municipios</t>
  </si>
  <si>
    <t>El sismo de 6.9° tuvo efectos sobre la poblacion y sus bienes, asi como en la infraestructura publica y en los sectores productivos, se declararon en desastre 38 municipios del estado de Chiapas. Tres personas perdieron la vida y 37 resultaron lesionadas.</t>
  </si>
  <si>
    <t>24 municipios afectados y declarados en desastre: Actopan, Alto Lucero de gutierrez Barrios, Boca del Rio, Coatepec, Juchique de Ferrer, Medellin, Misantla, Papantla, Ursulo Galvan y Veracruz</t>
  </si>
  <si>
    <t>Debido a las lluvias registradas en la entidad resultaron afectadas 255 viviendas (daños menores en techos de material endeble), 2120 personas, 28 colonias, 25 comunidades. Asimismo se presentaron 2 desbordamientos de corrientes, 10 deslizamientos de tierra, 6 vias de comunicacion con daños menores, daños en red telefonica, 3 socavamientos, 2 escuelas afectadas, 1 barda colapsada y se habilito 1 RT en Paso de Ovejas con 15 personas.FONDEN a poyo a los sectores carretero, hidraulico, educativo, y naval.</t>
  </si>
  <si>
    <t xml:space="preserve">La madruga se presentaron lluvias muy fuertes en el municipio de Marquelia, lo que provocó la crecida del río Marquelia, afectando por inundación a 2 viviendas de la colonia la Noria, 7 de la colonia Periférico Norte y 26 de la colonia Plan de Ayala. Con beneficio de 35 cobertores, 35 colchonetas,70 placas de lamina. </t>
  </si>
  <si>
    <t xml:space="preserve"> Aldama, Gonzalez, Victoria, Xicotencatl, Mante, Guemez y Ocampo</t>
  </si>
  <si>
    <t>La entrada de la tormenta tropical Dolly y sus remanentes afectaron a la entidad, se habilitaron 39 RT, varios encharcamientos y deslaves, arboles caidos, suspension del servicio educativo y 9 personas lesionadas. Se incomunicaron varias comunidades, se afectaron 9 viviendas, 1 puente y 3 arboles caidos. Las lluvias del CT afectaron a los sectores carretero, hidraulico, naval y urbano.</t>
  </si>
  <si>
    <t>Angel Albino Corzo, Arriaga, La Concordia, Mapastepec, Montecristo de Guerrero, Pijijiapan, Tonala, Villa Corzo y Villaflores en desastre y 41 municipios en emergencia</t>
  </si>
  <si>
    <t>Las lluvias registrada por ciclon tropical afectaron a 31 viviendas, 16 mil personas evacuadas, 5 RT con 913 personas, 2 centros educativos, 2 redes de agua potable, 2 redes de energia electrica, 14 derrumbes, cultivos de maiz y 3 embarcaciones de acuacultura de tipo cayuco y 88 mallas. Los municipios declarados en desastre tuvieron afectaciones en los sectores carretero, hidraulico y educativo</t>
  </si>
  <si>
    <t>Lluvia severa los dias 3, 6 y 9 de enero de 2014, resultando afectados los sectores naval, urbano, educativo y carretero.</t>
  </si>
  <si>
    <t>18 municipios declarados en emergencia y en deastre: Angel R. Cabada, Lerdo de tejada, Saltabarranca y Santiago Tuxtla</t>
  </si>
  <si>
    <t>Se apoyo a la poblacion con 23320 despensas, 34635 cobertores B, 34635 colchonetas, 54000 costales, 11660 kits de limpieza, 43650 lamina tipo C y medicamentos. Las lluvias e inundacion perjudicaron a los sectores hidraulico, urbano y vivienda.</t>
  </si>
  <si>
    <t>Bacalar, Benito Juarez, Cozumel, Isla Mujeres, Othon P. Blanco, Solidaridad y Tulum</t>
  </si>
  <si>
    <t>Debido a las fuertes lluvias se presentaron afectaciones en 63 viviendas por penetracion de agua. Se apoyo a la poblacion con 39944 despensas, 39600 cobertores, 39600 colchonetas, 130350 lamina tipo B, 6000 impermeables, 6000 botas, 16972 kits de limpieza y 11486 kits de aseo personal, 171000 agua y medicamentos. Las lluvias afectaron a los sectores carretero, urbano, cultura y educativo que fueron apoyados por FONDEN.</t>
  </si>
  <si>
    <t>Comondu, La Paz, Loreto, Los Cabos, Mulege</t>
  </si>
  <si>
    <t>Debido a las fuertes lluvias por la presencia del Huracan Norbert, en la comunidad de San Carlos en Comondu el mar subio su nivel provocando inundaciones. Se trasladaron a 300 personas a 1 RT, y  unas 2 mil personas, se retiraron por sus propios medioscaida de 2 postes de luz, 3 viviendas colapsadas, equipo para pesca se lo llevo el mar, atencion medica a 44 personas presentando diversos padecimientos. Las lluvias de septiembre afectaron al sector educativo, turistico y a las zonas costeras de los 5 muncipios y fueron apoyados por FONDEN para su reconstruccion</t>
  </si>
  <si>
    <t>11 municipios en emergencia y desastre en Campeche, Candelaria, Carmen, Champoton y Palizada</t>
  </si>
  <si>
    <t xml:space="preserve">Ocurrencia del ciclon tropical Boris que afecto a 1,355 viviendas. Se habilitaron 6 RT. Se otorgo a la poblacion 26874 despensas, 50000 lamina tipo B, 21000 cobertores, 16000 colchonetas, 8800 impermeables, 8800 botas, 200000 costales, 1800 linternas, 3000 marros, 3000 barretas, 3000 cinceles, 2500 carretillas, 5000 palas, 1500 zapapicos, 3000 machetes, 1500 azadones, 1500 hachas, 7238 kits de limpieza y 18476 kits de aseo personal, 111000 agua y medicamentos. Fonden emitio declaratoria de desastre por lluvias severas  del 29 y 31 de mayo de y 3, 6, 9, 10 y 11 de junio y apoyo a la infraestructuctura urbana y a los monumentos arqueologicos de Campeche y a a los sectores carretero, educativo, de salud y urbano de Candelaria, Carmen, Champoton y Palizada.
</t>
  </si>
  <si>
    <t>Chihuahua en desastre y emergencia y sólo en emergencia Balleza, Bocoyna, Nonoava y Ocampo</t>
  </si>
  <si>
    <t xml:space="preserve">La inundacion provoco afectaciones en el sector hidraulico y urbano. Para atender la emergencia se repartieron 5964 despensas, 8000 laminas tipo b, 4950 cobertores, 4950 colchonetas, 250 impermeables, 250 guantes de carnaza, 250 botas, 15 rollos de hule, 1988 kits de limpieza, 1988 kits de aseo personal. </t>
  </si>
  <si>
    <t>Fuertes lluvias y vientos que afectaron a 6 viviendas con penetracion de agua y a una por la caida de arbol</t>
  </si>
  <si>
    <t>Bachiniva, Carichi, Cuauhtemoc, Cusihuiriachi, Guerrero, Ignacio Zaragoza, Namiquipa y Temosachi</t>
  </si>
  <si>
    <t>El cultivo gravemente afectados debido a la helada, fue la manzana. Esto en los municipios de Bachiniva, Carichi, Cuauhtemoc, Cusihuiriachi, Guerrero, Ignacio Zaragoza, Namiquipa y Temosachi.</t>
  </si>
  <si>
    <t>Guerrero y La Cruz</t>
  </si>
  <si>
    <t>Los cultivos gravemente afectados debido a la granizada ocurrida, son los siguientes: alfalfa, cebolla, chile, frijol, maiz, sandia, manzana y nogal.  Esto en los municipios de Guerrero y La Cruz.</t>
  </si>
  <si>
    <t>Los cultivos gravemente afectados debido a la granizada fueron: chiles, cebollas, tomatillo, jitomate, frijos y maiz. Esto en el municipio de Salinas.</t>
  </si>
  <si>
    <t xml:space="preserve">El tornado provoco daños en 1,131 viviendas de 16 colonias, asi como en instituciones educativas y establecimientos comerciales, 24 vehiculos, caida de 47 arboles; ademas, se tuvieron reportes de personas sin lesiones de gravedad. </t>
  </si>
  <si>
    <t>CENACOM-FONDEN-CENAPRED</t>
  </si>
  <si>
    <t xml:space="preserve">Sismo de 7.2 grados con epicentro en Guerrero afecto a 1 edificio de 14 pisos en la Col. Doctores, 54 familias se evacuaron. Asimismo se presento afectaciones en el Hospital Infantil de Tlahuac, el Museo del Monumento de la Revolucion, se cayeron 17 bardas, 5 postes, 2 arboles y transformadores que provoco la suspencion de energia electrica, se reportaron 4 fugas de gas y 4 de agua. </t>
  </si>
  <si>
    <t>Reforma, Universal y Milenio</t>
  </si>
  <si>
    <t>Debido a las lluvias se registraron 22 deslaves sobre la Carr. Putla-desviacion a Concepcion del Progreso, Carr. 125 Alfonso Perez Gasca. Se registraron 2 fallecimientos (sexo masculino de 59 y 60 años), debido al desgajamiento de un cerro cuando viajaban en un automovil. El movimiento de ladera provoco afectaciones en los sectores carretero, vivienda e hidraulico.</t>
  </si>
  <si>
    <t>Chalma, Chicontepec, Chinampa de Gorotiza, Naranjos, Panuco, Pueblo Viejo, Tampico Alto, Tantoyuca y Tempoal</t>
  </si>
  <si>
    <t>Las fuertes lluvias a consecuencia de la tormenta tropical Dolly, afecto a 5298 viviendas y una poblacion de 21417, 60 comunidades, 6 deslaves, 5 bardas colapsadas, 11 escuelas afectadas, 4 arboles caidos, 88 vias de comunicacion afectadas, 3 socavamientos, 4 servicios estrategicos afectados (energia electrica, telefonia, drenaje y agua potable), 1 RT activado. 24 puentes afectados.</t>
  </si>
  <si>
    <t>44 municipios</t>
  </si>
  <si>
    <t>Helada severa como consecuencia de los frentes frios 27, 28 y 29. Se otorgo a la poblacion 33791 despensas, 135166 cobertores A y 135166 colchonetas</t>
  </si>
  <si>
    <t xml:space="preserve">Como consecuencia de la tormenta tropical Marie se presento en Chilpancingo: penetracion de agua en 5 viviendas y 1 oficina publica, 4 bardas y 9 arboles caidos, 1 derrumbe en la Carr. Libre Mexico-Acapulco, tramo Chilpancingo-Acapulco km 33. En Acapulco: 1 arbol caido, 1 vehiculo varado, encharcamientos en vialidades, se cerro el puerto y fallas en el servicio electrico. En Tixtla: fallas en el servicio de energia electrica. </t>
  </si>
  <si>
    <t>133 municipios</t>
  </si>
  <si>
    <t>Lluvia severa ocurrida el 2 y 3 de junio, declarandose a 133 municipios. Se habilitaron 2 RT y 13 viviendas presentaron penetracion de agua (15 cm). Se apoyo a la poblacion con 37620 despensas, 63500 cobertores, 63500 colchonetas, 18000 impermeables, 18000 botas, 60000 costales, 7000 linternas, 25000 kits de limpieza y 25000 kits de aseo personal, 225000 agua y medicamentos.</t>
  </si>
  <si>
    <t>CENACOM-DOF</t>
  </si>
  <si>
    <t xml:space="preserve">Tulum, Solidaridad, Isla Mujeres, Cozumel, Lázaro Cárdenas y Benito Juárez </t>
  </si>
  <si>
    <t xml:space="preserve">Fuen necesario apoyar a la poblacion con 16200 despensas, 20203 cobertores, 20203 colchonetas, 6101 impermeables, 6101 botas, 8100 kits de limpieza, 8100 kits de aseo personal, 140224 litros de agua y 80300 laminas tipo b. </t>
  </si>
  <si>
    <t>15 municipios y en contingencia climatologica: Cerritos, Ciudad Fernandez, Lagunillas, Rayon, Rioverde, San Ciro de Acosta</t>
  </si>
  <si>
    <t>Helada severa a consecuencia de los frentes frios 27, 28 y 29. Se apoyo a la poblacion con 1328 despensas, 5314 cobertores A y 5314 colchonetas. Ademas los cultivos gravemente afectados debido a la helada, fueron los siguientes: mandarina y naranja.</t>
  </si>
  <si>
    <t xml:space="preserve">FONDEN-SAGARPA-CENAPRED </t>
  </si>
  <si>
    <t>Balancan, Emiliano Zapata, Jonuta, Tenosique</t>
  </si>
  <si>
    <t>El cultivo gravemente afectados debido a la inundacion significativa fue el sorgo. Esto en los municipios de Balancan, Emiliano Zapata, Jonuta, Tenosique.</t>
  </si>
  <si>
    <t>64 municipios</t>
  </si>
  <si>
    <t>Presencia de ondas calidas ocurridas del 2 al 4 de junio. Se apoyo a la poblacion con 98200 despensas, 66120 kits de aseo personal, 947060 agua y medicamentos.</t>
  </si>
  <si>
    <t>100</t>
  </si>
  <si>
    <t>Las fuertes lluvias hicieron crecer los rios y canales. En Valles centrales: caminos afectados, derrumbes; el bordo del cerro cayo afectando 10 casas, (6 de ellas sepultadas), sin heridos ni muertos. 25 personas evacuadas, 25 laminas se volaron por el viento. Huatulco: rocas grandes obstrueron la carretera. Daños importantes en caminos y daños en cultivos de cafe y maiz, en promedio de 600 a 800 hectareas.   Region Istmo Norte:  4 casas con inundaciones de 32 cm en promedio. Mixteca: carretera con derrumbe, San Martin Peras quedo incomunicado por derrumbes en su carretera y la caida de un puente. Region Puerto: en Santiago Armenta 1 RT con 30 personas, Chacahua y El Azufre incomunicadas. Region Sierra Sur: 1 RT con 7 familias.  3 postes caidos. Se repartieron 18526 despensas, 20000 laminas tipo b, 38000 cobertores, 38000 colchonetas, 7500 impermeables, 7500 botas, 60000 costales, 5000 linternas, 18526 kits de limpieza, 18526 kits de aseo personal y 130000 litros de agua.</t>
  </si>
  <si>
    <t xml:space="preserve">Se atendio a la poblacion con 44700 despensas, 18000 laminas tipo b, 50000 cobertores, 50000 colchonetas, 25 rollos de hule, 7000 kits de limpieza, 7000 kits de aseo personal. </t>
  </si>
  <si>
    <t>33 municipios</t>
  </si>
  <si>
    <t xml:space="preserve">Debido a las fuertes lluvias se apoyó a la población con 11953 despensas, 32814 cobertores, 32814 colchonetas, 2000 impermeables, 2000 botas, 20 rollos de hule, 11953 kits de limpieza, 11953 kits de aseo personal y 45000 laminas tipo b. </t>
  </si>
  <si>
    <t>Las lluvias y fuertes vientos provocaron severas inundaciones en el municipio de NogalesUn hombre de 54 años, que murio ahogado al caer al Arroyo Los Nogales en la colonia Nogales Dos. Resultaron perjudicados los sectores deportivo, educativo e hidraulico</t>
  </si>
  <si>
    <t>30 municipios</t>
  </si>
  <si>
    <t>Helada severa como consecuencia de los frentes frios 27, 28 y 29. Se apoyo a la poblacion con 20493 despensas, 81972 cobertores A y 81972 colchonetas.</t>
  </si>
  <si>
    <t>Agua Dulce, Coatzacoalcos, Cosoleacaque, Hidalgotitlán, Ixhuatlán del Sureste, Las Choapas, Martínez de la Torre, Minatitlán, Moloacán, Nanchital de Lázaro Cárdenas del Río y Uxpanapa</t>
  </si>
  <si>
    <t>Se proportciono apoyo a la poblacion a traves de 14829 despensas, 14272 cobertores, 14272 colchonetas, 4943 kits de limpieza, 4943 kits de aseo personal, 45205 laminas tipo c, 75738 litros de agua.</t>
  </si>
  <si>
    <t>Guadalajara, El Salto y San Pedro Tlaquepaque</t>
  </si>
  <si>
    <t>Fuertes lluvias provocando inundaciones en varias viviendas alcanzando niveles que van desde los 10 cm hasta 1.5 m, generando afectaciones en 1,171 viviendas afectadas, 424 vehiculos afectados, 3 escuelas afectadas y 1 comedor. Aproximadamente mil niños sin clases. Se apoyo a la poblacion con 1647 despensas, 1647 kits de limpieza, 1647 kits de aseo personal.</t>
  </si>
  <si>
    <t>Manzanillo y Tecoman</t>
  </si>
  <si>
    <t xml:space="preserve">Los cultivos gravemente afectados debido al ciclon tropical, fueron los siguientes: mango, limon, papayo y platano. </t>
  </si>
  <si>
    <t>20 municipios</t>
  </si>
  <si>
    <t>Helada severa a consecuencia de los frentes frios 27, 28 y 29. Se apoyo a la poblacion con 16635 despensas, 66540 cobertores A y 66540 colchonetas.</t>
  </si>
  <si>
    <t>La Paz, Los Cabos, Comodu, Loreto y Mulege</t>
  </si>
  <si>
    <t xml:space="preserve">Para atender la emergencia se repartieron a la poblacion 9560 despensas, 42146 laminas tipo b, 12000 cobertores, 12000 colchonetas, 3000 impermeables, 3000 botas, 4780 kits de limpieza, 4780 kits de aseo, 100000 litros de agua, 20000 costales, 1500 linternas. </t>
  </si>
  <si>
    <t>Agua Prieta, Altar, Atil, Benjamin Hill,
Caborca, Cananea, Carbo, General
Plutarco Elias Calles, Hermosillo,
Imuris, Magdalena, Naco, Nogales,
Oquitoa, Pitiquito, Puerto Peñasco,
Santa Ana, Santa Cruz, Saric,
Trincheras y Tubutama</t>
  </si>
  <si>
    <t xml:space="preserve">La Tormenta Tropical Odile afecto a los sectores de cultura, deportivo y educativo. Fue necesario repartir 21975 despensas, 14804 laminas tipo b, 15300 cobertores, 15300 colchonetas, 100 impermeables, 100 guantes, 100 botas de hule, 10 rollos de hule, 20000 costales, 100 linternas, 7325 kits de limpieza, 7325 kits de aseo personal, 7325 litros de agua, 25000 pañales etapa 1, 23200 pañales etapa 2, 24400 pañales etapa 3, 19000 pañales etapa 4, 16400 pañales etapa 5, 12570 pañales adulto.  </t>
  </si>
  <si>
    <t>Alamo Temapache, Cerro Azul, Chinampa de Gorostiza, Ozuluama de Mascareñas, Tamalin, Tamiahua, Tampico Alto, Tantoyuca y Tuxpan.</t>
  </si>
  <si>
    <t>Se apoyo a la poblacion con 11988 despensas, 18760 laminas tipo b, 9512 laminas tipo c, 17970 cobertores, 17970 colchonetas y 5994 kits de limpieza.</t>
  </si>
  <si>
    <t xml:space="preserve"> Mexquitic de Carmona</t>
  </si>
  <si>
    <t>Los cultivos gravemente afectados debido a la granizada ocurrida, son los siguientes. Acelgas, betabel, brocoli, calabaza, cebolla, cempazuchil, chicharo, cilantro, ejote, espinaca, flores, frijol, hortalizas, lechuga, maiz, mejorana, perejil, rabano, repollo, ruda, tomatillos y tomillo. esto en el municipio de Mexquitic de Carmona.</t>
  </si>
  <si>
    <t>Monclova, Hidalgo, Acuña y Torreon</t>
  </si>
  <si>
    <t>Afectaciones por la crecida de los arroyos debido a las lluvias presentadas en la entidad. Preliminar 3 mil viviendas con diversas afectaciones, daños estructurales en 4 puentes vehiculares y en 2 cercas perimetrales de 2 escuelas.</t>
  </si>
  <si>
    <t>Alvarado, Espinal, Gutiérrez Zamora, Papantla y Tlalixcoyan</t>
  </si>
  <si>
    <t>Se proporciono apoyo a la poblacion a traves de 10594 despensas, 12573 laminas tipo b, 5381 laminas tipo c, 14190 cobertores, 14190 colchonetas, 5297 kits de limpieza, 5297 kits de aseo personal.</t>
  </si>
  <si>
    <t>Apazapan, Banderilla, Emiliano Zapata,  Tepetlan, Tlaltetela y  Xalapa</t>
  </si>
  <si>
    <t>Lluvia con granizo afecto a 6 municipios, 923 viviendas, 135 vehiculos y 14 personas lesionadas. Se activaron 2 RT. Se opoyo a la poblacion con 10104 despensas, 7470 cobertores, 7470 colchonetas, 28790 lamina tipo B y 3368 Kits de limpieza.</t>
  </si>
  <si>
    <t>25 municipios</t>
  </si>
  <si>
    <t>Helada severa a consecuencia de los frentes frios 27, 28 y 29. Se apoyo a la poblacion con 9253 despensas, 37014 cobertores A y 37014 colchonetas.</t>
  </si>
  <si>
    <t>Noche/04 de agosto-Madrugada/05 de agosto, se registraron lluvias fuertes en el municipio de Teloloapan, en la región Norte del estado, reportando afectaciones en 80 viviendas por el desbordamiento del arroyo de la colonia San Andrés, de las cuales 20 registraron inundación por el ingreso de agua de hasta un metro de altura, mientras que en el resto sólo se dieron pequeñas anegaciones en áreas de patios.</t>
  </si>
  <si>
    <t>A las 16:34 horas del día 17 de agosto, se reporta un derrumbe de tierra mientras trabajaban en una obra de construcción, lo anterior debido a un corte realizado al terreno y al reblandecimiento por las últimas lluvias quedando dos trabajadores atrapados esto ocurrido en la colonia Trinchera, Chilpancingo. Resultando un fallecido y una persona lesionada.</t>
  </si>
  <si>
    <t xml:space="preserve"> La Paz</t>
  </si>
  <si>
    <t>Lluvia severa registrada del 1 al 9 de julio. Se otorgo a la poblacion afectada 5625 despensas, 24375 laminas tipo B, 7500 cobertores B, 7500 colchonetas, 600 impermeables, 600 botas, 937 linternas,1875 kits de limpieza, 3750 kits de aseo personal, 7500 litros de agua y medicamentos.</t>
  </si>
  <si>
    <t>Batopilas, Chínipas, Urique</t>
  </si>
  <si>
    <t>El cultivo gravemente afectados debido a la lluvia torrencial, fue la avena, mientras que tambien presentó afectaciones en el ganado bovino. Esto en los municipios de Batopilas, Chínipas, Urique.</t>
  </si>
  <si>
    <t>La ocurrencia de la helada severa debido a la presencia de los frentes frios 27,28 y 29. Se otorgaron a la poblacion 7480 despensas, 29921 cobertores A y 29921 colchonetas.</t>
  </si>
  <si>
    <t>Culiacan y Mocorito</t>
  </si>
  <si>
    <t>Debido a las lluvias registradas se afectaron 100 domicilios por penetracion de agua (alcanzando 1 m de altura) y 20 vehiculos que se encontraban estacionados, se daño 1 linea de energia electrica, en la Carr. Guamuchil-Mocorito se registro 1 reblandecimiento de tierra (se cerro la circulacion). Preventivamente se evacuaron a las familias y se habilito 1 RT. Se repartieron 7125 despensas, 12250 laminas de tipo b, 6500 cobertores, 6500 colchonetas, 1375 impermeables, 2375 kits de limpieza, 4750 kits de aseo personal.</t>
  </si>
  <si>
    <t>Apaseo el Alto y Ocampo</t>
  </si>
  <si>
    <t>Las fuertes lluvias provocaron afectaciones en los municipios de Apaseo el Alto: 337 viviendas afectadas (penetracion de agua aprox. 120-140 cm),  preventivamente se evacuo a 2,659 personas y se activo 1 albergue; en Ocampo se reportaron 5 viviendas (penetracion de agua aprox. 25-45 cm), preventivamente  se evacuo a 13 personas llevadas a 1 RT instalado en la casa del Anciano.</t>
  </si>
  <si>
    <t>Guasave, Angostura, Mocorito y Culiacan</t>
  </si>
  <si>
    <t>Lluvia severa e inundacion pluvial y fluvial. Se otorgaron apoyos a la poblacion afectada de 11691 despensas, 5560 lamina tipo A, 9590 cobertores B, 9590 colchonetas, 1500 impermeables, 7794 kits de aseo personal y 3897 de limpieza y medicamentos.</t>
  </si>
  <si>
    <t>Ostuacan, Siltepec y Chicomosuelo</t>
  </si>
  <si>
    <t>Debido a las fuertes precipitaciones por la onda tropical num 32 se desbordo el rio Shuspal que afecto a 236 viviendas. Se habilitaron 2 RT (con 228 personas). Se afectaron 2 puentes (1 con daños estructurales y 1 en su totalidad), 3 tramos carreteros afectados, 3 escuelas con daños estructurales y   8 negocios afectados. Se apoyo a la poblacion de los tres municipios con 1936 despensas, 2500 laminas tipo b, 3872 cobertores, 3872 colchonetas, 968 kits de limpieza, 968 kits de aseo personal, 20470 litros de agua, 22000 toallas femeninas, 13326 pañales etapa 3, 13326 pañales etapa 4, 13326 pañales etapa 5.</t>
  </si>
  <si>
    <t>Balancan, Centla y Jonutla</t>
  </si>
  <si>
    <t>Debido a las lluvias a consecuencia del Ciclon Tropical Boris se efectaron 300 viviendas aprox., asi como derrumbes eb diversos tramos carreteros. Se opoyo a la poblacion con 7280 despensas, 7000 cobertores, 7000 colchonetas, 600 botas, 103 rollos de hule, 300000 costales, 3640 kits de limpieza y 3640 de aseo personal, 3640 envases para agua y medicamentos.</t>
  </si>
  <si>
    <t>Mazatlan se declaró en emergencia y se reportaron afectaciones en los municipios de Rosario, Guasave, Mochis, Elota, San Ignacio y Mocorito.</t>
  </si>
  <si>
    <t xml:space="preserve">Las lluvias registradas por el Huracan Norbert causaron afectaciones en Mazatlan: 30 viviendas y 400 familias, se intalaron 2 RT, 1 vehiculo fue arrastrado,Se repartieron 4590 despensas, 4120 cobertores, 4120 colchonetas, 1260 impermeables, 1530 kits de limpieza, 3060 kits de aseo personal, 13890 laminas tipo b. En Rosario: 12 viviendas y 300 familias, interrupcion del sistema electrico. En Guasave: 35 viviendas y 30 familias. En Mochis: daños en 4 anuncios espectaculares. En Elota: 1 vivienda y arboles caidos. En San Ignacio: 65 viviendas. En Mocorito: 1 persona fallecida.  </t>
  </si>
  <si>
    <t>Presencia de helada severa ocurrida los 13, 15, 16 y 17. Se apoyo a la poblacion con 13275 despensas, 17700 cobertores A, 17700 colchonetas y 30 rollos de hule.</t>
  </si>
  <si>
    <t>21 municipios</t>
  </si>
  <si>
    <t>Helada severa consecuencia de los frentes frios 27, 28 y 29. Se apoyo a la poblacion 5980 despensas, 23921 cobertores A y 23921 colchonetas</t>
  </si>
  <si>
    <t>Debido al paso del Frente frio No. 12 se desbordo el rio Mezcalapa. Se repartaron 1,165 viviendas afectadas por inundacion, con un tirante de 1.80 a 2.00 mts. Fue activado el plan DN-III. Tres refugios temporales activados con 18, 39 y 49 familias respectivamente. Se apoyo a la poblacion con 276 despensas, 1794 laminas tipo b, 552 cobertores, 552 colchonetas, 138 kits de limpieza, 138 kits de aseo personal, 8832 litros de agua, 1987 toallas femeninas, 560 pañales etapa 3, 448 pañales etapa 4, 448 pañales etapa 5.</t>
  </si>
  <si>
    <t>Helada severa a consecuencia de los frentes frios 27, 28 y 29. Se apoyo a la poblacion con 5250 despensas, 21000 cobertores A y 21000 colchonetas.</t>
  </si>
  <si>
    <t>Atzacan, Ixhuatlancillo, Ixtaczoquitlan, Orizaba y Mariano Escobedo</t>
  </si>
  <si>
    <t>Atzacan: escurrimiento de cañal en la Carr. Orizaba-Atzacan que afecto 6 viviendas (tirante de hasta 50 cm). En Ixhuatlancillo: 80 viviendas (tirantes hasta 40 cm). En Orizaba: desbordamiento de la laguna El Chirimoyo que afecto el Fracc. San Jose, 100 viviendas afectadas, se habilito 1 RT (con 30 personas). En Orizaba: se desbordo el rio Totolito afectando 10 viviendas en la calle Oriente 2 por lo que se traslado a 8 personas. En Mariano Escobedo: anegamientos en 1 vivienda (la familia se encuentra en la Comandancia de Policia). En Ixtaczoquitlan: 6 viviendas(anegamientos hasta 40 cm) por el desbordamiento del rio Escamela, asi como por 1 arroyo, afectando 3 viviendas. Se apoyo a la poblacion con 1475 despensas, 6010 laminas tipo b, 4503 cobertores, 4503 colchonetas, 1475 kits de limpieza, 1475 kits de aseo personal, 6030 laminas tipo c.</t>
  </si>
  <si>
    <t>Acapulco.</t>
  </si>
  <si>
    <t>Se registro una fuerte lluvia que causo afectaciones en 8 viviendas del municipio de Acapulco.</t>
  </si>
  <si>
    <t>Debido a las lluvias se apoyo a la poblacion con 1250 despensas, 11250 laminas de tipo b, 5000 cobertores, 5000 colchonetas, 1500 impermeables, 1500 botas, 1250 kits de limpieza, 1250 kits de aseo personal y 2000 litros de agua.</t>
  </si>
  <si>
    <t>Hidalgo, Durango, Gómez Palacio y Lerdo</t>
  </si>
  <si>
    <t>Con el fin de apoyar a la poblacion se repartieron 1660 despensas, 4641 cobertores, 4641 colchonetas, 1660 kits de limpieza, 1660 kits de aseo personal en Hidalgo y Durango y 3975 despensas, 11900 cobertores, 11900 colchonetas, 2900 impermeables, 400 botas, 10 rollos de hule, 100 linternas, 3975 kits de limpieza, 3975 kits de aseo personal en Gómez Palacio y Lerdo.</t>
  </si>
  <si>
    <t>Se reportaron varias viviendas afectadas en el municipio de Iguala debido a las fuertes lluvias.</t>
  </si>
  <si>
    <t>Lluvia severa e inundacion pluvial y fluvial. Se otorgo a la poblacion apoyo de 507 despensas, 2197 lamina tipo B, 676 cobertores B, 676 colchonetas, 100 impermeables, 100 guantes, 100 botas, 20000 costales, 100 linternas, 169 kits de limpieza, 169 kits de aseo personal, 2688 toallas sanitarias, 1600 pañales etapa 1, 1600 pañales etapa 2, 1600 pañales etapa 3, 1600 pañales etapa 4, 1600 pañales etapa 5, 1600 pañales para adulto, 16224 litros de agua y medicamentos.Las lluvias afectaron los rectores deportivo, hidraulico y salud.</t>
  </si>
  <si>
    <t>Centro y Nacajuca</t>
  </si>
  <si>
    <t xml:space="preserve">Debido a las lluvias se apoyo a la poblacion con 11211 despensas, 3000 cobertores, 3000 colchonetas, 100 botas, 12 rollos de hule, 100000 costales, 3737 kits de limpieza, 3737 kits de aseo personal y 3737 envases de agua. </t>
  </si>
  <si>
    <t>Lluvias fuertes provocaron el desbordamiento de los rios Chalaca y Vado Ancho que afectaron a 776 viviendas y se daño 1 puente en el tramo Villa Comaltitlan-Ejido Vicente Guerrero. Preventivamente se habilitado 1 RT en el Auditorio Municipal, albergando a 25 familias (90 personas). Se apoyo a la poblacion con alimentos, despensas, kits de limpieza e higiene personal, asi como colchonetas y cobertores.</t>
  </si>
  <si>
    <t>Frente frio 18 provoco bajas temperaturas y helada severa. 26 hombres y 8 mujeres fueron trasladados a  los 11 RT activados. Se apoyo a la poblacion con 3301 despensas, 13204 cobertores, 13204 colchonetas, 15 rollos de hule.</t>
  </si>
  <si>
    <t>Tangancicuaro</t>
  </si>
  <si>
    <t>Fuertes vientos tipo tornado, acompañados de lluvia ligera que genero el destechamiento de 200 viviendas, caida de postes, bardas y arboles. Registrandose apagones principalmente en las colonias El cerrito, Los Fresnos, Cupatiro y La Palm,  y afectacion de 10 ha de cultivo de fresa. Preventivamente se habilito 1 RT  en el Auditorio Municipal.</t>
  </si>
  <si>
    <t>Ocurrencia de heladas severas. Se apoyo a la poblacion con 4692 despensas, 9386 cobertores A, 9386 colchonetas, 30000 litros de agua y medicamentos</t>
  </si>
  <si>
    <t>Pilcaya</t>
  </si>
  <si>
    <t xml:space="preserve">Debido a las lluvias registradas durante la noche se desbordo el arroyo conocido como Amatitlan y barranca de Chimatitlan del poblado de Amatitlan, afectando 4 viviendas por penetracion de agua, ubicadas al margen del arroyo. Preventivamente se habilitaron 2 RT con un total de 35 personas. </t>
  </si>
  <si>
    <t>24 municipios</t>
  </si>
  <si>
    <t>Helada severa ocurrida por los frentes frios 27, 28 y 29. Se apoyo a la poblacion con 2713 despensas, 10855 cobertores A y 10855 colchonetas</t>
  </si>
  <si>
    <t>Chocamán y Coscomatepec</t>
  </si>
  <si>
    <t xml:space="preserve">Debido a las lluvias fue necesario apoyar a la poblacion con 1876 despensas, 4580 laminas tipo b, 2900 laminas tipo c, 1554 cobertores, 1554 colchonetas, 938 kits de limpieza, 938 kits de aseo personal. </t>
  </si>
  <si>
    <t>Santiago Juxtlahuaca</t>
  </si>
  <si>
    <t xml:space="preserve">Las lluvias y escurrimientos de las partes altas aunado a que 1 puente peatonal cayo sobre el rio Juxtlahuaca, se desbordo e inundo a la poblacion de la Col. Esperanza y Soledad. Se evacuo a las personas estableciendolas en albergues: 8 adultos y 6 niños. 5 viviendas inundadas. </t>
  </si>
  <si>
    <t>Helada severa como consecuencia de los frentes frios 27, 28 y 29. Se apoyo a la poblacion con 2542 despensas, 10171 cobertores A y 10171 colchonetas.</t>
  </si>
  <si>
    <t xml:space="preserve">10 municipios afectados y Guasave declarado en emergencia </t>
  </si>
  <si>
    <t>Debido a las lluvias registradas por el huracan Odile se habilitaron 9 RT que albergaron aproximadamente 1,200 personas. En el muncipio de Navolato 1 persona cayo al agua y se encuentra desaparecida. 25 viviendas fueron afectadas. En Mazatlan: falta de servicios de agua potable, se habilito 1 puente aereo hacia la Cd. de Mazatlan en donde se recibieron turistas de Los Cabos, Baja California Sur. En Gausave se repartieron 2244 despensas, 1800 cobertores, 1800 colchonetas, 900 impermeables, 748 kits de limpieza, 1496 kits de aseo personal, 4220 laminas tipo b.</t>
  </si>
  <si>
    <t xml:space="preserve">Debido a las lluvias fue necesario apoyar a la poblacion con 1360 despensas, 4043 laminas tipo b, 2170 laminas tipo c, 1521 cobertores, 1521 colchonetas, 680 kits de limpieza, 680 kits de aseo personal. </t>
  </si>
  <si>
    <t>Lluvias fuertes ocacionaron afectaciones en 19 viviendas y comercio por penetracion de agua, 8 arboles caidos, 1 menor lesionado por caida de barda y 1 persona atendida por crisis nerviosa. 2 arroyos presentaron escurrimientos.Las lluvias e inundaciones perjudicaron a los sectores deportivo y educativo.</t>
  </si>
  <si>
    <t>Amatan, Ocotepec y Tecpatan</t>
  </si>
  <si>
    <t>Lluvia severa e inundacion fluvial e inundacion pluvial. Se opoyo a la poblacion 1046 despensas, 3600 lamina tipo B, 4133 cobertores b, 3974 colchonetas, 1046 kits de aseo personal y 1046 de limpieza, 8336 toallas sanitarias femeninas, pañales etapa 3 (4460), 4 (3568), y 5 (3568) y 26465 litros de agua.</t>
  </si>
  <si>
    <t>Acuña, Hidalgo, Jimenez y Monclova</t>
  </si>
  <si>
    <t>Lluvia severa que afecto a la poblacion, a la que se apoyo con 1877 despensas, 7510 cobertores B, 1000 impermeables, 1000 botas, 350 carretillas, 900 palas, 900 zapapicos, 200 machetes, 900 azadones, 1877 kits de limpieza y 1877 aseo personal y medicamentos.</t>
  </si>
  <si>
    <t xml:space="preserve">11 municipios afectados y declarados en emergencia Cuauhtemoc, Genaro Codina, Guadalupe, Panuco, Trancoso y Zacatecas  </t>
  </si>
  <si>
    <t xml:space="preserve">Granizo y lluvias severas que por su acumulacion provocaron encharcamientos e inundaciones, el desbordamiento de rios y arroyos, inundaciones que alcanzaron una altura de hasta 1 m de viviendas de las cabeceras municipales y comunidades. 96 viviendas afectadas con aproximadamente 650 personas evacuadas. A los municipios en emergencia se repartieron 274 despensas, 3568 laminas tipo b, 1098 cobertores, 1098 colchonetas, 274 kits de limpieza, 274 kits de aseo personal, 10 rollos de hule. </t>
  </si>
  <si>
    <t xml:space="preserve">Tornado en la comunidad de Huimiyuca. Resultando 7 personas lesionadas, trasladadas para su atencion, 24 viviendas (14 con daño total y 10 con daños parciales), arboles caidos, daños en lineas electricas por caida de postes, vehiculos afectados y animales muertos. Se activaron 2 RT ubicados en  la Iglesia y Presidencia Municipal con 50 personas cada uno. Se repartiran atados de lamina para las familias afectadas. </t>
  </si>
  <si>
    <t>Gomez Palacio</t>
  </si>
  <si>
    <t xml:space="preserve">Para atender a la poblacion afectada por las lluvias se repartieron 1540 despensas, 4160 cobertores B, 4160 colchonetas, 1540 kits de limpieza, 1540 kits de aseo personal. </t>
  </si>
  <si>
    <t>Puente de Ixtla y Tepalcingo</t>
  </si>
  <si>
    <t xml:space="preserve">Lluvias registradas ocasionaron las siguientes afectaciones: 14 viviendas (8 con perdida total) y la caida de 1 barda de 1 puente vehicular de un canal de riego en Barrio San Martin a la altura del centro de salud. </t>
  </si>
  <si>
    <t>Presencia de nevada severa ocurrida el 9 de marzo. Se apoyo a la poblacion con 1108 despensas, 1109 cobertores A, 1109 colchonetas, 3604 lamina tipo B y 20 rollos de hule.</t>
  </si>
  <si>
    <t>Agua Prieta, Caborca, Fronteras y Nogales</t>
  </si>
  <si>
    <t>Debido a lluvias torrenciales y vientos resultaron 10 personas fallecidas (6 de sexo femenino y 4 de sexo masculino). Se colapso 1 puente vehicular, arrastre  de 33 vehiculos, caida de bardas, se habilito 1 RT. Aprox. 250 personas afectadas. 35 viviendas afectadas en techos, bardas, cercos, algunas en su totalidad y otras parcialmente, 11 postes de energia electrica derribados e inclinados. Daños en 3 estructuras de CFE.</t>
  </si>
  <si>
    <t xml:space="preserve">Lluvias en la comunidad de San Tadeo ocasionaron penetracion de agua en casas (tirante de 1.50 cm afectando a 36 familias). Resultaron 50 viviendas afectadas (10 con daños mayores y 4 con perdidas total en enseres domesticos), se registro la contaminacion en pozos de agua (norias). Se habilito 1 RT (se albergaron las 36 familias, las cuales se les proporciono 100 colchonetas, 100 cobijas y 75 despensas).  </t>
  </si>
  <si>
    <t xml:space="preserve">Debido a la lluvia, fue necesario apoyar a la población con 198 despensas, 794 cobertores, 794 colchonetas, 198 kits de limpieza, 198 kits de aseo personal, 2856 toallas femeninas, 800 pañales etapa 3, 640 pañales etapa 4, 624 pañales etapa 5, 6352 litros de agua y 2580 laminas tipo b. </t>
  </si>
  <si>
    <t>Yautepec,  Tetela Del Volcan, Ciudad Ayala,  Cuautla y Tlatizapan</t>
  </si>
  <si>
    <t xml:space="preserve">Lluvias fuertes que afectaron en el municipio de Yautepec: 20 casas por penetracion de agua (entre 30 y 40 cm), asi como 6 cisternas de agua limpia afectadas, preventivamente se habilito 1 albergue. En Tetela Del Volcan: derrumbe de 1 cerro afectando 6 domicilios en el  Barrio San Agustin, preventivamente se evacuaron a 12 personas. En Ciudad Ayala: deslizamiento de tierra de una barranca afectado varios domicilios en San Juan Ahuehueyo  y la obtruccion de 1  puente por ramas y basura. En Cuautla: penetracion de agua en 1 casa (de 2 a 3 mts) y en las albercas del lugar conocido como Agua Hedioanda. En Tlatizapan: 1 puente dañado por un socavon  en el centro de un pilar. </t>
  </si>
  <si>
    <t>Opodepe, Cucurpe, Rayón, Bacoachi, Arizpe y Ures</t>
  </si>
  <si>
    <t>Devido a las lluvias y la inundación fue neceario proporcionar 378 despensas, 1647 laminas tipo b, 507 cobertores, 507 colchonetas, 100 impermeables, 100 guantes, 100 botas de hule, 5 rollos de hule, 15000 costales, 100 linternas, 126 kits de limpieza, 126 kits de aseo personal, 12168 litros de agua a los municipios afectados.</t>
  </si>
  <si>
    <t>A consecuencia de las lluvias extraordinarias 2 personas fueron arrastradas por el agua al intentar cruzar 1 dren ubicado en la parte posterior de la plaza Antea, las cuales fueron rescatadas y trasladadas para su atencion; deslave de piedra y lodo sobre la Carr. Estatal 200, en el Km 3, de la Col. Milenio III; en el Salitre al interior del Raquet Club la barda perimetral se cayo en dos tramos; en la Telesecundaria Josefa Vergara se suspendieron (se inundaron 9 salones); en Menchaca II se daño 1 puente y 2 bardas de contencion del rio y el agua paso sobre 1 casa derribandola; y en Santa Maria Magdalena varios domicilios afectados, asi como en 1 kinder.</t>
  </si>
  <si>
    <t>Heladas ocurridas del 15 al 21 de enero, por los frentes frios 27, 28 y 29. Se otorgo a la poblacion 589 despensas, 2356 cobertores A y 2356 colchonetas.</t>
  </si>
  <si>
    <t>Tlaltizapan y Yautepec</t>
  </si>
  <si>
    <t>Inundacion provocada por la lluvia severa ocurrida el 29 de junio. Se apoyo a la poblacion con 250 despensas, 1000 lamina tipo B, 500 cobertores B, 500 colchonetas, 100 impermeables, 50 guantes, 1480 costales, 100 marros, 50 barretas, 15 cinceles, 100 carretillas, 100 palas, 100 zapapicos, 62 machetes, 100 azadones, 50 hachas, 100 martillos, 250 kits de limpieza y 250 de aseo personal y medicamentos.</t>
  </si>
  <si>
    <t>Oxolotepec</t>
  </si>
  <si>
    <t>Debido a las lluvias registradas en el Barrio El Arenal, provocaron el desbordamiento del rio Arenal, ocasionando afectaciones en 120 viviendas (tirante de 30 cm a 1 m). Se proporciono a los afectados 100 despensas, 200 cobertores, 2 mil laminas de carton y 200 colchonetas. 2400 personas afectadas.</t>
  </si>
  <si>
    <t>Debido a las fuertes lluvias se presentaron afectaciones en 100 casas, arboles caidos, barda a punto de desplomarse y 50 vehiculos con desperfectos.</t>
  </si>
  <si>
    <t>Amatenango de la Frontera</t>
  </si>
  <si>
    <t>Lluvias causaron 1 deslizamiento de tierra colapsando 4 viviendas de adobe en el Barrio el Retiro Alto del Ejido Las Marias en Amatenango de la Frontera. Preventivamente se evacuaron 15 familias refugiadas en la Casa Ejidal del 20 de noviembre. Resultando 1 persona lesionada (sexo femenino de 38 años), trasladada para su atencion y 2 personas fallecidas (sexo femenino de 6 y 8 años).</t>
  </si>
  <si>
    <t xml:space="preserve">Tlapa de Comonfort </t>
  </si>
  <si>
    <t>Vega de Alatorre</t>
  </si>
  <si>
    <t>Obregon, Guaymas y Empalme</t>
  </si>
  <si>
    <t>Tormenta de polvo y fuertes vientos en los donde hubo choques por alcance de vehiculos, entre ellos 1 autobus de pasajeros, resultaron 11 personas lesionadas (2 de sexo femenino de 39 años prom. y 3 de sexo masculino de 20 años prom. y las restantes de sexo desconocido), trasladadas para su atencion. Se reportan 2 arboles caidos.</t>
  </si>
  <si>
    <t>Huatulco, Tuxtepec, Santiago Textitlan, Santiago Camotlan, Ixtlan de Juarez y Ayotzintepec</t>
  </si>
  <si>
    <t>Las lluvias fuertes presentadas el 28 y 29, provocaron varios derrumbes, asi como afectacion de 1 escuela y 4 viviendas (2 en Huatulco y 2 en Tuxtepec) . En Tuxtepec: 60 viviendas fueron afectadas por entrada de agua (tirante aprox. de 50-70 cm), se afecto a 1  Kinder y 1 Escuela Primaria (se afectaron a 280 alumnos). Ayotzintepec: 2 viviendas afectadas y derrumbes.</t>
  </si>
  <si>
    <t>En “La isla”  de Ixtapa Zihuatanejo, fue localizado el cuerpo sin vida de un pescador,  quien falleció a causa de asfixia por sumersión al volcar la lancha en la cual realizaban actividades de pesca. Reportan que 2 restaurantes y 3 enramadas de Barra de Potosí, se vieron afectados por el alto oleaje. Se entregaron 30 despensas, 60 cobertores y 60 colchonetas, a 30 familias de trabajadores de los 5 restaurantes, mismos que suspendieron labores, en espera de que dichas marejadas regresen a su normalidad.</t>
  </si>
  <si>
    <t>Pánuco de Coronado</t>
  </si>
  <si>
    <t xml:space="preserve">Debido a la lluvia fue necesario porpocionr a la poblacion 194 despensas, 650 cobertores, 650 colchonetas, 100 impermeables, 50 botas de hule, 3 rollos de hule, 70 linternas, 194 kits de limpieza 194 kits de aseo personal. </t>
  </si>
  <si>
    <t>Lluvias intensas y tormenta tropical Polo afectaron en Pinotepa Nacional: inundacion en 40 viviendas (en 4 domicilios subio el agua mas de 1.5 m con daños en sus enseres domesticos). En Huatulco: se registraron pequeños derrumbes en la Carr. Fed. 175 Oaxaca-Pochutla, tramo zona de Cancelaria Losicha. En Juchitan: desgajamiento de un cerro entre km 189 y 192 tramo Sarabia-Matias, desbordamiento del rio Malatengo km 181 Carr. transistmica tramo Matias Romero-Palomares, asi como diversos derrumbes y cierre a la circulacion.</t>
  </si>
  <si>
    <t>Se reportan  3 comunidades afectadas (60 viviendas) afectadas por penetracion de agua debido al desbordamiento del Rio Matizal, con  tirantes de medio metro.  No fue necesario realizar evacuacion, ni la implementacion de RT, ya que  el descenso fue muy rapido y al momento se realizan los trabajos de limpieza y saneamiento. Daño en un puente vehicular, en el cual solo hay transito peatonal, no se reportan daños humanos. Jalapa: el Rio de la Sierra se desbordo, 30 viviendas por penetracion de agua registrando un  tirante de hasta 15 centimetros.</t>
  </si>
  <si>
    <t xml:space="preserve">Esta noche se registra tormenta local en la región Montaña, en los municipios de Tlapa de Comonfort, Alpoyeca y Copanatoyac.
Municipio de Tlapa de Comonfort
• 1 masculino arrastrado con su motocicleta por la creciente de una barranca en la colonia Lázaro Cárdenas, rescatado con vida. 
• 1 vehículo arrastrado por la creciente de una barranca en la colonia Aviación.
• 1 camioneta estacionada arrastrada por la creciente súbita de agua en la colonia San Francisco, sólo daños materiales.
• 4 viviendas afectadas por penetración de agua (tirante de 70 cm).
• 19 personas afectadas. </t>
  </si>
  <si>
    <t>Debido a las fuetes lluvias se registro el reblandecimiento de suelo  generando   deslave de cerro, sepultando 1 casa en la Col. Guadalajara Izquierdo. Resultando 3 personas fallecidas (2 del sexo femenino de 22 y 5 años, y 1 del sexo masculino de 8 años).</t>
  </si>
  <si>
    <t>Ocotlan</t>
  </si>
  <si>
    <t>Lluvia fuerte 840 viviendas afectadas (150 con perdidas materiales), el DIF de Jalisco otorgo insumos que consistieron en166 despensas, 166 kits de limpieza, 166 kits de aseo personal, se habilito 1 RT.</t>
  </si>
  <si>
    <t>Molango</t>
  </si>
  <si>
    <t xml:space="preserve">Desgajamiento de cerro por lo que 68 viviendas fueron desalojadas (solo 5 sufrieron daños materiales) , las cuales son inhabitables por el riesgo. Se evacuaron 180 personas, de las cuales 106 se encuentran en 1 RT habilitado en el gimnasio ubicado en la cabecera municipal de un total de 180 que fueron evacuadas. </t>
  </si>
  <si>
    <t>Dolores Hidalgo, Penjamo, Abasolo y Comonfort</t>
  </si>
  <si>
    <t>Debido a las lluvias registradas se presentaron afectaciones en patios,  fachadas, techos y enseres domesticos. Asi como 1 derrumbe de barda perimetral de 20 m de 1 vivienda, penetracon de agua de 15 viviendas (10 y 50 cm) y 1 persona (sexo masculino de 10 años) fallecida por arrastre.</t>
  </si>
  <si>
    <t>Fuertes lluvias que provocaron el desbordamiento de los rios Puyacatengo y Oxolotan. Tres RT activados. Se reporto penetracion de agua en las viviendas de 70 personas, con tirantes de 30 a 40 cm. Realizacion de  labores de desazolve y limpieza.</t>
  </si>
  <si>
    <t>Debido a las lluvia en la zona de montaña en el Segundo Andador de la Ampliacion 20 de noviembre, se registraron encharcamientos en 13 viviendas con tirantes de 10 a 40 cm. Se entregaron cobertores, colchonetas y despensas.</t>
  </si>
  <si>
    <t>Imuris, Mazatan y Ures</t>
  </si>
  <si>
    <t>Debido a las lluvias registradas se reportan afectaciones en Imuris: desbordamiento de 1 arroyo el cual afecto la carretera internacional y  provoco inundaciones en casas. En Ures: afectaciones en 13 casas de la Col. San Carlos por penetracion de agua.</t>
  </si>
  <si>
    <t>Debido a las lluvias por el Huracan Marie afectaron la Carr. Juquila-Rio Grande por derrumbes, se cerro la Carr. Federal 200 por desbordamiento del Rio Hidalgo. Caida de arboles, derrumbres, desbordamientos de rios, 4 personas arrastradas  en Rio grande (sexo masculino) y 4 mas lesionadas (1 de sexo femenino). Se inundo 1 escuela primaria y 1 jardin de niños presento inclinacion, asentamientos y agrietamiento, arboles caidos y 13 viviendas afectadas.</t>
  </si>
  <si>
    <t>Sain Alto y Jerez</t>
  </si>
  <si>
    <t xml:space="preserve">Debido a las lluvias registradas resultaron 240 personas afectadas y 12 viviendas con perdida total en enseres domesticos. Asi como 1 persona fallecida (sexo masculino de 34 años) y 5 personas lesionadas. </t>
  </si>
  <si>
    <t>Deslizamiento en el asentamiento irregular de material endeble, ubicado en Col. Anexa Sanchez Taboada, se reportan 10 viviendas desalojadas, las personas afectadas se trasladaron con familiares y amigos. Se  etiquetaron 27 viviendas de color rojo tras la reactivacion de movimientos antiguos en la calle Jorge Isaac de la Col. Reforma.</t>
  </si>
  <si>
    <t>Tormenta local acompañada de viento fuerte y lluvia de variada intensidad y presencia de torbellinos, la cual afectó techos de lámina de cartón y galvanizada de aproximadamente de 50 viviendas y de 2 instituciones, la Casa de Salud y módulo de San Vicente de Jesús.</t>
  </si>
  <si>
    <t xml:space="preserve">Debido a las lluvias se apoyo a la poblacion con 1250 despensas, 8125 laminas tipo b, 2500 cobertores, 2500 colchonetas, 600 impermeables, 600 botas, 1250 kits de limpieza, 1250 kits de aseo personal, 1500 litros de agua, 800 costales y 600 linternas. </t>
  </si>
  <si>
    <t>La Huerta</t>
  </si>
  <si>
    <t>Lluvia fuerte que cubrio parte de la Carr. Federal  80 Km. 206, debido a ello 1 camioneta de la Empresa Coppel se derrapo aprox. 800 m y se impacto contra 1 arbol y posteriormente cayo a un arroyo denominado Kuige, viajaban 10 personas, de las cuales 1 logro salir y 9 se recuperaron los cuerpos.</t>
  </si>
  <si>
    <t>Arrastre de 1 Jeep en el cual viajaban 9 adolescentes (entre 16 y 18 años), al intentar cruzar el Arrollo San Antonio. Resultando 4 personas fallecidas (2 del sexo femenino y 2 del sexo masculino de 17 años prom.).</t>
  </si>
  <si>
    <t>Ocotlan de Morelos</t>
  </si>
  <si>
    <t>Arrastre de 1 taxi foraneo con pasajeros en el rio Lavadero de la Agencia Maguey Largo que trato de cruzar el rio crecido. Resultando 3 personas fallecidas (sexo masculino de 36 años, 2 de sexo femenino).</t>
  </si>
  <si>
    <t>San Lorenzo Victoria</t>
  </si>
  <si>
    <t>Fue arrastrada por el Rio Victoria 1 camioneta con 4 ocupantes (del sexo masculino) del Modulo de Maquinaria de Caminos y Aeropistas de Oaxaca (CAO). Resultando 1 persona fallecida (sexo masculino) que fue arrastrada junto con la camioneta.</t>
  </si>
  <si>
    <t xml:space="preserve">Lluvia y vientos fuertes provocaron anegaciones sobre la Carr.  Federal y vialidades. Registrandose la caida de 1 anuncio espectacular, el colapso parcial del techo del Wal-Mart del Cortijo, 1 vehiculo que fue levantado por el viento cayendo sobre otro automovil. Resultando 3 personas con lesiones menores, atendidas en el lugar. </t>
  </si>
  <si>
    <t xml:space="preserve">La creciente del arroyo a causa de las lluvias, en la Av.Tecnologico entre las calles de Abraham Zaied y calle Terrenate 1 vehiculo que transitaba por el lugar fue sorprendido por dicha creciente, en el que viajaba 1 familia de 3 personas, 2 fueron rescatados (sexo masculino de 8 y 42 años) y traladados para su atencion. La tercera persona se encuentra desaparecida (sexo femenino de 43 años). </t>
  </si>
  <si>
    <t>Zitacuaro</t>
  </si>
  <si>
    <t>Las lluvia registraron fuertes corrientes de agua ocasionando el arrastra y volcadura de 1 vehiculo tipo Tsuru en el que viajaba 1 persona de sexo masculino (50 años) que resulto fallecida, asi como otra de sexo femenino (12 años) al ser arrastradas por la corriente cuando caminaba. Resultaron 6 casas afectadas por encharcamientos.</t>
  </si>
  <si>
    <t>Alto oleaje en la playa las Glorias, Ensenadita y Boca del Rio, provocando el colapso de 6 restaurantes en su totalidad, 1 restaurante con daños parciales, mas de 100 palapas afectadas, 6 viviendas afectadas y daños en caminos.</t>
  </si>
  <si>
    <t>San Juan Chamula</t>
  </si>
  <si>
    <t>Debido a las lluvias presentadas en la entidad se registro el deslizamiento de una ladera afectando 1 vivienda (se afecto en 50%, el material de la casa era de concreto y techo de lamina de zinc). Resultando 1 persona fallecida (sexo femenino de 5 años) y 5 afectadas</t>
  </si>
  <si>
    <t>Acapulco de Juárez, Atoyac de Álvarez, Técpan de Galeana, Petatlán, Coyuca de Benítez, Zihuatanejo de Azueta, Leonardo Bravo, Chilpancingo de los Bravo, Chilapa de Álvarez, Malinaltepec, Acatepec y Coyuca de Catalán</t>
  </si>
  <si>
    <t>Debido a las fuertes lluvias que se han registrado en las últimas horas, se han registrado las siguientes afectaciones: 
• Viviendas afectadas: 11 - Inundación: 10, Colapso de barda: 1</t>
  </si>
  <si>
    <t>Acatepec,</t>
  </si>
  <si>
    <t>Se registraron fuertes vientos con tormenta eléctrica en el municipio de Acatepec,  4 viviendas fueron dañadas, asimismo, tres personas perdieron la vida por alcance de rayo y una menor se encuentra herida por la misma causa. A las familias afectadas se les apoyo con láminas de cartón y despensas.</t>
  </si>
  <si>
    <t>Luvia fuerte y posteriormente caida de granizo ocasionado encharcamientos prolongados, vialidades afectadas, interrupciones de energia electrica, 1 incendio en una vivienda, 1 vivienda inundada, caida de laminas de 1 vivienda, 1 barda derrumbada, 2 guarderias inundadas, 1 escuela inundada, 9 arboles caidos, 1 hospital se cayeron los plafones, 1 espectacular caido.</t>
  </si>
  <si>
    <t>Deslizamiento de suelo en la calle Antonio Caso Col. Altamira, que colapso 1 barda de 8 m de largo por 3 de alto y cayo sobre 2 viviendas, ocasionando el fallecimiento de 2 personas, 5 personas lesionadas (trasladadas para su atencion), y 2 mas desaparecidas.</t>
  </si>
  <si>
    <t xml:space="preserve">Ruptura  de la cortina de la Presa San Pedro de unos 2x4 m causando una avenida subita de agua y material de arrastre y la ruptura (10 m lineales) de la Carr. Fed. 54 a la altura del km 137+500 en el tramo que conecta los municipios de Tacalitlan con Tuxpan. Se afectaron 4 viviendas con penetracion de agua, solo 1 requiere apoyo para reponer su menaje. </t>
  </si>
  <si>
    <t>En 2014 nueve personas perdieronla vida por golpe de calor y fueron atendidas 19 por golpe de calor, 45 por agotamiento por calor y una por quemadura.</t>
  </si>
  <si>
    <t>En 2014 ocho personas murieron por golpe de calor, y fueron atendidas 34 por golpe de calor, 243 por agotamiento por calor y 19 por quemadura.</t>
  </si>
  <si>
    <t>En el 2104 7 personas  perdieron la vida a causa de las bajas temperaturas: 3 por hipotermia, 3 por intoxicación y 1 por quemadura. Además 178 personas fueron afectadas en su salud: 5 por hipotermia, 136 por intoxicación y 37 por quemadura.</t>
  </si>
  <si>
    <t>Fuerte lluvia que intensifico la corriente del rio Barranca Baltazar. Resultando 4 personas fallecidas (2 del sexo femenino de 28 años prom. y 2 del sexo masculino de 9 años prom.). Asi como informa de 2 cadaveres localizados en el municipio de Coatzingo, y otro en Sebastian Tenango.</t>
  </si>
  <si>
    <t>Pueblo Viejo</t>
  </si>
  <si>
    <t>En el 2014 tres personas perdieron la vida debido a la intoxicación y fue necesario atender a 29 más por la misma causa.</t>
  </si>
  <si>
    <t>En 2014 dos personas perdieron la vida por intoxicación y 1 por quemadura. Además 2 personas fueron atendidas por intoxicacion</t>
  </si>
  <si>
    <t>Debido a las lluvias fuertes se registro el arrastre de 1 familia de 3 personas (de sexo masculino de 10, 17 y 36 años) por la corriente del Rio que desemboca en la Presa Balsequillo, el incidente ocurrio al tratar de cruzar.</t>
  </si>
  <si>
    <t>Lluvias moderadas a fuertes en Apodaca, 1 taxi con 5 personas imprudencialmente intento cruzar el arroyo denominado Talaberna, ubicado a la altura de la Col. Lomas del Pedregal, siendo arrastrado. Resultando 3 personas fallecidas por ahogamiento.</t>
  </si>
  <si>
    <t>En el 2014 dos personas perdieron la vida por intoxicación. Además 2 personas fueron atendidas por hipotermia, 22 por intoxicacion y 1 por quemadura</t>
  </si>
  <si>
    <t>En el 2014 dos personas perdieron la vida por hipotermia, además 8 fueron atendidas por intoxicacion</t>
  </si>
  <si>
    <t>En 2014 dos presonas perdieron la vida por golpe de calor y fueron atendidas 5 por golpe de calor y dos más por gotamiento por calor.</t>
  </si>
  <si>
    <t>En 2014 dos personas perdieron la vida por golpe de calor y fueron atendidas seis por golpe de calor y una por agotamiento por calor.</t>
  </si>
  <si>
    <t>San Cristobal Amatlan</t>
  </si>
  <si>
    <t xml:space="preserve">Fallecimiento de 2 personas (sexo masculino de 57 y 37 años),  por caida de rayo cuando realizaban labores de campo en el Rancho San Isidro. Asi como 1 persona lesionada (sexo desconocido), trasladada para su atencion. </t>
  </si>
  <si>
    <t>Se registro el fallecimiento de dos personas (del sexo femenino de 9 y 76 años), por arrastre de caudal debido a la crecida del rio ubicado en  la comunidad San Jeronimo.</t>
  </si>
  <si>
    <t>En 2014 una persona perdio la vida por intoxicacion. Además dos personas fueron atendidas por intoxicacion y una por quemadura</t>
  </si>
  <si>
    <t>En 2014 una persona murió por golpe de calor y fueron atendidas 19 por golpe de calor, 17 por agotamiento por calor y dos por quemadura.</t>
  </si>
  <si>
    <t>En 2014 una persona perdió la vida por golpe de calor y una más fue atendida por la misma causa.</t>
  </si>
  <si>
    <t>Badiraguato</t>
  </si>
  <si>
    <t xml:space="preserve">Lluvia acompañada de actividad electrica, resultando 1 persona fallecida (sexo masculino de 30 años) a causa de la caida de 1 rayo cuando se encontraba pescando en compañia de  otra persona que resulto lesionada (sexo masculino de 50 años), trasladada para su atencion. </t>
  </si>
  <si>
    <t>Técpan de Galeana y Chilapa de Álvarez</t>
  </si>
  <si>
    <t>Municipio de Técpan de Galeana: A las 19:00 horas, se reportó la crecida del arroyo Cerro de La Mona y el arrastre de una cuatrimoto con 3 personas a bordo (1 adulto y 2 menores) que quiso cruzar el arroyo, a la altura de la comunidad de Palo Solo. A las 21:00 horas, es localizado el cuerpo sin vida de un menor de edad, por lo que se continúa la búsqueda de 2 personas más. 
Municipio de Chilapa de Álvarez: A las 21:40 horas, debido a una tormenta local, se reportó la caída de un rayo en la comunidad La Villita, causando la muerte de 1 persona (masculino de 45 años).</t>
  </si>
  <si>
    <t>Lluvias y vientos fuertes aunado al desbordamiento del canal Patria provocaron anegaciones en vialidades, se reporta la caida de arboles en distintos puntos, uno de ellos sobre una camioneta estacionada en la Col. Vallarta Norte provocando la muerte de su ocupante (sexo desconocido).</t>
  </si>
  <si>
    <t>Lluvias fuertes causaron inundaciones con las Col. Prado Bonito, Hogar del Pescador, Centro, Juarez, Esperanza, Paseo Alameda, Zona Dorada, Fuentes del Valle, Villa Tutuli y Salvador Allende. En la Col. El Toreo se reporta 1 persona fallecida debido a que la arrastro una corriente.</t>
  </si>
  <si>
    <t>Santa Maria Colotepec</t>
  </si>
  <si>
    <t>En la Carr. que va hacia la costa en el tramo de Ventanilla, se registro la caida de 1 rayo debido a la  tormenta electrica, provocando la muerte 1 persona (sexo masculino de 35 años) y 2 mas lesionadadas (sexo masculino de 27 y 42 años), al momento que realizaban labores de fleteo y cargaban 1 cadena para intentar sacar 1 camion de volteo.</t>
  </si>
  <si>
    <t>San Agustin Loxicha</t>
  </si>
  <si>
    <t>Lluvia fuerte en la region costera y en la comunidad Sierra Blanca, incremento los arroyos. Al tratar de cruzar 1 persona (sexo masculino de 9 años) fue arrastrada por la corriente, resultando fallecida.</t>
  </si>
  <si>
    <t>Debido a las lluvias fuertes acompañadas de actividad electrica cayo un rayo en el campo de la comunidad, afectando a 3 menores de sexo femenino que se encontraban jugando, una de ellas fallecio.</t>
  </si>
  <si>
    <t>Candelaria Loxicha y Oaxaca</t>
  </si>
  <si>
    <t>Debido a las lluvias registradas en la region de la Costa y Sierra Sur se  reporto 1 embarcacion extraviada en el mar la cual salio a la pesca del tiburon el 28 de septiembre desde la playa de Puerto Angelito en Puerto Escondido con 4 personas (sexo masculino) a bordo. En Oaxaca: Se encontro el cuerpo de 1 persona de sexo masculino de 65 años quien cayo a un rio de nombre Chiquito el 29 de septiembre. En Candelaria Loxicha: la comunidad de Miramar  incomunicada por cierre de camino debido a un  deslave.</t>
  </si>
  <si>
    <t>Varios derrumbes en carreteras,  deceso de una persona (sexo desconocido) por accidente carretero producido por un derrumbe. Se registraron tirantes de hasta 40 centimetros. Sin RT activados</t>
  </si>
  <si>
    <t>En el 2014 fue necesario atender a 1 persona por hipotermia y 8 por intoxicacion</t>
  </si>
  <si>
    <t>En el 2014 tres personas fueron atendidas por intoxicación</t>
  </si>
  <si>
    <t>En 2014 cinco personas fueron atendidas por intoxicación</t>
  </si>
  <si>
    <t>En 2014 una persona fue atendida por intoxicacion</t>
  </si>
  <si>
    <t>En 2014 seis personas fueron atendidas por intoxicación</t>
  </si>
  <si>
    <t>En 2014 una persona fue atendida por quemadura</t>
  </si>
  <si>
    <t>En 2014 fue atendida una persona por golpe de calor y seis por agotamientop or calor.</t>
  </si>
  <si>
    <t>En 2014 se atendieron a dos personas por golpe de calor, tres por agotamiento por calor y una por quemadura.</t>
  </si>
  <si>
    <t>En 2014 se atendieron a dos personas por golpe de calor y tres por agotamiento por calor.</t>
  </si>
  <si>
    <t>En 2014 fueron atendidas dos personas por golpe de calor y una por agotamiento de calor.</t>
  </si>
  <si>
    <t xml:space="preserve">En 2014 fueron atendidas dos personas por golpe de calor. </t>
  </si>
  <si>
    <t>En 2014 una persona requirió atención por golpe de calor.</t>
  </si>
  <si>
    <t>En 2014 una persona fue atendida por agotamiento de calor.</t>
  </si>
  <si>
    <t>Zapopan y Puerto Vallarta</t>
  </si>
  <si>
    <t>Debido a las lluvias crecieron los rios y canales. Resultando 2 personas (sexo masculino de 20 y 28 años) desaparecidas  debido a que uno intento cruzar el canal y otro se estaba bañando en el rio.</t>
  </si>
  <si>
    <t>Tepehuacan de Guerrero</t>
  </si>
  <si>
    <t>Debido a las lluvias en la region conocida como Sierra Gorda se presento el derrumbe de un cerro en el tramo que conduce al gasoducto de la transportadora de Gas Natural de la Huasteca. Resultando 6 trabajadores lesionados de la Empresa GDEI, trasladados para su atencion.</t>
  </si>
  <si>
    <t>Lluvia atipica en la region montañosa central (70 a 100 ml de agua en la parte alta): 57 viviendas inundadas en el municipio de Cordoba, 1 RT activado. Se imprementaron los planes DN-III, Marina y Tajin para asistir a 80 personas. Se cayo una barda de casi 40m de una empresa manufacturera y otra de la escuela primaria "Rafael Delgado" . Desbordo de los arroyos Paso Coyol, Quitacalzones y Los Lirios; ademas de los rios Seco y Antonio. Deslaves en distintos caminos y caida de arboles afectando la vialidad en las colonias Buenavista y Lopez Arias. Se cerro el puente de San Joaquin, Yanga y en Cuichapa. 15 familias afectadas por el desborde de los rios Loma del Carmen y  Barrio de Guadalupe. . En la carretera Fortin-Huatusco, a la altura de Dos Caminos, se presentaron dos grandes deslaves, uno afecto los dos carriles. Otros deslaves en Naranjal,  Xochitla (4 comunidades afectadas) y Achalpa</t>
  </si>
  <si>
    <t>En 2015 dos personas murieron por golpe de calor. Además fueron afectadas 42 personas en su salud:  cinco por golpe de calor y  37 por agotamiento por calor.</t>
  </si>
  <si>
    <t>En 2015 doce personas murieron por golpe de calor. Además fueron afectadas 54 personas en su salud:  29 por golpe de calor y  25 por agotamiento por calor.</t>
  </si>
  <si>
    <t>En 2015 una persona murió por golpe de calor. Además fueron afectadas 4 personas en su salud:  3 por golpe de calor y  1 por agotamiento por calor.</t>
  </si>
  <si>
    <t>En 2015 dos personas fallecieron por golpe de calor. Además fueron afectadas 10 personas en su salud por la misma causa.</t>
  </si>
  <si>
    <t>En 2015 una persona falleció por golpe de calor. Además fueron afectadas 36 personas en su salud:  12 por golpe de calor, 22 por agotamiento por calor y dos por quemaduras.</t>
  </si>
  <si>
    <t>En 2015 ocho personas fallecieron por golpe de calor. Además fueron afectadas 354 personas en su salud:  33 por golpe de calor y 321 por agotamiento por calor.</t>
  </si>
  <si>
    <t xml:space="preserve">En 2015 una persona murió por golpe de calor. Además 5 personas fueron afectadas en su salud por la misma causa. </t>
  </si>
  <si>
    <t>En 2015 una persona murió por golpe de calor. Además fueron afectadas12 personas en su salud:  2 por golpe de calor y 10 por agotamiento por calor.</t>
  </si>
  <si>
    <t>En 2015 una persona murió por golpe de calor. Además una persona fue afectada en su salud por la misma causa.</t>
  </si>
  <si>
    <t>En 2015 fueron afectadas 17 personas en su salud por golpe de calor.</t>
  </si>
  <si>
    <t>En 2015 fueron afectadas 7 personas en su salud por golpe de calor.</t>
  </si>
  <si>
    <t>En 2015 fueron afectadas 8 personas en su salud por agotamiento de calor.</t>
  </si>
  <si>
    <t>En 2015 una persona fue afectada en su salud por golpe de calor.</t>
  </si>
  <si>
    <t>Igualapa</t>
  </si>
  <si>
    <t xml:space="preserve">Se registro una lluvia fuerte acompañada de vientos en el Municipio, lo que ocasion que en la cabecera municipal se afectara el techo de laminas de carton de 20 viviendas de las colonias colonias 13 de Septiembre, San Antonio y Ojo de Agua. No se reportan daños humanos, solo materiales en techos de 20 viviendas. </t>
  </si>
  <si>
    <t>En 2015 tres personas fueron afectadas en su salud por golpe de calor.</t>
  </si>
  <si>
    <t xml:space="preserve">En 2015 dos personas fueron afectadas en su salud: una por golpe de calor y una por agotamiento por calor. </t>
  </si>
  <si>
    <t>En el 2105, tres personas  perdieron la vida a causa de intoxicación . Además 178 personas fueron afectadas en su salud: 11 por intoxicación y 3 por quemadura.</t>
  </si>
  <si>
    <t>En el 2105, siete personas  perdieron la vida a causa de las bajas temperaturas: 1 por hipotermia, 5 por intoxicación y 1 por quemadura. Además 168 personas fueron afectadas en su salud: 7 por hipotermia, 134 por intoxicación y 1 por quemadura.</t>
  </si>
  <si>
    <t>En el 2105, dos personas  perdieron la vida a causa de las bajas temperaturas: 1 por hipotermia y 1 por intoxicación.</t>
  </si>
  <si>
    <t>En el 2105 ,ocho personas  perdieron la vida a causa de intoxicación. Además 3 personas fueron afectadas en su salud por la misma causa.</t>
  </si>
  <si>
    <t>En el 2105 ,dos personas  perdieron la vida a causa de intoxicación. Además 10 personas fueron afectadas en su salud por la misma causa.</t>
  </si>
  <si>
    <t>En el 2105, dos personas  perdieron la vida a causa de las bajas temperaturas: 1 por hipotermia de una persona masculina de aproximadamente 40 años, era indigente y padecía de sus facultades mentales y 1 por intoxicación.</t>
  </si>
  <si>
    <t>SS/CENACOM</t>
  </si>
  <si>
    <t>En el 2105,  diez personas  perdieron la vida a causa de las bajas temperaturas: 3 por hipotermia y 7 por intoxicación. Además 44 personas fueron afectadas en su salud: 1por hipotermia, 42 por intoxicación y 1 por quemadura.</t>
  </si>
  <si>
    <t>En el 2105, cuatro personas  perdieron la vida por intoxicación. Además 9 personas fueron afectadas en su salud: 3 por hipotermia y 6 por intoxicación.</t>
  </si>
  <si>
    <t>En el 2105, una persona perdió la vida por hipotermia. Además 13 personas fueron afectadas en su salud por intoxicación.</t>
  </si>
  <si>
    <t>En el 2105, una persona perdió la vida por hipotermia. Además seis personas fueron afectadas en su salud por intoxicación.</t>
  </si>
  <si>
    <t>En el 2105, una persona perdió la vida por intoxicación.</t>
  </si>
  <si>
    <t>En el 2105, una persona perdió la vida por intoxicación y cuatro más fueron atendidas por la misma causa.</t>
  </si>
  <si>
    <t>En el 2105, una persona perdió la vida por intoxicación y dos más fueron atendidas por la misma causa.</t>
  </si>
  <si>
    <t>En el 2015, dos personas fueron atendidas por intoxicación.</t>
  </si>
  <si>
    <t>Agua Dulce, Alvarado, Las Choapas, Misantla, Moloacán, Nautla y Tecolutla</t>
  </si>
  <si>
    <t>Debido a las lluvias severas ocurridas  del 4 al 7 de enero, fueron declarados en emergencia siete municipios de Veracruz, a los que se les repartieron 8,818 despensas,  17,636 cobertores b,  15,600 colchonetas, 7,000 laminas tipo  "B", y 7000 laminas tipo "C".</t>
  </si>
  <si>
    <t>Ostuacán</t>
  </si>
  <si>
    <t>Fuertes lluvias de manera intermitente por 5 horas provocaron encharcamientos. Un RT activado pero las familias no quisieron dejar sus domicilios. Los encharcamientos se produjeron derivado del taponamiento de un arroyo por escurrimiento del mismo y trabajos de construcción que se realizaban en el lugar. Desbordamiento de dos arroyos, 25 viviendas incomunicadas. 9 taponamientos de alcantarillado por derrumbe. Algunos tramos afectados por derrumbe.</t>
  </si>
  <si>
    <t>Ahumada, Balleza, Batopilas, Bocoyna, Carichí, Casas Grandes, Cuauhtémoc, Cusihuiriachi, Delicias, Dr. Belisario Domínguez, Gran Morelos, Guachochi, Guadalupe y Calvo, Guazapares, Guerrero, Hidalgo del Parral, Ignacio Zaragoza, Madera, Matachí, Meoqui, Moris, San Francisco de Borja, San Francisco de Conchos, Santa Bárbara, Saucillo, Temósachic, Buenaventura, Juárez, Namiquipa y Nuevo Casas Grandes</t>
  </si>
  <si>
    <t xml:space="preserve"> Por la presencia de
helada severa provocada por la segunda Tormenta Invernal y la interacción con el Frente Frío
no. 26 se declararon en emergencia a 30 municipios de Chihuahua, por lo que se repartieron 61,940 despensas,  123, 883 cobertores b, y  123, 883 colchonetas.</t>
  </si>
  <si>
    <t>Camargo, Hidalgo, Mainero, Miquihuana, Nuevo Laredo y Reynosa</t>
  </si>
  <si>
    <t>Por la presencia de helada
severa provocada por la segunda Tormenta Invernal y la interacción con el Frente Frío no. 26 se declararon en emergencia a seis municipios por lo que se repartieron,4,299 despensas, 17,198 cobertores b,  y 17,198 colchonetas.</t>
  </si>
  <si>
    <t>Agua Prieta, Álamos, Arivechi, Arizpe, Bacerac, Bacoachi, Bavíspe, Cananea, Cumpas, Etchojoa, Huachinera, Imuris, Naco, Nacozari de García, Navojoa, Quiriego, Rosario y Sahuaripa</t>
  </si>
  <si>
    <t>Por la presencia de helada
severa provocada por la segunda Tormenta Invernal y la interacción con el Frente Frío no. 26 se declararon en emergencia a 18 municipios por lo que se repartieron 2,473 despensas,  9,893 cobertores b, y  9,893 colchonetas.</t>
  </si>
  <si>
    <t>Canatlán, Cuencamé, Durango, Gómez Palacio, Guanaceví, Hidalgo, Indé, Mapimí, Mezquitan, Ocampo, El Oro, Otáez, Pueblo Nuevo, San Bernardo, San Dimas, Santiago Papasquiaro, Tamazula, Tepehuanes, Tlahualilo, Topia y Nuevo Ideal</t>
  </si>
  <si>
    <t>Por la presencia de helada
severa provocada por la segunda Tormenta Invernal y la interacción con el Frente Frío no. 26 se declararon en emergencia a 21 municipios por lo que se repartieron 8,229 despensas, 32,918 cobertores b, y  32,918 colchonetas.</t>
  </si>
  <si>
    <t>Catorce, Cedral, Matehuala, San Luis Potosí, Santo Domingo, Vanegas, Villa de la Paz, Villa de Ramos, Armadillo de los Infante, Charcas, Salinas, Venado, Villa de Guadalupe, Villa Hidalgo y Moctezuma</t>
  </si>
  <si>
    <t>Por la presencia de helada
severa provocada por la segunda Tormenta Invernal y la interacción con el Frente Frío no. 26 se declararon en emergencia a 14 municipios por lo que se repartieron 1,328 despensas, 5,314 cobertores b, y  5,314 colchonetas.</t>
  </si>
  <si>
    <t>Hidalgo, Maravatío, Morelia, Zinapécuaro, Zitácuaro, Epitacio Huerta y Contepec</t>
  </si>
  <si>
    <t xml:space="preserve">Por la presencia de helada
severa provocada por la segunda Tormenta Invernal y la interacción con el Frente Frío no. 26 se declararon en emergencia a 7 municipios por lo que se repartieron10,850 despensas, 43,400 cobertores b, y 43,400 colchonetas, </t>
  </si>
  <si>
    <t>Almoloya de Juárez, Amanalco, Amecameca, Ixtapaluca, Ixtlahuaca, Lerma, Temascaltepec, Tenango del Valle, Texcoco y Toluca y en una segunda declaratoria Ozumba y Atlautla</t>
  </si>
  <si>
    <t>Por la presencia de helada
severa provocada por la segunda Tormenta Invernal y la interacción con el Frente Frío no. 26 se declararon en emergencia a 10 municipios por lo que se repartieron12,968 despensas, 51,872 cobertores b, y 51,872 colchonetas. Para Ozumba y Atlautla se repartieron  652 despensas, 2,608 cobertores b, y   2,608 colchonetas.</t>
  </si>
  <si>
    <t>Anáhuac, Galeana, García, Monterrey, Santa Catarina, Santiago, Aramberri, Dr. Coss, Gral. Zaragoza y Parás</t>
  </si>
  <si>
    <t>Por la presencia de helada
severa provocada por la segunda Tormenta Invernal y la interacción con el Frente Frío no. 26 se declararon en emergencia a 10 municipios por lo que se repartieron1,623 despensas, 6,493 cobertores b, y  6,493 colchonetas.</t>
  </si>
  <si>
    <t>Acuña, Guerrero, Hidalgo, Jiménez, Monclova, Nava, Ocampo, Piedras Negras, Saltillo, Zaragoza, Allende, Cuatro Ciénegas, Juárez, Morelos, Sacramento, San Buenaventura, Villa Unión, San Pedro, General Cepeda, Torreón y Arteaga</t>
  </si>
  <si>
    <t>Por la presencia de helada
severa provocada por la segunda Tormenta Invernal y la interacción con el Frente Frío no. 26 se declararon en emergencia a 21 municipios por lo que se repartieron10,279 despensas, 41,117 cobertores b y  41,117 colchonetas.</t>
  </si>
  <si>
    <t>Aguascalientes, Asientos, Calvillo, Cosío, Jesús María, Pabellón de Arteaga, Rincón de Romos, San José de Gracia, Tepezalá, El Llano y San Francisco de los Romo</t>
  </si>
  <si>
    <t>Por la presencia de helada
severa provocada por la segunda Tormenta Invernal y la interacción con el Frente Frío no. 26 se declararon en emergencia a 11 municipios por lo que se repartieron589 despensas, 2357 cobertores b, y  2357 colchonetas.</t>
  </si>
  <si>
    <t xml:space="preserve">Mulegé </t>
  </si>
  <si>
    <t>Por la presencia de helada
severa provocada por la segunda Tormenta Invernal y la interacción con el Frente Frío no. 26 se declararon en emergencia al municipio de Mulegé  por lo que se repartieron 1,207 despensas, 4,831 cobertores b, y 4,831 colchonetas.</t>
  </si>
  <si>
    <t>Acatlán, Acaxochitlán, Huehuetla, Pachuca de Soto, Tulancingo de Bravo, Yahualica, Atlapexco, Huejutla de Reyes, Jaltocán, Metztitlán, San Felipe Orizatlán y Tlanchinol y en una segunda declaratoria  Mineral del Monte, Huasca de Ocampo, Singuilucan, Mineral del Chico, Omitlán de Juárez y Atotonilco el Grande</t>
  </si>
  <si>
    <t xml:space="preserve">Por la presencia de helada
severa provocada por la segunda Tormenta Invernal y la interacción con el Frente Frío no. 26 se declararon en emergencia a 12 municipios por lo que se repartieron 4,423 despensas, 17,692 cobertores b, y 17,692 colchonetas. En los 6 municipios de la segunda declaratoria se repartieron 180 despensas, 723 cobertores b, y  723 colchonetas. </t>
  </si>
  <si>
    <t>Querétaro, Tequisquiapan, Peñamiller, Pinal de Amoles, Arroyo Seco, Tolimán y Cadereyta de Montes</t>
  </si>
  <si>
    <t>Por la presencia de helada
severa provocada por la segunda Tormenta Invernal y la interacción con el Frente Frío no. 26 se declararon en emergencia a 7 municipios por lo que se repartieron1,208 despensas, 4,832 cobertores b, y 4,832 colchonetas.</t>
  </si>
  <si>
    <t>Chignahuapan, Huauchinango, Puebla, San Martín Texmelucan y Tetela de Ocampo y en una segunda declaratoria Chalchicomula de Sesma, San Nicolás de los Ranchos, Cuetzalan del Progreso y Libres</t>
  </si>
  <si>
    <t>Por la presencia de helada
severa provocada por la segunda Tormenta Invernal y la interacción con el Frente Frío no. 26 se declararon en emergencia a 5 municipios por lo que se repartieron 8, 079 despensas, 32,318 cobertores b, y  32,318 colchonetas y en los cuatro municipios de la segunda declaratoria 2,024 despensas, 8,097 cobertores b, y  8,097 colchonetas.</t>
  </si>
  <si>
    <t>Fresnillo, Sombrerete, Villa de Cos y Zacatecas</t>
  </si>
  <si>
    <t>Por la presencia de helada
severa provocada por la segunda Tormenta Invernal y la interacción con el Frente Frío no. 26 se declararon en emergencia a 4 municipios por lo que se repartieron 1,381 despensas, 5,524 cobertores b, y  5,524 colchonetas.</t>
  </si>
  <si>
    <t>Por la presencia de helada
severa provocada por la segunda Tormenta Invernal y la interacción con el Frente Frío no. 26 se declararon en emergencia al municipio de Ensenada por lo que se repartieron 11,401 despensas, 45,604 cobertores b, y 45,604 colchonetas.</t>
  </si>
  <si>
    <t>Tlaxcala, Apizaco, Calpulalpan y Huamantla y en una segunda declaratoria Tlaxco y San Pablo del Monte</t>
  </si>
  <si>
    <t xml:space="preserve">Por la presencia de helada
severa provocada por la segunda Tormenta Invernal y la interacción con el Frente Frío no. 26 se declararon en emergencia a 4 municipios por lo que se repartieron 881 despensas, 3,524 cobertores b, y   3,524 colchonetas. Y para los dos municipios siguientes 433 despensas, 1,733 cobertores b, y  1,733 colchonetas. </t>
  </si>
  <si>
    <t>Choix, El Fuerte, Ahome y Badiraguato</t>
  </si>
  <si>
    <t xml:space="preserve">Por la presencia de helada
severa provocada por la segunda Tormenta Invernal y la interacción con el Frente Frío no. 26 se declararon en emergencia a 4 municipios por lo que se repartieron2,797 despensas, 11,191 cobertores b, y 11,191 colchonetas. </t>
  </si>
  <si>
    <t>Debido a la granizada se declaró en desastre natural en el sector agropecuario, acuícola y pesquero al municipio de San Luis Potosí  por la pérdida de 329.5 hectáreas de cultivos como la alfalfa, almaciago, avena, cilantro, y nopal que afectaron a 77 productores (70 hombres y 7 mujeres).</t>
  </si>
  <si>
    <t xml:space="preserve">Debido a heladas severas fue necesario declarar en emergencia al municipio de San Felipe del Progreso, por lo que se repartieron 3,794 despensas, 10,000 cobertores b,  y 10,000 colchonetas. </t>
  </si>
  <si>
    <t>Canatlán, Durango, Guanaceví, Mezquital, Ocampo, Pueblo Nuevo, San Bernardo, San Dimas, Santiago Papasquiaro, Súchil, Tepehuanes y Vicente Guerrero</t>
  </si>
  <si>
    <t>Debido a las lluvias severas se declararon en emergencia a 11 municipios y se repartieron 7,412 despensas, 14,826 cobertores b,  y 14,826 colchonetas.</t>
  </si>
  <si>
    <t>18 municipios</t>
  </si>
  <si>
    <t xml:space="preserve">Se registraron nevadas en varios municipios del estado, la altura de la nieve va de los 5 a los 25 cm. En el municipio de El Salto se activó un RT con 20 personas albergadas, en los demás municipios la población se reusó a usarlos. La súper carretera Mazatlán-Durango se cerro, presentando hasta 50 cm de nieve en diversos tramos, además  de 25 caminos en mal estado y 9,825 viviendas con afectaciones menores   </t>
  </si>
  <si>
    <t>Súchil, Vicente Guerrero</t>
  </si>
  <si>
    <t>Desbordamiento de un río que atraviesa los municipios de Súchil y Vicente Guerrero, ocasionando la penetración de agua en 50 viviendas del municipio de Súchil y 70 en Vicente Guerrero. No se tiene en operación ningún RT, ya que las personas afectadas se negaron a retirarse de sus viviendas.</t>
  </si>
  <si>
    <t>San Luis Río Colorado</t>
  </si>
  <si>
    <t>Debido a las bajas temperaturas se declaro en emergencia al municipio de Perote, con el fin de apoyar a la poblacion con 7,412 despensas, 14,826 cobertores b y 14,826 colchonetas.</t>
  </si>
  <si>
    <t xml:space="preserve">Reblandecimiento de tierra, en un estacionamiento ubicado por encima   del Río Verdiguel provocando un boquete y hundimiento de 3 a 4 metros de la caseta de seguridad, en la colonia Centro. Se reportó desaparecido al vigilante del lugar. </t>
  </si>
  <si>
    <t>Bachíniva, Balleza, Bocoyna, Buenaventura, Carichí, Cuauhtémoc, Cusihuiriachi, Gómez Farías, Guachochi, Guadalupe y Calvo, Guerrero, Ignacio Zaragoza, Madera, Namiquipa, Ocampo, Matachí, Moris y Temósachi</t>
  </si>
  <si>
    <t>Debido a la nevada severa se declararon en emergencia a 18 municipios por lo que se repartieron 10,518 despensas, 14,025 cobertores b, 14,025 colchonetas, 3,506 kit de aseo, 3,506 kit de limpieza y 15 rollos de hule.</t>
  </si>
  <si>
    <t>El día de hoy, se presentó un derrumbe de tierra en la colonia Loma Bonita, en el municipio de Tlapa de Comonfort, donde se vieron afectadas 3 viviendas con daños parciales (una vivienda con daños en un baño construido con mampostería y una cocina de madera y lámina; las otras dos viviendas con presencia de tierra y piedras. No se tiene reporte de daños humanos, pero fue necesario evacuar las 3 viviendas (aproximadamente 12 personas), mismas que fueron trasladadas con familiares y/o amigos.</t>
  </si>
  <si>
    <t>Agua dulce, Alvarado, Boca del Rio, Coatzacoalcos, Medellín, Ozuluama de mascareñas, Tampico alto, Tatahuicapan de Juárez y Veracruz.</t>
  </si>
  <si>
    <t>Debido a los fuertes vientos se declararon en emergencia a 9 municipios y se repartieron 13,795 despensas, 9,190 cobertores b,   9,190 colchonetas y 25,448 laminas de zinc.</t>
  </si>
  <si>
    <t>Desgajamiento de talud en zona conocida como Mina 5. Cinco personas de sexo masculino fueron sepultadas, de las cuales tres fueron rescatadas con vida con promedio de edad de 35 años; mientras que dos personas con promedio de edad de 43 años murieron.</t>
  </si>
  <si>
    <t>Francisco I. Madero, Matamoros, San Pedro, Torreón y Viesca</t>
  </si>
  <si>
    <t xml:space="preserve">Debido a las lluvias se declararon en emergencia a 5 municipios por lo que se les repartieron 9,372 despensas, 9,372 kits de limpieza,  9,372 kits de aseo personal y 50 rollos de hule. Pos sus efectos en la población posteriormente recibieron la declaratoria de desastre para apoyar a los sectores hidráulico, urbano y vivienda. </t>
  </si>
  <si>
    <t>Fresnillo, Genaro Codina, General Pánfilo Natera, Guadalupe, Loreto, Noria de Angeles, Ojocaliente, Pinos, Trancoso, Villa García, Villa Gonzales Ortega, Villa Hidalgo y Zacatecas.</t>
  </si>
  <si>
    <t>El frente frío número 41, ocasionó granizada severa, lo cual produjo una capa de hielo de 20 a 40 cm. Se registraron daños en techos de 300 viviendas construidas con materiales de lámina galvanizada y cartón, las cuales no soportaron el peso del hielo y se derrumbaron. Se declararon en emergencia a 14 municipios y se repartieron 3,724 despensas, 7,451 cobertores b,   7,451 colchonetas,  15,400 laminas tipo "b" y 20 rollos de hule.</t>
  </si>
  <si>
    <t>Acajete, Acatlán,Ayahualulco, Banderrilla,Calcahualco,Chiconquiaco,Coatepec,Cosautlan de Carvajal, Coscomatepec, Emiliano Zapata, Huatusco, La Perla, Mariano Escobedo, Naolinco, Perote, Totutla, Tlalnelhuayocan, Xalapa y Xico.</t>
  </si>
  <si>
    <t xml:space="preserve">Debido a las lluvias severas se declararon en emergencia a 19 municipios por lo que se repartieron 18,268 despensas, 29,231 cobertores b,   29,231 colchonetas, y  50,000 laminas de zinc. Posteriormente se declararon en desastre a los municipios de Ayahualulco, Chiconquiaco, Coatepec, Coscomatepec, Huatusco, Perote, Tlalnelhuayocan y Totutla, por lo que se apoyaron a los sectores carretero, educativo, hidráulico, urbano y vivienda. </t>
  </si>
  <si>
    <t>Canatlan, Coneto de Comonfort, Cuencamé, Durango, Gómez Palacio, Guadalupe Victoria, Guanacevi, Hidalgo Indé, Lerdo Mapimi, Mezquital, Nazas, Nombre de Dios, Nuevo Ideal, Ocampo, El oro, Pánuco de Coronado, Peñon Blanco, Poanas, Rodeo, San Bernardo, San Juan de Guadalupe, San Juan del Rio, San Luis del Cordero, San Pedro del Gallo, Santa Clara, Santiago Papasquiaro, General Simón Bolívar, Súchil, Tamazula, Tepehuanes, Tlahualilo Vicente Guerrero</t>
  </si>
  <si>
    <t>Debido a las lluvias se declararon en emergencia a 34 municipios por lo que se repartieron 11,144 despensas, 44,577 cobertores b,   44,577 colchonetas, 40,000 laminas tipo "b", 100 rollos de hule, 60,000 costales, 11,144 kits de limpieza y 11,144 kits de aseo personal. Por sus efectos posteriormente se declararon en desastre a los municipios de Canatlán, Coneto de Comonfort, Cuencamé,Durango, El Oro, General Simón Bolívar, Gómez Palacio, Guadalupe Victoria, Guanaceví, Hidalgo e Indé para apoyar a los sectores carretero, hidráulico, urbano y vivienda.</t>
  </si>
  <si>
    <t>Pueblo Nuevo y San Dimas</t>
  </si>
  <si>
    <t>Debido a la nevada severa se declararon en emergencia a dos municipios por lo que se repartieron 542 despensas, 2170 cobertores b,   2170 colchonetas, 542 kits de limpieza,  542 kits de aseo personal. 2,000 laminas tipo "b", 20 rollos de hule y 10,000 costales.</t>
  </si>
  <si>
    <t xml:space="preserve">Armería, Colima, Comala, Coquimatlán, Cuauhtémoc, Ixtlahuacán, Manzanillo, Minatitlán, Tecomán y Villa de Álvarez </t>
  </si>
  <si>
    <t>Debido a la lluvia severa se declararon 10 municipios en desastre se apoyó con recursos del FONDEN al sector pesquero y acuícola. También se declaró en desastre natural en el sector agropecuario, acuícola y pesquero a 10 municipios del estado de Colima por la pérdida de más de 5,000 hectáreas de cultivos como el aguacate, arándano, caña, chile, ciruela roja, frijol, guanábana, jitomate, limón, maíz, mango, melón, naranja, papaya, pepino, plátano, sandía, tamarindo, tomate, tomatillo y zarzamora que afectaron a 1,322 productores (1,156hombres y 152 mujeres).</t>
  </si>
  <si>
    <t>FONDEN/SAGARPA</t>
  </si>
  <si>
    <t>Apatzingán, Nueva Italia, Coahuayana, Pátzcuaro, Ario de Rosales, Uruapan, Tancitaro, Zamora, Morelia, Tacámbaro</t>
  </si>
  <si>
    <t xml:space="preserve">Debido a las fuertes lluvias resultaron afectados diversos caminos,  3,603 personas y 972 viviendas. Se atendieron accidentes como volcaduras y choques. Se presentaron caída de árboles, desbordamiento de un canal, cierre de circulación debido a anegamientos, caída de una roca de gran magnitud.  Tres hombres perdieron la vida; dos de ellos en el municipio de Zitácuaro, uno de ellos a consecuencia de la lluvia resbaló y cayó a lo profundo de un barranco, un hombre al que le cayó un rayo y una persona que quedó calcinada en un choque en el municipio de Uruapan. Fue aplicado el plan DN III, además se activaron 5 RT que albergaron a 171 personas. Fueron repartidas 220 colchonetas y 400 cobijas en dos municipios. </t>
  </si>
  <si>
    <t xml:space="preserve">18:30 horas/27 de mayo, se registró un derrumbe en uno de los túneles de la Mina Capela del Grupo Peñoles, ubicada en la localidad de Tehuixtla, municipio de Teloloapan. El incidente fue por un deslave cuando realizaban el concreto lanzado, sin embargo el túnel no colapsó. Se reportaron 2 personas fallecidas y 3 personas lesionadas (todos personal externo de la mina), trasladadas a diferentes clínicas del municipio. </t>
  </si>
  <si>
    <t>Celaya y Salvatierra</t>
  </si>
  <si>
    <t>Fuerte lluvia que provoco daños en cultivos así como encharcamientos a nivel banqueta en diversas colonias, reportando caída de árboles, cortes de energía eléctrica, afectaciones en casas y tras patios,  incremento en causes y canales de aguas negras. Se activo un RT que albergo a 6 personas</t>
  </si>
  <si>
    <t>Tomatlán, Villa Purificación, Talpa de Allende, Mascota, Puerto Vallarta, Ayutla, Autlán de Navarro, San Sebastián del Oeste, Guachinango, Ameca, Cabo Corrientes, Atenguillo, Atengo, Cihuatlán y Cuautitlán de García Barragán</t>
  </si>
  <si>
    <t>Debido a las lluvias se declararon en emergencia a 15 municipios por lo que se repartieron 3,938 despensas, 14,497 cobertores b,   12,126 colchonetas, 2,000 kits de limpieza y 3,938 kits de aseo personal. Debido al impacto fue necesario declarar en desastre a los mismos 15 municipios y se apoyó con recursos de FONDEN a los sectores carretero, educativo, hidráulico pesquero y acuícola y vivienda. Debido a las fuertes lluvias la presa San Ignacio rebasó su nivel crítico, y en los municipios de Ameca y Tomatlán se reportaron afectaciones a 672 viviendas con penetración de agua, con tirantes de 20 cm a 2m, además de la afectación a una Ladrillera. Se activo un RT que alojo a 653 personas. Por parte del DIF Jalisco se entregaron 500 despensas, 300 cobijas y la cocina móvil para ofrecer comida a las familias desalojadas de sus viviendas.</t>
  </si>
  <si>
    <t>Camargo</t>
  </si>
  <si>
    <t>Bahía de Banderas</t>
  </si>
  <si>
    <t xml:space="preserve">Debido al incremento del Río Ameca, se reportaron 20 viviendas afectadas,  70 personas fueron evacuadas </t>
  </si>
  <si>
    <t>Colipa, Ixtaczoquitlán, Juchique de Ferrer, Misantla, Tenochtitlán, Tlilapan, Vega de Alatorre y Yecuatla.  Agua Dulce, Chalma, Chiconamel, Chicontepec, Coatzacoalcos, Huatusco, Ixhuatlán del Sureste, Jesús Carranza, Las Choapas, Martínez de la Torre, Minatitlán, Moloacán, Nanchital de Lázaro Cárdenas del Río, Papantla, Platón Sánchez, Poza Rica de Hidalgo, San Andrés Tuxtla, Sochiapa y Atzalan</t>
  </si>
  <si>
    <t xml:space="preserve">Afectaciones por lluvias debido al paso del frente frío 42. Provocaron la muerte de 5 personas de sexo desconocido, así como 2 lesionados. Resultaron  11 poblados incomunicados, así como 11 corrientes desbordadas, 9 deslaves; 41 vías de comunicación y cuatro puentes. Se emitieron dos declaratorias de emergencia, en la primera se incluyeron 8 municipios y se repartieron 4,728 despensas, 9,456 cobertores b,   9,456 colchonetas,  15,072 laminas de zinc, y 15,072 laminas de fibrocemento. En la segunda declaratoria e emergencia se incluyeron 20 municipios y se repartieron 25,901 despensas, 51,925 cobertores b,   51,925 colchonetas, 12,981 kits de limpieza,  12,981 kits de aseo personal. 35,990 laminas de zinc, 35,990 laminas de fibrocemento y 45,000 litros de agua. Debido a los efectos fue necesario declarar en desastre a 24 municipios por lo que se les apoyaron con recursos del FONDEN a los sectores carretero, educativo, forestal, hidráulico, urbano y de vivienda.  </t>
  </si>
  <si>
    <t>Allende, Anáhuac, Aramberri, Cadereyta Jiménez, Cerralvo, China, Dr. Coss, Dr. González, Galeana, Gral. Bravo, Gral. Terán, Gral. Treviño, Hualahuises, Linares, Los Aldamas, Los Ramones, Montemorelos, Pesquería</t>
  </si>
  <si>
    <t>Debido a la lluvia torrencial se declaró en desastre natural en el sector agropecuario, acuícola y pesquero a 18 municipios del estado de Nuevo León por la pérdida de 69 hectáreas de cítricos y 623 hectáreas de hortalizas que afectaron a 85 productores (77 hombres y 4 mujeres).</t>
  </si>
  <si>
    <t>Balleza, Bocoyna, Guachochi, Guadalupe y Calvo, Maguarichi, Moris, Ocampo y Urique</t>
  </si>
  <si>
    <t>Debido a la nevada severa se declararon en emergencia a 8 municipios por lo que se repartieron 13,480 despensas, 10,785 cobertores b,   10,785 colchonetas, 2,696 kits de limpieza,  2,696 kits de aseo personal. 18,000 laminas tipo "b",  y 10 rollos de hule.</t>
  </si>
  <si>
    <t>Cotaxtla, El Higo, Huayacocotla, Pánuco, Soledad de Doblado y Tlaltetela por lluvia severa y Cosautlán de Carvajal</t>
  </si>
  <si>
    <t>Debido a la granizada severa se declararon en emergencia a 7 municipios por lo que se repartieron 4,440 despensas, 8,880 cobertores b,   8,880 colchonetas, 18,600 laminas de zinc, y 44,962 litros de agua.</t>
  </si>
  <si>
    <t>El Mante y Reynosa</t>
  </si>
  <si>
    <t>Fuertes vientos (y probablemente un tornado); en el municipio de El Mante, resultaron afectados los techos de 70 viviendas, no se habilitó RT ya que las personas se alojaron con familiares y amigos. En el municipio de Reynosa, 18 postes de energía eléctrica colapsaron así como el techo de una gasolinera. No se reportan lesionados</t>
  </si>
  <si>
    <t>Acatlán, Miahuatlán y Naolinco</t>
  </si>
  <si>
    <t>Debido a la granizada severa se declararon en emergencia a tres municipios por lo que se repartieron 486 despensas, 973 cobertores b,   973 colchonetas, 243 kits de limpieza,  243 kits de aseo personal. Y 3,162 laminas de zinc.</t>
  </si>
  <si>
    <t>Emiliano Zapata y Xalapa</t>
  </si>
  <si>
    <t>Debido a la lluvia severa se declararon dos municipios en emergencia, por lo que se les repartieron 5,160 despensas, 6,320 cobertores b,   6320 colchonetas, 2,580 kits de limpieza,  2,580 kits de aseo personal. Y 8,904 laminas de zinc.</t>
  </si>
  <si>
    <t>Los daños se concentraron en Zihuatanejo.</t>
  </si>
  <si>
    <t>Camargo, Méndez y San Fernando</t>
  </si>
  <si>
    <t xml:space="preserve">Debido a las fuertes lluvias se declararon en emergencia a tres municipios, por lo que se repartieron 1,209 despensas, 1,000 laminas 1,615 cobertores b,   1,615 colchonetas, 403 kits de limpieza,  806 kits de aseo personal, 150 palas redondas, 150 botas, 2,600 palas, y 26,760 litros de agua. Fue necesario emitir declaratoria de desastre para apoyar a los sectores carretero, hidráulico, pesquero y acuícola, salud urbano y vivienda. </t>
  </si>
  <si>
    <t>Ozuluama de Mascareñas</t>
  </si>
  <si>
    <t>Debido a la lluvia severa se declaró en emergencia al municipio de Ozuluama de Mascareñas por lo que se repartieron a la población 532 despensas, 1,066 cobertores b,   1,066 colchonetas, 266 kits de limpieza,  266 kits de aseo personal, 150 palas redondas, 150 botas, 2,600 palas, y  6,980 litros de agua.</t>
  </si>
  <si>
    <t>Cabo Corrientes, Casimiro Castillo, Cihuatlán, Cuautitlán de García Barragán, La Huerta, Tomatlán</t>
  </si>
  <si>
    <t>Debido a la lluvia torrencial se declaró en desastre natural en el sector agropecuario, acuícola y pesquero a seis municipios del estado de Jalisco por la pérdida de más de 5,000 hectáreas de cultivos como el aguacate, caña, chía, chile verde, frijol, jitomate, limón, maíz, mango, melón, papaya, pepino, plátano, sandía, sorgo, tamarindo y tomate que afectaron a 1,416 productores (1,277 hombres y 139 mujeres).</t>
  </si>
  <si>
    <t>Debido a las fuertes lluvias se declararon en emergencia al municipio de Reynosa por lo que se repartieron a la oblación 2,490 despensas, 4,982 cobertores b,   4,982 colchonetas, 1,245 kits de limpieza,  1,245 kits de aseo personal y 40,000 litros de agua.</t>
  </si>
  <si>
    <t xml:space="preserve">Afectaciones por lluvias: muerte de una mujer de 89 años, misma que fue arrastrada por el caudal. 196 personas trasladadas a 4 RT. 200 viviendas con algún tipo de daño, de estas 10 viviendas quedaron totalmente destruidas. Un puente colapsado, derrumbes diversos y daños en la infraestructura hidráulica, ocho viviendas afectadas por el flujo de lodo y piedras, por lo cual tendrán que ser reubicadas. PC entrego a la población: 250 catres, 250 colchonetas y 250 cobijas.  </t>
  </si>
  <si>
    <t>Tamazunchale y San Martín</t>
  </si>
  <si>
    <t xml:space="preserve">Debido a las lluvias se declararon en emergencia a dos municipios por lo que se repartieron a  a la población 625 despensas, 2,500 cobertores b, 2,500 colchonetas, 180 kits de limpieza y 10 rollos de hule. </t>
  </si>
  <si>
    <t>San Felipe Orizatlán</t>
  </si>
  <si>
    <t xml:space="preserve">Debido a la lluvia severa se declaró en desastre a l municipio de San Felipe Oriztatlán. A través del FONDEN se apoyaron a los sectores carretero, educativo, hidráulico y de la vivienda. </t>
  </si>
  <si>
    <t>Debido a las fuertes lluvias se reportaron encharcamientos con un tirante de 80 cm hasta 1 metro de altura, aproximadamente 20 colonias afectadas</t>
  </si>
  <si>
    <t>Debido a las fuertes lluvias se reportaron encharcamientos con un tirante de 80 cm hasta 1 metro de altura, aproximadamente 20 colonias afectadas. Se declaró en emergencia al municipio de Matamoros y se repartieron a la población 10,020 despensas, 15,040 cobertores b,   15,040 colchonetas, 5,010, kits de limpieza, 5,010 kits de aseo personal, 5,000 costales 75,000 litros de agua. Fue necesario emitir declaratoria de desastre y se apoyaron a los sectores hidráulico, urbano y vivienda.</t>
  </si>
  <si>
    <t>Tornado que afecto a tres colonias: Altos Santa Teresa, fracc Santa Teresa y Santa Rosa. Se reportaron afectaciones en servicios vitales (agua potable, electricidad, telecomunicaciones).   6,500 personas afectadas. 14 fallecidos,  11 hombres con edades en un rango de 8 meses a 50 años, y tres mujeres con un rango de edad de 4 a 45 años. 290 personas atendidas en hospitales (presentaron golpes por impacto de objetos arrojados por el viento y cortaduras). Afectaciones en servicios vitales (agua potable, electricidad, telecomunicaciones). Tres escuelas afectadas. Se activó el Plan DNIII E, para auxilio de la población, ocho refugios fueron activados pero solo cuatro de ellos se ocuparon, con un total de 356 personas. Una estimación de 60 vehículos dañados, 32 árboles y cuatro postes caídos. 
INFONAVIT: se consideran 120 viviendas como pérdida total, que serán cubiertas al 100% con el seguro. 672 viviendas con daños parciales que también serán rehabilitadas por parte del seguro. 
Se brindaron más de 7,000 raciones alimenticias a las personas damnificadas. El Gobierno del Estado entrego 1,200 despensas y 2,000 kits de limpieza. 
42 comercios siniestrados, todos considerados como microempresas
Daños en 1,496 medidores de agua domésticos, así como sus respectivas conexiones (costo aproximado de $1,508,290.00)
SCT: 5 millones de pesos para el Programa de Empleo Temporal Inmediato, para el mes de junio se contaran con 3 mdp, que beneficiaran a 750 trabajadores con un ingreso diario de $122.00; para el mes de julio se destinaran 2 mdp, que beneficiaran a 750 beneficiarios pero únicamente por 15 días con un ingreso diario de $122.00.</t>
  </si>
  <si>
    <t>Desplome del techo de una secundaria, ubicada en la colonia La Minita. Esto debido a la caída de granizo y la presencia de lluvia fuerte que se presentó en el municipio. Como resultado del incidente se reporta la muerte de un joven de 15 años de edad. Asimismo, se reportan 14 menores con diversas lesiones.</t>
  </si>
  <si>
    <t>Tlalnelhuayocan y Xalapa</t>
  </si>
  <si>
    <t>Derivado del granizo se declararon en emergencia a dos municipios por lo que se repartieron a la población 2,176 despensas, 4,355 cobertores b,   4,355 colchonetas, 1,088 kits de limpieza, 1,088 kits de aseo personal y 14,153 laminas tipo "b".</t>
  </si>
  <si>
    <t>Tianguistengo</t>
  </si>
  <si>
    <t xml:space="preserve">Lluvia muy fuerte que provocó el escurrimiento de agua de los cerros, lo que formo un rio y afecto 20 viviendas por penetración de agua y daño a enseres domésticos, con un tirante de medio a un metro y 3 viviendas destruidas en su totalidad. Se reportaron 31 personas afectadas quienes decidieron acudir con familiares </t>
  </si>
  <si>
    <t>Tehuacán</t>
  </si>
  <si>
    <t>Chilapa.</t>
  </si>
  <si>
    <t>Los daños ocurrieron en el municipio de Chilapa.</t>
  </si>
  <si>
    <t>Manzanillo (Archipiélago de Revillagigedo)</t>
  </si>
  <si>
    <t xml:space="preserve">Debido al paso del Huracán Blanca el día 7 de junio fe necesario apoyar a través de recursos del FONDEN al sector naval. </t>
  </si>
  <si>
    <t>Jilotepec, Tepatlaxco y Tierra Blanca</t>
  </si>
  <si>
    <t>Debido a la inundación fluvial se declararon en emergencia a los municipios de Tepatlaxco y Tierra Blanca por lo que se repartieron 1,284 despensas, 2,571 cobertores b,   2,571 colchonetas,  642 kits de limpieza, 642 kits de aseo personal,   8,355 laminas tipo "b". Por loa efectos en diversos sectores se declararon en desastre a los municipios de Jilotepec, Tepatlaxco y Tierra Blanca por lo que se apoyaron a los sectores carretero, educativo, forestal y viveros, hidráulico, urbano y vivienda.</t>
  </si>
  <si>
    <t>Benito Juárez, Cozumel, Felipe Carrillo Puerto, Solidaridad, Tulum, Isla Mujeres y Othón P. Blanco</t>
  </si>
  <si>
    <t>Por la lluvia severa se declararon en emergencia a los municipios de Benito Juárez, Cozumel, Felipe Carrillo Puerto, Solidaridad y Tulum por lo que se apoyó a la población con 66,135 despensas, 52,908 cobertores b,   52,908 colchonetas, 15,150 impermeables, 15,150 botas, 13,227 kits de limpieza, 26,454 kits de aseo personal,   82,000 laminas tipo "b" y 260,000 litros de agua. Posteriormente a la declaratoria de desastres se agregaron los municipios de Isla Mujeres y Othón P. Blanco para apoyar a los sectores carretero, educativo, naval, salud y urbano.</t>
  </si>
  <si>
    <t>Como medida preventiva se evacuaron a 24 familias (70 personas aproximadamente) de la Unidad Habitacional Xalapa debido a un deslizamiento en un talud en donde esta asentado el edificio. Un refugio temporal fue activado sin embargo hasta el momento la mayoría decidió hospedarse con familiares. El edificio no presento afectación directa en estructura o servicios</t>
  </si>
  <si>
    <t>Calera, General Enrique Estrada, Vetagrande, Villa de Cos, Villanueva,  Zacatecas, Fresnillo,
Genaro Codina, Guadalupe, Jerez, Ojocaliente y Pánuco</t>
  </si>
  <si>
    <t>Derivado de las lluvia fuerte de casi 90 mm, se presentaron 12 comunidades afectadas. Un puente colapsado, viviendas inundadas con un tirante de un metro a 1.5 metros de agua, se realizó la evacuación de aproximadamente 10 familias trasladándolas a un refugio temporal. 200 viviendas afectadas, 20 con daños estructurales. Se declararon en emergencia a los 12 municipios y se repartieron a la población 6,252 despensas, 8,338 cobertores b, 8,338 colchonetas, 2,084 kits de limpieza, 2,084 kits de aseo personal, 25 de rollos de hule,  16,540 laminas tipo "b", 900 impermeables, 400 botas, y 3,000 litros de agua.</t>
  </si>
  <si>
    <t>Putla</t>
  </si>
  <si>
    <t>Debido a las lluvias fuertes acompañadas con granizo resultaron afectadas 50 viviendas con daños en techos, varios arboles con desprendimientos de ramas y raíces, así como daños en algunos postes de energía eléctrica, 40 familias aproximadamente fueron evacuadas del lugar mismas que se trasladaron con familiares y amigos</t>
  </si>
  <si>
    <t>Derivado de las lluvias moderadas se suscitó el deslave de un cerro el cual colapsó una vivienda. Como resultado de este accidente se registro la muerte de una persona de sexo femenino y un lesionado. De manera preventiva se evacuaron 10 viviendas más y una escuela con 400 alumnos</t>
  </si>
  <si>
    <t>El Salto, Tlaquepaque, Guadalajara, Tlajomulco de Zúñiga, Zapopan, Ameca y Juchitlan</t>
  </si>
  <si>
    <t>Debido a las lluvias 69 casas sufrieron inundaciones de aproximadamente 70 cm, mientras que en otras colonias 223 viviendas se vieron afectadas en su menaje debido a inundaciones de 1.5m de altura. Un puente se colapso, así mismo una escuela secundaria resulto afectada, la barda de una empresa se colapso afectando a 80 vehículos estacionados y una persona de 40 años falleció por el arrastre de un arroyo</t>
  </si>
  <si>
    <t>Por la inundación fluvial se declaró en emergencia al municipio de Hidalgo del Parral por lo que se repartieron a la población 618 despensas, 827 cobertores b, 827 colchonetas, 206 kits de limpieza, 206 kits de aseo personal, 10 de rollos de hule,  2,687 laminas tipo "b", 900 impermeables, 400 botas y 3,000 litros de agua.</t>
  </si>
  <si>
    <t>Derivado de las lluvias intensas, acompañadas de tormentas eléctricas y granizo, se presentó caída de 30 árboles y estructuras metálicas, afectando a algunos vehículos y dos viviendas, colapso de una barda y encharcamientos en vialidades</t>
  </si>
  <si>
    <t>Hermosillo y San Miguel de Horcasitas</t>
  </si>
  <si>
    <t>Por la lluvia del 25 de junio se declararon en emergencia a los municipios de Hermosillo y San Miguel de Horcasitas por lo que se repartieron a la población 1,458 despensas, 2,917 cobertores b, 2,917 colchonetas, 729 kits de limpieza, 729 kits de aseo personal, 10 de rollos de hule, 10,000 costales, 300 linternas  300 impermeables, 1300 laminas tipo "b"  y 10,000 litros de agua. Fue necesario apoyar al sector hidráulico a través del FONDEN a los mismos municipios.</t>
  </si>
  <si>
    <t>Debido a la lluvia torrencial se declaró en desastre natural en el sector agropecuario, acuícola y pesquero al municipio de Villa de Ramos por la pérdida de más de 2146.3 hectáreas de chile verde que afectó a 383 productores (376 hombres y 7 mujeres).</t>
  </si>
  <si>
    <t>Aldama, Camargo, Coronado, Coyame del Sotol, Chihuahua, Delicias, Santa Isabel, Hidalgo del Parral, Jiménez, López, Matamoros, Meoqui, Ojinaga, Rosales, Rosario, Saucillo, Valle de Zaragoza</t>
  </si>
  <si>
    <t>Debido a la sequía se declaró en desastre natural en el sector agropecuario, acuícola y pesquero al municipio de San Luis Potosí  por la pérdida de 1,726 colmenas  lo que afectó a 15 productores.</t>
  </si>
  <si>
    <t>Lluvias fuertes acompañadas de granizo y un torbellino provocaron afectaciones en los techos, muebles y enseres de aproximadamente 207 viviendas de nueve colonias; así como, cortes de energía eléctrica, telefonía convencional y sistema de televisión por cable. Debido a la granizada severa fue necesario declarar en emergencia a San Cristóbal de las Casas por lo que se repartieron 1,146 despensas, 4,585 cobertores b, 4,585 colchonetas, 1,146 kits de limpieza, 1,146 kits de aseo personal y 14,782 laminas tipo "b".</t>
  </si>
  <si>
    <t>Balleza, Bocoyna, Chihuahua y Jiménez</t>
  </si>
  <si>
    <t xml:space="preserve">Debido a las intensas precipitaciones se reportaron  diversas afectaciones: por anegaciones, encharcamientos y crecida de arroyos en la ciudad provocando arrastre de catorce vehículos, 48 autos varados por encharcamiento y penetración de agua en 66 casas y edificios.  Seis bardas con afectación y desplome. Sin registro de personas lesionadas o fallecidas. Se declararon en emergencia cuatro municipios y se repartieron 8,380 despensas, 8,380 cobertores b, 8,380 colchonetas, 2,095 kits de limpieza, 6,285 kits de aseo personal, 20 de rollos de hule,250 guantes, 250 botas 250 impermeables, 20,000 laminas tipo "b"  y 201,120 litros de agua. Fue necesario declarar en desastre a los municipios por los efectos en los sectores carretero, deportivo, educativo, hidráulico, salud y vivienda. </t>
  </si>
  <si>
    <t>Debido a la fuerte lluvia y caída de granizo se registro un deslizamiento de tierra invadiendo la autopista México-Toluca. La circulación permaneció detenida por unas horas, no se reportaron personas ni vehículos atrapados. Se realizaron labores de retiro de escombros con palas mecánicas. Luego de cuatro horas y media se reabrió por completo la circulación.</t>
  </si>
  <si>
    <t>Colima, Comala, Coquimatlán, Cuauhtémoc y Villa de Álvarez</t>
  </si>
  <si>
    <t>Debido al evento explosivo del volcán de Colima se realizó la evacuación preventiva de 500 personas residentes de las comunidades de la Yerbabuena y La Becerrera.  Instalación de dos RT. Se declararon en emergencia a cinco muncipios y se repartió a la población  3,021 despensas, 12,087 cobertores b, 12,087 colchonetas, 6,043 mazcarillas, 3,021 kits de limpieza, 3,021 kits de aseo personal, y 96,696 litros de agua.</t>
  </si>
  <si>
    <t>Alvarado, Catemaco, Cotaxtla, Emiliano Zapata, Lerdo de Tejada, Paso de Ovejas, Puente Nacional, Saltabarranca, San Andrés Tuxtla, Santiago Tuxtla, Tierra Blanca, Tlalixcoyan, Tres Valles y  San Juan Evangelista</t>
  </si>
  <si>
    <t>Debido a los movimientos de ladera se declararon en emergencia a 14 municipios del estado de Veracruz, se repartieron 1,134 despensas, 2,270 cobertores b, 2,270 colchonetas, 567 kits de limpieza, 567 kits de aseo personal,  600 botas 600 impermeables, 5,000 costales. Posteriormente fue necesario emitir declaratoria de desastre para los municipios de Los Reyes, Texhuacán y Zongolica para apoyar al sector carretero, educativo, forestal, urbano y vivienda.</t>
  </si>
  <si>
    <t>Alvarado, Catemaco, Cotaxtla, Emiliano Zapata, Lerdo de Tejada, Paso de Ovejas, Puente Nacional, Saltabarranca, San Andrés Tuxtla, Santiago Tuxtla, Tierra Blanca, Tlalixcoyan y Tres Valles</t>
  </si>
  <si>
    <t>Derivado de las lluvias se registraron 797 viviendas con algún tipo de afectación, 17 deslaves, 11 puentes afectados, tres vías de comunicación dañadas, 247 personas evacuadas. 3 RT con 154 personas. 15 personas rescatadas, una persona fallecida de edad y sexo desconocido; una escuela afectada y un hundimiento. Se declararon en emergencia a 13 municipios y se repartieron 7,132 despensas, 14,266 cobertores b, 14,266 colchonetas, 3,566 kits de limpieza, 3,566 kits de aseo personal, 2,100 botas 2,100 impermeables, 30,000 laminas tipo "b"  y 30,000 costales.</t>
  </si>
  <si>
    <t>Gómez Farías</t>
  </si>
  <si>
    <t>Lluvia fuerte que provoco inundaciones en aproximadamente 250 casas, se desconoce el tirante de agua y el total de personas evacuadas. Se alojaron 20 personas en un refugio temporal. Se declaró en emergencia y desastre el municipio, se apoyó al sector carretero y vivienda.</t>
  </si>
  <si>
    <t>Texhuacan</t>
  </si>
  <si>
    <t>Debido a las  lluvias se produjo un deslave de un cerro en la comunidad de Los Pinos, donde una vivienda quedó debajo de la tierra, ocasionando que cinco personas quedaran atrapadas en el interior de la vivienda, mismas que fueron rescatadas con vida por voluntarios. Al día siguiente, fue rescatado el cuerpo sin vida de una persona más, de la que se desconocen sus datos</t>
  </si>
  <si>
    <t>Teocelo y Xico</t>
  </si>
  <si>
    <t xml:space="preserve">Derivado de las lluvias severas y de la inundación se declararon en emergencia a los municipios de Teocelo y Xico por lo que se repartieron 1,224 despensas,  2,449 cobertores b, 2,449 colchonetas, 612 kits de limpieza, 612 kits de aseo personal, 450 botas 450 impermeables, 6,000 costales y 7,959 laminas tipo "b".  </t>
  </si>
  <si>
    <t>Huautla de Jiménez</t>
  </si>
  <si>
    <t>Deslizamiento que bloquea la entrada al centro de la comunidad de Barranca Seca; adicionalmente otro derrumbe en la comunidad de Río Santiago que afecto parte de un camino</t>
  </si>
  <si>
    <t>Tormenta atípica con lluvias intensas puntuales en diversas partes de la Ciudad de Tijuana que origino cinco derrumbes en vialidades, arrastre de vehículos, así como siete inundaciones en vialidades con diversos encharcamientos y afectación a 201 viviendas por  penetración de agua. Se instalaron dos RT con 329 (293 adultos y 36 menores) y 110 (45 mujeres y niños y 65 varones) personas respectivamente. Un tercer refugio se encuentra sin personas al momento.</t>
  </si>
  <si>
    <t xml:space="preserve">Debido a las fuertes lluvias se registraron 182 km de caminos afectados con encharcamientos, caída de postes, dos puentes colapsados uno vehicular y otro peatonal, daños en dos muros de contención del arroyo principal. Una presa de uso doméstico colapsada. Aproximadamente 200 viviendas  con desprendimientos de techos o daños estructurales. Tres comunidades sin agua potable. Afectaciones en ganadería y agricultura. Algunas comunidades sin energía eléctrica. Se declaró en desastre el municipio para apoyar al sector carretero y al sector de la vivienda. </t>
  </si>
  <si>
    <t xml:space="preserve">Derivado de las lluvias fuertes se desbordo el arroyo Buitrón, afectando a cinco viviendas de la comunidad las Ánimas y una vivienda en Palo alto </t>
  </si>
  <si>
    <t xml:space="preserve">Purísima del Rincón </t>
  </si>
  <si>
    <t>Derivado de las lluvias fuertes se registro penetración de agua a dos viviendas de la comunidad de La Cintilla, con un tirante de agua de 30 cm. No se realizo evacuación de las familias ya que se desazolvo el agua inmediatamente después de lo sucedido</t>
  </si>
  <si>
    <t xml:space="preserve">Derivado de las lluvias fuertes se registro penetración de agua a dos viviendas. en el interior se encontró con tirante de 10 cm. Sin evacuación de personas, solo humedecimiento de pared. </t>
  </si>
  <si>
    <t>Deslave en un cerro a causa de tierra mal compactada y a las lluvias, siete personas resultaron atrapadas en el interior de dos vehículos, que fueron sorprendidas por el alud de tierra; los vehículos no fueron sepultados en su totalidad por el alud, solamente bloqueo puertas y ventanas ya que alcanzó una altura de 1.50 metros. Las siete personas presentaron crisis nerviosas y dos de ellas (de 8 y 63 años) también resultaron heridas.</t>
  </si>
  <si>
    <t>Debido a las fuertes lluvias se reportaron encharcamientos en avenidas y el desbordamiento del arroyo Tecnológico donde fueron arrastrados varios vehículos y  5 personas (1 encontrada sin vida y 4 personas desaparecidas)</t>
  </si>
  <si>
    <t xml:space="preserve">Derrumbe dentro de un distribuidor vial. Como resultado de ello se reporta una persona de sexo masculino fallecida y tres personas más lesionadas. </t>
  </si>
  <si>
    <t xml:space="preserve"> San Luis Acatlán</t>
  </si>
  <si>
    <t>Se reportó la muerte de una persona al ser arrastrado por la corriente del Río Nejapa en el municipio de San Luis Acatlán</t>
  </si>
  <si>
    <t>Guasave y Mocorito</t>
  </si>
  <si>
    <t>Por la lluvia severa y la inundación se declararon en emergencia a los municipios de Guasave y Mocorito, se repartieron 4,824 despensas,  6,432 cobertores b, 6,432 colchonetas, 1,608 kits de limpieza, 1,608 kits de aseo personal, 1,750 impermeables y 3,510 laminas tipo "a".</t>
  </si>
  <si>
    <t>Derivado de las fuertes lluvias se presentaron anegaciones en partes bajas de la capital del estado. Siete viviendas sufrieron afectaciones en sus techos, así como 15 postes de energía eléctrica y cinco espectaculares.</t>
  </si>
  <si>
    <t xml:space="preserve">Por la lluvia severa y la inundación se declararon en emergencia a los municipios de Escuinapa y Rosarito, se repartieron 3,300 despensas,  4,403 cobertores b, 4,403 colchonetas, 1,100 kits de limpieza, 2,200 kits de aseo personal, 2,200 impermeables, y 2,476 laminas tipo "a"  </t>
  </si>
  <si>
    <t>Tultitlan, Coacalco de Berriozábal, Ecatepec de Morelos</t>
  </si>
  <si>
    <t>Municipio de Coacalco: Colonia Residencial Coacalco, se suscitó la caída de un árbol sobre dos domicilios, sin reporte de personas lesionadas; en las colonias Granjas, E. Reyes, Sánchez Colín se contabilizó la caída de 5 árboles; encharcamiento en la Av. López Portillo con un tirante de aproximadamente 10 a 20 centímetros; en la Colonia Residencial Coacalco  barda.  Dos decesos cuyas causas probables son arrastre y muerte por traumatismo a causa de caída de granizo un hombre de 70 años y una mujer, se desconoce su edad. Municipio de Tultitlán: Colonia San Juan se suscitó el desbordamiento del canal “Cartagena”, presentando penetración de agua en 10 domicilios.  Encharcamiento en vialidades y se recibió el reporte  de una persona ahogada de 42 años de sexo masculino, en la Avenida. Las Torres, esquina Pichardo Pagaza, Colonia Santa María Chiconautla.</t>
  </si>
  <si>
    <t>Lluvias intensas durante el transcurso del día, hasta de 200 mm, se reportaron encharcamientos en vía pública e inundaciones en al menos 10 colonias. Se confirman 2 personas fallecidas por descarga eléctrica al intentar desconectar un electrodoméstico. Se encuentra habilitado un Refugio Temporal (Alberca Chávez), que no ha sido ocupado.  PC Municipal, Ayuntamiento y H.C. de Bomberos realizan labores de desazolve con el apoyo de bombas y se continúa con recorridos de evaluación de daños. La tercera víctima mortal fue un hombre de la tercera edad.</t>
  </si>
  <si>
    <t>Coatepec, Los Reyes, Mixtla de Altamirano, Texhuacán y Zongolica</t>
  </si>
  <si>
    <t>Debido a las lluvias severas se declararon en emergencia a cinco municipios por lo que se les repartieron 3,160 despensas,  6,320 cobertores b, 6,320 colchonetas, 1,580 kits de limpieza, 1,580 kits de aseo personal, 400 botas 400 impermeables, 10,000 costales y 19,800 laminas tipo "b".</t>
  </si>
  <si>
    <t>Gustavo A. Madero,  Cuauhtémoc, Miguel Hidalgo, Álvaro Obregón, Benito Juárez, Magdalena Contreras, Coyoacán, Tlalpan y Cuajimalpa</t>
  </si>
  <si>
    <t>La lluvia dejó un saldo de 34 viviendas afectadas, 14 pasajeros se rescataron de algún medio de transporte, 15 autos afectados, tres deslizamientos de tierra en las delegaciones Álvaro Obregón, Iztapalapa y Miguel Hidalgo y se atendieron 338 encharcamientos, informaron en conferencia de prensa el secretario de Protección Civil capitalino, Fausto Lugo, y el director del Sistema de Aguas de la Ciudad de México</t>
  </si>
  <si>
    <t>Rosario y Salvador Alvarado</t>
  </si>
  <si>
    <t xml:space="preserve"> Se presentaron lluvias fuertes con tormenta eléctrica. Derivado de las lluvias presentadas  como medida preventiva se cierra la autopista por derrumbes de cerro en el km 185 Mazatlán- Durango, a la altura de Pánuco, municipio de Concordia, no se reportan lesionados, ni riesgo a la población.  Municipio de El Rosario: se contabilizaron 400 viviendas con penetración de agua. Municipio de Salvador Alvarado: en la comunidad de Valle de San Lorenzo se reportaron 300 viviendas con penetración de agua (tirantes entre los 50 y 50 cm).  El nivel registrado de tirante de agua tuvo un mínimo de 40 cm y un máximo alcanzado de 1.10 metros.se habilitaron 2 refugios temporales en el Municipio:  UDO Universidad de Occidente y CBTIS. Se reporta el desbordamiento del arroyo Zopilote entre las colonias 10 de Abril y Solidaridad. Se repartieron 1,119 despensas,  4,476 cobertores b, 4,476 colchonetas, 1,119 kits de limpieza, 1,119 kits de aseo personal, 10 rollos de hule 940 impermeables, 2,519 laminas tipo "b". A través del FONDEN se apoyó al sector acuícola y pesquero en el municipio de Rosario.</t>
  </si>
  <si>
    <t>Tres mujeres resultaron lesionadas por la caída de un rayo, fueron heridas por estar cerca a la zona donde impactó el rayo que cayó directamente en un pick-up Nissan, color blanco.  Se registraron ráfagas de viento de 50 km por hora, que provocaron la caída de tres postes de energía eléctrica y dos árboles, problemas en hogares por cortos circuitos y dos fallas en la corriente eléctrica de diferentes colonias.</t>
  </si>
  <si>
    <t>Derivado de la inundación se declaró en emergencia al municipio de Mazatlán, por lo que se repartieron a la población 3,060 despensas, 6,120 cobertores "b", 6,120 colchonetas, 1,250 impermeables, 10 rollos de hule, 1,530 kits de limpieza, 1,530 kits de aseo personal y 3,442 laminas tipo "a".</t>
  </si>
  <si>
    <t>San Juan Lalana</t>
  </si>
  <si>
    <t xml:space="preserve">Por el movimiento de ladera fue necesario declarar en emergencia al municipio de San Juan Lalana por lo que se repartieron 582 despensas, 2,000 cobertores "b", 2,000  colchonetas, 582 kits de limpieza, 582 kits de aseo personal, 580 impermeables, 580 botas, 8,000 costales,  5,600 laminas tipo "b" y 16,800 litros de agua. Por sus efectos en carreteras y en escuelas fue necesario declararlo en desastre. </t>
  </si>
  <si>
    <t>Alpatláhuac, Calcahualaco y La Perla</t>
  </si>
  <si>
    <t xml:space="preserve">Debido a las lluvias severas que provocaron movimientos de laderas fueron declarados en emergencia los municipios de Alpatláhuac, Calcahualaco y la Perla1,276 despensas, 2,552 cobertores "b", 2,552  colchonetas, 638 kits de limpieza, 638 kits de aseo personal, 400 impermeables, 400 botas, 9,000 costales,  8,294 laminas tipo "b" y 17,560 litros de agua. Debido a los efectos en los sectores carretero, forestal, urbano y de vivienda fue necesario declarar en desastre a éstos municipios. Desafortunadamente en la Comunidad de Xilomichi, se registró un derrumbe sobre una vivienda, quedando sepultados 5 menores de 1 año y medio,  de 3 años, A de 7 años, de 11 años y de  12 años y una mujer  de 28 años (la mamá) , así como se reporta lesionado un hombre de 40 años (el papá). </t>
  </si>
  <si>
    <t>Por las lluvias se declaró en emergencia al municipio de Mulegé por lo que se repartieron 4,026 despensas, 5,368 cobertores "b", 5,368  colchonetas, 2,684 kits de limpieza, 1,342 kits de aseo personal,  17,446 laminas tipo "b" y 120,000 litros de agua.</t>
  </si>
  <si>
    <t>Loreto, Comondú, La Paz y Los Cabos</t>
  </si>
  <si>
    <t>Derivado de la inundación se declararon en emergencia a tres municipios por lo que se repartieron 6,876 despensas, 13,754 cobertores "b", 13,754 colchonetas, 3,438 kits de limpieza, 3,438 kits de aseo personal,  44,700 laminas tipo "b" y 110,032 litros de agua.</t>
  </si>
  <si>
    <t>Guasave y Sinaloa</t>
  </si>
  <si>
    <t xml:space="preserve">A consecuencia de la fuerte lluvias registradas durante el día 19 y 20 de septiembre se realizaron evacuaciones de familias en 2 municipios por penetración de agua en viviendas y en un municipio de manera preventiva. En la Angostura se evacuaron 4 familias de la comunidad Alhuey, las personas se refugiaron con familiares y amigos. En Salvador Alvarado se  evacuación 23 familias de manera preventiva debido a que el río Mocorito se encontraba a su máxima capacidad.  En el municipio de Guasave se reportaron activos 3 Refugios Temporales debido a escurrimientos del río Guasave: Escuela 6 de Enero con  200 personas; Escuela 18 de  Marzo con 200 personas y escuela UDO con 200 personas. Se declararon en emergencia a los municipios de Guasave y Sinaloa por lo que se repartieron 2,500 despensas, 5,000 cobertores "b", 5,000  colchonetas, 1,250 kits de limpieza, 1,250 kits de aseo personal, 1,250 impermeables, 10 rollos de hule y 2,812 laminas tipo "a". </t>
  </si>
  <si>
    <t>Hermosillo, Guaymas, Empalme, Rayón, San Miguel de Horcasitas, Carbó, Pitiquito, Cucurpe, Opodepe, Cajeme, Etchojoa, Quiriego, Rosario, Navojoa, Huatabampo y Benito Juárez</t>
  </si>
  <si>
    <t>Debido a las lluvias producto del paso de la depresión tropical 16-E y a los remanentes de la tormenta tropical Marty  los días 20 y 21 de septiembre que tuvieron efectos sobre la población y sus bienes, así como en la infraestructura pública y en los sectores productivos, se declararon en desastre 16 municipios del estado de Sonora.</t>
  </si>
  <si>
    <t>Amatlán de los Reyes, Atoyac, Cuichapa, Omealca, Tepatlaxco y Tlalixcoyan</t>
  </si>
  <si>
    <t>Por las inundaciones se declararon en emergencia a seis municipios por lo que se repartieron 986 despensas, 3 945 cobertores "b", 3,945  colchonetas, 986 kits de limpieza, 986 kits de aseo personal, 600 impermeables, 600 botas, 12,000 costales,  9,400 laminas tipo "b" y 7,500 litros de agua.</t>
  </si>
  <si>
    <t>Tlapa y Ayutla de los Libres</t>
  </si>
  <si>
    <t>Se registraron fuertes lluvias en los municipios de Tlapa y Ayutla de los Libres, se reportan 8 fallecimientos debido a que 6 personas fueron arrastradas por la corriente de un río, así mismo se reporta la muerte de una persona por inmersión en la laguna de Mitlay una más al caerle un rayo.</t>
  </si>
  <si>
    <t>Debido a las fuertes lluvias se reportó la muerte de una persona.</t>
  </si>
  <si>
    <t>Cajeme, Guaymas y Empalme</t>
  </si>
  <si>
    <t>Por las lluvias severas se declararon en emergencia tres municipios por lo que se repartieron a la población 9,027 despensas y 27,150 cobertores.</t>
  </si>
  <si>
    <t>Por la inundación se declaró en emergencia al municipio de La Paz, por lo que se apoyó a la población con 2,811 despensas, 3,750 cobertores, 3,750 colchonetas, 937 kits de limpieza, 937 kits de aseo personal, 12,187 láminas tipo "b" y 60,000 litros de agua. Fue necesario apoyar a través del FONDEN a los sectores carretero, educativo, naval, turístico e hidráulico.</t>
  </si>
  <si>
    <t>Por la granizada severa fue necesario declarar en emergencia al municipio de Juárez, se apoyó a la población con 21,681 despensas, 30,000 láminas tipo "b", 14,450 cobertores "b", 14,450 colchonetas, 30 rollos de hule, 7,227 kits de limpieza y 14,454 kits de aseo personal.</t>
  </si>
  <si>
    <t>Las lluvias intensas en el Municipio de Piedras Negras a partir de las 18:00 horas, alcanzaron hasta 8 pulgadas de precipitación en seis horas.  Esto produjo encharcamientos y crecida de arroyos que afectaron diversas colonias y vialidades. Se reportó un número no determinado de autos varados en zonas inundadas que fueron rescatados por los cuerpos de emergencia y penetración de agua en domicilios de las colonias: Las Argentinas, González, Roma, Periodistas, Hacienda la Luna, Villa de Fuente y Ejido Piedras Negras.  De las colonias afectadas se tiene un total de 88 personas en Refugio Temporal del Auditorio Santiago B González. Se declaró en emergencia y se repartieron 1000 despensas, 4000 cobertores "b", 2000 colchonetas, 1000 kits de limpieza, 1000 kits de aseo personal. Se apoyó a través del FONDEN a los sectores educativo, hidráulico, urbano y de la vivienda.</t>
  </si>
  <si>
    <t>Benito Juárez, Solidaridad, Cozumel, Isla Mujeres, Felipe Carrillo Puerto, Bacalar y Othón P. Blanco</t>
  </si>
  <si>
    <t xml:space="preserve">Debido a las lluvias se declararon en emergencia a siete municipios apoyando a la población con 38,166 despensas, 180,000 láminas tipo "b", 101,782 cobertores "b", 101,782 colchonetas, 24,000 impermeables, 24,000 botas, 25,444 kits de limpieza, 25,444 kits de aseo personal, y 450,000 litros de agua. Fue necesario apoyar a través del FONDEN al sector carretero cultural, deportivo, educativo, hidráulico, naval, turístico, urbano y de la vivienda. </t>
  </si>
  <si>
    <t>Acayucan, Altotonga,
Amatitlán, Angel R. Cabada, Carlos A. Carrillo, Catemaco, Chacaltianguis, Chiconquiaco,
Chinameca, Colipa, Cosamaloapan de Carpio, Cosoleacaque, Hidalgotitlán, Hueyapan de
Ocampo, Isla, Ixhuatlán del Sureste, Ixmatlahuacan, Jalacingo, Jáltipan, Juan Rodríguez Clara,
Juchique de Ferrer, Las Choapas, Lerdo de Tejada, Mecayapan, Minatitlán, Misantla, Moloacán,
Nanchital de Lázaro Cárdenas del Río, Oluta, Oteapan, Pajapan, Playa Vicente, Saltabarranca,
San Andrés Tuxtla, Santiago Sochiapan, Santiago Tuxtla, Sayula de Alemán, Soconusco,
Soteapan, Tatahuicapan de Juárez, Texistepec, Tlacojalpan, Tuxtilla, Uxpanapa, Yecuatla,
Zaragoza, Jesús Carranza, Martínez de la Torre,
San Rafael, Acula, Coatzacoalcos y José Azueta</t>
  </si>
  <si>
    <t xml:space="preserve">Las intensas lluvias que se registraron por la madrugada, provocaron en diversos  municipios diversas afectaciones (caídas de árboles y espectaculares, viviendas y escuelas dañadas, corrientes desbordadas, vías de comunicación afectadas, entre otras). Se declararon en emergencia a 52 municipios y se repartieron 30,348 despensas, 105,209 lámina tipo "b", 26,302 lámina tipo "c", 40,465 cobertores, 40,465 colchonetas, 9,600 impermeables, 9,600 guantes de carnaza, 9,600 botas, 240,000 costales, 6,400 carretillas, 6,400 palas redondas, 6,400 zapapicos, 10,116 kits de limpieza, 10,116 kits de aseo persona y 123,720 litros de agua. Se declararon a los 52 municipios en desastre y se apoyó a los sectores carretero, educativo, hidráulico, urbano y de la vivienda. </t>
  </si>
  <si>
    <t xml:space="preserve"> Nautla, San Juan Evangelista, Tlacotalpan, Huayacocotla </t>
  </si>
  <si>
    <t xml:space="preserve">Debido a las inundaciones se declararon en emergencia a cuatro municipios, por lo que se repartieron 2,000 despensas, 6,405 láminas tipo "b", 4,003 cobertores "b", 4,003 colchonetas, 600 impermeables, 600 guantes de  carnaza, 600 botas, 20,000 costales, 2,604 láminas tipo "c", 1000 kits de limpieza, 1,000 kits de aseo personal y 32,024 litros de agua. </t>
  </si>
  <si>
    <t>Bacalar y Othón P. Blanco</t>
  </si>
  <si>
    <t>En comunicación con la Unidad Estatal, informo que debido a las fuertes lluvias que se presentaron por la madrugada se reportan  afectaciones en los  municipios de Bacalar y Othón P Blanco</t>
  </si>
  <si>
    <t>Ixhuatán y Pichucalco</t>
  </si>
  <si>
    <t>Debido a las lluvias se declararon en emergencia los municipios de Ixhuatán y Pichucalco, se apoyó a la población con 632 despensas, 1,469 cobertores, 1,469 colchonetas, 367 kits de limpieza, 734 kits de aseo personal y 10,224 litros de agua. Fue necesario declarar en desastre ambos municipios para apoyar a los sectores carretero e hidráulico.</t>
  </si>
  <si>
    <t>San Pedro Yólox</t>
  </si>
  <si>
    <t>Por los movimientos de ladera se declaró en desastre al municipio de San Pedro Yólox, con el fin de apoyar al sector carretero.</t>
  </si>
  <si>
    <t>Fonden</t>
  </si>
  <si>
    <t xml:space="preserve">Debido a la granizada severa y lluvia severa del 20 al 21 de octubre fue declarado en desastre el municipio de Juárez con el fin de apoyar a los sectores carretero, educativo, hidráulico, urbano y vivienda. </t>
  </si>
  <si>
    <t>Arandas, Atengo, Atotonilco el
Alto, Atenguillo, Autlán de Navarro, Ayutla, Cabo Corrientes, Cihuatlán, Cuautla, Cuautitlán de
García Barragán, El Salto, El Limón, Ejutla, El Grullo, Guadalajara, Ixtlahuacán de los
Membrillos, Ixtlahuacán del Río, Juchitlán, La Huerta, Mascota, Ocotlán, Puerto Vallarta, San
Gabriel, Tenamaxtlán, Tlaquepaque, Tolimán, Tomatlán, Tonaya, Tonila, Tuxcacuesco, Tuxpan,
Unión de Tula, Zapopan y Zapotitlán de Vadillo. En una segunda declaratoria Ameca, Atemajac de Brizuela, Casimiro Castillo, Guachinango, Mixtlán, Quitupan, San Sebastián del Oeste, Talpa de Allende, Tamazula de Gordiano, Tapalpa, Tecolotlán, Teocuitatlán de Corona, Villa Purificación, Zacoalco de Torres y Zapotlán el Grande</t>
  </si>
  <si>
    <t>Reporte de daños ocasionados por impacto de Huracán Patricia categoría 5 en escala de Saffir-Simpson. Debido al impacto del huracán se declararon en emergencia en un primer momento 34 municpios en emergencia extraordinaria por lo que se apoyó a la población con 21,091 despensas, 36,993 cobertores, 39,364 colchonetas, 10,433 kits de limpieza, 10,433 kits de aseo personal, 180,000 litros de agua, 100,000 láminas tipo "c". Posteriormente se agregaron otros 15 municpios a los qeu se apoyó con 5,775 despensas, 80,000 lámina tipo "c", 18,000 cobertores, 18,000 colchonetas, 3,000 kits de limpieza, 3,000 kits de aseo personal, 39,000 litros de agua. También fue necesario declarar en desastre con el fin de apoyar a los sectores carretero, deportivo, educativo, hidráulico, de salud,urbano y vivienda.</t>
  </si>
  <si>
    <t>Armería, Colima, Comala, Coquimatlán, Cuauhtémoc, Ixtlahuacán, Manzanillo, Minatitlán, Tecomán y Villa de Álvarez</t>
  </si>
  <si>
    <t>Los efectos del Huracán Categoría 5 "Patricia" se propagaron hasta las costas de Manzanillo y el resto del estado de Colima ocasionando lluvias de intensas a puntuales torrenciales con vientos sostenidos superiores a los 250 km/h.  Fue declarado en emergencia los 10 muncipios y se apoyó a la población con 8,930 despensas, 17, 862 cobertores, 17,862 colchonetas, 4,465 kits de limpieza, 4,465 kits de aseo personal, 90,000 litros de agua, 9,000 láminas "b". También se dlecararon en desastre los mismos municipios con el fin de apoyar a los sectores carretero, deportivo, educativo, hidráulico, naval, pesquero y acuícola, residuos sólidos, salud y urbano.</t>
  </si>
  <si>
    <t>Aguililla, Aquila, Arteaga, Cherán, Coahuayana, Coalcomán de Vázquez Pallares, Cotija, Chinicuila, Lázaro Cárdenas, Nuevo Parangaricutiro, Parácuaro, Peribán, Tumbiscatío y Uruapan del Estado de Michoacán de Ocampo.</t>
  </si>
  <si>
    <t>Por el paso del huracán Patricia se declararon en desastre a 14 municipios del estado de Michoacán con el fin de apoyar a los sectores carretero, hidráulico, naval y pesquero y acuícola.</t>
  </si>
  <si>
    <t>Ahuacatlán, Amatlán de Cañas,
Bahía de Banderas, Compostela, Ixtlán del Río, Jala, San Pedro Lagunillas, Santa María del Oro,
Santiago Ixcuintla, San Blas, Tecuala y Xalisco</t>
  </si>
  <si>
    <t xml:space="preserve">Por el paso del huracán Patricia se declararon en emergencia a 12 municipios del estado de Nayarit, por lo que se repartieron a la población 7,504 despensas, 15,010 cobertores, 15,010 colchonetas, 3, 752 kits de limpieza, 3,752 kits de aseo personal, 80,000 litros de agua.
</t>
  </si>
  <si>
    <t xml:space="preserve">Por las lluvias severas se declararon en emergencia a los municipios de Reynosa y Río Bravo, se repartieron a la población 3,184 despensas, 6,371 cobertores, 6,371 colchonetas, 1,592 kits de limpieza, 1,592 kits de aseo personal, 101,963 litros de agua y 3,600 láminas tipo "b". También se declararon en desastre con el fin de apoyar a los sectores hidráulico, urbano y de la vivienda. </t>
  </si>
  <si>
    <t xml:space="preserve"> FONDEN</t>
  </si>
  <si>
    <t>Cuajimalpa de Morelos</t>
  </si>
  <si>
    <t xml:space="preserve">Los días 27 de octubre, 2 y 4 de noviembre de 2015 se presentó el desprendimiento de bloques de suelo y roca en los taludes sur y suroeste del predio donde se desplanta el desarrollo habitacional Vista del Campo. Los derrumbes afectaron alrededor de 15 automóviles estacionados bajo el talud, y limitaron el acceso principal.  Afectaron a tres transformadores y se presentó suspensión del servició eléctrico por seis horas. Fue necesario inhabilitar una antena de telecomunicaciones de dos toneladas. En el último deslave fue necesario desalojar a 116 personas de 5 condominios como medida preventiva. El principal daño fue el causado a la cimentación de una casa cerca del borde. </t>
  </si>
  <si>
    <t>Otra</t>
  </si>
  <si>
    <t>Tuxpan, Tecuala, Huajicori, Rosamorada, Santiago Ixcuintla</t>
  </si>
  <si>
    <t>Derivado de las fuertes lluvias que se presentaron desde la noche de ayer, se reportan 4 comunidades incomunicadas, siendo Higueritas, El Zapote, El Tigre y Las Huertas, esto debido al desbordamiento del río Las Cañas. Se tiene un refugio temporal en operación, sin que hasta el momento sea ocupado.  En los municipios de Tecuala, Santiago, Rosamorada y Tuxpan se reportan inundaciones que no han sido de consideración, mientras que el río San Pedro Tuxpan ha comenzado a incrementar su nivel por las lluvias registradas en los estados de Zacatecas y Durango.</t>
  </si>
  <si>
    <t>Cihuatlán, Tomatlán y Melaque.</t>
  </si>
  <si>
    <t>Derivado de las fuertes lluvias registradas desde la noche de ayer, se presentó el incremento del río Maracabo y el arroyo Pedregal, ocasionando inundaciones en varios sectores de los municipios Cihuatlán y Melaque. Se tienen restringido el paso vehicular de las carreteras Federal 80, Guadalajara-Barra de Navidad y Manzanillo-Cihuatlán. Al momento se cuenta con 5 refugios temporales 4 en el municipio de Cihuatlán y uno en el municipio de Tomatlán:  - Cabecera municipal, Escuela Primaria "Gregorio Torres Quintero" (municipio de Cihuatlán) con 70 personas. - Villa Obregón, Jardín de Niños "Juan de la Barrera", (municipio de Cihuatlán), con 109 personas. -Januco, Escuela Primaria "Rafael Ramírez", (municipio de Cihuatlán), con 67 personas. - Emiliano Zapata, iglesia de la Localidad, con 17 personas.  - Morelos, Casa Ejidal (municipio de Tomatlán), con 16 personas.  Cabe mencionar que hasta el momento no se reportan daños humanos.</t>
  </si>
  <si>
    <t>Debido a las inundaciones se declaró en emergencia al municipio de Escuinapa por lo que se apoyó a la población con 894 despensas, 1,007 lámina tipo "a", 1,791 cobertores "b", 1,791 colchonetas, 600 impermeables, 5 rollos de hule, 447 kits de limpieza y 447 kits de aseo personal.</t>
  </si>
  <si>
    <t>Llera, Valle Hermoso, San Fernando y Matamoros</t>
  </si>
  <si>
    <t>Debido a las fuertes lluvias acompañadas de tormenta eléctrica por un lapso de 2 horas, provocaron inundaciones severas en varias colonias . Se habilitó un refugio temporal. Se declararon en emergencia a tres municipios y se repartieron a la población 14,832 despensas, 16,573 cobertores "a", 16,573 colchonetas, 50 botas, 5,000 costales, 4,143 kits de limpieza, 7,706 kits de aseo personal, 10,400 láminas tipo "b", 1,200 láminas tipo "c" y 272,584 litros de agua. Fue necesario declarar en desastre a los cuatro municipios por los daños en los sectores carretero, educativo, hidráulico, pesquero y acuícola, salud, urbano y vivienda.</t>
  </si>
  <si>
    <t>Coatzacoalcos, Ixhuatlán del Sureste, Banderilla, Coatepec, Tlalnelhuayocan, Tonayán, Xalapa</t>
  </si>
  <si>
    <t>Debido a las inundaciones se declararon en emergencia a siete municipios, por lo que se repartieron 10,497 despensas, 13,972 cobertores, 13,972 colchonetas, 22,000 costalillas, 30,600 láminas tipo "b", 9,084 láminas tipo "c", 3,493 kits de aseo personal, 3,493 kits de limpieza, 600 botas, 600 impermeables y 600 guantes.</t>
  </si>
  <si>
    <t>Tepetlixpa</t>
  </si>
  <si>
    <t>Álamo Temapache, Boca del Río, Castillo de Teayo, Huayacocotla, Ixcatepec, Ixhuatlán de Madero, Pajapan, Tamiahua, Tuxpan y Veracruz</t>
  </si>
  <si>
    <t>Debido a la lluvia se declararon en emergencia a 10 municipios por lo que se repartieron 5,202 despensas, 22,548 láminas tipo "b", 6,938 cobertores "b", 6,938 colchonetas, 1,200 impermeables, 1,200 guantes, 1,200 botas, 1,200 costales, 1,734 kits de limpieza, 1,734 kits de aseo personal y  55, 504 litros de agua</t>
  </si>
  <si>
    <t xml:space="preserve">Acatlán, Coatzacoalcos, Landero y Coss, Tenochtitlán, Yecuatla, Angel R. Cabada, Lerdo de Tejada, Saltabarranca, Uxpanapa, Las Choapas </t>
  </si>
  <si>
    <t>Debido a las inundaciones se declararon en emergencia a 10 municipios, se apoyó a la población con  2,712 despensas, 11,752 láminas tipo "b", 3,616 cobertores, 3,616 colchonetas, 700 impermeables, 700 guantes de carnaza, 700 botas, 25,000 costales, 904 kits de limpieza, 904 kits de aseo personal y 28,680 litros de agua.</t>
  </si>
  <si>
    <t>Hidalgotitlán, Jesús Carranza, Texistepec</t>
  </si>
  <si>
    <t>Debido a las inundaciones se declararon en emergencia a tres municipios, se apoyó a la población con 1,030 despensas, 2,063 cobertores "b", 2,063 colchonetas, 300 impermeables, 300 guantes de carnaza, 300 botas, 7,800 costales, 515 kits de limpieza, 515 kits de aseo personal y 16,504 litros de agua.</t>
  </si>
  <si>
    <t>Naucalpan de Juárez</t>
  </si>
  <si>
    <t>Coatzacoalcos, Ixhuatlán del Sureste, Moloacán, Nanchital de Lázaro Cárdenas del Río, Las Choapas, Agua Dulce</t>
  </si>
  <si>
    <t>Debido a las inundaciones se declararon en emergencia a seis municipios, se apoyó a la población con 1,084 despensas, 14,095 láminas tipo "b", 4,337 cobertores "a", 4,337 colchonetas, 250 impermeables, 250 guantes de carnaza, 7,800 costales, 1,084 kits de limpieza, 1,084 kits de aseo personal y 30,990 litros de agua.</t>
  </si>
  <si>
    <t>Agua Dulce, Las Choapas</t>
  </si>
  <si>
    <t xml:space="preserve">Se informó que derivado de las lluvias fuertes y escurrimientos, el nivel del río Agua Dulcita el cual es de 2.30 metros incrementó a 7.40 metros ocasionando anegaciones con un tirante que oscilaba entre los 60 cm y 1 metro en viviendas de 12 colonias de la cabecera municipal, no se tienen cuantificadas las viviendas que fueron afectadas. Personal de Protección Regional y Estatal se encuentra en la zona debido a que a la par hay 2 arroyos (el Control y Mascachiles) en el municipio de las Choapas, los cuales desbordaron en la zona urbana. Se tiene registro de un corte carretero en una de las 2 entradas a las Choapas, mismo que ya está siendo atendido.  Se instaló 1 albergue con 3 familias, el día de hoy la situación ya se encuentra normalizada; el río Agua Dulcita ya se encuentra en niveles normales. </t>
  </si>
  <si>
    <t>Tecámac</t>
  </si>
  <si>
    <t>Bocoyna, Carichí, Cuauhtémoc, Cusihuiriachi,
Casas Grandes, Galeana, Gómez Farías, Guerrero, Ignacio Zaragoza, Janos, Madera, Matachí,
Namiquipa, Nuevo Casas Grandes y Temósachic</t>
  </si>
  <si>
    <t>Por la nevada severa fue necesario declarar en emergencia a 15 municipios, se apoyó a la población con 1,886 despensas, 24,527 láminas tipo "b", 7,547 cobertores "a", 7,547 colchonetas y 20 rollos de hule.</t>
  </si>
  <si>
    <t>Magdalena, Rayón, Aconchi, Agua Prieta, Arizpe,Atil, Bacoachi,Banámichi, Baviácora, Cumpas, Fronteras, Huépac, Imuris, La Colorada, Mazatán, Moctezuma, Naco, Oquitoa, San Felipe de Jesús, Santa Cruz, Ures y Villa Pesqueira</t>
  </si>
  <si>
    <t>Por las heladas severas se declararon en emergencia a 22 municipios, se apoyó a la población con 858 despensas, 11,166 láminas tipo "b", 3,436 cobertores,  2,923 colchonetas, 27,488 litros de agua y 20 rollos de hule.</t>
  </si>
  <si>
    <t>Ahumada, Bachíniva, Balleza, Bocoyna, Coyame del Sotol, Cuauhtémoc, Gómez Farías, Guachochi, Guadalupe, Guerrero, Janos, Juárez, Matachí, Nonoava, Ocampo, Praxedis G. Guerrero, Rosario y Urique del estado de Chihuahua por la presencia de nevada severa; así como para los municipios de
Guadalupe y Calvo, y Madera por nevada severa y helada severa</t>
  </si>
  <si>
    <t>Por la nevada y helada severas se declararon en emergencia a 20 municipios, por lo que se apoyó a la población con149,955 despensas, 120,000 láminas tipo "b", 199,942 cobertores "a", 199,942 colchonetas y 30 rollos de hule..</t>
  </si>
  <si>
    <t>Atil, Bacarona, Opodepe, Rosario, Ures y Villa Hidalgo, Agua Prieta, Bacoachi, Bacerac, Bavispe, Cananea, Fronteras,
Huachinera, Nácori Chico, Nogales, Sahuaripa, Santa Cruz y Yécora, Arizpe,
Imuris, Naco y Nacozari de García.</t>
  </si>
  <si>
    <t>Debido a las heladas y nevada severa se declararon en emergencia a 20 municipios por lo que se repartieron 6,822 despensas, 29,568 láminas tipo "b", 9,098 cobertores "a", 9,098 colchonetas, 25 rollos de hule, 218,352 litros de agua.</t>
  </si>
  <si>
    <t>Badiguarato</t>
  </si>
  <si>
    <t>Debido a las helada severa se declaró en emergencia a un municipio por lo que se repartieron a la población 1,314 despensas, 987 láminas tipo "a", 1,755 cobertores "a", 1,755 colchonetas, 438 kits de limpieza, 876 kits de aseo personal</t>
  </si>
  <si>
    <t>Cárdenas, Comalcalco, Paraíso</t>
  </si>
  <si>
    <t>En el Municipio de Paraíso se reportaron 25 comunidades y 3 poblados con penetración de agua y 3,100 familias afectadas. Se habilitaron 4 refugios temporales, con un aproximado de 5 familias. 
  Fueron afectados varios puentes de la ciudad que sirven como vías de comunicación dejando como única vía de acceso por tierra el puente Juárez. En el Municipio de Cárdenas  22 comunidades con un aproximado de 1,865 familias fueron afectadas por penetración de agua con un tirante oscilando entre los 10 y 40 cm. Se habilitaron 2 RT  en el Comedor Comunitario y Santiago 1ra. Sección. En el Municipio de Comalcalco se habilitaron 18 refugios temporales con un total de 130 familias,  2,600 familias fueron afectadas por penetración de agua en sus viviendas con un tirante de agua de 15 a 30 cm. Se declararon en emergencia los tres municipios y se repartieron 3,205 despensas, 1,000 cobertores "b", 500 colchonetas, 10 rollos de hule, 3,000 kits de limpieza y 3,000 kits de aseo personal.</t>
  </si>
  <si>
    <t>Se presentó lluvia atípica, acompañada de vientos fuertes, con duración de 1 hora, en el municipio de Monclova, derivado del incidente se reportan las siguientes afectaciones: caída de árboles (sin cuantificar), desprendimiento de lonas de espectaculares, y encharcamientos en algunas viviendas (sin cuantificar). Así mismo, en la calle Monclova No. 115, colonia el Puebla, se registró el fallecimiento de 3 personas (1 adulto masculino, 1 adulto femenino y 1 menor de edad).</t>
  </si>
  <si>
    <t>En 2016, fallecieron 13 personas por golpe de calor. Además fueron afectadas 360 personas en su salud:  37 por golpe de calor, 321 por agotamiento por calor y dos por quemaduras.</t>
  </si>
  <si>
    <t xml:space="preserve">Se registraron lluvias fuertes que iniciaron a las 5:30
 horas de la mañana del martes 8 de noviembre hasta las 7:30 horas en el municipio de Reynosa, Tamaulipas.  Se tienen habilitados 3 Refugios Temporales: Auditorio Municipal ubicado en boulevard Hidalgo esquina Vista Hermosa, col Vista Hermosa; Alberca Olímpica ubicada en la carretera Matamoros entronque con el libramiento Matamoros - Monterrey y la Casa del Indigente.  En Paseo de las Flores se reporta una mujer electrocutada debido a que un cable de alta tensión estaba sobre el pavimento mojado. </t>
  </si>
  <si>
    <t>Felipe Carrillo Puerto</t>
  </si>
  <si>
    <t>En 2016, once personas perdieron la vida:dos por hipotermia, ocho por intoxicación y una por quemaduras. Además 61 personas fueron afectadas en su salud: cuatrop or hipotermia, 50 por intoxicación y siete por quemadura.</t>
  </si>
  <si>
    <t>En 2016, seis personas perdieron la vida: una por hipotermia y cinco por intoxicación. Además 118 personas fueron afectadas en su salud: 5 por hipotermia, 98 por intoxicación y 15 por quemadura.</t>
  </si>
  <si>
    <t>En 2016, fallecieron seis personas por golpe de calor y fueron afectadas 63 personas en su salud:  36 por golpe de calor, 26 por agotamiento por calor y una por quemaduras.</t>
  </si>
  <si>
    <t xml:space="preserve">Se presentaron lluvias fuertes acompañadas de vientos en la población de Ixtaro, municipio de Salvador Escalante. Debido a lo anterior se presentó una avalancha de lodo, piedras y ramas, que impactaron a un grupo de comercios establecidos en la plaza de la población, derivado de lo anterior se reporta la muerte de un masculino de 81 años de edad y el arrastre de 5 vehículo que se encontraban estacionados en el lugar (sin ocupantes). </t>
  </si>
  <si>
    <t>En 2016, cuatro personas perdieron la vida una por intoxicación. Además seis fueron afectadas en su salud: una por hipotermia, cuatro por intoxicación y una por quemadura.</t>
  </si>
  <si>
    <t>En 2016, fallecieron cuatro personas por golpe de calor y fueron afectadas 89 personas en su salud:  seis por golpe de calor, 80 por agotamiento por calor y tres por quemaduras.</t>
  </si>
  <si>
    <t>En 2016, fallecieron cuatro personas por golpe de calor y una persona fue afectada en su salud por la misma causa.</t>
  </si>
  <si>
    <t>Se registró choque entre un tracto camión, autobús de pasajeros (razón Social “O Latino) y un vehículo particular (mismos que se incendiaron después del impacto), en el km 140 de la autopista Perote-Xalapa, a la altura de la comunidad el Fresno, municipio de Tlacolulan, derivado del incidente se reportaron 4 personas fallecidas y 11 personas lesionadas.</t>
  </si>
  <si>
    <t>San Dimas</t>
  </si>
  <si>
    <t>En 2016 tres personas perdieron la vida por intoxicación. Además cinco fueron afectadas en su salud: cuatro por intoxicación y una por quemadura.</t>
  </si>
  <si>
    <t>Se presentaron lluvias fuertes puntuales en la localidad de Talyotita, municipio de San Dimas, provocando el incremento del arroyo Duranguito, lo que ocasionó el arrastre de un puente peatonal colgante; de igual forma dentro de la creciente del arroyo, se registró el arrastre de 7 vehículos particulares que estaban estacionados (sin pasajeros).  Hasta el momento se reportan 12 personas lesionadas que estaban sobre las márgenes del arroyo y al ver la creciente corrieron para salvaguardar sus vidas, siendo muy accidentado su alejamiento del sitio, teniendo como consecuencia lesiones menores, solo se reporta 1 persona grave siendo trasladado por sus propios medios a un hospital cercano.Un total de 11 personas lesionadas por colapso de puente peatonal colgante y arrastre y una más por golpe de piedras rodadas sobre camino rural; 8 de los lesionados ya fueron dados de alta y 4 más fueron trasladados a Durango capital para ampliar su atención médica.</t>
  </si>
  <si>
    <t xml:space="preserve">En 2016, dos personas perdieron la vida una por hipotermia y otra por quemaduras. </t>
  </si>
  <si>
    <t>En 2016, perdieron la vida dos personas por golpe de calor y fueron afectadas siete personas en su salud:  seis por golpe de calor y una por agotamiento por calor.</t>
  </si>
  <si>
    <t>Derivado de las lluvias fuertes registradas esta tarde en la delegación Cuajimalpa, se tienen reportadas las siguientes afectaciones: deslizamiento en la calle 16 de septiembre, colonia Contadero, Inundación en el km 24 de la carretera federal México – Toluca; derrumbe registrado en Camino Real  a Toluca cerca del campo militar 1 – F, colonia Santa Fe; edificio inundado en sus primeros 3 niveles, los cuales comprenden el área de estacionamiento, que está ubicado en la colonia Bosques de las Lomas; Inundación en el área de estacionamiento del Hotel el Yaqui.  No se reportaron lesionados, personas evacuadas o refugios temporales habilitados.  Participaron: personal del H.C. de Bomberos de las delegaciones de Cuajimalpa, Benito Juárez, Álvaro Obregón, Magdalena Contreras y de la colonia Tacubaya.</t>
  </si>
  <si>
    <t>Coxcatlan, Ciudad Fernández</t>
  </si>
  <si>
    <t>Dos jornaleros fallecieron al caerles un rayo, en la comunidad Suchiaco, en el municipio de Coxcatlán, los jornaleros de nombre Obed Reyes Rivera de 29 años y Marcial Hernández Hernández de la misma edad.  Asimismo, a las 11:00 horas, 3 jornaleros más resultaron heridos de igual manera al caerles un rayo, esto en la comunidad Llanitos.</t>
  </si>
  <si>
    <t xml:space="preserve">Lafragua,Chapulco,Cañada Morelos,Nicolás Bravo,San Antonio Cañada,Chignahuapan, Atempan, Aljojuca, Atzitzintla, Chalchicomula de Sesma, Esperanza,Ocotepec,Tlachichuca,Coyotepec,Mazapiltepec de Juárez,San Nicolás Buenos Aires,San Salvador el Seco, Guadalupe Victoria,Chila,Naupan,Chiconcuautla,Huauchinango,Pahuatlán,Tlapacoya,Libres,Coatepec,Cuyoaco,Ixtacamaxtitlán, Oriental,Palmar de Bravo,San Martín Texmelucan, San Felipe Teotlalcingo,San Juan Atenco,Tecamachalco,Cuapiaxtla de Madero,Mixtla,Quecholac,Los Reyes de Juárez,San Salvador Huixcolotla,Tlacotepec de Benito Juárez,Tochtepec, Yehualtepec,Tepeyahualco,San Matías Tlalancaleca,Puebla  </t>
  </si>
  <si>
    <t xml:space="preserve">Se registro la entrega de insumos debido a la presencia de lluvia severa en el estado a los municpios de Huauchinango, Tlaola y Xicotepec. Debido a los efectos sobre la infraestructura fue necesario declarar en desastre a 29 municipios del estado. </t>
  </si>
  <si>
    <t>En 2016, una persona murió por intoxicación y cuatro más fueron afectadas en su salud por la misma causa.</t>
  </si>
  <si>
    <t>En 2016 una persona murió por hipotermia y 20 personas fueron afectadas en su salud: 19 por intoxicación y una por quemadura.</t>
  </si>
  <si>
    <t>En 2016,una personas murió por intoxicación y tres más fueron afectadas en su salud: una por hipotermia y dos por intoxicación.</t>
  </si>
  <si>
    <t>En 2016, perdió la vida una persona por golpe de calor y fueron afectadas 33 personas en su salud:  cuatro por golpe de calor y 29 por agotamiento por calor.</t>
  </si>
  <si>
    <t>En 2016, perdió la vida una persona por golpe de calor y fueron afectadas 23 personas en su salud:  tres por golpe de calor, 17 por agotamiento por calor y tres por quemaduras.</t>
  </si>
  <si>
    <t>En 2016 una persona murió por golpe de calor y dos personas fueron afectadas en su salud por la misma causa.</t>
  </si>
  <si>
    <t>En 2016,  una persona perdió la vida por golpe de calor.</t>
  </si>
  <si>
    <t>El día 27 de mayo aproximadamente a las 22:00 horas fue encontrado por familiares el cuerpo de un miembro del sexo masculino, la causa del fallecimiento se atribuye a que el occiso recibió una descarga eléctrica originada por una tormenta, mientras realizaba sus labores en el campo.</t>
  </si>
  <si>
    <t>Se registró un deslave en el municipio mencionado anteriormente, como consecuencia un menor de edad perdió la vida.</t>
  </si>
  <si>
    <t>Canatlán, Durango, Gómez Palacio,
Mapimí, Rodeo, Santiago Papasquiaro y Tepehuanes, Lerdo, Ocampo, Peñón Blanco, Pueblo Nuevo,
San Bernardo, San Juan de Guadalupe, Santa Clara y Tlahualilo</t>
  </si>
  <si>
    <t>Calakmul, Candelaria, Carmen y Palizada</t>
  </si>
  <si>
    <t>Se registraron fuertes lluvias en 4 municipios de la entidad. Se emitió una declaratoria de desastre por dicho fenómeno.</t>
  </si>
  <si>
    <t>Allende, Chihuahua, Cuauhtémoc, Guachochi, Guerrero, Jiménez, Nuevo Casas Grandes, San Francisco de Cochos</t>
  </si>
  <si>
    <t>Se reportó una lluvia severa en 8 municipios del estado de Chihuahua. Se emitió una declaratoria de desastre por dicho fenómeno.</t>
  </si>
  <si>
    <t>En 2016, 10 personas fueron afectadas en su salud por intoxicación.</t>
  </si>
  <si>
    <t>En 2016, cuatro personas fueron afectadas en su salud al ser intoxicadas.</t>
  </si>
  <si>
    <t>En 2016, cuatro personas fueron afectadas en su salud: tres por hipotermia y una por intoxicación.</t>
  </si>
  <si>
    <t>En 2016, dos personas fueron afectadas en su salud por hipotermia.</t>
  </si>
  <si>
    <t>En 2016, siete personas fueron afectadas en su salud por intoxicación.</t>
  </si>
  <si>
    <t>En 2016, una persona fue afectada en su salud por intoxicación.</t>
  </si>
  <si>
    <t>En 2016, dos personas fueron afectadas en su salud por intoxicación.</t>
  </si>
  <si>
    <t>En 2016, fueron afectadas 36 personas en su salud:  26 por golpe de calor y 10 por agotamiento por calor.</t>
  </si>
  <si>
    <t>En 2016, fueron afectadas 26 personas en su salud:  dos por golpe de calor y 24 por agotamiento por calor.</t>
  </si>
  <si>
    <t>En 2016, fueron afectadas 13 personas en su salud:  11 por golpe de calor y dos por agotamiento por calor.</t>
  </si>
  <si>
    <t>En 2016, fueron afectadas 12 personas en su salud:  tres por golpe de calor y 8 por agotamiento por calor y una por quemadura.</t>
  </si>
  <si>
    <t>En 2016, fueron afectadas cinco personas en su salud:  tres por golpe de calor y dos por agotamiento por calor y una por quemadura.</t>
  </si>
  <si>
    <t>En 2016, fueron afectadas cuatro personas en su salud:  dos por golpe de calor y dos por agotamiento por calor y una por quemadura.</t>
  </si>
  <si>
    <t>En 2016, fueron afectadas tres personas en su salud por golpe de calor.</t>
  </si>
  <si>
    <t>En 2016, fueron afectadas dos personas en su salud por golpe de calor.</t>
  </si>
  <si>
    <t>En 2016, fue afectada una persona en su salud por agotamiento por calor.</t>
  </si>
  <si>
    <t>Ascensión, Casas Grandes, Ignacio Zaragoza, Maguarichi, Moris,
Namiquipa, Nuevo Casas Grandes, Temósachi y Uruach</t>
  </si>
  <si>
    <t>Se registro la entrega de insumos debido a la nevada severa en el estado</t>
  </si>
  <si>
    <t>Bocoyna, Galeana, Gómez Farías, Guerrero, Janos, Madera
y Matachí</t>
  </si>
  <si>
    <t>Fresnillo y Valparaíso</t>
  </si>
  <si>
    <t>Se registro la entrega de insumos debido a una helada severa en el estado</t>
  </si>
  <si>
    <t xml:space="preserve"> Aguascalientes,
Asientos, Calvillo, Pabellón de Arteaga, Rincón de Romos, San José de Gracia y Tepezalá</t>
  </si>
  <si>
    <t>Mulegé</t>
  </si>
  <si>
    <t>Bejucal de Ocampo, Bella Vista, El Porvenir, Huixtán, La Grandeza, Siltepec, Tuxtla Gutiérrez y San Cristóbal de las Casas</t>
  </si>
  <si>
    <t>Escobedo, Francisco I. Madero, Frontera, Castaños, Monclova, Ocampo, Progreso, Sabinas, Saltillo, San Juan de Sabinas, Sierra Mojada, Cuatro Ciénegas, Matamoros, Viesca, San Pedro, Arteaga, Abasolo, General Cepeda, Jiménez, Juárez, Múzquiz, Ramos Arizpe, Zaragoza y Parras</t>
  </si>
  <si>
    <t>Canatlán, Coneto de Comonfort, Cuencamé, Durango, General Simón Bolívar, Guadalupe Victoria, Guanaceví, Hidalgo, Indé, Lerdo, Mapimí, Nazas, Ocampo, El Oro, Pánuco de Coronado, Peñón Blanco, Poanas, Pueblo Nuevo, Rodeo, San Bernardo, San Pedro del Gallo, Santa Clara, Santiago Papasquiaro, Tepehuanes, Tlahualilo, Vicente Guerrero, Nuevo Ideal, Canelas, Gómez Palacio, Nombre de Dios, San Luis del Cordero y Súchil</t>
  </si>
  <si>
    <t>Manuel Doblado, Dolores Hidalgo, Doctor Mora, Ocampo, Purísima del Rincón, San Diego de la Unión, San Francisco del Rincón, San José Iturbide</t>
  </si>
  <si>
    <t>Agua Blanca de Iturbide, Acatlán, Chapantongo, Atotonilco de Tula, Huichapan, Ixmiquilpan, Nopala de Villagrán, Omitlán de Juárez, Cuautepec de Hinojosa, Santiago Tulantepec de Lugo Guerrero, Singuilucan, Tulancingo de Bravo, Almoloya, Apan, Emiliano Zapata, Tepeapulco, Mineral del Monte, Mineral de la Reforma, Santiago de Anaya, Tepeji del Río de Ocampo, Francisco I. Madero, Tezontepec de Aldama, Tlahuelilpan, Tizayuca, San Agustín Tlaxiaca, Atitalaquia, Tlaxcoapan, Tula de Allende, Zimapán, Molango de Escamilla, Tianguistengo, Zacualtipán de Ángeles, Xochiatipan, Xochicoatlán y Pachuca de Soto</t>
  </si>
  <si>
    <t>Teocaltiche, Ameca, Arandas, San Ignacio Cerro Gordo, Villa Hidalgo, Cuquío, Ixtlahuacán del Río, Huejúcar, Huejuquilla el Alto, Jalostotitlán, San Miguel el Alto, Valle de Guadalupe, Jocotepec, Lagos de Moreno, Mexticacán, Cañadas de Obregón, Mixtlán, Ojuelos de Jalisco, San Diego de Alejandría, San Juan de los Lagos, Gómez Farías, Encarnación de Díaz y Yahualica de González Gallo</t>
  </si>
  <si>
    <t>Almoloya del Río, Acolman, Atenco, Atlacomulco, Chalco, Coacalco de Berriozábal, Cocotitlán, Ecatepec de Morelos, Isidro Fabela, Ixtapaluca, Jilotepec, Jocotitlán, Joquicingo, Nezahualcóyotl, Nopaltepec, Otumba, Otzolotepec, San Felipe del Progreso, Soyaniquilpan de Juárez, Temamatla, Tenango del Aire, Tequixquiac, Valle de Chalco Solidaridad y Villa del Carbón</t>
  </si>
  <si>
    <t>Acuitzio, Hidalgo, Jiménez y Salvador Escalante.</t>
  </si>
  <si>
    <t>Agualeguas, Anáhuac, Linares, Ciénega de Flores, Marín, Gral. Zuazua, Iturbide, Aramberri, Juárez, Los Herreras, Los Ramones, Mina, Monterrey, San Pedro Garza García, Guadalupe, San Nicolás de los Garza, Hidalgo, Montemorelos, China, Bustamante, Vallecillo, Villaldama, Gral. Zaragoza, Sabinas Hidalgo y Galeana</t>
  </si>
  <si>
    <t>Concepción Buenavista, San Pedro y San Pablo Teposcolula, San Francisco Teopan, San Juan Teposcolula, San Mateo Tlapiltepec, San Miguel Huautla, San Miguel Tequixtepec, San Pedro Jaltepetongo, Santiago Ihuitlán Plumas, Santa Magdalena Jicotlán, Santiago Yolomécatl, Santiago Tepetlapa, Santa María Texcatitlán, San Pedro Jocotipac y Santa María Ixcatlán</t>
  </si>
  <si>
    <t>Lafragua, Chapulco, Cañada Morelos, Nicolás Bravo, San Antonio Cañada, Chignahuapan, Atempan, Aljojuca, Atzitzintla, Chalchicomula de Sesma, Esperanza, Ocotepec, Tlachichuca, Coyotepec, Mazapiltepec de Juárez, San Nicolás Buenos Aires, San Salvador el Seco, Guadalupe Victoria, Chila, Naupan, Chiconcuautla, Huauchinango, Pahuatlán, Tlapacoya, Libres, Coatepec, Cuyoaco, Ixtacamaxtitlán, Oriental, Palmar de Bravo, San Martín Texmelucan, San Felipe Teotlalcingo, San Juan Atenco, Tecamachalco, Cuapiaxtla de Madero, Mixtla, Quecholac, Los Reyes de Juárez, San Salvador Huixcolotla, Tlacotepec de Benito Juárez, Tochtepec, Yehualtepec, Tepeyahualco, San Matías Tlalancaleca, y Puebla</t>
  </si>
  <si>
    <t>Amealco de Bonfil, Tequisquiapan, Cadereyta de Montes, Colón y Ezequiel Montes</t>
  </si>
  <si>
    <t>Catorce, Cedral,Ciudad del Maíz, Mexquitic de Carmona, San Ciro de Acosta, Vanegas, Santo Domingo, Villa de Arista, Villa de Reyes, Charcas, Lagunillas, Soledad de Graciano Sánchez, Salinas, Zaragoza y Moctezuma</t>
  </si>
  <si>
    <t>Ahome, Badiraguato, Choix y El Fuerte</t>
  </si>
  <si>
    <t>Agua Prieta, Bacerac, Bacoachi, Bavíspe, Cananea, Huachinera, Imuris, Naco, Nacozari de García, Altar,Benjamín Hill, Fronteras, Mazatán, Nogales, Oquitoa, Pitiquito, Puerto Peñasco, Santa Ana,Santa Cruz, Trincheras, Villa Pesqueira, Caborca, Arizpe, Bacadéhuachi, Submenú Cucurpe, Cumpas, Huépac, Onavas, Quiriego, Sáric, Tubutama y Yécora</t>
  </si>
  <si>
    <t>e Camargo, Cruillas, Güémez, Guerrero, Mainero, Padilla, Palmillas, San Nicolás, Villagrán, Gustavo Díaz Ordaz, Mier, Miguel Alemán, Nuevo Laredo, Reynosa y San Fernando</t>
  </si>
  <si>
    <t>Acuamanala de Miguel Hidalgo, Chiautempan, San Francisco Tetlanohcan, Mazatecochco de José María Morelos, San Pablo del Monte, Apizaco, Cuaxomulco, Tetla de la Solidaridad, Calpulalpan, El Carmen Tequexquitla, Huamantla, Ixtenco, Atltzayanca, Cuapiaxtla, Natívitas, Santa Apolonia Teacalco, Tepetitla de Lardizábal, Ziltlaltépec de Trinidad Sánchez Santos, Tlaxcala y Tlaxco.</t>
  </si>
  <si>
    <t>Huayacocotla, Ilamatlán, Perote, Texcatepec, Tlachichilco, Villa Aldama, Chicontepec, Coatepec y Zacualpan</t>
  </si>
  <si>
    <t>Nochistlán de Mejía, Calera, Cañitas de Felipe Pescador, Concepción del Oro, Cuauhtémoc, Zacatecas, Tepechitlán, Genaro Codina, General Enrique Estrada, General Francisco R. Murguía, El Plateado de Joaquín Amaro, General Pánfilo Natera, Guadalupe, Jiménez del Teul, Juan Aldama, Trinidad García de la Cadena, Luis Moya, Mazapil, Melchor Ocampo, Miguel Auza, Momax, Monte Escobedo, Morelos, Ojocaliente, Villanueva, Río Grande, Sain Alto, El Salvador, Sombrerete, Susticacán, Trancoso, Vetagrande, Villa de Cos, Villa García, Villa González Ortega y Villa Hidalgo</t>
  </si>
  <si>
    <t>Ahumada, Allende, Aquiles Serdán, Ascensión,
Bachíniva, Balleza, Bocoyna, Buenaventura, Camargo, Carichí, Casas Grandes,
Coronado, Coyame del Sotol, La Cruz, Cuauhtémoc, Cusihuiriachi, Chihuahua,
Chínipas, Delicias, Dr. Belisario Domínguez, Galeana, Santa Isabel, Gómez Farías,
Gran Morelos,   Guadalupe, Guazapares, Guerrero, Hidalgo del Parral, Huejotitán,
Ignacio Zaragoza, Janos,  Jiménez, Juárez,  Julimes, López, Madera, Maguarichi, 
Manuel Benavides, Matachí,  Matamoros,  Moris, Namiquipa, Nonoava, Nuevo
Casas Grandes, Ocampo, Ojinaga, Praxedis G. Guerrero, Riva Palacio, Rosales,
Rosario, San Francisco de Borja, San Francisco de Conchos, San Francisco del Oro,
Santa Bárbara, Satevó, Temósachic, El Tule y Valle de Zaragoz</t>
  </si>
  <si>
    <t>San Pedro y San Pablo Ayutla, Santa María Tepantlali y San Miguel Amatlán</t>
  </si>
  <si>
    <t>Acajete, Altotonga, Atzalan, Ayahualulco, Coatzacoalcos, Cosoleacaque, Ixhuacán de los Reyes, Ixhuatlán del Sureste, Ixhuatlancillo, Jalacingo, La Perla, Las Minas, Las Vigas de Ramírez, Maltrata, Mariano Escobedo, Minatitlán, Nanchital de Lázaro Submenú Cárdenas del Río, Perote, Tatatila, Tlacolulan, Villa Aldama y Xico</t>
  </si>
  <si>
    <t>Se registro la entrega de insumos debido a la presencia de fuertes vientos en el estado</t>
  </si>
  <si>
    <t>Martínez de la Torre, Ozuluama de Mascareñas y Tlapacoyan</t>
  </si>
  <si>
    <t>Se registro la entrega de insumos debido a los fuertes vientos en el estado</t>
  </si>
  <si>
    <t>Canatlán, Canelas, Coneto de Comonfort, Cuencamé, Guadalupe Victoria, Guanaceví, Mapimí, Mezquital, Nuevo Ideal, Otáez, Pánuco de Coronado, Peñón Blanco, Rodeo, San Dimas, San Juan del Río, Santiago Papasquiaro, Pueblo Nuevo, Súchil,
Tamazula, Tepehuanes y Topia.</t>
  </si>
  <si>
    <t>Se registraron fuertes lluvias en 1 municipio de la entidad. Se emitió una declaratoria de desastre por dicho fenómeno.</t>
  </si>
  <si>
    <t>Balleza,
 Bocoyna, Buenaventura, Carichí, Casas Grandes, Chínipas, Galeana, Gómez
Farías, Guadalupe y Calvo, Guazapares, Guerrero, Ignacio Zaragoza, Madera,
Maguarichi, Matachí, Moris, Namiquipa, Ocampo, San Francisco de Borja,
Submenú
Temósachi, Urique y Uruachi</t>
  </si>
  <si>
    <t>Benito Juárez, Catemaco, Chiconteopec, Espinal, Huatacocotla, Ilamatlán, Tierra Blanca, Tres Valles, Zontecomatlán de López y Fuentes</t>
  </si>
  <si>
    <t>Se registraron fuertes lluvias en 9 municipios de la entidad.. Se emitió una declaratoria de desastre por dicho fenómeno.</t>
  </si>
  <si>
    <t>Atolinga, Calera, Cañitas de Felipe Pescador, Chalchihuites, Cuauhtémoc, Concepción del Oro, El Salvador, El Plateado de Joaquín Amaro, Benito Juárez, Fresnillo, Genaro Codina, General Enrique Estrada, General Pánၒlo Natera, Guadalupe, Jerez, Jiménez del Teul, Juan Aldama, Mazapil, Melchor Ocampo, Miguel Auza, Monte Escobedo, Morelos, Nochistlán de Mejía, Noria de Ángeles, Loreto, Ojocaliente, Pánuco, Pinos, Río Grande, Sain Alto, Sombrerete, Susticacán, Tabasco, Tepetongo, Teúl de González Ortega, Tlaltenango de Sánchez Román, Trancoso, Valparaíso, Vetagrande, Villa de Cos, Villa García, Villa González Ortega, Villa Hidalgo, Villanueva y Zacatecas</t>
  </si>
  <si>
    <t>Aldama, Aquiles Serdán,
Chihuahua, Riva Palacio y Santa Isabe</t>
  </si>
  <si>
    <t xml:space="preserve">Acajete, Acultzingo, Altotonga, Alvarado, 
Amatlán de los Reyes, Aquila, Astacinga, Atlahuilco, Atzacan, Calcahualco, Camerino Z. Mendoza,
Carrillo Puerto, Coetzala, Colipa, Córdoba, Cosautlán de Carvajal, Cuichapa, Cuitláhuac, Huatusco,
Hueyapan de Ocampo, Huiloapan de Cuauhtémoc, Ignacio de la Llave, Isla, Ixhuatlán del Café,
Ixhuatlancillo, Ixtaczoquitlán, Jalacingo, Juan Rodríguez Clara, Juchique de Ferrer, La Antigua, La
Perla, Los Reyes, Magdalena, Maltrata, Mariano Escobedo, Martínez de la Torre, Misantla, Mixtla
de Altamirano, Naranjal, Nautla, Nogales, Omealca, Orizaba, Paso de Ovejas, Rafael Delgado,
Rafael Lucio, Río Blanco, San Andrés Tenejapan, San Andrés Tuxtla, Sochiapa, Soledad Atzompa,
Tehuipango, Tenampa, Tenochtitlán, Tepatlaxco, Texcatepec, Texhuacán, Tezonapa, Tlacolulan,
Tlacotalpan, Tlacotepec de Mejía, Tlalixcoyan, Tlaltetela, Tlapacoyan, Tlaquilpa, Tlilapan, Tomatlán,
Totutla, Ursulo Galván, Veracruz, Xoxocotla, Yanga, Yecuatla, Zentla, Zongolica y Zontecomatlán
de López y Fuentes </t>
  </si>
  <si>
    <t>Se registro la entrega de insumos debido a la presencia de lluvia severa en el estado en 87 municipios y se declararon en desastre por deslizamientos producto de las lluvias a los municipios de Alpatláhuac, Coscomatepec, Huayacocotla, Tequila y Xalapa. LAs víctimas fueron 5 en Huayacocotla, 3 en Tequila, 3 en Coscomatepec, 1 en La Perla y 1 en Medellín.</t>
  </si>
  <si>
    <t>SINAPROC FONDEN CENACOM</t>
  </si>
  <si>
    <t>Benito Juárez, Solidaridad y
Othón P. Blanco</t>
  </si>
  <si>
    <t>Juárez y Ojinaga</t>
  </si>
  <si>
    <t>Se registraron fuertes lluvias en 2 municipios de la entidad. Se emitió una declaratoria de desastre por dicho fenómeno.</t>
  </si>
  <si>
    <t>Coronado y
Jiménez</t>
  </si>
  <si>
    <t>Se registro la entrega de insumos debido a la presencia de un tornado en el estado</t>
  </si>
  <si>
    <t xml:space="preserve">Se presentaron lluvias y vientos fuertes en el municipio de San Cristóbal de las Casas, se informó que el incidente se presentó en 9 barrios, con un aproximado de 60 viviendas afectadas, la mayoría con daños en sus techos. </t>
  </si>
  <si>
    <t>Se registraron fuertes lluvias en 5 municipios de la entidad. Se emitió una declaratoria de desastre por dicho fenómeno.</t>
  </si>
  <si>
    <t>Altamira, Ciudad Madero, Tampico</t>
  </si>
  <si>
    <t>Se registraron fuertes lluvias en 3 municipios de la entidad.. Se emitió una declaratoria de desastre por dicho fenómeno.Debido a las fuertes lluvias que iniciaron durante la madrugada y continuaron por las primeras horas de la mañana en el sur del estado se han registrado afectaciones den los municipios de Altamira, Ciudad Madero y Tampico. Se reportan un total de 104 personas afectadas y 8000 viviendas dañadas.</t>
  </si>
  <si>
    <t>FONDEN CENACOM</t>
  </si>
  <si>
    <t>Se presentó una tormenta eléctrica en el municipio antes mencionado, lo que ocasionó que 2 pescadores perdieran la vida al ser impactados por un rayo.</t>
  </si>
  <si>
    <t>Azoyú</t>
  </si>
  <si>
    <t xml:space="preserve">Se registró una fuerte lluvia en el municipio mencionado, ocasionando que el nivel del Río denominado "Los Novios" aumentara su nivel. Se registró la muerte de 2 personas debido a la imprudencia de un taxista que intentó cruzar el Río y fue arrastrado con sus dos pasajeros menores de edad 16 y 9 años. El taxista sobrevivió pero se dió a la fuga. </t>
  </si>
  <si>
    <t>Coatzacoalcos,
Hidalgotitlán, Ixhuatlán del Sureste, Las Choapas, Minatitlán, Moloacán, Nanchital de
Lázaro Cárdenas del Río y Papantla</t>
  </si>
  <si>
    <t>Guasave y Rosario</t>
  </si>
  <si>
    <t>Se registro la entrega de insumos debido a la presencia de lluvia severa en el estado. Se presentaron lluvias de fuertes a intensas en los municipios de Guasave, Guamúchil, Mochis y Rosario. Alcanzando un registro de lluvia acumulada de 106 mm que ha ocasionado la creciente del rio Mocorito en Guasave y  del rio Baluarte en Rosario afectando a 25 colonias.</t>
  </si>
  <si>
    <t>Arandas, Atotonilco el Alto, Bolaños, Lagos de Moreno, San Ignacio Cerro Gordo, Tepatitlán de Morelos, Tototlán, Encarnación de Díaz, Huejúcar, Huejuquilla el Alto, Mexticacán, Mezquitic, Ojuelos de Jalisco, Quitupan, San Diego de Alejandría, San Julián, Jalostotitlán, San Miguel el Alto, Teocaltiche, Villa Hidalgo y Yahualica de González Gallo</t>
  </si>
  <si>
    <t>Se registraron fuertes lluvias en 5 municipios de la entidad.. Se emitió una declaratoria de desastre por dicho fenómeno.</t>
  </si>
  <si>
    <t>Atlahuilco, Zongolica, Moloacan, Los Reyes, Papantla, Mecatlan, Nanchital de Lazaro Cardenas del Rio, Hidalgotitlan, Minatitlan, Coatzacoalcos, Las Choapas, Ixhuatlan del Sureste</t>
  </si>
  <si>
    <t>derivados de las lluvias se presentaron afectaciones en 12 municipios del estado; Mecatlan, Papantla, Atlahuilco, Los Reyes, Zongolica, Coatzacoalcos, Hidalgotitlán, Ixhuatlán Del Sureste, Las Choapas, Minatitlán, Moloacan y Nanchital.</t>
  </si>
  <si>
    <t xml:space="preserve">Region; Montaña, Xalpatlahuac, Atlamajalcingo del Monte, Tlapa de Comonfort, Alcozauca de Guerrero, Tlalixtaquilla, Xochihuehetlan y Xochistlahuaca., Region; Centro, Tixtla, Eduardo Neri y Chilpancingo </t>
  </si>
  <si>
    <t>Se reportan  presas a su nivel maximo, desbordamiento de arroyos,  afectaciones en comunicaciones terrestres y reblandecimiento en laderas. 48 familias afectadas</t>
  </si>
  <si>
    <t xml:space="preserve">Se registro la entrega de insumos debido a la presencia de lluvia severa en el estado.Derivado de las fuertes lluvias y vientos de 50 a 70 km/h que se presentaron el día 1 de junio de 2016 por la madrugada, se informó que se presentaron anegaciones en zonas bajas de 26 colonias, penetración de agua en varias viviendas, donde el agua alcanzó los 40 centímetros de altura. Asimismo, se registró la caída de varios postes y cables de energía eléctrica y árboles. Personal de la Conagua trabajó en el retiro del agua acumulada con bombas de achique. Protección Civil, H. C. de Bomberos y dependencias municipales realizaron trabajos de limpieza de las zonas afectadas. Cuadrillas de la Comisión Federal de Electricidad realizaron las labores necesarias para restablecer el servicio de energía eléctrica al 100%. Se entregaron cobertores, cobijas, agua embotellada y despensas a las familias afectadas.  </t>
  </si>
  <si>
    <t>Ahome, Cosala, Sinaloa, Guasave,
 Mocorito, Angostura, Rosario, Navolato</t>
  </si>
  <si>
    <t>Se registro la entrega de insumos en el municipio de Sinaloa debido a la presencia de lluvia severa en el estado. Además Derivado de las lluvias que se presentaron en la madrugada del día de ayer 23 de agosto en gran parte del Estado y la creciente de ríos, se reportan 4,000 familias incomunicadas vía terrestre y penetración de agua en viviendas (sin cuantificar) con una tirante de 30 a 60 centímetros en 12 colonias del municipio de Ahome. En la sierra del municipio de Rosario, se generó un derrumbe por reblandecimiento en la carretera municipal de dicho municipio, no se reportaron personas lesionadas, únicamente se tiene cierre parcial de la carretera. También hubo afectaciones en Ahoma, Cosala, Sinaloa, Mocorito y Angostura</t>
  </si>
  <si>
    <t>Othón P. Blanco, Bacalar
y José María Morelos</t>
  </si>
  <si>
    <t>Derivado de las lluvias fuertes y caída de granizo registradas en la delegación Iztapalapa en la tarde noche de hoy, se reportaron 15 colonias con anegaciones de hasta 50 cm, así como afectaciones al sistema de drenaje. De manera preliminar se cuantificaron las siguientes afectaciones en viviendas: en la colonia Ex Lienzo Charro, el vaso regulador se encontraba a punto de desbordarse por lo que se tenía previsto realizar la evacuación vertical de habitantes en un aproximado de 400 casas que registraron inundaciones; en la colonia Vicente Guerrero hubieron 500 viviendas con inundaciones, en la colonia Santa María Aztahuacán hubieron 200 viviendas, en la colonia Ejército Constitucionalista 80 viviendas, y en la colonia Desarrollo Urbano 100 viviendas.  La mayoría de las viviendas afectadas eran de 2 pisos. A CONAGUA se le solicitaron pipas y cargadores frontales para realizar labores de limpieza de calles y viviendas, y bombas para sacar agua de las cisternas en las viviendas, así como material para desinfectar las mismas. A SEDENA se le solicitó su apoyo para realizar trabajos de limpieza así como la activación y vigilancia de 3 refugios temporales.</t>
  </si>
  <si>
    <t>Allende, Jiménez y San Francisco de
Conchos, Cuauhtémoc, Chihuahua, Guachochi y
Guerrero</t>
  </si>
  <si>
    <t>En comunicación con la Unidad Estatal de Protección Civil, informó que debido a las lluvias registradas el día 25 de julio de 2016, se desbordo el río San Agustín, lo que afectó las colonias Bosques de la Hacienda primera segunda y tercera sección, Infonavit Norte, Ferrocarrilero, Hacienda Bosques y Bosque del silencio. El DIF municipal habilito 2 refugios temporales.</t>
  </si>
  <si>
    <t>Huayacocotla, Tampico
Alto, Texcatepec, Tlachichilco y Zacualpa</t>
  </si>
  <si>
    <t>Palenque, Tecpatán</t>
  </si>
  <si>
    <t>Después de las inundaciones registradas la noche del 25 de septiembre en la demarcación, se implementó el operativo "Lluvias" para brindar atención de manera prioritaria a la delegación. .   Se tiene afectación  a más de 600 viviendas.   La Delegación Xochimilco y personal de las áreas operativas de Gobierno de la Ciudad de México a través del operativo “Lluvias” han atendido a los habitantes Además se les brindó la atención a las escuelas primarias “Calpulli Caltongo” en la Colonia Ampliación Caltongo, “Independencia Económica de México” en San Gregorio Atlapulco “Juan de la Barreda” en Santa Cruz Xochitepec y el Jardín de Niños “Ollincal” de San Lucas Xochimanca en las que se suspendieron las clases debido a la inundación. Así como las primarias “María Patiño viuda de Olmedo” de la colonia Ampliación Tepepan y “Anacleto Bárcenas” en el Barrio La Asunción que fueron atendidas por  afectaciones menores.  AGROASEMEX atenderá los seguros de las más de 27.77 hectáreas de producción afectada, en tanto que para resarcir el daño de las cerca de 500 mil plantas de ornato dañadas en invernaderos la Secretaria de Desarrollo Rural y Equidad para las Comunidades de la Ciudad de México será la encargada de darle la atención.   Se instalaron tres comedores comunitarios.</t>
  </si>
  <si>
    <t>Tepa</t>
  </si>
  <si>
    <t xml:space="preserve">Se registraron lluvias intensas aunadas a los escurrimientos de las partes altas y desbordamientos de los ríos Pichucalco y Teapa. Al momento el resumen general de afectaciones es el siguiente:  
•           Viviendas afectadas: 464. 
•           Refugios temporales habilitados: 4. 
•           Familias afectadas: 464. 
•           Personas afectadas: 1856.  
•           Apoyos otorgados: 2007.   </t>
  </si>
  <si>
    <t>Tapachula, Cacahoatán, Huehuetán, Tuxtla Chico</t>
  </si>
  <si>
    <r>
      <t xml:space="preserve"> Debido a las fuertes lluvias registrada en el Estado de Chiapas se registraron las siguientes afectaciones:
</t>
    </r>
    <r>
      <rPr>
        <b/>
        <sz val="9"/>
        <color indexed="8"/>
        <rFont val="Arial"/>
        <family val="2"/>
      </rPr>
      <t xml:space="preserve">Municipio de Tapachula:  </t>
    </r>
    <r>
      <rPr>
        <sz val="9"/>
        <color indexed="8"/>
        <rFont val="Arial"/>
        <family val="2"/>
      </rPr>
      <t xml:space="preserve">
Se afectaron 185 viviendas, 8 personas afectadas y un Refugio Temporal con 17 personas albergadas
</t>
    </r>
    <r>
      <rPr>
        <b/>
        <sz val="9"/>
        <color indexed="8"/>
        <rFont val="Arial"/>
        <family val="2"/>
      </rPr>
      <t xml:space="preserve">Municipio de Cacahuatán:  </t>
    </r>
    <r>
      <rPr>
        <sz val="9"/>
        <color indexed="8"/>
        <rFont val="Arial"/>
        <family val="2"/>
      </rPr>
      <t xml:space="preserve">
Se reporta la muerte de 2 personas que se trasladaban en un triciclo, sobre Tercera Avenida Sur, esquina Décima Oriente, en la Cabecera Municipal. Las personas fueron arrastradas por la corriente pluvial, cerca de las 17:33 horas. 
</t>
    </r>
    <r>
      <rPr>
        <b/>
        <sz val="9"/>
        <color indexed="8"/>
        <rFont val="Arial"/>
        <family val="2"/>
      </rPr>
      <t xml:space="preserve">Municipio de Huehuetán:   </t>
    </r>
    <r>
      <rPr>
        <sz val="9"/>
        <color indexed="8"/>
        <rFont val="Arial"/>
        <family val="2"/>
      </rPr>
      <t xml:space="preserve">
Se registró la penetración de agua en 50 viviendas de los Cantones (ejidos) San Luis y Las Palmas. Se habilitó 1 refugio temporal.
</t>
    </r>
  </si>
  <si>
    <t>Acaxochitlán</t>
  </si>
  <si>
    <t xml:space="preserve">La tormenta tropical Earl cobró la vida de una persona y dejó sin luz y agua al municipio de Acaxochitlán en Hidalgo. Las comunidades de Zotictla y Toxtla fueron las más afectadas del municipio luego del paso de los remanentes de Earl. Además sepultó ocho viviendas y dejó deslavez en cuatro caminos de las dos comunidades.  </t>
  </si>
  <si>
    <t>Prensa</t>
  </si>
  <si>
    <t>Álamo Temapache,
 Huayacocotla, Tantoyuca, Tuxpan, Misantla</t>
  </si>
  <si>
    <t>Durante la noche del día 08 de octubre y parte de la 
madrugada del día 09 de octubre, se registraron lluvias moderadas, presentando las siguientes afectaciones: Una total de 150 personas afectadas y 146 viviendas resultaron con daños</t>
  </si>
  <si>
    <t xml:space="preserve">Derivado de las lluvias registradas desde el día 21 de julio del presente año, se originó el desbordamiento de un canal ubicado en el municipio de Tepic. Las lluvias continuaron provocando que se presentaran inundaciones en varios sectores del municipio; asimismo, se registró la penetración de agua en varios domicilios.  Se realizaron trabajos de retiro del agua, limpieza y desinfección de las áreas afectadas.  Se estima que entre 100 y 120 viviendas resultaron afectadas, principalmente en sus enseres domésticos.  No hubo reporte de daños humanos. 
</t>
  </si>
  <si>
    <t>Guadalupe y 
Zacatecas</t>
  </si>
  <si>
    <t xml:space="preserve">En seguimiento a  las tareas de auxilio a la población, después de las tareas del retiro del granizo de las calles de la ciudad de Zacatecas por parte de las autoridades, se realizó recorridos por las colonias marginadas de Zacatecas y Guadalupe. Como resultado de dicha revisión se contabilizaron 527 viviendas construidas con láminas de cartón y galvanizadas que fueron dañadas.
</t>
  </si>
  <si>
    <t>Los Cabos, La Paz, Comondú,  Loreto,  Mulegé</t>
  </si>
  <si>
    <t>Se registro la entrega de insumos debido a la presencia de lluvia severa en el estado ocasionada por la presencia del ciclón tropical Newton. Además procto de las lluvias a causa del huracán fue necesario declarar en desastre a los 5 municipios.</t>
  </si>
  <si>
    <t>Ahome, Culiacán y Angostura</t>
  </si>
  <si>
    <t>Se registro la entrega de insumos en los municpios de Ahome y Culiacán debido a la declaración de emergencia debido a la presencia de lluvia severa en el estado ocasionada por la presencia del ciclón tropical Newton y se declará en desastre al municipio de Ahome.Derivado del paso del Huracán Newton se presentaron lluvias Severas que ocasionaron daños en el sector pesquero del municipio de Angostura., afectando principalmente el cultivo del camarón, por lo que 137 productores e igual número de embarcaciones, fueron afectados y recivieron apoyo a través del componente de atención a siniestros agropecuariosp ara atender a pequeños productores.</t>
  </si>
  <si>
    <t>SINAPROC FONDEN  SAGARPA</t>
  </si>
  <si>
    <t xml:space="preserve"> Atil, Baviácora, Benjamín Hill, Cajeme,Cucurpe, Empalme, Guaymas, Hermosillo, Magdalena, Nogales, Oquitoa, Rayón, Santa Ana, Santa Cruz, Sáric, Trincheras y Tubutama.</t>
  </si>
  <si>
    <t>Se registro la entrega de insumos debido a la presencia de lluvia severa en el estado ocasionada por la presencia del huracán Newton en losmunicipios de Cajeme, Empalme, Guaymas y Hermosillo. En una segunda declaratoria de emergencia se incluyeron a los municipios de Atil, Baviácora, Benjamín Hill, Cucurpe, Magdalena, Nogales, Oquitoa, Rayón, Santa Ana, Santa Cruz, Sáric, Trincheras
y Tubutama. nPosteriormente se decalararon en desastre alos municipios de Baviácora, Benjamín Hill, Cucurpe, Empalme, Guaymas, Hermosillo, Magdalena, Nogales, Santa Ana, Santa Cruz, Trincheras.</t>
  </si>
  <si>
    <t xml:space="preserve">Se presentaron lluvias fuertes con una duración aproximada de 4 horas, ocasionando que un canal de riego se desbordara, provocando anegaciones en cerca de 100 viviendas de los fraccionamientos Los Arrozales y El Higuero, en la colonia Del Bosque, municipio de Jojutla, donde el agua alcanzó los 50 centímetros de altura, ocasionando daños en enseres domésticos.  </t>
  </si>
  <si>
    <t>Apaseo el Grande, Celaya,
 Purísima del Rincón, Salvatierra, Tarimoro, Irapuato, Santa Cruz de Juventino Rosas, Cuerámaro, Pénjamo, San Francisco del Rincón, Abasolo, Valle de Santiago, Salamanca</t>
  </si>
  <si>
    <t xml:space="preserve">En Seguimiento a las afectaciones del día 22 de agosto, por el desbordamiento de Arroyo Abasolo y Arroyo Seco. 
•           Comunidad Huitzatarito y comunidad Estación Abasolo, resultando inundación de 30 centímetros a 1.20 metros, se realiza evacuación preventiva de 557 personas de 95 viviendas, 47 viviendas con inundación al interior. 
•           Se habilito 1 refugio temporal, Centro Gerontológico, en el lugar 88 personas. 
•           Municipio de Abasolo: En la comunidad de Canoas, se realiza la instalación del Centro de Mando, al Momento se informa que de manera preventiva se evacuaron a 19 personas, alojándolas en un refugio temporal ubicado en la Casa de la Cristiandad en la zona centro.
</t>
  </si>
  <si>
    <t>Se registraron  lluvias intensas en la ciudad de Uruapan, produciendo afectaciones en las colonias y avenidas principales siendo la zona norte la más afectada a las cercanías del cerro de la cruz y charanda: •Sin registrarse personas lesionadas ni fallecidas. S e registraron 138 personas afectadas y 86 casas dañadas.</t>
  </si>
  <si>
    <t xml:space="preserve">Se suscitó un deslave en la carretera rural de la localidad de Lolotla, municipio de Tlanchinol, derivado del incidente resultaron 2 personas lesionadas y 2 que todavía se encuentran como  desaparecidas. Se presume que las 4 personas (todos docentes rurales) viajaban en un vehículo particular al momento de que se toparon con dicho derrumbe y se detuvieron para quitar las piedras del camino cuando fueron sorprendidos por un nuevo alud. </t>
  </si>
  <si>
    <t xml:space="preserve">Se registraron  fallas en el drenaje y el derramamiento de la caja de agua que pasa al Río de los Gómez, lo que ocasionó que 6 vehículos fueran  arrastrados.   Se presentó penetración de agua en viviendas de las partes bajas de la ciudad (sin cuantificar). No se reportaron personas lesionadas. El agua descendió y los niveles de ríos en León estaban entre el  70 y 90% de capacidad. </t>
  </si>
  <si>
    <t>El reblandecimiento de tierra a causa de las lluvias provocaron un deslave de un cerro ubicado en el libramiento en contruccion de la Carr. Acapulco Zihuatanejo (el "toro"), el movimiento de una maquinaria causaron el deslave. 1 fallecido y 7 lesionados</t>
  </si>
  <si>
    <t>Tixtla, Acapulco y Ajuchitlán del Progreso</t>
  </si>
  <si>
    <t>Se presentaron fuertes lluvias, donde la caida de un rayo provoco la muerte de un menor</t>
  </si>
  <si>
    <t>Se reportaron fuertes lluvias resultando incomunicada la comunidad Vista Hermosa 80 personas (25 familias) afectadas.</t>
  </si>
  <si>
    <t>Ario</t>
  </si>
  <si>
    <t>Se presentaron lluvias fuertes acompañadas de vientos fuertes en la comunidad de Urapa, municipio de Ario de Rosales, situación que ocasionó que 10 viviendas construidas de material endeble presentaran daños en sus techos.</t>
  </si>
  <si>
    <t>Coatepec, Cosautlán de Carvajal, Jáltipan, Pánuco, Teocelo y Tlacolulan</t>
  </si>
  <si>
    <t>Se registro la entrega de insumos debido a la presencia de lluvias intensas en el estado</t>
  </si>
  <si>
    <t>Veracruz, Alvarado,
 Boca del Rio, San Andrés Tuxtla, Medellin, Cazones de Herrera, Coatzacoalcos, Poza Rica de Hidalgo, Santiago Tuxtla</t>
  </si>
  <si>
    <t xml:space="preserve">Debido a los fuertes vientos que se presentaron desde
 el día de ayer, en la entidad de Veracruz, se reportan las siguientes afectaciones: 2 viviendas destechadas (en los municipios de Boca del Río, Medellín, Coatzacoalcos). 56 árboles caídos en 9 municipios. 3 espectaculares dañados (en los municipios de Alvarado, Boca del Río y Veracruz). 2 escuelas con algún tipo de daño (en el municipio de Boca del Río). 11 postes caídos. 12 anuncios luminosos afectados. </t>
  </si>
  <si>
    <t xml:space="preserve">Bella Vista </t>
  </si>
  <si>
    <t>Movimiento de lader. FONDEN apoyo en los sectores:Educativo,Vivienda</t>
  </si>
  <si>
    <t>97 municipios declarado en desastre</t>
  </si>
  <si>
    <t xml:space="preserve">El 07 de septiembre de 2017 a las 23:49 se registró sismo con magnitud de 8.2, localizado el epicentro a 133 km al suroeste de Pijijiapan, Chiapas.   Se han registrado más de 2 mil  replicas, con epicentro frente a las costas de Oaxaca y Chiapas. </t>
  </si>
  <si>
    <t>18 Municipios afectados</t>
  </si>
  <si>
    <t xml:space="preserve">El Servicio Sismológico Nacional (SSN) reportó un sismo con magnitud 7.0 localizado en las cercanías de Cd. Hidalgo, en el estado de Chiapas. El sismo, ocurrido a las 02:29 horas, fue sentido en Cd. Hidalgo, Tapachula, Puerto Madero, Villahermosa, Tuxtla Gutiérrez y en otras localidades de los estados de Chiapas, Tabasco y Oaxaca. Techos colapsados, bardas caídas y otras afectaciones en viviendas y escuelas en las regiones Costa y Soconusco, fue el saldo del sismo de 7.0 </t>
  </si>
  <si>
    <t>16 delegaciones declaradas en desastre</t>
  </si>
  <si>
    <t xml:space="preserve">El sismo del 19 de septiembre de 2017 ocurrió exactamente a las 13:14:40, tuvo su epicentro en la latitud 18.40 norte, longitud 98.72 oeste, a una profundidad de 57 kilómetros, a 12 kilómetros al sureste de Axochiapan, Morelos, en el límite con el estado de Puebla.
La distancia de este epicentro respecto a la Ciudad de México es de 120 kilómetros. Se originó en una falla considerada como “normal” de profundidad intermedia, es decir, un desplazamiento de bloques de tierra en sentido opuesto una de otra.
</t>
  </si>
  <si>
    <t>Se realizaba un partido de futbol entre elementos de Protección Civil del municipio y H. C. de Bomberos.</t>
  </si>
  <si>
    <t>Se registro un deslizamiento en la autopista, misma que ocasionó un accidente en el cual una persona perdio la vida y tres mas resultaron heridas</t>
  </si>
  <si>
    <t xml:space="preserve">Amecameca, Atlautla, Ecatzingo, Joquicingo, Malinalco, Nezahualcóyotl, Ocuilan, Tenancingo, Tepetlixpa, Tianguistenco, Villa Guerrero, Zumpahuacán
</t>
  </si>
  <si>
    <t>Se reporta derrumbe de un talud debido a la excavación que se realiza para un túnel en la calle Palma Criolla, en la colonia Interlomas.</t>
  </si>
  <si>
    <t xml:space="preserve">se comunicó la existencia de un socavón de aproximadamente 6 metros de alto se registró en la calle Margaritas de la colonia Ex Hacienda del Pedregal, debido a que su asentamiento se ubica sobre una zona minada, 36 familias de la colonia Ex Hacienda el Pedregal, debido a que 6 casas presentan cuarteaduras y resquebrajamientos en pisos, paredes y techos, por lo que se solicitó su desalojo. </t>
  </si>
  <si>
    <t>Caída de un vehículo en un socavón que se originó sobre la autopista Cuernavaca – México, kilómetro 94, a la altura de la colonia “El Polvorín.” Se informó que se encontraban personas al interior del vehículo al momento de la caída por lo cual, conjuntamente diversos cuerpos de emergencia trabajaron en sacra el vehículo del socavón y rescatar a dos personas fallecidas del sexo masculino.</t>
  </si>
  <si>
    <t>33 municipios declarados en desastre</t>
  </si>
  <si>
    <t>Se registró un derrumbe de talud, en una zona de construcción, afectando 4 viviendas, mismas que cuales colapsaron. Se reportan 1 fallecida, 1 personas lesionada rescatada, y 3 personas desaparecidas.</t>
  </si>
  <si>
    <t>Derivado de las fuertes lluvias que se han presentado en los últimos día, a la 01:00 horas se presentó un derrumbe de un cerro afectando 1 vivienda, en la comunicad Palo de Marca,  en el municipio de Huautla de Jiménez. Como resultado de lo anterior se reportan 3 personas fallecidas (1 mujer y 2 menores).</t>
  </si>
  <si>
    <t>291 municipios declarados en desastres</t>
  </si>
  <si>
    <t>El 07 de septiembre de 2017 a las 23:49 se registró sismo con magnitud de 8.2, localizado el epicentro a 133 km al suroeste de Pijijiapan, Chiapas.   Oaxca fue una de las entidad que mayor afectación registró.</t>
  </si>
  <si>
    <t>74 municIpios declarados en desastre</t>
  </si>
  <si>
    <t xml:space="preserve">
A las 13:14:40 horas del 19 de septiembre de 2017 ocurrió un terremoto de 7.1 grados de magnitud, cuyo epicentro estuvo a 12 kilómetros de Axochiapan, Morelos; en los límites entre Morelos y Puebla y a 120 kilómetros de la Ciudad de México. </t>
  </si>
  <si>
    <t xml:space="preserve">San Juan Tepanzacoalco    </t>
  </si>
  <si>
    <t xml:space="preserve">Se reportó  un deslizamiento de ladera en la comunidad de San Juan Tepanzacoalco, el cual sepulto 1 vivienda resultando 2 personas fallecidas. </t>
  </si>
  <si>
    <t>112 municIpios declarado en desastre</t>
  </si>
  <si>
    <t xml:space="preserve">40 municipios declarados en desastres  </t>
  </si>
  <si>
    <t xml:space="preserve">Un sismo de 7.1 grados afectó al estado de Tlaxcala  fundamentalmente en los sectores de vivienda, escuelas, hospitales y monumnetos históricos. En esta entidad no se registraron decesos a a causa de este fenómeno, tan sólo cuatro lesionados. El estado fue declarado zona de desastre  </t>
  </si>
  <si>
    <t>cayucan, Agua Dulce, Chinameca, Coatzacoalcos, Cosoleacaque, Hidalgotitlán, Ixhuatlán del Sureste, Ixtaczoquitlán, Jáltipan, Jesús Carranza, Las Choapas, Mariano Escobedo, Mecayapan, Minatitlán, Moloacán, Nanchital de Lázaro Cárdenas del Río, Oluta, Oteapan, Pajapan, Poza Rica de Hidalgo, San Juan Evangelista, Sayula de Alemán, Soconusco, Soledad de Doblado, Soteapan, Tatahuicapan de Juárez, Tepatlaxco, Texistepec, Tezonapa, Uxpanapa, Xalapa y Zaragoza.</t>
  </si>
  <si>
    <t xml:space="preserve">Un fuerte temblor sacudió el estado de Veracruz, sobre todo la zona sur y centro. Según reporte del Sistema Sismológico Nacional el temblor fue de magnitud 8.1 grados en la escala de Richter, y su epicentro se encontró localizado a 111 km al SUROESTE de PIJIJIAPAN, CHIS. FONDEN apoyo en los sectores: Educativo,Naval, Vivienda </t>
  </si>
  <si>
    <t xml:space="preserve">En 2017 1 persona perdio la vida por golpe de calor </t>
  </si>
  <si>
    <t xml:space="preserve">Secretaria de Salud </t>
  </si>
  <si>
    <t xml:space="preserve">En 2017  14 persona perdieron  la vida por golpe de calor. Ademas 340 fueron  afectadas en su salud:  88 por golpe de calor, 248 por agotamiento, 4 por quemadura </t>
  </si>
  <si>
    <t>Ensenada, Tecate, Playas de Rosarito, Tijuana.</t>
  </si>
  <si>
    <t>En la madrugada y mañana se presentaron lluvias en la gran parte de la entidad, ocasionado las siguientes afectaciones: Encharmanientos y derrumbes menores en Tijuana, daño a viviendas y puentes en Tecate,  desbordamiento del arroyo Huahuatay en Rosarito y daño a viviendas en Ensenada</t>
  </si>
  <si>
    <t>lluvias de moderadas a fuertes por un lapso de 20:00 horas, desde el domingo 26 al lunes 27 de febrero por efecto del Frente Frío 32</t>
  </si>
  <si>
    <t xml:space="preserve">En 2017 1 persona  afectada en su salud: por hipotermia </t>
  </si>
  <si>
    <t>Un rayo alcanzo a dos personas, causandoles serias lesiones</t>
  </si>
  <si>
    <t xml:space="preserve">En 2017 7 persona perdieron  la vida por golpe de calor. Ademas 56 fueron  afectadas en su salud:  35 por golpe de calor, 19 por agotamiento, 2 por quemadura </t>
  </si>
  <si>
    <t>Loreto, Mulegé, Los Cabos, Comondú, La PAz</t>
  </si>
  <si>
    <t xml:space="preserve">Ciclón tropical Lidia, lluvias, vientos, crecida de agua, encharcamientos, daños materiales, evacuaciones preventivas, cierre de aeropuertos, cierre de puertos y movilización de cuerpos de emergencia. Fueron afectados los siguientes sectores: Cultura,Deportivo,Forestal,Naval,Pesquero y
Acuícola,Salud,Vial Urbano </t>
  </si>
  <si>
    <t xml:space="preserve">CENAPRED/FONDEN </t>
  </si>
  <si>
    <t>En 2017 , 13 fueron  afectadas en su salud:  6 por golpe de calor, 7 por agotamiento</t>
  </si>
  <si>
    <t xml:space="preserve">En 2017 7 persona perdieron  la vida por golpe de calor. Ademas 2 fueron  afectadas en su salud por golpe de calor </t>
  </si>
  <si>
    <t xml:space="preserve">Se presentó una turbonada con fuertes rachas de viento de hasta 76 km/h. Esta situación dejó afectaciones en las localidades. Se tiene el reporte de 1 persona fallecida perteneciente a una constructora que realiza la obra del Campus de la UAC, por causas asociadas al viento. </t>
  </si>
  <si>
    <t>Se reporta que tuvieron lluvias de moderadas a fuertes en el municipio de Bochil, provocando penetración de agua en 40 viviendas.</t>
  </si>
  <si>
    <t xml:space="preserve">Lluvias fuertes ocasionaron el desbordamiento del arroyo El Cusco, el cual afectó varios barrios de la carretera municipal de Hiuxtla, en sus principales avenidas y vialidades del Municipio; se reportan 8 vehículos particulares varados, 54 viviendas encharcadas a nivel de banqueta (tirante de 40 a 50 cms); así también en el mercado público municipal se inundaron 21 locales con un nivel del agua de 30 a 40 cm de altura; en el Hospital Regional, en las áreas de las especialidades de Pediatría, Ginecología, Medicina Interna, Diálisis y Cuneros hubo anegaciones menores </t>
  </si>
  <si>
    <t>176 municipios declarados en desastres</t>
  </si>
  <si>
    <t>Entre los meses de mayo y junio de 2017 y en un lapso de apenas 10 días de diferencia Oaxaca registró el impacto de dos tormentas tropicales. La primera  de ellas, la tormenta tropical Beatriz, golpeó el estado el día 30 de mayo de 2017, mientras que la tormenta tropical Calvin tocó tierra el día 11 de junio de 2017. Los efectos de  ambos meteoros significaron la emisión de declaratorias de desastre para 176 municipios en la entidad. El impacto cuantificado sobre la base de la estimación de los daños y pérdidas de ambos fenómenos ascendió a 4 242.9 millones de pesos. Dicha cantidad si bien apenas es equivalente al 1.5% del Producto Interno Bruto de la entidad, el  impacto se visualizó en la escala social. De acuerdo a la Secretaría de Salud (SS) se registraron un total de cuatro defunciones causadas únicamente por la tormenta tropical Calvin.</t>
  </si>
  <si>
    <t>Larrainzar</t>
  </si>
  <si>
    <t>Se registra deslave de cerro sobre una vivienda habitada por 7 personas de la localidad Tzajalho, municipio de la Larrainzar, derivado del incidente se reportan 5 menores fallecidos y 2 mayores lesionados,</t>
  </si>
  <si>
    <t>Se registró una lluvia fuerte a intensa en el municipio de Ocosingo, afectando un aproximado de 40 viviendas con penetración de agua</t>
  </si>
  <si>
    <t xml:space="preserve">En 2017 4 personas perdion la vida: 1 por hipotermia,.3 por intoxicacion . Además 70 fueron afectadas en su salud por intoxicacion </t>
  </si>
  <si>
    <t xml:space="preserve">En 2017.1 persona  afectada en su salud: por hipotermia </t>
  </si>
  <si>
    <t>En 20171 persona perdio la vida por hipotermia.. Además 6 fueron afectadas en su salud: 6  por intoxicación</t>
  </si>
  <si>
    <t xml:space="preserve">En seguimiento al desbordamiento del arroyo “El Cristo” ubicado en el Municipio de Pichucalco, mismo que se derivó de las lluvias de fuertes a intensas que se presentaron el día de ayer 11 de octubre a las 18:20 horas, se reportan las siguientes afectaciones: 139 viviendas y 339 comercios afectados por penetración de agua con un tirante que va desde los 50 hasta los 150 cm.
Asimismo, en el Municipio de Metapa de Domínguez se presentaron lluvias intensas acompañadas de fuertes vientos, lo que ocasionó afectaciones en 20 viviendas por desprendimiento de techo, 15 árboles caídos y 3 bardas colapsadas. 
</t>
  </si>
  <si>
    <t xml:space="preserve">Derivado de las fuertes lluvias registradas en días anteriores, ayer a las 23:50 horas se reportó un derrumbe en la zona alta de la localidad de Pavencul, en el barrio El Pinal, municipio de Tapachula. Situación que ocasionó la caída de piedras y tierra sobre 2 viviendas, ocasionando la muerte de 3 personas (2 masculinos de 63 y 75 años) y una femenina de 24 años. </t>
  </si>
  <si>
    <t>Fuertes vientos en la zona norte del municipio, en las colonias Prudencio Moscoso, Maravilla y Azteca. Se reportan daños en los techos de 10 viviendas (desprendimiento de láminas) y caída de cables de energía eléctrica.</t>
  </si>
  <si>
    <t xml:space="preserve">En 2017 1 persona perdieron  la vida por golpe de calor. Ademas 14 fueron  afectadas en su salud:  10 por golpe de calor, 3 por agotamiento, 1 por quemadura </t>
  </si>
  <si>
    <t>En 2017 1 persona perdieron  la vida por golpe de calor. Ademas 10 fueron  afectadas en su salud:  9 por golpe de calor, 1por agotamiento</t>
  </si>
  <si>
    <t>En 2017 1 persona perdieron  la vida por golpe de calor. Ademas 56 fueron  afectadas en su salud:  5 por golpe de calor, 51 por agotamiento</t>
  </si>
  <si>
    <t>En 2017 1 persona perdio  la vida por golpe de calor. Ademas 20 fueron  afectadas en su salud:  10 por golpe de calor, 20 por agotamiento</t>
  </si>
  <si>
    <t xml:space="preserve">38 municipios afectados </t>
  </si>
  <si>
    <t>Afectaciones por los remanentes del  huracán Franklin de caegoria 1. FONDEN apoyó en los  sectores:Carretero , Hidraulico</t>
  </si>
  <si>
    <t xml:space="preserve">Se registraron vientos fuertes en el municipio de Pichucalco,  afectando a 214 viviendas con daños  a techos de lámina, en las colonias Calimba, El Mirador, El Vivero, Jorge Camacho Vidal, Mariano Matamoros, Nicolás Bravo, el Verdum, Nepana, la Ceiba y el Centro. </t>
  </si>
  <si>
    <t xml:space="preserve"> Se registró una Lluvia severa e inundación pluvial y fluvial, en el centro de Tuxtla Gutierrez , FONDEN apoyo en el sector:Educativo.</t>
  </si>
  <si>
    <t xml:space="preserve">En 2017 3 fueron afectadas en su salud por intoxicación </t>
  </si>
  <si>
    <t>Guadalupe y Calvo</t>
  </si>
  <si>
    <t>El pasado 21 de agosto por la tarde, se presentaron lluvias fuertes en el municipio, se estima que se presentaron 55 milímetros en 15 minutos, situación que ocasionó anegaciones en varios sectores del municipio, principalmente en la cabecera municipal, así como el incremento del arroyo que cruza por el municipio. 25 vehículos arrastrados, 33 comercios con algún tipo de afectación. Como medida preventiva se realizó el traslado de 50 personas a 2 refugios temporales,</t>
  </si>
  <si>
    <t>En 2017  1 persona afectada en su salud por hipotermia</t>
  </si>
  <si>
    <t>En 2017 1 persona perdio la vida por hipotermia. Además cinco fueron afectadas en su salud: cuatro por intoxicación y una por quemadura.</t>
  </si>
  <si>
    <t>En 2017. 5 fueron afectadas en su salud: 5 por intoxicación.</t>
  </si>
  <si>
    <t xml:space="preserve">En 2017 1 persona perdio la vida por hipotermia . Además 9 fueron afectadas en su salud por intoxicacion  </t>
  </si>
  <si>
    <t>En 2017  8 fueron afectadas en su salud: cuatro por intoxicación y una por quemadura.</t>
  </si>
  <si>
    <t>En 2017 1 persona perdio la vida por hipotermia. Además 17 fueron afectadas en su salud: 2 por hipotermia 10 por intoxicación y 5 por quemadura</t>
  </si>
  <si>
    <t>En 2017 4 cinco fueron afectadas en su salud: 4 por intoxicación</t>
  </si>
  <si>
    <t>En 2017  1 persona afectada en su salud por intoxicación</t>
  </si>
  <si>
    <t xml:space="preserve">En 2017 11 fueron afectadas en su salud: 1 por hipotermia 10 por intoxicación </t>
  </si>
  <si>
    <t>En 2017 tres personas perdieron la vida por intoxicació.  Además 102 fueron afectadas en su salud: por 6 hipotermia, 88 por intoxicacion,8 por quemadura</t>
  </si>
  <si>
    <t>En 2017 1 persona   afectada en su salud  por golpe de calor</t>
  </si>
  <si>
    <t>En 2017  56 fueron  afectadas en su salud:  10 por golpe de calor, 9 por agotamiento</t>
  </si>
  <si>
    <t xml:space="preserve">En 2017  30 personas  fueron  afectadas en su salud:  8 por golpe de calor, 21 por agotamiento, 1 por quemadura </t>
  </si>
  <si>
    <t>En 2017 , 1 fue  afectada en su salud por golpe de calor</t>
  </si>
  <si>
    <t>En 2017 , 21 fueron  afectadas en su salud:  14 por golpe de calor, 7 por agotamiento</t>
  </si>
  <si>
    <t>En 2017 , 4 fueron  afectadas en su salud por golpe de calor</t>
  </si>
  <si>
    <t>En 2017 , 12 fueron  afectadas en su salud:  7 por golpe de calor, 5  por agotamiento</t>
  </si>
  <si>
    <t>Iliatenco, Chilapa</t>
  </si>
  <si>
    <t>Lluvia y viento fuerte activa los cuerpos de emergencia, con 2 vehículos afectados a las 17:00 horas. Sobre la carretera estatal Tlapa-Márquelia a la altura de tierra colorada, de la región montaña, se sucitó un derrumbe, sepultando a 2 vehículos. Se registró un derrumbe en la carretera Chilapa-Tlapa a la altura de la comunidad Chiepepetepec, en el Municipio de Iliatenco en la zona alta d ela montaña, se registró la caída de una barda sobre 2 automóviles, uno de ellos con 2 personas en el interior que fallecieron aplastados.</t>
  </si>
  <si>
    <t>Debido a las fuertes lluvias que se presentarone n la entidad, a las 5:25 en la Comunidad Cuajinicuilapa se resgitró un derrumbe sobre el tramo carretero Petaquillas-Tepechicotlán a la altura de la cañada.</t>
  </si>
  <si>
    <t xml:space="preserve">15 municipios afectados </t>
  </si>
  <si>
    <t>Afectaciones por los remanentes del  huracán katia por lluvia severa. FONDEN apoyo en los sectores:Educativo, Hidraulico,Urbano, Vivienda</t>
  </si>
  <si>
    <t>Ocurrido a las 00:36 horas, colapso de puente sobre la carretera federal México-Acapulco en el km 50. Debido al reblandeciemiento de los cimientos. La afectación de la carretra es de 3 metros de largo por 2 de profundidad.</t>
  </si>
  <si>
    <t>73 municipios afectados</t>
  </si>
  <si>
    <t xml:space="preserve">Por los efectos del  huracán katia se presentó lluvia severa e Inundacion fluvial. FONDEN apoyo en los sectores: Carretero, Deportivo,Educativo, Urbano, Vivienda </t>
  </si>
  <si>
    <t xml:space="preserve">Caída fuerte de granizo en las comunidades de  Atesquelites (Tres Quelites), Mesa de Palomas y Los Saucos. Derivado de lo anterior se reportan daños en los techos de las viviendas, afectando a 800 familias, sin presencia de personas lesionadas ni evacuadas. </t>
  </si>
  <si>
    <t>Chavinda</t>
  </si>
  <si>
    <t>Se registraron lluvias  de moderadas a fuertes en el municipio de Chavinda; ocasionando  la penetración de agua en 80 viviendas, con tirantes que alcanzaron los  50cm, se realizó la evacuación de 1 familia (6 personas) quienes acudieron con familiares.</t>
  </si>
  <si>
    <t xml:space="preserve">Se registraron lluvias de moderadas a fuertes por la noche en todo el estado. Ocasionando que en la Col. Providencia del Municipio y la Col. Morelos del municipio Puente de Ixtla, se desbordo el canal la Providencia afectando aproximadamente a 110 viviendas por penetración de agua.  </t>
  </si>
  <si>
    <t>Derivado de las lluvias de la noche y madrugada se registró el arrastre de una camioneta particular conducida por una mujer en el municipio de Escobedo.</t>
  </si>
  <si>
    <t>Aquismon, Tanlajas, Tanquian de Escobedo y Tamazunchale</t>
  </si>
  <si>
    <t>Se presentaron vientos fuertes y lluvias en los municipios de Aquismón, Tanlajas, Tanquian de Escobedo y Tamazunchale, provocando afectaciones en los techos de las viviendas. •          En el municipio de Aquismón, provocando afectaciones en los techos de las viviendas de 140 familias de la comunidad de La Caldera. •   En el municipio de Tanlajas se reportan 5 viviendas</t>
  </si>
  <si>
    <t>Se presentaron escurrimientos hacia la presa Mamulique, desbordándose a las 03:00 horas. Afectando a la comunidad de Mamulique, municipio de Salinas Victoria, al momento los niveles ya disminuyeron y se ha restablecido la comunicación por vía terrestre.</t>
  </si>
  <si>
    <t>Se presentó tormenta severa en el norte del estado de Coahuila, con potencial de caída de granizo y formación de tornados. Se emitió una alerta preventiva por tormenta severa y posible formación de tornados  para que la población se resguardara por las posibles afectaciones.</t>
  </si>
  <si>
    <t>58 municpios declarados en desastre</t>
  </si>
  <si>
    <t>Se presentaron lluvias severas e inundaciones fluviales la zona de la mixteca afectando  a 58 municipios</t>
  </si>
  <si>
    <t xml:space="preserve">En 2017 tres personas perdieron la vida por intoxicación.  Además 1 persona fectada en su salud por  intoxicación </t>
  </si>
  <si>
    <t>San Baltazar Yatzachi el Bajo, Ánimas Trujano, San Agustín de las Juntas, San Antonio de la Cal, San Raymundo Jalpan, Villa de Zaachila, Chiquihuitlán de Benito Juárez y San Andrés Teotilalpam.</t>
  </si>
  <si>
    <t xml:space="preserve">Derivado de los efectos del  huracán katia en el Golfo de México se registraron fuertes lluvias en l estado de Oaxaca on lo que se activaron declaratorias de Emergerencia y Desastre </t>
  </si>
  <si>
    <t>San Sebastián Teitipac</t>
  </si>
  <si>
    <t xml:space="preserve">Se presentó el desbordamiento del río San Sebastián Teitipac, en el municipio del mismo nombre. Situación que provocó que cerca de 14 viviendas presentaran anegaciones, </t>
  </si>
  <si>
    <t>Las Vigas de Ramírez</t>
  </si>
  <si>
    <t>Se presentó la formación de un tornado en la comunidad de Tejerías, municipio de Las Vigas de Ramírez; sin reporte de daños humanos, ni evacuaciones preventivas, 25 árboles caídos y afectaciones en los techos de 3 viviendas.</t>
  </si>
  <si>
    <t>Teotitlan de Flores Magón</t>
  </si>
  <si>
    <t xml:space="preserve">El desborde de un arroyo que causó daños a 40 viviendas (se desconoce tipo de daños),  dos de ellas con pérdida total y una capilla,  5  autos fueron arrastrados por torrentes de agua, piedras y lodo, de  las colonias Arboledas e Hidalgo, pertenecientes al Municipio de Teotitlán de Flores Magón. Asimismo se reporta 2 personas lesionadas (una menor de 7 años y un masculino) que iban en sus autos, </t>
  </si>
  <si>
    <t>Se registró lluvias fuertes por un lapso de 35 minutos en la comunidad Santa Catarina Los Reyes, municipio de Esperanza. De lo anterior, se tuvo afectación en 35 viviendas por penetración de agua, 10 de ellas pérdida total y 25 con penetración de agua de 30 centímetros</t>
  </si>
  <si>
    <t xml:space="preserve">Se reportaron anegaciones de agua que alcanzaron tirantes máximos de 1.5 metros. 
Se habilito un refugio temporal el cual no se activó puesto que las personas que se evacuaron acudieron con familiares y amigos. 
En el mancipo de San Juan del Rio 2 personas resultaron arrastradas por corriente de agua, de las cuales 1 falleció y otra fue rescatada con vida. 
</t>
  </si>
  <si>
    <t>Armadillo de los Infante</t>
  </si>
  <si>
    <t>Se incrementó el nivel de un Río Amarillo provocando que el efecto arrastrara de 40 a 50 vehículos que estaban estacionados a orillas de éste, debido a que en el lugar los pobladores asistieron a un evento de jaripeo generado por fiestas patronales. Al momento, se reportan 2 personas fallecidas y 1 menor desaparecida</t>
  </si>
  <si>
    <t>Tanquian de Escobedo, Tamasopo, Tampamolon Corona</t>
  </si>
  <si>
    <t>Derivado de las fuertes lluvias registradas la tarde noche de ayer y madrugada de hoy se presentaron las siguientes afectaciones: En el municipio de Tamasopo el día de hoy a las 08:30 horas se evacuaron 20 viviendas de la Delegación de Agua Buena en la comunidad El Cangrejo, viéndose afectadas 100 personas por el desborde del rio Trampolín, se habilitaron dos albergues en la cabecera municipal uno en la iglesia Santa Cruz y el otro en la iglesia del Sagrado Corazón; se desconoce el número de personas que hay al momento. En el municipio de Tanquian de Escobedo, se evacuaron 200 personas de la colonia la Noria, 100 personas de la colonia El Basuche y 100 personas de la colonia La Laguna, se habilitaron 2 albergues en la cabecera municipal, uno más en la casa ejidal y otro en el salón de la Sombrilla;</t>
  </si>
  <si>
    <t xml:space="preserve">se presentaron lluvias fuertes en el municipio de Tacotalpa, reportando 353.8 mm de acumulación de lluvia. FONDEN apoyo en los sectores:Educativo, Vivienda.
* Desbordamiento de los ríos: Castañal, Pomoquita y Oxolotán; éste último afectando al Poblado Tomás Garrido con inundaciones, llevándose 2 viviendas.
* •Colapso de 3 viviendas de material endeble (2 Ejido Libertad y 1 Cerro Blanco 3ª).  </t>
  </si>
  <si>
    <t>Reynosa, Nuevo Laredo</t>
  </si>
  <si>
    <t>Horas se registraron fuertes lluvias, acompañadas de vientos fuertes y tormenta eléctrica.  Municipio de Reynosa: se presentó una tormenta eléctrica que afectó líneas de alta tensión. Municipio de Nuevo Laredo: se presentó el cierre del Puente Internacional 3 “Las Américas” que conduce de Tamaulipas a Texas, esto por caída de techumbres, árboles caídos.</t>
  </si>
  <si>
    <t>Tampico, Ciudad Madero y Altamira</t>
  </si>
  <si>
    <t>Se registraron lluvias fuertes desde las 20:00 horas del día 30 de septiembre, en la zona Sur del estado, principalmente en los municipios de Altamira, Cd. Madero y Tampico, por lo que  se activaron 2 refugios temporales  en Madero (Américo Villarreal con 1 persona y Unidad Deportiva con 3 personas) así como un refugio temporal en Altamira (Escuela Amado Nervo con 177 personas).</t>
  </si>
  <si>
    <t>Cerro Azul, Tantoyuca, Platón Sánchez</t>
  </si>
  <si>
    <t>Derivado de las fuertes lluvias de ayer por la noche y madrugada de hoy, se reportan las siguientes afectaciones: *Municipio de Tantoyuca: Debido a las fuertes lluvias del día de ayer, se presentaron anegaciones en 22 comunidades del municipio, se presentó penetración de agua en 85 viviendas, de las cuales 25 continúan con agua. Se tienen 2 refugios temporales habilitados donde se encuentran solamente 2 personas en uno de ellos.</t>
  </si>
  <si>
    <t>En 2017 1 persona perdieron  la vida por golpe de calor. Ademas 11 fueron  afectadas en su salud:  9 por golpe de calor, 2 por agotamiento</t>
  </si>
  <si>
    <t>No info.</t>
  </si>
  <si>
    <t>La Unión de Isidoro Montes de Oca</t>
  </si>
  <si>
    <t xml:space="preserve">Tijuana </t>
  </si>
  <si>
    <t>Cerca de 70 familias perdieron su patrimonio luego de que colapsaran sus viviendas en la colonia Lomas del Rubí en Tijuana. Desde que inició el movimiento de tierra y agrietamientos de las calles el 19 se enero hasta la fecha, se calcula que hay más de 200 personas afectadas, cerca de 80 familias que se quedaron sin su patrimonio en los movimientos de tierra en los últimos 3 días.</t>
  </si>
  <si>
    <t>A las 17:39:38, hora local (UTC -6), del viernes 16 de febrero de 2018, Se produjo un sismo en el estado de Oaxaca con magnitud de 7.2 y con epicentro a 11 km al sureste de Pinotepa Nacional, Oaxaca, México. El sismo fue percibido en los estados de Oaxaca, Guerrero, Chiapas, Puebla, Morelos, Michoacán, Tlaxcala, Veracruz, Tabasco, Estado de México y la Ciudad de México. No hubo víctimas mortales y solo se presentaron daños materiales en Oaxaca.​</t>
  </si>
  <si>
    <t>Siendo las 19:20 horas derivado de las fuertes lluvias registradas en las últimas horas,  se registró un desprendimiento de rocas, lo que provocó un alud justo en el momento en que un autobús de pasajeros de la línea Sociedad Cooperativa de Rafael Delgado se trasladaba hacia la carretera federal que comunica a Rafael Delgado Municipio de Magdalena, se reportan 3 personas fallecidas y 9 lesionados mismos que fueron trasladados al Hospital Regional de Río Blanco.</t>
  </si>
  <si>
    <t xml:space="preserve">El pasado sábado 14 de julio, se registró el colapso de  24 viviendas en el municipio de Tijuana, la causa se originó debido la instabilidad de suelo en la colonia Reforma, no se presentan daños humanos solo materiales, las personas afectadas se reubicaron con familiares. </t>
  </si>
  <si>
    <t xml:space="preserve">Debido a las lluvias, se reporta que en Puerto Marquez, se inspeccionaron 2 rocas inestables. En Paseo de la Cañada, se registra derrumbe de tierra de aproximadamente, 2 metros cúbicos. Barda derrumbada de 1 metro. En la colonia Simón Bolívar se colapsa un puente y caen 4 árboles en vía pública. </t>
  </si>
  <si>
    <t xml:space="preserve">A las 12:26 horas se recibió del C4, reporte de derrumbe de mina de mármol ubicada en la comunidad de Dengantzhá, perteneciente al municipio de Francisco I. Madero con límites al municipio de Mixquiahuala, al momento cuerpos de emergencia, así como, el  tercer a bordo de la UEPC, se dirigen al lugar. Cabe mencionar que no se cuenta con señal de radio, ni de celular en la localidad, por lo que la información fluye con lentitud. Se confirma el deceso de 5 personas, de las cuales se han rescatado 3 cuerpos. </t>
  </si>
  <si>
    <t>Metlatonoc, Tecuanapa, San Miguel Totolapan</t>
  </si>
  <si>
    <t>Fallecimientos y movilización de cuerpos de emergencia. A diversas horas del 10, 11 y 19 de Septiembre. Debido a las lluvias, se registra el fallecimiento de 6 personas. Metlatonoc: 4 muertes a causa de desgajamiento de un cerro. Tecuanapa: 1 a consecuencia de ser arrastrado por la crecida de un río en la localidad de Ocotitlán. San Miguel Totolapan: 1 por haber colapsado su vivienda.</t>
  </si>
  <si>
    <t>Se realiza entrevista a Fausto Lugo - Secretario de Protección Civil de la Ciudad de México en medios el cual informa que A las 15:50 horas, se reporta caída de un talud de aproximadamente 15 metros de alto por 5 metros de ancho de tierra, entre dos inmuebles, ubicados en la calle de Bosque de Abetos #67 esquina Bosque de Ahuehuetes, colonia Bosques de las Lomas, delegación Miguel Hidalgo. La causa se originó debido a las fuertes lluvias presentadas en los últimos días y además de que no presentaba un anclaje adecuado ni drenes. La tierra dañó tres vehículos particulares y la reja de unos de los inmuebles. No se reportan lesionados ni fallecidos. Los edificios aledaños reanudaron actividades al no verse comprometidos con la caída del talud.</t>
  </si>
  <si>
    <t>A las 17:00 horas de ayer, se reportó el deslizamiento de tierra por reblandecimiento de ladera, en la colonia Valle Dorado, municipio de Naucalpan, debido a las fuertes lluvias de ayer por la tarde. Al momento se reporta afectación en 2 viviendas y 5 vehículos. Se reportó una persona lesionada, atendida en el lugar, se desconoce si hubo personas evacuadas.</t>
  </si>
  <si>
    <t>A través de notas en Redes Sociales se identifica el reporte de un derrumbe ocurrido el día de ayer 14 de septiembre por la tarde en la mina Palmarejo, ubicada en el municipio de Guazapares señalando dos personas sin vida, de acuerdo a información proporcionada por la Fiscalía General del Estado. La UEPC CHIHUAHUA confirma la ocurrencia del incidente y los fallecimientos de 2 adultos ya identificados, de estos hechos la UEPC tuvo conocimiento hasta el día de hoy por la mañana. Sin contar con mayor información.</t>
  </si>
  <si>
    <t>Copándaro</t>
  </si>
  <si>
    <t>A las 19:15 horas se registra derrumbe en km 253+500 en la autopista México- Morelia-Guadalajara, en el que se vieron involucrados 1 Tráiler, 1 Autobús de pasajeros y 3 vehículos particulares, debido al reblandecimiento de tierra a causa de las lluvias. Esto dejó como resultado 1 fallecido y 3 lesionados, así como bloqueo parcial de la vialidad. Los lesionados fueron trasladados a un nosocomio del municipio de Zacapu. El bloqueo continúa hasta el momento.</t>
  </si>
  <si>
    <t>San Pedro Ocotepec</t>
  </si>
  <si>
    <t>A las 9:27 horas se reporta deslave de cerro en la sierra Norte, San Pedro Ocotepec, provocando la sepultura de 6 personas (2 menores y 4 adultos). Al momento ya han sido rescatados 5 cuerpos sin vida. Lo anterior es por la presencia de lluvias moderadas que se han presentado en el estado y que han sido de manera constante.</t>
  </si>
  <si>
    <t>Yajalón</t>
  </si>
  <si>
    <t>Debido a las fuertes lluvias que se han presentado en el estado, reportan afectación por deslizamiento de ladera en el barrio Jonuta de la cabecera mpal de Yajalon Chiapas. Después de realizar levantamiento de padrón de afectados por deslizamiento de laderas en el barrio Jonuta de la cabecera municipal de Yajalon, se cuantifico un total de 12 viviendas con pérdida total, con una población de 50 personas; 46 viviendas con daños parciales con una población de 165 personas. Las familias afectadas son atendidos de manera emergente con alimentación y despensas por la UMPC YAJALON y se encuentran albergados en casa de familiares y amigos donde residen sus apoyos de consumo. Así mismo han solicitado ayuda humanitaria a la Secretaria de Protección Civil del Estado.</t>
  </si>
  <si>
    <t>A las 14:00 horas del día 13 de diciembre, se reporta derrumbe en la Mina Mulatos, se desconoce la causa del mismo, Resultando 7 trabajadores atrapados de los cuales 5 fueron rescatados el día 13 de diciembre y el día 15 de diciembre a las 16:30 horas se rescataron los cuerpos sin vida de las 2 personas faltantes. En el lugar participo personal de Protección Civil Municipal, Heroico cuerpo de Bomberos, Fiscalía General de Sonora, Ministerio Publico de Sahuaripa  y Grupo México.</t>
  </si>
  <si>
    <t>Ixtapaluca, Valle de Chalco y Huiquilucan</t>
  </si>
  <si>
    <t>Se registró la caída de una barda por el reblandecimiento, resultando 1 persona fallecida. 20 domicilios afectados en techumbre de material provisional en calle azteca. Se activaron 3 refugios temporales con 63 personas albergadas. Se proporcionaron cobertores y colchones a personas afectadas. Personal de ODAPAS laboro en el lugar con vactor para desalojar la basura del cárcamo Xico. VALLE DE CHALCO: Debido a la saturación del drenaje y cárcamos se registraron tirantes de 30 a 40 cm, con penetración de agua la escuela Simón Bolívar evacuando a 70 alumnos; adicionalmente se reportaron afectaciones en las colonias Ayotla Izcalli, el Molino y Emiliano Zapata por penetración de agua. HUIXQUILUCAN: se registró un tirante de 9 cms. de granizo, sin reporte de afectaciones a domicilios; en el poblado de San Francisco Ayotuxco, reportan la caída del techo de lámina del auditorio municipal, ubicado en la calle San Francisco no se registran personas lesionadas.</t>
  </si>
  <si>
    <t>Jiquipilco, Ixtlahuaca y Jilotepec.</t>
  </si>
  <si>
    <t>Remolino de polvo registrado a las 17:30 horas el día de ayer 6 de febrero, el cual afectó a las comunidades Rancho Alegre, Buenos Aires y San José Del Sitio, pertenecientes al Municipio de Jiquipilco, se informa que la comunidad de mayor afectación fue la de Rancho Alegre con 45 viviendas afectadas por desprendimiento de láminas, tejas, techos, así como, caída de árboles, postes de luz y pérdida de animales. No hay personas lesionadas, tan solo se brindó atención a personas por crisis nerviosa. Asimismo, se implementó un albergue en la delegación (se desconoce cantidad de personas albergadas).  Cabe mencionar, que los municipios de Ixtlahuaca y Jilotepec no presentaron ningún tipo de afectación. En el lugar laboraron elementos de Protección Civil y Bomberos del municipio.</t>
  </si>
  <si>
    <t>Derivado de las lluvias, granizadas y a los fuertes vientos que se registraron el día de ayer por la tarde se reportaron afectaciones parciales en el techado de 41 viviendas, sin reporte de personas lesionadas ni de activación de refugios temporales</t>
  </si>
  <si>
    <t>Venado</t>
  </si>
  <si>
    <t>El día martes 10 de abril se registró una fuerte tormenta y granizada que afectó el Municipio de Venado en las Comunidades de Barrio Guadalupe, Barranca Norte, Tierra Blanca, San Mateo, El Salero, El Sotolillo y San Sebastián, dando como resultado la afectación a 274 viviendas, 3 Instalaciones Municipales, 4 escuelas, 960 habitantes y 758 alumnos, derivado de lo anterior el Estado les ha entregado apoyos tales como cobijas, despensas y láminas galvanizadas.</t>
  </si>
  <si>
    <t>Mier y Noriega</t>
  </si>
  <si>
    <t>Siendo las 16:49 horas se registra caída de techumbre a causa de la fuerte granizada en la Escuela Secundaria Elpidio Martínez López, ubicado en Calle José López Portillo entre Mier y Noriega Colonia San Isidro Nuevo León, al momento se reportan 30 personas evacuadas y 5 personas lesionadas quienes fueron trasladadas al Hospital General Dr. Arroyo.</t>
  </si>
  <si>
    <t>Derivado de la presencia de lluvias de fuertes a muy fuertes, acompañadas de granizo que se presentaron en la Zona Metropolitana (municipios de Guadalajara y Zapopan) se reportan las siguientes afectaciones:  219 vehículos afectados de los cuales 150 son de la plaza Patria, 82 viviendas afectadas, por penetración de agua. Cabe señalar que las personas de las viviendas fueron trasladadas con sus familiares, regresando a sus hogares, ya que disminuyo los niveles del agua.  28 negocios afectados de la plaza comercial Patria, 3 pasos a desnivel inundados, 3 bardas caídas, 2 árboles caídos, Tren ligero afectado en paso a desnivel, estación Perinorte.  Al momento continúan realizando recorridos para cuantificación de daños.</t>
  </si>
  <si>
    <t>Ocurrido a las 08:10 horas. En la carretera estatal Atoyac de Alvarez-El Paraiso. Deslizamiento de suelo de unos 300 metros, sobre la carretera estatal Atoyac de Alvarez, entre las comunidades Río Santiago y San Vicente de Benitez a la altura de arroyo seco. Obstruyendo la circulación en su totalidad.</t>
  </si>
  <si>
    <t>Ocurrido a las 14:50 horas, en la carretera estatal Taxco de Alarcón-Ixcateopan. Se registra un derrumbe de tierra, sobre la carretera, obstruyendo un carril. No hay lesionados.</t>
  </si>
  <si>
    <t xml:space="preserve">En seguimiento a las lluvias registradas el día de ayer 19 de junio, en el municipio de Aguascalientes y Jesús María,  al momento se reportan 31 colonias afectadas por penetración de agua en viviendas, anegaciones en vialidades, arrastres de vehículos y  bardas perimetrales caídas. Al momento se reportan 2 personas fallecidas por intoxicación de monóxido de carbono debido a que se quedaron al interior de su vehículo. Se está reportando que la lluvia registrada fue de 57.2 mm en una hora, se tiene habilitado un refugio temporal el cual no ha sido ocupado.   </t>
  </si>
  <si>
    <t>Reynosa, Matamoros y Río Bravo.</t>
  </si>
  <si>
    <t>En relación a las afectaciones registradas el día de ayer 20 de junio provocadas por las lluvias que iniciaron alrededor de las 16:30 horas, se reportó un acumulado de lluvia de 8.5 pulgadas, dejando las siguientes afectaciones: 
Municipio de Reynosa: 34 colonias afectadas, 1 fallecido, el cual intentó pasar un vado en su vehículo, siendo arrastrado por la corriente del agua. Se tienen 2 refugios temporales habilitados (1 en el auditorio municipal y el otro en una escuela primaria) al momento sólo se encuentran 5 personas albergadas.
Municipio de Matamoros: se encuentra en contingencia por lluvia, con total de 80 colonias afectadas, 50 con encharcamientos y 30 con inundaciones, de esas 30, 3 con inundaciones severas las cuales son Los Sauces, Buenavista y San Francisco, con un total de 146 colonias afectadas. Se reporta un menor fallecido, mismo que al regresar a su vivienda después de clases, cruzó por una calle anegada y se electrocutó debido a un cable de energía eléctrica.
Municipio de Río Bravo: Se tiene reporte de afectaciones en 28 colonias.</t>
  </si>
  <si>
    <t>Xalapa, Tlalnelhuayocan, Las Vigas de Ramírez y Veracruz</t>
  </si>
  <si>
    <t>15:30 horas, se presentaron lluvias fuertes acompañadas de vientos y granizo, en los municipios de Xalapa, Tlalnelhuayocan, Las Vigas de Ramírez y en la capital, ocasionando la caída de 3 árboles, 2 de ellos sobre vehículos estacionados, así como anegaciones en varias vialidades de los municipios. 2 personas fueron rescatadas sin lesiones, las cuales intentaron cruzar un vado en su vehículo.
No se tiene reporte de daños humanos hasta el momento.
Se realizan recorridos de valoración de daños por las zonas de mayor riesgo.</t>
  </si>
  <si>
    <t>A las 18:45 horas del día de ayer en la Comunidad de Santa María Urapicho, una familia que pastoreaba se resguarda de la lluvia debajo de un árbol, provocando el deceso de 4 personas, por caída de rayo en el árbol.</t>
  </si>
  <si>
    <t>Zitácuaro</t>
  </si>
  <si>
    <t>A las 18:10 horas del día de ayer en la Comunidad de Valle Verde, durante la lluvia, una persona que cortaba leña, resulta fallecida por caída de rayo.</t>
  </si>
  <si>
    <t>Se reporta que el día de ayer por la noche se presentó lluvia fuerte (27 mm) en la zona noroeste del Cerro de Quinceo, municipio de Morelia, provocando el desbordamiento del Río Grande, que presentó un aumento de su cauce de 30 cm, llegando el nivel a la altura de la banqueta, provocando encharcamientos en viviendas en las colonias Gertrudis Sánchez, Medallistas Olímpicos, Torreón Nuevo, Punta Floresta, Loma Colorada, Ciudad Jardín Lago 1, Lago 2 y Lago 3, y daños en vehículos. 
Por lo consiguiente se activó un albergue en el Auditorio para contingencias "Lic. Servando Chávez Hernández”, para que las familias pudieran resguardarse, pero solo 6 personas hicieron uso de él durante la noche y 5 personas durante esta mañana. Las demás personas decidieron resguardarse con familiares. No se reportan daños humanos.</t>
  </si>
  <si>
    <t>Debido a lluvias fuertes del día de ayer por la noche, en el municipio de Irapuato, se registraron encharcamientos e inundación, en: •Fraccionamiento Rincón de los arcos, con un tirante rebasando el nivel de banqueta, sobre la avenida principal del Fraccionamiento, sin conteo de viviendas afectadas. •Poste de energía eléctrica caído en fraccionamiento Rincón de los Arcos. •Fraccionamiento Campestre de las Flores, con afectación en 20 viviendas sin especificar nivel del tirante.</t>
  </si>
  <si>
    <t>11:00 horas se registra deslave de un cerro en la Unidad Habitacional Senderos del Lago el Chante en el Municipio de Jocotepec, se tiene reporte de 20 personas evacuadas afectación en 25 viviendas con penetración de agua y lodo de 1 metro de altura y una superficie de 100 metros x 50 de terreno libre, no se reportan daños humanos.</t>
  </si>
  <si>
    <t xml:space="preserve">El día de ayer a las 21:45 horas; Municipio de Huixquilucan, Estado de México, debido a las fuertes lluvias, al deslizamiento de tierra y agua, se generaron anegaciones en 50 domicilios, con un tirante de agua de 20 cm en el interior de las viviendas. Al momento se tiene un 70% de avance en la limpieza de los domicilios, sin reporte de daños humanos. </t>
  </si>
  <si>
    <t xml:space="preserve">Aproximadamente a las 17:00 horas, se reporta caída de un árbol sobre un vehículo en calle Paseo de Echegaray, Colonia Bosques de Echegaray, municipio de Naucalpan de Juárez, Estado de México. Se reportan 3 fallecidos en el vehículo. </t>
  </si>
  <si>
    <t>Ixtlahuacám de los Membrillos</t>
  </si>
  <si>
    <t>En el municipio de Ixtlahuacán de los Membrillos se reportan afectaciones en 2 techos de viviendas; encharcamientos en vialidades y en viviendas en Fraccionamiento los Sabinos (al momento sin cuantificarse), que no ameritaron evacuación, ya que el nivel del agua fue disminuyendo. Se reportan 40 personas lesionadas por la caída de granizo atendidas en el lugar, también 30 vehículos afectados por abolladuras del propio granizo. No se tiene reporte de daños humanos. En la localidad de Ojo de Agua, se reportaron inundaciones en vialidades y encharcamientos en algunas viviendas (sin cuantificar), sin la necesidad de evacuar a las personas. No se reportan daños humanos ni personas lesionadas.</t>
  </si>
  <si>
    <t>Se reportan daños en un vehículo, a las 7:30 horas en la carretera fedaral Tierra Colorada-Acapulco km 74. Por un derrumbe de tierra, obstruyendo el carril de circulación de Norte a Sur. Provoca un accidente de un vehículo. No se reportan lesionados.</t>
  </si>
  <si>
    <t>Tecuala</t>
  </si>
  <si>
    <t>UEPCYB Nayarit  Siendo las 14:28 horas, se lleva a cabo Operativo de evacuación de los habitantes de la localidad de Palmar de Cuautla, Municipio de Tecuala, esto debido a que la zona donde viven es  de alto riesgo, y considerando la amenaza del huracán John, categoría 2, de manera preventiva se hizo la evacuación de 250 personas. Se han activado Refugios Temporales, al momento se desconoce la cantidad y la ubicación.</t>
  </si>
  <si>
    <t>Siendo las 11:00 horas se realizan labores de rescate aéreo (MARINA) a personas que quedaron incomunicadas  vía terrestre y sus viviendas inundadas por los escurrimientos del arroyo ubicadas entre el bordo de defensa 2 y el libramiento de la carretera en Empalme, en el Municipio de Empalme, se reporta 5 poblados  de los cuales 500 viviendas han sido afectadas por penetración de agua, se han activado 4 Refugios Temporales, uno de ellos ya se encuentra en operación (se desconoce la cantidad de personas),  este en el área rural del municipio antes mencionado, no se reportan daños humanos. Estas afectaciones se han debido a la presencia del Huracán “John” categoría 1.</t>
  </si>
  <si>
    <t>El día de ayer por la tarde-noche se presentaron lluvias fuertes, lo que provocó la afectación a 25 viviendas por inundación, 71 personas evacuadas, las cuales fueron llevadas a 2 refugios temporales en el municipio, al momento las personas continúan en ellos.</t>
  </si>
  <si>
    <t>Villa Comaltitlán</t>
  </si>
  <si>
    <t>A las 18:00 horas, se reporta el desbordamiento del río Chalaca, en el municipio de Villa Comaltitlán, afectando 42 viviendas y 8 tiendas de abarrotes, por penetración de agua. De manera preventiva se evacuaron a las personas, sin necesidad de la apertura de refugios temporales. Al momento informan que el agua va disminuyendo considerablemente y la gente comienza a regresar a sus viviendas. No se reportan daños humanos.</t>
  </si>
  <si>
    <t>Hasta el momento se reportan 18 reportes de árboles y estructuras caídas, 27 autos varados y 34 atenciones en apoyo a personas con agua al interior de sus hogares.</t>
  </si>
  <si>
    <t>El día de ayer 23 de agosto se registraron lluvias fuertes por la tarde en el municipio de José Azueta y de Sayula de Alemán, en este segundo municipio se presentaron afectaciones en 130 viviendas por penetración de agua por el desbordamiento de un arroyo local en la colonia Alto Lucero viéndose la más afectada. Al momento no se reportan Refugios Temporales habilitados y sin daños humanos.</t>
  </si>
  <si>
    <t>Tres Valles</t>
  </si>
  <si>
    <t>En el municipio de Tres Valles, en la comunidad Santa Rosa, se registró el derrumbe de una vivienda, debido al reblandecimiento de terreno de la misma propiedad, el cual provocó el fallecimiento de una persona y dos lesionados.</t>
  </si>
  <si>
    <t>10:40 horas, se reportan lluvias fuertes, mismas que alcanzaron los 38 mm en una hora aproximadamente, ocasionando anegaciones en 7 colonias (Centro, Colosio, Empalme, Obregón, Greco, Granjas y Lomas II), así como en las vialidades Tecnológico y Abraham Zaied, derivado de lo anterior se reportan 6 viviendas con penetración de agua, 13 vehículos varados. También se reportan varios negocios afectados (aun sin tener la cuantificación). Hasta el momento no se tiene reporte de daños humanos y no ha sido necesario ocupar algún refugio temporal.</t>
  </si>
  <si>
    <t>Acacoyagua</t>
  </si>
  <si>
    <t>A las 16:00 horas del día 23 de agosto, se reportaron fuertes vientos en el municipio de Acacoyagua, Chiapas. Derivado de los vientos se reporta caída de árboles, afectaciones en carreteras estatales, vialidades municipales y afectaciones en 100 viviendas por destechamiento de láminas y falta de luz eléctrica. No se reportan lesionados, ni fallecidos, solo daños materiales. No se activan refugios temporales.</t>
  </si>
  <si>
    <t>Atlamajalcingo del Monte</t>
  </si>
  <si>
    <t>Ocurrido a las 11:30 horas, derrumbe de tierra por el reblendecimiento del suelo en terrenos y laderas inestables, producto de las lluvias. Sobre la carretera estatal Tlapa Comonfort-Atlamajalcingo del Monte, a la altura del poblado Tepecocatlán, afectando la cinta safáltica en ambos lados.</t>
  </si>
  <si>
    <t>A las 01:00 horas del día 24 de agosto, se reportan fuertes lluvias y vientos fuertes en el municipio de Tapachula, Chiapas. Como Resultado se reportan 4 árboles caídos aproximadamente de 20 metros cada uno, derivado de esto se reporta 1 vivienda afectada y falta de luz eléctrica en el municipio. No se reportan lesionados, ni fallecidos, solo daños materiales. No se activan refugios temporales.</t>
  </si>
  <si>
    <t>A las 03:00 horas del día 31 de agosto, se registró  un deslizamiento de tierra en el cerro de la comunidad de San Lorenzo Huitzizilapan, en la Colonia Adolfo López Mateos, Municipio de Lerma. La causa se originó, debido a las fuertes lluvias que se presentaron durante la madrugada; se reportan 2 personas fallecidas y 4 lesionados quienes fueron trasladados al hospital de la comunidad. No se reportan personas evacuadas, sin embargo, Protección Civil  Municipal inicio la supervisión de cómo se encuentran las laderas para evitar otro incidente similar.</t>
  </si>
  <si>
    <t>Después de las lluvias registradas en el Estado de México el sábado 01 de septiembre, la Comisión del Agua del Estado de México (CAEM), informó que a las 07:47 horas el Río Lerma sufrió una ruptura del bordo, de 15 metros de largo, en su margen izquierdo, lo que ocasionó afectaciones en 600 viviendas, con un tirante de 30 centímetros (en las viviendas más cercanas al río), así como afectaciones en algunas zonas de cultivo. Se reportan 3,800 personas afectadas.  Se activó el Plan DNIII-E y se desplegó una misión de Enlace y Coordinación (ECO) para apoyar a la población. Hasta el momento, se lleva el 60% de reparación del bordo, se han llenado 12,000 costales de 20,000 planeados. Se  reanudarán labores el día de hoy 03 de septiembre a las 07:00 horas, con 2 cuadrillas de 150 elementos. Se tienen activos 2 refugios temporales con un total de 32 personas y 5 familias. Así mismo, se informa que 150 personas sólo acuden a ingerir alimentos. Se han entregado: 1,500 despensas, 2,000 raciones de comida, 30 letrinas y 15 tinacos con agua potable.  Albergues habilitados en San Mateo Atenco con servicio de regaderas, alimentos, ropa y camas en las siguientes ubicaciones: en la Parroquia de San Mateo en avenida Lic. Benito Juárez 257, Barrio San Francisco II y en la Capilla San Lucas Apóstol en avenida Juárez casi esquina con 2 de abril.  Se llevó a cabo reunión el día de hoy 03 de septiembre a las 08:00 horas. A las 12:30 horas de hoy, se cerró el flujo de agua, de manera paralela se continúan los trabajos de: alineamiento y ensanchamiento del bordo, reforzamiento del margen con costales y bombeo del agua de zonas inundadas; se espera que en 48 horas queden concluidos los trabajos.</t>
  </si>
  <si>
    <t>A las 19:00 horas del día 03 de agosto, se reporta arrastre por corriente de agua de tres menores de edad debido a las fuertes lluvias presentadas durante la tarde - noche en la colonia Quinta Colonial, Municipio de Apodaca, Nuevo León. Resultando 1 fallecido y 2 lesionados. Los tres menores regresaban de la escuela pero por la fuerte corriente de agua fueron arrastrados y se agarraron de un poste que tenía los cables expuestos y recibieron la descarga eléctrica; Uno de ellos fue atendido en el lugar y trasladado a la Clínica 21 del IMSS; los otros dos menores con lesiones más severas fueron trasladados a Cruz Roja en donde uno de ellos pierde la vida en el lugar y el otro menor es trasladado al Hospital Metropolitano.</t>
  </si>
  <si>
    <t xml:space="preserve">Derivado de las lluvias intermitentes de ligeras a fuertes registradas desde el día Lunes 03/09/2018, se reportan afectaciones  de 50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Fé, Reynosa, Urquizo, Luchana, Progreso San Lorenzo, Concordia y Patrocinio. Como medida preventiva se habilitaron 2 refugios temporales sin personas albergadas. Concerniente a las fuertes lluvias registradas en los últimos días,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 </t>
  </si>
  <si>
    <t xml:space="preserve">A las 17:30 horas del día de ayer 4 de septiembre,  la UEPC recibe reporte de Tromba en el municipio de Xalisco reportando 30 viviendas dañadas en techos (lámina), árboles y palmeras caídas. </t>
  </si>
  <si>
    <t>El día de ayer, a partir de las 18:00 horas, se presentaron lluvias moderadas en el municipio de Durango, presentando encharcamientos en 3 bulevares, quedando varios vehículos varados, sin afectaciones mayores, no se reportaron daños humanos. De las lluvias del día 4 de septiembre, continúa apoyando personal de PC estatal a 2 familias por penetración de agua a sus viviendas con un tirante entre 1.0 – 1.2 metros, no se reportan evacuados, ni daños humanos</t>
  </si>
  <si>
    <t>Amatlán de Cañas</t>
  </si>
  <si>
    <t>A las 23:25 horas de ayer, se atiende la búsqueda por arrastre de un vehículo particular, que trasportaba a 4 personas, en el municipio de Amatlán de las Cañas, en los límites de Jalisco y Nayarit. Las causas se debieron a que por las fuertes lluvias, un arroyo incrementó su cauce y el vehículo que esperaba cruzarlo, fue arrastrado por la corriente. Se encontrados los 4 cuerpos de los que se identificó 1 hombre y 3 desconocidos.</t>
  </si>
  <si>
    <t>Derivado de las fuertes lluvias registradas los últimos días, se han presentado anegaciones en diversas colonias donde el agua alcanza hasta 1 metro de altura en diversas vialidades, así como penetración de agua en viviendas. Se tiene un refugio temporal ubicado en el auditorio municipal, donde se encuentran varias familias, desconociendo la cantidad. Otras familias se han trasladado con familiares y amigos. Se reporta el derrumbe de una vivienda, sin que se reporten daños humanos.</t>
  </si>
  <si>
    <t>Torreón, Monclova, San Pedro, Matamoros.</t>
  </si>
  <si>
    <t>Municipio de Torreón: se han presentado anegaciones en diversas colonias donde el agua alcanza hasta 1 metro de altura en diversas vialidades, así como penetración de agua en domicilios, principalmente en la Colonia Ampliación Santiago Ramírez, cabe hacer mención que derivado a que las viviendas se localizan cerca de la Laguna de Regulación; misma que se encuentra en su límite, se hizo la evacuación de personas (no indican la cantidad). Se habilito un refugio temporal ubicado en el campo Unidad Deportiva, con un total de 18 personas albergadas, otras familias se han trasladado con familiares y amigos, no se reportan daños humanos. Al momento informan que se siguen evacuando a las personas que viven aledañas a la laguna. Siendo las 08:30 horas del día 9 de septiembre, se registra socavón y hundimiento de un camión de la empresa Terracería; esto en calle número 802 del bulevar en la Colonia Campo Nueva Zaragoza, municipio de Torreón, no se tiene reporte de daños humanos. Se registran inundaciones por las constantes lluvias en el municipio de Torreón , desde el lunes 3 de septiembre, se desconoce el número de personas afectadas, hasta el día de hoy 10 de septiembre, se tiene conocimiento de 11 personas en un albergue, en caso de ser necesario se activarían dos albergues más. Las colonias afectadas son: Nazas, Roma, Línea verde, La fuente, Santiago Ramírez, Lázaro Cárdenas Provitec, Jardines Universidad, Satélite, Frondoso, Santa María y Santa Sofía. Se suspenden clases en nivel básico en todo el municipio de Torreón.
Municipio de San Pedro: Derivado de las lluvias intermitentes de ligeras a fuertes registradas desde el día lunes 3 de septiembre, se reportan afectaciones por anegamientos en viviendas con techos y bardas a punto de colapsarse, en las siguientes colonias: Centro Mario Monterrey, El Chamizal, Villas del Desierto, Emiliano Zapata, Barrio Saltillo, Barrio Nuevo, Valparaíso, Las Rosas y Ramos Arizpe. Por otro lado, en los ejidos aledaños al municipio, como son: El Chamizal, Sofía de Abajo, Tacubaya, La Fe, Reynosa, Urquizo, Luchana, Progreso San Lorenzo, Concordia y Patrocinio, se reportan algunas viviendas colapsadas y otras con techos y bardas colapsados, debido a la humedad. Como medida preventiva se habilitaron 2 refugios temporales, sin personas albergadas.
Municipio de Matamoros: A las 19:35 horas del día 9 de septiembre, informan que se encuentran pendientes por posible desborde del río Aguanaval, como medida preventiva se colocan bordos de tierra con maquinaria pesada en el tramo que comunica a los ejidos de San Francisco Agua Naval y San Isidro Buena Vista, esto para evitar un desborde del agua, que para alrededor de las 16:00 horas, apenas empezaba a registrar escurrimientos. A las 08:40 horas del 10 de septiembre, se mantiene contacto con el Director de la policía de León Guanajuato, el cual informa que se reforzaron los puntos críticos relacionados al río Aguanaval con término de las 03:00 horas del día 10 de septiembre, comunicando que ha disminuido el nivel del agua, sin reporte de desbordamiento.
Municipio de Monclova: el día 10 de septiembre, que derivado de las lluvias de la noche del día 9 de septiembre, se presentó el desbordamiento del Arroyo “Frontera Monclova”, a la altura de la colonia Cedros, causando afectación por penetración de aguas fluviales a las viviendas (sin cuantificar).  No reportan daños humanos, ni personas evacuadas.</t>
  </si>
  <si>
    <t>Derivado de las lluvias fuertes registradas el día de ayer 08 de septiembre entre las 11:00 y 13 horas, en el municipio de Hidalgo del Parral, se reportaron afectaciones en 5 colonias en las cuales 20 casas resultaron con penetración de agua (sin determinar tirante), por lo que se llevó la evacuación de 50 personas quienes se resguardaron en casas de amigos y familiares. Se tiene registro de derrumbes en las carreteras: Chihuahua-Parral y Parral-Valle de Allende, al momento sin daños humanos, ni materiales. Se reportó un socavón en el municipio de Valle de Ignacio Allende, sin proporcionar dimensiones.</t>
  </si>
  <si>
    <t>A las 21:00 horas, debido a las lluvias de la tarde-noche, se reporta, el nivel del agua máximo se registró en los 1.30 metros, aunque actualmente se ha reducido a los 10 cm, se siguen realizando recorridos por el las colonias afectadas, las cuales corresponden a asentamientos irregulares. La afectación dejó como resultado 10 domicilios con pérdida total, 52 domicilios con pedida parcial y aproximadamente 80 personas afectadas, sin daños humanos; aunque se ha instalado 1 albergue con capacidad para 100 personas, los habitantes se niegan a dejar los domicilios afectados. El nivel de ríos y canales se mantiene al 95%.</t>
  </si>
  <si>
    <t>Cuautitlán Izcalli, Tepotzotlán, Tlalnepantla y Tultitlán</t>
  </si>
  <si>
    <t>Derivado de las fuertes lluvias registradas el día de ayer 12 de septiembre, en la tarde- noche en la mayor parte del estado se reportan las siguientes afectaciones:
*Municipio de Cuautitlán Izcalli: Se reportó el desbordamiento del canal San Agustín, ubicado en la Col. San Agustín, al momento se reporta que el nivel ya está disminuyendo y se están apoyando de un vactor para agilizar la operación. No se tiene reporte de personas evacuadas, ni daños humanos. Se mantienen en el lugar laborando elementos de Protección Civil Municipal, Seguridad Pública, Policía Estatal, UEPC, H. C. de Bomberos y H. Ayuntamiento.  Asimismo, se registraron anegaciones por lluvias en diversas colonias; en las colonias San Antonio, Cofradía y López Mateos, se tiene reporte de penetración de agua en varias viviendas (sin cuantificar), alcanzando un tirante de hasta 40 cm.  Se reportan 4 casas con penetración de agua con un tirante de 20 cm en la colonia Buenavista.
*Municipio de Tepotzotlán: Debido a las fuertes lluvias presentadas a las 05:30 horas del día de ayer 12 de septiembre, se registraron inundaciones  con penetración de agua en viviendas (sin cuantificar), caída de bardas, daños materiales, sin reporte de pérdidas humanas. Se desconoce el total de los daños, ya que siguen laborando en el lugar. Al lugar acudió Unidad Municipal de Protección Civil, Servicios Públicos y Agua Potable.
*Municipio de Tlalnepantla: Derivado de las fuertes lluvias presentadas  por la tarde-noche  del día de ayer 12 de septiembre, se registraron encharcamientos en vialidades entre ellos el Periférico Boulevard Manuel Ávila Camacho, así mismo, se tiene reporte de 2 árboles con riesgo de caída con cableado eléctrico en Valle Dorado y Prado Vallejo, ya se encuentra personal de CFE atendiendo la emergencia. No hay reporte de daños humanos.
*Municipio  de Tultitlán: Se registraron encharcamientos a nivel banqueta en la Av. López Portillo, sin reporte de mayores afectaciones, lo anterior por lluvias ligeras registradas desde las 19:00 horas del día 12 de septiembre.</t>
  </si>
  <si>
    <t>Durante la noche del día 12 de septiembre, se registraron lluvias de moderadas a fuertes en varios puntos del estado. Durante el monitoreo por lluvias de ésta mañana, alrededor de las 06:40 horas, personal de la Policía Municipal, se percata del desbordamiento (fase roja) del río Nexapa, a la altura del puente viejo. Se causó debido, a que el río arrastró muchos troncos, éstos se atoraron y generaron un tapón. Se llevó a cabo la evacuación preventiva de pobladores (sin cuantificar). Al momento se reporta en fase amarilla, ya que se encuentra disminuyendo el nivel. No hay reporte de daños humanos. La Unidad Estatal de Protección Civil, informa de 37 viviendas afectadas en 4 colonias (Jesús Guarneros: 13 viviendas, Agustín Verdín: 4 viviendas, La Joya: 1 vivienda y junta auxiliar San Nicolás Tolentino: 19 viviendas), las familias se encuentran en casas de familiares, por lo que no fue necesaria la activación del refugio temporal previsto. A las 08:00 horas, se reporta que el Río “Atoyac¨ se encuentra a su máxima capacidad de nivel. Por medidas preventivas se cierra el paso de la Avenida 11 hacía Lomas de Angelópolis. No se reportan escurrimientos, ni evacuaciones. Se mantendrá monitoreado por Personal de Protección Civil Municipal. Derivado de las lluvias de la madrugada, reportan inundación de hasta 50 cms de tirante en calles y viviendas, de la colonia Getsemaní, en la junta auxiliar de Romero Vargas, del municipio de Puebla, personal de Protección Civil y Personal del Organismo Operador de Limpia, apoya a las familias. Aun no se tiene censo de viviendas afectadas, no reportan daños humanos. En la Junta Auxiliar de San Nicolás, en la población de Chietla se vieron afectadas 30 viviendas. Sin reporte de daños humanos ni evacuaciones.</t>
  </si>
  <si>
    <t>A las 19:00 horas, se registran fuertes lluvias en el municipio, causando desbordamiento del río Copala, resultando anegación de agua en 25 viviendas y traslado de 5 familias a un albergue situado en la localidad de Gregorio Álvarez. Asimismo se reporta caída de 25 árboles en la localidad de Loma Bonita. También el derrumbe en el kilómetro 134 de la carretera federal 125 “Alfonso Pérez Gasca”, al momento se libera un carril. En todos los casos, no se registran daños humanos.</t>
  </si>
  <si>
    <t>Chietla</t>
  </si>
  <si>
    <t>A las 00:17 horas recibieron reporte de inundaciones por lluvias en 30 viviendas con un tirante de 40 cm, ubicadas en la Junta Auxiliar "San Nicolás Tenexcalco", en  el municipio de Chietla. Las autoridades decidieron esperar a que disminuyera el nivel del agua, para acudir a desazolvar, así como, para ayudar a los pobladores a sacar el agua de sus viviendas y hacer limpieza.</t>
  </si>
  <si>
    <t>La madrugada de hoy, se presentó el colapso de un puente a la altura del distrito Silacayoápam, municipio de San Lorenzo Victoria, en la región Mixteca. El puente colapsó debido a fuerte corriente del río del lugar, provocado por las fuertes lluvias que se han generado en los últimos días. En el incidente no se reportan daños humanos, pero si deja incomunicados a 2,000 habitantes, de varias comunidades cercanas. Personal de Protección Civil del estado, trasladó despensas y agua embotellada, a las personas afectadas.</t>
  </si>
  <si>
    <t>Derivado de fuertes lluvias presentadas durante la tarde-noche del día de ayer 16 de septiembre, en el municipio de Jojutla, se tuvieron inundaciones por taponamiento en las siguientes colonias: Zapata, Gladiolas, Tlatenchi, Los manantiales II, Nicolás Bravo, Villas Doral, El Higuerón, Los Arrosales, U. Hab. Morelos, U. Hab. San Jerónimo y  Reforma. Se reportan 350 viviendas afectadas por penetración de agua sin especificar tirante. No hay reporte de daños humanos y no se ha llevado a cabo evacuación al momento, sin embargo, se está valorando habilitar 2 refugios temporales.</t>
  </si>
  <si>
    <t>A las 17:30 horas del día 17 de septiembre, se registró lluvia en el municipio de Zapopan, Jalisco, con duración de 80 minutos. Provocando 34 puntos de inundación en vía pública, 4 casas con penetración de agua, 2 árboles caídos, 1 caída de barda perimetral en el Panteón Municipal Zapopan Centro, 16 vehículos varados (53 personas rescatadas) y 2 postes caídos. Se presentaron lluvias en las siguientes estaciones: La Cima: 71 mm, ITEA: 44 mm, Medio Ambiente: 25 mm, Plaza del Sol: 24 mm, UAG: 22 mm, Las Cañadas: 21 mm, Los Molinos: 19 mm, La Primavera: 8 mm y Technology Park: 7 mm.  Las inundaciones a viviendas se dieron en las colonias Laureles (no se ha determinado tirante de agua ni cantidad de viviendas), El Batán con 1 vivienda con afectación a menaje y División del Norte 2 viviendas afectadas. No se reportan daños humanos ni personas evacuadas</t>
  </si>
  <si>
    <t>Moris, Ocampo, Uruachi, Maguarichi, Bocoyna, Chínipas, Guazapares, Guachochi, Batopilas, Morelos, Guadalupe y Calvo, Santiago y Ciudad Juárez, Chínipas, Batopilas, Urique, Morelos, Uruachi y Guadalupe y Calvo, Chínipas, Urique</t>
  </si>
  <si>
    <t>Derivado de las lluvias que se han registrado en el estado durante las últimas horas, ha sido afectada la zona suroeste del estado en los siguientes municipios: Moris, Ocampo, Uruachi, Maguarichi, Bocoyna, Chínipas, Guazapares, Guachochi, Batopilas, Morelos, Guadalupe y Calvo, Santiago y Ciudad Juárez. En los municipios de Chínipas, Batopilas, Urique, Morelos, Uruachi y Guadalupe y Calvo se encuentran con posible amenaza de inundación, ya que por la localización de éstos, toda el agua de las lluvias baja a esos municipios. Chínipas se mantiene sin energía eléctrica; municipio de Urique reportó una vivienda arrastrada por la corriente de agua, la familia que la habitaba en el lugar se encuentra a salvo y fue trasladada a un refugio temporal, además de no contar con energía eléctrica; municipio de Batopilas, reportó el río que pasa por el municipio, se encuentra en su máxima capacidad y en riesgo de desbordamiento en caso de que la lluvia continúe. De manera preliminar, informa que han habilitado 15 albergues, con un aproximado de 600 personas. Se reportan 4 personas fallecidas por arrastre de corriente, 2 en el municipio de Monterde y 2 en Janevo. Se reportan derrumbes en la carretera que comunica Urique y Chínipas, ya se encuentran laborando en el lugar para liberar los caminos.</t>
  </si>
  <si>
    <t>Ahome, Salvador Alvarado, Sinaloa, Guasave, Choix, Badiraguato, Mocorito, Angostura, El Fuerte, Culiacán, Navolato</t>
  </si>
  <si>
    <t>Se reportan lluvias fuertes de hasta 100 mm en el municipio de Ahome, presentando afectaciones en carreteras, en 13 colonias de Los Mochis, 15 comunidades de Ahome y 4 comunidades de El Fuerte, vehículos varados en vialidades, en la Ciudad de Los Mochis se encuentran incomunicados (vía telefónica) por el momento. Ya se tienen albergues habilitados. Se desconoce el número exacto de viviendas afectadas y vehículos. Se tiene escurrimiento de agua del km 31 al 32 de la carretera México 15. Al momento no se reportan daños humanos.   Colonias Afectadas en Ciudad Los Mochis: 12 de octubre, Jardines del bosque, Las mañanitas, La Toledo, Magisterial, Valle bonito, Rubí villa del bosque, Insurgentes, Anáhuac, Tabachines I, López Mateos, Rubén Jaramillo y Jardines del Country.  Comunidades afectadas en el municipio de Ahome: Ejido compuertas se desbordó el canal, Ejido la fortuna, Las Malvinas, Ejido Florida dos, Ejido la fortuna, Ejido goros dos, Bagojo colectivo, Campo el 35, La cuchilla de cachoana, El Macapule, Poblado seis, San Miguel, Leyva Solano, Chihuahuita y Olas altas.  Comunidades afectadas en El Fuerte: La Constancia, Mochicaui, Carricito y El Ranchito   Drenes Desbordados: Dren Juárez, Dren Malvinas y Dren Compuertas  Albergues habilitados en Los Mochis: COBAES 02 con 63 personas, COBAES 03 de la Villa de Ahome (sin datos de ocupantes) y CONALEP de Chihuahuita (sin datos de ocupantes).  En el lugar se encuentran Protección Civil Municipal, Cuerpos de emergencia, Protección Civil del Estado, SEDENA con la implementación del Plan DN-III, Policía Federal y Bomberos.
El titular del Instituto Estatal de Protección Civil, informó que derivado de las fuertes lluvias registradas en las últimas horas, se reportan 2 mujeres fallecidas, mismas que fueron arrastradas por un arroyo en el municipio de Culiacán. Asimismo, se reporta 1 fallecido por electrocución y 1 por arrastre en el municipio de Ahome (Los Mochis). Derivado de lo anterior, se ha desplazado una misión de Enlace y Coordinación (ECO), encabezada por el Licenciado Ricardo de la Cruz Musalem para atender la emergencia. Por otro lado, indicó que continúan con las labores de evacuación de personas, recorridos de valoración de daños y que ya solicitaron una declaratoria de emergencia, se tiene la suspensión de clases en los municipios de Culiacán, Navolato, Angostura, Mocorito, Salvador Alvarado, Sinaloa de Leyva, Guasave, Ahome y El fuerte, para el día de mañana 21 de septiembre en todos los niveles educativos. Se reporta cierre a la circulación por desbordamiento de agua en km 156 de la Autopista. Mazatlán-Culiacán, en el tramo El Venadillo-Costa Rica, así mismo, se tiene un total de 2,746 personas en refugios temporales, en 17 refugios temporales. Municipio de Ahome: Se reportaron lluvias fuertes de hasta 359 mm en el municipio, con 15 Comunidades afectadas. Se tienen 15 refugios temporales habilitados. En Los Mochis resultaron afectadas 13 colonias, se desconoce el número exacto de viviendas afectadas y vehículos.   Municipio El Fuerte: 4 Comunidades afectadas y 3 Drenes Desbordados. Se tienen 2 refugios temporales habilitados. Cabe señalar que la mayor parte de los desbordamientos son de arroyos de riego. En el lugar se encuentra participando Protección Civil Municipal, Cuerpos de emergencia, Protección Civil del Estado, SEDENA con la implementación del Plan DN-III, SEMAR con el Plan Marina, Policía Federal con el Operativo Carrusel y Bomberos.</t>
  </si>
  <si>
    <t>Guaymas, Empalme, San Ignasio Río Muerto, Bácum, Cajeme, Benito Juárez, Etchojoa, Huatabampo, Navojoa, Álamos, Quiriego, Rosario, Hermosillo, Ures, Carbó, San Miguel de Horcasitas, La Colorada y Rayón.</t>
  </si>
  <si>
    <t>Municipio de Cajeme: Se reportó la inundación de un ejido denominado “Yupurubambo”, en Ciudad Obregón, derivado de las intensas lluvias. Se dispuso de un albergue, donde pernoctaron 30 personas.  Se emite el día 21 septiembre, Declaratoria de Emergencia para 11 municipios del Estado de Sonora, por la presencia de lluvia severa e inundación pluvial y fluvial, por los fenómenos ocurridos los días 18, 19 y 20 de septiembre de 2018; en los municipios de Álamos, Bácum, Benito Juárez, Cajeme, Empalme, Etchojoa, Guaymas, Hermosillo, Huatabampo, San Ignacio Río Muerto y Quiriego. Este mismo día, se reanudaron labores en las escuelas públicas y particulares después de la suspensión oficial del día 19 de septiembre. Arriban los insumos de apoyo del FONDEN para familias afectadas en las comunidades Yaquis de Potam, Las Guasimas, Estación Oroz, Sirm y El Pescado, son enviados oportunamente gracias a la impecable logística y organización de SEDENA y SEMAR.  Municipio de Álamos: El día 22 de septiembre a las 01:00 horas, se reportan 3 refugios temporales disponibles para ocuparse, ya que las personas han decidido irse con familiares y amigos. Se reporta el desbordamiento del arroyo “Cuchujaqui”, debido a las lluvias presentadas en los últimos días. Las comunidades afectadas y visitadas por parte de la Unidad Municipal de Protección Civil son: Santa Lucía, Los Plátanos, Esquina de Verdugo, Basiroa, La Cuesta del Carrizal, Tapizuelas, El Paso, El Salado, Casanate y El Reparo; con un aproximado de 4,000 a 5,000 personas afectadas correspondientes a estas comunidades. Se tienen cuantificadas 3 viviendas con pérdida total en Santa Lucía, 46 en Basiroa, 25 en El Paso y 5 en El Salado. No se reportan personas lesionadas, desaparecidas ni fallecidas. El apoyo a las comunidades se ha dado mediante la ayuda de 5 helicópteros, 2 tipo “Bell“, uno perteneciente a la Policía Estatal y el otro al Gobierno del Estado, y otros 3 helicópteros tipo “Mi-17“ pertenecientes a la SEDENA. La ayuda al momento se estima en la entrega de 700 despensas y 2,000 botellas de agua de 1 litro; se ha dado de manera lenta la entrega, por el tipo de geografía del lugar.</t>
  </si>
  <si>
    <t>Peribán de Ramos</t>
  </si>
  <si>
    <t>El pasado 23 de septiembre, se presentaron fuertes lluvias en el municipio de Peribán de Ramos, ocasionando el desbordamiento del río Cutio y del río Chando; dichos desbordamientos, provocaron el arrastre de vehículos y personas, ocasionando el fallecimiento de 8 personas por arrastre, igualmente, la desaparición de 3 personas, 15 personas lesionadas y 1,500 afectadas. Se han reportado 200 viviendas afectadas aproximadamente, por penetración de agua, se han activado dos refugios temporales, el primero es el Auditorio Municipal con un total de 200 personas, así como la Escuela Primaria “José María Morelos”, sin determinar el total de personas albergadas.  Las colonias más afectadas son: Tirinditas, Barrio Negro, Privada 1 de mayo, Cuauhtémoc y Salida Parastaco. En el sector salud, se realizaron 216 visitas, se realizaron 815 vacunaciones, 90 consultas médicas. Al día 30 de septiembre ya se había restablecido el agua potable en las zonas afectadas. El DIF, reubicó a 5 familias, entregó 1,600 despensas; proporcionó ropa, despensas, agua, medicamentos, materiales de limpieza y herramienta a las familias afectadas. Apoyó con un comedor comunitario y un centro de acopio. Actualmente continúan las labores de búsqueda de las personas desparecidas y ya finalizaron los trabajos de limpieza y desinfección de las zonas afectadas.</t>
  </si>
  <si>
    <t>Fresnillo, Valparaiso, Gral. Francisco R. Murguía, Villa González Ortega, Río Grande.</t>
  </si>
  <si>
    <t>Municipio de Fresnillo, Zacatecas: 5,313 personas afectadas; 238 viviendas con daños en enseres domésticos y viviendas con humedades por inundación y goteras por la lluvia.
Refugio Temporal: con 16 personas evacuadas 7 adultos y 9 menores.
Apoyo entregados: Alimentos, cobijas colchonetas, agua y despensa.
Trabajos: Desazolve del río y limpieza de viviendas.
Municipio de General Francisco R. Murguía, Zacatecas:  9,570 personas afectadas;  489 viviendas con daños en enseres domésticos y viviendas con humedades por inundación y goteras por la lluvia, más 3 pérdida total.
Refugio Temporal: con 40 personas evacuadas 16 adultos y 24 menores.
Apoyo entregados: Alimentos, cobijas colchonetas, agua y despensa.
Trabajos: Desazolve del río y limpieza de viviendas.
Municipio de Valparaíso, Zacatecas: 1,276 personas afectadas; 215 viviendas 489 viviendas con daños en enseres domésticos y viviendas con humedades por inundación y goteras. 
El crecimiento de los ríos Atenco y Río Verde, situación que ha generado que seis comunidades estén incomunicadas  Nogalitos con una población de 300 personas; San Rafael de las Tablas con 553 personas; Ameca de Abajo; Ameca de Arriba 180 personas; Corralitos 155 personas y Las Acatitas de Arriba y de Abajo con 88 personas, 
Entrega de insumos de alimento y abrigo
Municipio de Villa González Ortega, Zacatecas: 6,241 personas; 376 viviendas con daños en enseres domésticos y viviendas con humedades por inundación y goteras. 
Refugio Temporal: con 35 personas evacuadas 12 adultos y 23 menores.
Apoyo entregados: Alimentos, cobijas colchonetas, agua y despensa.
Trabajos: Desazolve del río y limpieza de viviendas.
Un plantel educativo denominado Escuela Primaria Miguel Hidalgo, ubicada en C. Beatriz González s/n Col. Centro, se vieron afectados 6 aulas, por encharcamientos, estos alcanzando un nivel del agua de 0.30mts, afectando equipo de informática, libros de texto y mobiliario. Se tuvo que abrir un hueco en la barda perimetral para permitir que los escurrimientos fluyeran, ya que se encontraban represados por la misma. 
Municipio de Río Grande, Zacatecas: 5,122 personas; 271 viviendas con daños en enseres domésticos y viviendas con humedades por inundación y goteras. 
Apoyo entregados: Alimentos, cobijas colchonetas, agua y despensa.
Trabajos: Desazolve del río y limpieza de viviendas.</t>
  </si>
  <si>
    <t>A las 13:20 horas se reportaron 5 estudiantes lesionados por caída de rayo en la comunidad de Lomas de Sogotegoyo, 2 de los menores fueron trasladados al Hospital regional de Oluta. Al lugar acudieron elementos de Protección Civil Municipal y Seguridad Pública del Municipio.</t>
  </si>
  <si>
    <t>En el municipio de Sinaloa, en los poblados Los Taxtes, Casas Nuevas, Garbanzos, Guasavito y La Mojonera, pertenecientes a la Sindicatura de Ocorini, Ejido Morelos, debido a las lluvias de las últimas horas, se presentan 150 viviendas afectadas por penetración de agua con un tirante de 60 cm. Al momento ya no está lloviendo y el agua está bajando considerablemente. Personal de Protección Civil del municipio ayuda a las personas con labores de limpieza y desazolve.</t>
  </si>
  <si>
    <t>Mapimí</t>
  </si>
  <si>
    <t>El día de ayer se presentaron lluvias fuertes en las regiones de Mapimí (cabecera municipal) y Ceballos, en esta última causando afectaciones en aproximadamente 100 viviendas (algunas por penetración de agua y otras con daños en sus techos). Asimismo, debido a las anegaciones en diversos caminos, se tuvo que desviar el agua de un bordo, hacía la carretera que atraviesa la región de Ceballos, interrumpiendo el paso de vehículos, desde la noche de ayer hasta el mediodía de hoy y con esto evitar mayores inundaciones. No se tiene reporte de daños humanos, ni de personas evacuadas.</t>
  </si>
  <si>
    <t>Coatzacoalcos, Minatitlán, Cosoleacaque, San Andrés Tuxtla, Santiago Tuxtla, Hueyapan de Ocampo, Catemaco, Chinameca, Jesús Carranza, Mecayapan, Oluta, Pajapan, Isla, Zaragoza, Uxpanapa, Soteapan, Lerdo de Tejada, Ángel R. Cabada, Las Choapas, Saltabarranca, Playa Vicente, Texistepec, Hidalgotitlán, Soconusco, Acayucan, Chicontepec, Rafael Delgado, Tantima, Veracruz, Cazones, Huayacocotla, Nogales, Temapache, Castillo de Teayo, Atzalan, Ixmatlahuacan, Tlacotalpan, Sayula de Alemán, Chacaltianguis, Tehuipango, Cosamaloapan de Carpio, Otatitlán, Tatahuicapan de Juárez, Carlos A. Carrillo, Zongolica, Amatitlán, José Azueta, San Juan Evangelista, Acultzingo, Los Reyes, Tamiahua.</t>
  </si>
  <si>
    <t>CT Willa:
En seguimiento a las afectaciones registradas por las lluvias de los últimos días, se reporta lo siguiente en 63 municipios: • 52,076 viviendas inundadas • 209,913 personas afectadas • 85 comunidades incomunicadas • 567 comunidades afectadas • 99 vías de comunicación afectadas •59 deslizamientos de tierra • 27 puentes afectados • 77 corrientes desbordados • 29 refugios temporales • 1,271 personas refugiadas • 10 rescatados • 1 desaparecido • 875 viviendas anegadas • 30 viviendas destechadas • 155 colonias • 2 socavamientos • 21 deslaves • 4 derrumbes • 36 escuelas afectadas • Caída de 25 árboles y 1 espectacular • 11 municipios afectados con energía eléctrica, 3 con agua potable y 2 con telefonía. • 1,764 evacuados.</t>
  </si>
  <si>
    <t>Santa María Jacatepec, Santa Cruz Acatepec, San Juan Bautista, Loma Bonita, Ixtlán de Juárez, Matías Romero, San Juan Guichicovi, Santiago Niltepec, Santa María Huatulco, Magdalena Tequisistlán</t>
  </si>
  <si>
    <t>Municipio de Santa María Jacatepec: encharcamientos y penetración de agua en 7 viviendas (sin conocerse tirante) y la evacuación de sus habitantes (sin conocerse cifra) quienes decidieron irse con familiares y amigos. Asimismo, se reporta un deslave en la carretera Loma Bonita.
Municipio de Santa Cruz Acatepec: viviendas afectadas por vientos fuertes y lluvias (sin cuantificar).
Municipio de San Juan Bautista:   afectación a sembradíos de limón por salida de río en la localidad de Guadalupe de los Obos.
Municipio de Loma Bonita: en la localidad de Palo Gacho se reportó que una camioneta particular perdió  el control y se fue a zona inundada, en donde se rescataron a 2 tripulantes.
Municipio de Ixtlán de Juárez: deslaves en carretera que mantienen incomunicadas a las agencias y sin energía eléctrica en las localidades de Tiltepec, La Luz, Yagila, Teotlasco, Yagavila, Zoogochi, Santa María Jossa Yaneri y Tepanzacoalco.
Municipio de Matías Romero: Incomunicadas las localidades de Paraíso, Brena Torres y San Juan del Río por derrumbes en carreteras.
Municipio de San Juan Guichicovi: afectadas 12 viviendas por inundaciones en la localidad El Triunfo, se encuentran sin energía eléctrica.
Municipio de Santiago Niltepec: desbordamiento de arroyo en la localidad Cazadero de arriba y abajo.
Municipio de Santa María Huatulco: ingreso de agua a viviendas  (80 con daños severos) y socavón en puente de acceso en sector U2 norte, desprendimiento de muro de contención del canal del sector “J” en la localidad de Santa Cruz.
Municipios Magdalena Tequisistlán, San Juan Palotada, Pochutla y San Miguel del Puerto: con afectaciones en carreteras.
Refugios temporales activos:
Municipio de Huautla de Jiménez: 1 RT con 30 personas.
Municipio de San Juan Lalana: 1 RT con 40 personas.
Municipio de San Pedro Ocotepec, Mixe: 1 RT con 100 personas.
Municipio de Santa María Huatulco: 1 RT con 20 personas.</t>
  </si>
  <si>
    <t xml:space="preserve">A las 19:49 horas aproximadamente, se reporta el desborde de río en la localidad El Vaquerito, municipio de Charo, en el kilómetro 23 de la salida a Mil Cumbres. Debido al desbordamiento del río, se presentaron anegaciones en viviendas, como dato preliminar se tienen 15 viviendas afectadas con un tirante de hasta 1 metro de altura, con un total de 52 personas afectadas; 3 de las viviendas presentan mayor daño. Al momento se reportan 12 personas evacuadas que se fueron con familiares y 1 persona lesionada, que resbaló con el agua dentro de su vivienda y golpeó, fue trasladada a un Hospital cercano para su valoración y atención médica. En el lugar, se ha instalado un refugio temporal en el DIF de Charo, en caso de que requiera. </t>
  </si>
  <si>
    <t>Escuinapa, El Rosario, Concordia y Mazatlán.</t>
  </si>
  <si>
    <t>Derivado del paso del ciclón tropical Willa, se reportaron las siguientes afectaciones: los municipios más afectados son, Escuinapa, El Rosario, Concordia y Mazatlán; se reportan 8,148 personas evacuadas; cortes de energía eléctrica, telefonía y agua potable. No se tiene reporte de daños humanos hasta el momento. Se realizan trabajos de limpieza de las zonas afectadas.</t>
  </si>
  <si>
    <t>Tuxpan, Tecuala, Huajicori, Rosamorada, Acaponeta, Santiago Ixcuintla, Bahía de Banderas</t>
  </si>
  <si>
    <t>Debido al paso del huracán Willa, se presentaron las siguientes afectaciones en los municipios de Santiago, Bahía de Banderas, Acaponeta y Tecuala: 6 hospitales con diversos tipos de afectación; 6,600 personas evacuadas; Al momento las afectaciones se encuentran a la baja contando con 11 refugios temporales con un total de 740 personas; se registraron algunas anegaciones en varios sectores, cortes de energía eléctrica, telefonía y agua potable. No se tiene reporte de daños humanos hasta el momento.</t>
  </si>
  <si>
    <t>Siendo las 8:57 horas, en la región montaña, se registra un lesionado y una persona fallecida, por un reblandecimiento, en el que perdió estabilidad una ladera, en la Cabecera Municipal.</t>
  </si>
  <si>
    <t>Centla, Centro, Nacajuca y Macuspana</t>
  </si>
  <si>
    <t>Derivado de las fuertes lluvias registradas el día 13 de noviembre por el paso del frente frío No. 10, se presentaron las siguientes afectaciones en el estado: 8 fallas eléctricas atendidas, 6 en el Centro y 2 en Balancán. Se activaron 3 refugios temporales con 122 personas refugiadas: 1 en Centla con 92 personas y 2 en Nacajuca con 30 personas. 130 familias, alrededor de 700 personas incomunicadas en el poblado El Alacrán, Sánchez Magallanes, Cárdenas, atendidos por personal del IPCET, del H. Ayuntamiento y SEDENA; 9 desazolves de drenajes con unidad hidroneumática (Vactor). Deslave en la carretera Tacotalpa-Oxolotán, a la altura de Caridad Guerrero. Cabe mencionar que hasta el momento no se tiene reporte de daños humanos.</t>
  </si>
  <si>
    <t>Tehuipango, Texhuacan, Catemaco, Santiago Tuxtla, Saltabarranca, San Andrés Tuxtla y Playa Vicente</t>
  </si>
  <si>
    <t>Debido a la presencia del frente frío No. 14, se presentaron los siguientes daños: 7 municipios afectados Tehuipango, Texhuacan, Catemaco, Santiago Tuxtla, Saltabarranca, San Andrés Tuxtla y Playa Vicente; se presentan 1,053 viviendas con algún tipo de daño, presentando una población afectada de 4,212 personas en 18 comunidades, se tiene un socavamiento, 2 derrumbes, 2 deslaves, 8 corrientes desbordadas y un puente afectado.</t>
  </si>
  <si>
    <t>Cármen</t>
  </si>
  <si>
    <t>Comitán de Domínguez</t>
  </si>
  <si>
    <t>Tormenta tropical “Rosa” el 1 de octubre</t>
  </si>
  <si>
    <t>Helada severa ocurrida los días 14 y 15 de noviembre</t>
  </si>
  <si>
    <t>Onda cálida ocurrida del 23 al 26 de julio</t>
  </si>
  <si>
    <t>Onda cálida a partir del día 28 de mayo</t>
  </si>
  <si>
    <t>Tormenta tropical “Sergio” el 12 de octubre</t>
  </si>
  <si>
    <t>Lluvia severa ocurrida el 19 de septiembre</t>
  </si>
  <si>
    <t>Inundación pluvial ocurrida los días 8 y 9 de septiembre</t>
  </si>
  <si>
    <t>01. Lluvia severa e inundación pluvial y fluvial del 28 al 30 de enero</t>
  </si>
  <si>
    <t>Lluvia severa ocurrida el día 19 de octubre</t>
  </si>
  <si>
    <t>04. Inundación fluvial los días 19 y 20 de octubre</t>
  </si>
  <si>
    <t>Inundación fluvial los días 18 y 19 de octubre</t>
  </si>
  <si>
    <t>01. Lluvia severa el 4 y 7 de septiembre</t>
  </si>
  <si>
    <t>Helada severa ocurrida del 16 al 18 de enero</t>
  </si>
  <si>
    <t>Onda cálida del 28 de mayo al 7 de junio</t>
  </si>
  <si>
    <t>Granizada severa ocurrida el día 11 de abril</t>
  </si>
  <si>
    <t>Lluvia severa e inundación fluvial ocurridas el día 4 de septiembre</t>
  </si>
  <si>
    <t>01.Lluvia severa el 23 de octubre</t>
  </si>
  <si>
    <t>Lluvia severa ocurrida el día 18 de septiembre</t>
  </si>
  <si>
    <t>Lluvia severa ocurrida el día 7 al 9 de septiembre</t>
  </si>
  <si>
    <t>Onda cálida ocurrida del 22 al 31 de mayo</t>
  </si>
  <si>
    <t>Lluvia severa ocurrida el día 12 de agosto</t>
  </si>
  <si>
    <t>01. Lluvia severa ocurrida el día 30 de junio de 2018, así como inundación fluvial ocurrida los días 28, 29 y 30 de junio</t>
  </si>
  <si>
    <t>Se reporto que en la comunidad Crucero de Jaguey cerca de la comunidad de Atzacualoya, cayo un rayo provocando el fallecimiento dos personas, las cuales se encontraban cultivando su parcela.</t>
  </si>
  <si>
    <t>Se reporto el fallecimiento de una persona, por caida de rayo.</t>
  </si>
  <si>
    <t>Ajuchitlan del Progreso</t>
  </si>
  <si>
    <t>Un menor y sus padres, intentaron cruzar a bordo de una cuatrimoto, la crecida del río Platanillo, para llegar a su domicilio, en la localidad de la Lajita, ubicada en la parte alta del municipio, cuando dichas personas fueron arrastradas por la fuerte corriente del río, quedando como desaparecido el menor. Elementos de diversas dependencias de emergencias iniciaron la búsqueda del menor.</t>
  </si>
  <si>
    <t>01.Lluvia severa e Inundación fluvial del 29 de agosto al 1 de septiembre</t>
  </si>
  <si>
    <t xml:space="preserve">Onda cálida ocurrida a partir del día 28 de mayo </t>
  </si>
  <si>
    <t>Lluvia severa ocurrida el día 21 de octubre</t>
  </si>
  <si>
    <t>Onda cálida 28 de mayoonda cálida ocurrida a partir del día 28 de mayo</t>
  </si>
  <si>
    <t>03. Lluvia severa los días 17 y 18 de octubre</t>
  </si>
  <si>
    <t>Lluvia severa ocurrida el 8 de abril y granizada severa ocurrida el 7 de abril</t>
  </si>
  <si>
    <t>05. Lluvia severa e inundación fluvial del 19 y 20 de octubre</t>
  </si>
  <si>
    <t>Lluvia severa e inundación pluvial ocurrida el día 10 de agosto</t>
  </si>
  <si>
    <t>Granizada severa y lluvia severa ocurridas el día 22 de abril</t>
  </si>
  <si>
    <t>Lluvia severa los días 20 y 21 de octubre</t>
  </si>
  <si>
    <t>01. Inundación costera del 21 al 28 de mayo</t>
  </si>
  <si>
    <t>02. Lluvia severa del 14 al 15 de junio</t>
  </si>
  <si>
    <t>02. Lluvia severa e inundación pluvial y fluvial del 29 de septiembre al 2 de octubre</t>
  </si>
  <si>
    <t>03.Lluvia severa e inundación pluvial los días 11 y 12 de octubre</t>
  </si>
  <si>
    <t>Inundación pluvial ocurrida el día 12 de agosto</t>
  </si>
  <si>
    <t>Inundación fluvial y pluvial ocurridas el día 23 de octubre</t>
  </si>
  <si>
    <t>Inundación fluvial y pluvial ocurridas los días 18 al 20 de septiembre</t>
  </si>
  <si>
    <t>Lluvia severa e inundación pluvial y fluvial ourridas del 29 de enero al 1 febrero</t>
  </si>
  <si>
    <t>02.Inundación pluvial del 19 al 26 de octubre</t>
  </si>
  <si>
    <t>Inundación fluvial ocurrida los días 30 y 31 de enero</t>
  </si>
  <si>
    <t>Lluvia severa e inundación fluvial y pluvial ocurridos el 20 de abril</t>
  </si>
  <si>
    <t>Inundación pluvial ocurrida el día 17 de junio</t>
  </si>
  <si>
    <t>Lluvia severa e inundación fluvial ocurridas los días 16 y 17 de octubre</t>
  </si>
  <si>
    <t>Lluvia severa, inundación fluvial y vientos fuertes ocurridos del 16 al 18 de octubre</t>
  </si>
  <si>
    <t>Lluvia severa, vientos fuertes e inundación fluvial ocurridos del 16 al 20 de octubre</t>
  </si>
  <si>
    <t>Lluvia severa, inundación pluvial y vientos fuertes ocurridos del 17 al 21</t>
  </si>
  <si>
    <t>Lluvia severa, inundación pluvial y vientos fuertes ocurridos del 18 al 21 octubre</t>
  </si>
  <si>
    <t>Lluvia severa, inundación fluvial y pluvial ocurridas del 19 al 22 octubre</t>
  </si>
  <si>
    <t>Lluvia severa, inundación pluvial y fluvial y vientos fuertes ocurridos del 16 al 24 octubre</t>
  </si>
  <si>
    <t>Inundación fluvial ocurrida el 1 de octubre</t>
  </si>
  <si>
    <t>Inundación fluvial ocurrida los días 3 y 4 de octubre</t>
  </si>
  <si>
    <t>Onda cálida ocurrida del 26 de mayo al 1 de junio</t>
  </si>
  <si>
    <t>En 2018 dos personas fueron atendidas por intoxicación y dos murieron por la misma causa.</t>
  </si>
  <si>
    <t>En 2018 se atendió una persona por hipotermia.</t>
  </si>
  <si>
    <t>En 2018 fueron atendidas 111 personas por bajas temperaturas: 9 por hipotermia, 83 por intoxicación y 19 por quemaduras.  6 perdieron la vida 1 por hipotermia y 5 por intoxicación.</t>
  </si>
  <si>
    <t>En 2018 fueron atendidas 31 personas por bajas temperaturas: 3 por hipotermia, 23 por intoxicación y 5 por quemaduras.  5 perdieron la vida 2 por hipotermia y 3 por intoxicación.</t>
  </si>
  <si>
    <t>En 2018 fueron atendidas 21 personas por bajas temperaturas: 2 por hipotermia y 19 por intoxicación .  2 perdieron la vida 1por hipotermia y 1 por intoxicación.</t>
  </si>
  <si>
    <t xml:space="preserve">En 2018 fueron atendidas 54 personas por bajas temperaturas: 1 por hipotermia y 53 por intoxicación. Dos murieron por intoxiación. </t>
  </si>
  <si>
    <t>En 2018 fueron atendidas 26 personas pro bajas temeraturas. 1 por hipotermia y 25 por intoxicación.</t>
  </si>
  <si>
    <t xml:space="preserve">En 2018 fueron atendidas 25 personas por bajas temperaturas: 1 por hipotermia y 24 por intoxicación. 4 murieron por intoxiación. </t>
  </si>
  <si>
    <t xml:space="preserve">En 2018 fueron atendidas 58 personas por bajas temperaturas: 3 por hipotermia y 55 por intoxicación. 1 murió por hipotermia y 3 por intoxiación. </t>
  </si>
  <si>
    <t xml:space="preserve">En 2018 fueron atendidas 6 personas por bajas temperaturas: 4 por hipotermia y 2 por intoxicación. 1 murió por intoxiación. </t>
  </si>
  <si>
    <t>En 2018 se atendió a una persona por hipotermia.</t>
  </si>
  <si>
    <t xml:space="preserve">En 2018 se atendieron a 3 personas por bajas temperaturas: 1 por hipotermia y 2 por intoxicación. </t>
  </si>
  <si>
    <t xml:space="preserve">En 2018 fueron atendidas 13 personas por bajas temperaturas: 12 por intoxicación y 1 por quemadura. 2 murieron por intoxiación. </t>
  </si>
  <si>
    <t>En 2018 fueron atendidas 38 personas por bajas temperaturas: 2 por hipotermia, 35 por intoxicación y 1 por quemadura.</t>
  </si>
  <si>
    <t>En 2018 fueron atendidas 4 personas por bajas temperaturas: 1 por hipotermiay 3 por intoxicación.</t>
  </si>
  <si>
    <t>En 2018 fueron atendidas 6 personas por intoxicación.</t>
  </si>
  <si>
    <t>En 2018 fueron atendidas 8 personas por intoxicación.</t>
  </si>
  <si>
    <t>En 2018 fueron atendidas 2 personas por intoxicación.</t>
  </si>
  <si>
    <t>En 2018 fueron atendidas 3 personas por bajas temperaturas: 1 por hipotermia y 2 por intoxicación.</t>
  </si>
  <si>
    <t>En 2018 se atendió a una persona por intoxicación.</t>
  </si>
  <si>
    <t>En 2018 fueron atendidas 211 personas por altas temperaturas: 68 por golpe de calor, 142 por agotamiento y 1 por quemadura. 11 murieron por golpe de calor.</t>
  </si>
  <si>
    <t>En 2018 fueron atendidas 104 personas por altas temperaturas: 65 por golpe de calor, 38 por agotamiento y 1 por quemadura. 13 murieron por golpe de calor.</t>
  </si>
  <si>
    <t xml:space="preserve">En 2018 fueron atendidas 74 personas por altas temperaturas:8 por golpe de calor, 64 por agotamiento y 2 por quemadura. </t>
  </si>
  <si>
    <t>En 2018 fueron atendidas 51 personas por altas temperaturas:12 por golpe de calor, 36 por agotamiento y 3 por quemadura. Dos personas perdieron la vida por golpe de calor.</t>
  </si>
  <si>
    <t xml:space="preserve">En 2018 fueron atendidas 34 personas por altas temperaturas: 27 por golpe de calor y 7 por agotamiento.Una persona murió por gole de calor. </t>
  </si>
  <si>
    <t xml:space="preserve">En 2018 fueron atendidas 28 personas por altas temperaturas: 19 por golpe de calor y 9 por agotamiento. </t>
  </si>
  <si>
    <t xml:space="preserve">En 2018 fueron atendidas 25 personas por altas temperaturas: 16 por golpe de calor y 9 por agotamiento. </t>
  </si>
  <si>
    <t xml:space="preserve">En 2018 fueron atendidas 19 personas por altas temperaturas: 9 por golpe de calor y 10 por agotamiento. </t>
  </si>
  <si>
    <t xml:space="preserve">En 2018 fueron atendidas 16 personas por altas temperaturas: 10 por golpe de calor,5 por agotamiento y 1 por quemadura. </t>
  </si>
  <si>
    <t xml:space="preserve">En 2018 fueron atendidas 13 personas por altas temperaturas: 10 por golpe de calor y 3 por agotamiento. </t>
  </si>
  <si>
    <t xml:space="preserve">En 2018 fueron atendidas 11 personas por altas temperaturas: 10 por golpe de calor y 1 por agotamiento. </t>
  </si>
  <si>
    <t xml:space="preserve">En 2018 fueron atendidas 11 personas por altas temperaturas: 2 por golpe de calor y 9 por agotamiento. </t>
  </si>
  <si>
    <t xml:space="preserve">En 2018 fueron atendidas 9 personas por altas temperaturas: 4 por golpe de calor y 5 por agotamiento. </t>
  </si>
  <si>
    <t xml:space="preserve">En 2018 fueron atendidas 7 personas por altas temperaturas: 5 por golpe de calor y 2 por agotamiento. </t>
  </si>
  <si>
    <t xml:space="preserve">En 2018 fueron atendidas 4 personas por altas temperaturas: 3 por golpe de calor y 1 por agotamiento. </t>
  </si>
  <si>
    <t xml:space="preserve">En 2018 fueron atendidas 4 personas por altas temperaturas: 2 por agotamiento por calor y 2 por quemadura. </t>
  </si>
  <si>
    <t>En 2018 fueron atendidas 3 personas por golpe de calor.</t>
  </si>
  <si>
    <t>En 2018 fueron atendidas 2 personas por agotamiento por calor.</t>
  </si>
  <si>
    <t>En 2018 fueron atendidas 2 personas por golpe de calor.</t>
  </si>
  <si>
    <t>En 2018 fue atendida 1 persona por golpe de calor.</t>
  </si>
  <si>
    <t>En 2018 fuer atendida 1 persona por agotamiento por calor.</t>
  </si>
  <si>
    <t>En 2018 fuer atendida 1 persona por golpe de calor.</t>
  </si>
  <si>
    <t>En 2018 una persona murió por golpe de calor.</t>
  </si>
  <si>
    <t>En 2018 dos personas murieron por golpe de calor.</t>
  </si>
  <si>
    <t>Sequía severa ocurrida del 1 de mayo de 2018 al 30 de abril de 2019</t>
  </si>
  <si>
    <t>Agua Prieta, Álamos, Arizpe, Bacadéhuachi, Bacanora, Bacerac, Bacoachi, Bácum, Banámichi, Bavispe, Benjamín Hill, Cananea, Carbó, Cucurpe, Cumpas, Divisaderos, Fronteras, Granados, Huachinera, Huásabas, Ímuris, Magdalena, Moctezuma, Naco, Nácori Chico, Nacozari de García, Nogales, Opodepe, Quiriego, Rayón, Rosario, San Pedro de la Cueva, Santa Ana, Santa Cruz, Suaqui Grande, Tepache, Ures y Villa Hidalgo.</t>
  </si>
  <si>
    <t>Helada y nevada severa del 30 de diciembre de 2018 al 2 de enero de 2019</t>
  </si>
  <si>
    <t>Ahualulco, Villa de Arriaga, Villa de Arista, Ebano, Tamuin, Alaquines, Cerritos, Cardenas, Guadalcazar, Lagunillas, Rayon, Villa Juarez,San Vicente Tancuayalab, Venado, San Luis Potosi, Tierra Nueva, Zaragoza, Matehuala, Catorce, Cedral, Ciudad Valles, Moctezuma.</t>
  </si>
  <si>
    <t>Debido a la sequía se declaró en desastre natural en el sector agropecuario, a 10 municipios del estado de San Luis Potosi por la perdida de 164,562 ha de cultivo sinestrado.</t>
  </si>
  <si>
    <t>A las 12:44 horas del día 16 de enero, se reporta derrumbe de tierra dentro de predio en construcción para departamentos en fase de excavación, sobre avenida Centenario esquina con Cerritos, colonia Pueblo de Santiago Atzacoalco,  alcaldía de Gustavo A. Madero. Las causas, una fuga de agua ocasionó el reblandecimiento de 15 metros cúbicos tierra. Se reporta 1 fallecido.</t>
  </si>
  <si>
    <t>Acajete, Perote y Villa Aldama</t>
  </si>
  <si>
    <t>Helada severa del 21 al 22 de enero de 2019</t>
  </si>
  <si>
    <t>El día 27 de enero, durante la tarde noche se reportó una persona fallecida en el Municipio de Bacalar perteneciente a Ohon P. Blanco y una lesionada en la isla Holbox, por la caída de espectacular, debido a las lluvias y vientos de 55 Km/h que se presentaron por la entrada del Frente Frío 31. Así mismo se presentaron caída de árboles y corte de energía eléctrica.</t>
  </si>
  <si>
    <t>Eduardo Neri</t>
  </si>
  <si>
    <t>Tapachula, Tuxtla Gutiérrez, Escuintla, Sunuapa, Suchiate, Frontera Hidalgo, Ángel Albino Corzo, Las Margaritas, Huehuetan, Acapetahua, San Cristobal de las Casas, Solosuchiapa, Parral</t>
  </si>
  <si>
    <t>Afectaciones con corte de las 19:00 horas del 01 de febrero de 2019:  SISMO Magnitud 6.5 Loc. 37 km al SUROESTE de CD HIDALGO, CHIS 01/02/19 10:14:12 Lat 14.56 Lon -92.48 Pf 62 km. 
Tuxtla Gutiérrez: 1 fisura de barda “Escuela 1 de Mayo” 1 Edificio de INDETUX  daño estructural de barda 1 Café relax separación de tabla roca y fisura en muros posteriores 1 Instituto del deporte separación de juntas frías 1 Inmueble de 3 Viviendas en Col Juan Crispín.- Inhabitable   SOCONUSCO Suchiate:  1 Escuela Sochipilli nivel preescolar.- cuarteadura de loza  1 Escuela José Vasconcelos calderón.- menor lesionado contusión en hombro izquierdo y rodilla derecha se traslada al centro de salud  1 Escuela José Vasconcelos calderón.- daños de un aula por fisura de metro y medio de alto.  1 Escuela Ávila Camacho (se desconoce daños) .
Escuintla:  1 Escuela primaria ejido Nueva California  1 Escuela secundaria ejido hoja Blanca 1 Escuela  primaria ejido Llano Grande  1 Escuela primaria ejido Rosarito la Piñuela 1 Escuela primara ejido el Arenal  1 Escuela de educación inicial ejido el Arenal  1 Escuela primaria ejido Francisco Villa  1 Escuela primaria Ejido la Esperanza  3 Escuelas inicial  cabecera municipal  2 Primarias Cabecera municipal 1 iglesia paredes altamente dañada  cabecera municipal .
Tapachula: 1 Ruptura de cristal de Ventana restaurant VIPS (sin lesionados) 1 Edificio Público DIF.- desprendimiento de Plafón 1 Caída Un poste de CFE de concreto 1 Edificio del Tribunal Superior de Justicia del Estado de Chiapas.- fisuras  1 Barda cuarteada en el Colegio Anthar de Tapachula.
Acapetahua: 32 viviendas.-  material noble cabecera  3 escuelas educación inicial.- facturas 4 primarias.- fisuras 2 secundarias.- fisuras 2 Nivel superior fisuras 1 red de energía eléctrico 400 metros lineales ejido la palma (no cuentan con luz) 1 Biblioteca afectada con daños parciales cabecera municipal 1 biblioteca afectada en ejido la palma  1 biblioteca ejido Jiquilpan estación Bonanza  fisura y daños parciales.
Huehuetán: 6 Escuela de educación inicial.- cabecera municipal 4 Escuela primaria.- cabecera municipal 3 Escuelas Secundarias.- cabecera municipal 1 Escuela nivel superior.- cabecera municipal  Frontera Hidalgo: 2 primarias ejido Fco. I. Madero afectadas 2 primarias Ejido Tescaltic afectadas.
MESETA COMITECA Las Margaritas: 1 Iglesia ”Santa Margarita”, Estructural (Fisura de pared y columna) 1 Jardín de Niños “las margaritas” 07EJN0608L clave- desprendimiento de aplanado y fisuras  1 Escuela Educación Inicial.- Inhabitable  
FRAILESCA Ángel Albino Corzo: Ejido la paz 1 viviendas con fisuras. Ejido Pajal 2 viviendas fisuras. Ejido San Francisco 1 Escuela. Altamira fisura en pared de Cabecera municipal, 5 viviendas fisura de pared. Parral 1 escuela primaria con fisuras y 7 viviendas. Cabecera Municipal con daños estructurales.
ALTOS TZOTZIL TZELTAL San Cristóbal de las Casas: Edificio Histórico Musac con desprendimiento de repello.
REGION NORTE Solosuchiapa: Palacio Municipal afectada inhabitable. Mercado Municipal afectada inhabitable. Casa de la cultura fisura inhabitable.
Sunuapa: Edificio gubernamental inhabitable, pared dañada.</t>
  </si>
  <si>
    <t>Comala</t>
  </si>
  <si>
    <t>A las 09:30 hora local, se reportó la evacuación por parte de Seguridad Pública de 11 viviendas por deslizamiento de las mismas, sobre la calle 22 de Octubre, colonia 3 de Octubre, municipio de Tijuana. Se está llevando a cabo un estudio, en el que indica que aumenta el deslizamiento 1 cm/h, esperando en el transcurso del día pudiera colapsar drásticamente. Se ven afectadas 54 personas (31 adultos y 23 menores), se desconoce a donde fueron llevadas o si se fueron con vecinos y/o familiares.</t>
  </si>
  <si>
    <t>Arivechi, Bacanora, Sahuaripa, Divisaderos, Granados, Huásabas, Villa Hidalgo, Tepache, Banámichi, Huépac, San Felipe de Jesús, Santa Cruz, Agua Prieta, Arizpe, Bacadéhuachi, Bacerac, Bacoachi, Bavispe, Cananea, Cucurpe, Fronteras, Huachinera, Imuris, Naco, Nácori Chico, Nacozari de García, Nogales, Sáric y Yécora.</t>
  </si>
  <si>
    <t>Helada y nevada severa del 20 al 24 de febrero de 2019</t>
  </si>
  <si>
    <t>Guerrero, Cusihuiriachi</t>
  </si>
  <si>
    <t>A las 14:00 horas, se reportan vientos fuertes alcanzando rachas hasta 70km/h, afectando 7 viviendas de material endeble por  destechamiento en el municipio de Guerrero y 2 en el municipio de Cusihuiriachi. Sin reporte de daños humanos.</t>
  </si>
  <si>
    <t>Santa Cruz de Juventino Rosas</t>
  </si>
  <si>
    <t>A las 11:33 horas se reporta Ruptura de bordo del Canal de Coria, ubicado en la Comunidad La Trinidad. Resultando 06 viviendas por introducción de agua en área de patios con un tirante de 5 a 10 centímetros, así como 02 viviendas por introducción de agua de 20 y 40 centímetros, 02 planteles educativos ( una primaria y una secundaria) por introducción de agua en área de patios con un tirante de 40 centímetros e introducción de agua en salones con un tirante de 30 centímetros ( se suspendieron clases), sin lesionados, sin afectación a líneas vitales o necesidad de realizar evacuación preventiva de la zona, sin necesidad de habilitar algún albergue temporal.</t>
  </si>
  <si>
    <t>Jiquilpan</t>
  </si>
  <si>
    <t>En la comunidad de Salitrillo en el municipio de Concepción del Oro, se presentó una lluvia atípica donde hubo varias afectaciones. Se encuentra incomunicada la comunidad de Salitrillo, en la colonia Fovissste se reportan 30 viviendas afectadas, así como el arrastre de 12 vehículos. Se dispuso el refugio temporal a la población pero no fue necesario su utilización. Se localizan con vida a dos masculinos que se encontraban extraviados, mencionan la pérdida de ganado caprino.</t>
  </si>
  <si>
    <t>A las 15:00 horas, se registra caída de granizo en los municipios Alto Lucero de Gutierrez, Emiliano Zapata, Tepetlán y Apazapan, en resultado hasta el momento de los recorridos realizados en los diversos municipios, se reportan 8 viviendas afectadas por destechamientos parciales, en el palacio municipal y DIF de Apazapan, solo se reportan anegaciones leves, no se reportan personas lesionadas ni evacuadas.</t>
  </si>
  <si>
    <t>Jiménez y Zaragoza</t>
  </si>
  <si>
    <t>Granizada severa ocurrida el 17 de abril de 2019</t>
  </si>
  <si>
    <t>El Salto</t>
  </si>
  <si>
    <t>Sequia severa  del 1 de mayo de 2019  al 30 de noviembre</t>
  </si>
  <si>
    <t>Derivado de las lluvias durante la noche en la comunidad de San Nicolás Tetitzintla,  municipio de Tehuacán; se reportan 23 viviendas con penetración de agua, con un tirante de aproximadamente 50 cm. Siendo un total de 148 personas afectadas. Debido a esto se activó un refugio temporal en el Centro Escolar " Presidente Venustiano Carranza", ubicado en calle 6 Pte 216, colonia Jacarandas, Tehuacán. De los afectados solamente 22 personas eligieron ir al refugio, las demás se trasladaron con familiares. No se reportan daños humanos, solo daños materiales.</t>
  </si>
  <si>
    <t>Durante la tarde – noche del 23 de mayo, se presentaron lluvias de moderadas a fuertes acompañadas de vientos fuertes, en el municipio de Tuxtla Gutiérrez. Se reporta la caída de varios árboles, apagones en varias colonias, techos de lámina derribados, vehículos varados e inundación a 64 viviendas de las colonias La Ilusión (la más afectada), Dr. Gabriel Gutiérrez Zepeda y Patria Nueva, afectando a 278 personas, provocados por el taponamiento del sistema de drenaje por basura. No se reportan daños humanos al momento. El agua ya está descendiendo de su nivel.</t>
  </si>
  <si>
    <t>A partir de las 18:00 horas/ 30 de mayo,  se presentaron lluvias fuertes  por lapso de 1 hora; derivado de ello se presentaron las siguientes afectaciones en el municipio de Matehuala y diversas comunidades. Se registra 100 Viviendas afectadas, 40 inmuebles y escuelas con anegaciones, 400 Personas afectadas aproximadamente, Vehículos afectados: 300 (varados o arrastrados por la corriente) Colonias sin energía eléctrica: Olivar de la ánimas, Las Mitras y La Concepción. Colonias con mayor afectación: La Lagunita, La Dichosa, República, Unidad Antorchista, Providencia y Santa Ana; Anegaciones en diversas  vialidades, Caída de árboles, Colapso de una barda en una escuela; 4 Refugios Temporales Habilitados en Casa de Salud Mental, Asilo Municipal Jóse Navarro Sahagun, Clínica 10 del IMSS y Hospital General de Matehuala, se reporta que no hay evacuados. Se mantienen 8 grúas en operación para retiro de vehículos dañados.</t>
  </si>
  <si>
    <t>Matlapa</t>
  </si>
  <si>
    <t>San Gabriel</t>
  </si>
  <si>
    <t>A las 17:30 horas se reportó el desbordamiento del Río San Gabriel en el municipio del mismo nombre, esto a causa del acumulamiento de agua por las lluvias registradas en las últimas horas en la zona Serrana y municipios de las zonas altas del Estado. Al momento se reportan 17 personas arrastradas por la corriente, de las cuales, 10 ya fueron rescatadas con vida, sin reporte de fallecidos al momento y 7 personas desaparecidas; así mismo, se encuentran 80 viviendas afectadas, algunas de estas unas presentan penetración severa de agua y lodo y otras casas de material endeble, fueron arrastradas por la corriente.</t>
  </si>
  <si>
    <t>CENAPRED-Campo</t>
  </si>
  <si>
    <t>A las 18:00 horas, se registraron encharcamientos en las calles Felix Ireta y Enrique Cruz, Col. Popular, perteneciente al municipio de Sahuayo. La causa derivado de las lluvias presentadas por la tarde. Resultando 10 viviendas afectadas por penetración de agua, con un tirante de 15 a 20 cm. Siendo un total de 40 personas afectadas. No se realizó evacuación de las personas debido a que disminuyo continuamente el tirante de agua.</t>
  </si>
  <si>
    <t>A las 17:30 horas, por medio de C4 se recibe llamada de una barrancada en el Cerro del Coyote, Col Juan Pablo cerca del panteón municipal, municipio Acutzingo. La causa por el reblandecimiento de tierra provocando una barrancada derivado de las lluvias presentadas desde las 16:30 horas. Resultando la afectación de 2 colonias (Juan Pablo y Tiro al Blanco), así como 2 casas afectadas y 4 lesionados. Se habilita un refugio temporal en la cabecera municipal con 2 familias refugiadas (8 personas).</t>
  </si>
  <si>
    <t>A las 04:21 horas, se presentaron lluvias fuertes en el municipio de León, provocando afectaciones en: 326 viviendas por introducción de agua en 10 colonias; 1 persona fallecida (masculino de 65 años) en vehículo Spirit, al interior del canal Timoteo Lozano. Afectaciones a la Clínica IMSS T1, por la caída de plafón falso a causa de la humedad.</t>
  </si>
  <si>
    <t>Mexicalcingo</t>
  </si>
  <si>
    <t>18:00 horas/06de junio, se reporta el escurrimiento del río El Jaral en Avenida Narcizo Mendoza, Colonia el Calvario, en el municipio de Mexicaltzingo. Resultaron 10 domicilios  inundados por penetración de agua (40 evacuados), en la Vecindad Ramírez Ayala y Privada de los López, Col. Calvari, se alcanzó un tirante de 40 cm; se realizó la evacuación de los domicilios. No hubo necesidad de habilitar un refugio temporal debido a que las familias se fueron con familiares y amigos.</t>
  </si>
  <si>
    <t>A las 19:50 horas del día 07 de junio, se registró colapso de obra en construcción en el complejo habitacional  “Miraltus”, ubicado  en Avenida Prolongación 5 de mayo #3121, colonia Exhacienda de Tarango , Alcaldía Álvaro Obregón. El siniestro se originó por reblandecimiento de tierra debido a las fuertes lluvias. Derivado del incidente se reportó 1 persona lesionada trasladada a Cruz Roja así mismo 1 fallecido el cual quedo bajo escombros, recuperado el cuerpo a las 12:00 horas del día 08 de junio.</t>
  </si>
  <si>
    <t>Balancán</t>
  </si>
  <si>
    <t>A las 12:00 horas, reportan lluvia fuerte en el municipio de Balancan,  afectando con encharcamientos a los ejidos de Cuauhtémoc y López Zamora. Resultando preliminarmente 435 viviendas afectadas con penetración de agua a nivel de patio, de los poblados Villa Quetzalcóatl, ejidos Cuatemo, El Destino, Emiliano López Zamora y Mical, con 1,936 familias afectadas. Se habilitaron 2 refugios temporales, uno instalado en el Centro Social, (se ubica entre los ejidos Cuatemo, El Destino, Emiliano López Zamora y Mical), con 25 familias y el otro se instaló en una escuela Secundaría, localizado en la parte alta del ejido Mical, con 18 familias, las demás personas, se negaron a salir de sus viviendas.</t>
  </si>
  <si>
    <t>Zimapán</t>
  </si>
  <si>
    <t>El día 19 de junio, se reportaron lluvias fuertes en el municipio de Zimapan, ocasionando 2 fallecidos los cuales fueron arrastrados por la fuerte corriente de un arroyo que se ubica  la altura de la Universidad Minera, en la localidad de Santiago, perteneciente al Municipio de Zimapán.</t>
  </si>
  <si>
    <t>Noche/23 de junio, se atienden varios reportes de afectaciones por la lluvia que se registró en el municipio de Querétaro. Municipio de Querétaro: colonia Panamericano 30 viviendas afectadas de las cuales, 15 con encharcamientos en la cochera y las otras 15 con un tirante de 10 a 15 cm. al interior de los domicilios. Se monitorearon las siguientes colonias: Rancho Bellavista, Sauces, El Rocío, Fracc. Panorámico y Hércules, teniendo afectaciones en esta última por arrastre de lodo y piedras en vialidad y en algunas viviendas. Deslave en km. 0 y km. 2 de la carretera 200 con dirección a Saldarriaga, personal de POES cierra la vialidad para que CEI realice los trabajos correspondientes.</t>
  </si>
  <si>
    <t>Lluvia severa e inundación pluvial y fluvial el 24 de junio de 2019</t>
  </si>
  <si>
    <t>Guadalajara, Zapopan, Tonalá, Tlajomulco de Zúñiga, San Pedro Tlaquepaque</t>
  </si>
  <si>
    <t>01:45 horas/30 de junio, inició lluvia de moderada a muy fuerte con caída de granizo en toda la Zona Metropolitana (Guadalajara, Zapopan, Tonalá, Tlajomulco de Zúñiga y Tlaquepaque). 
15:00 hrs/30 de Junio. Reunión de Consejo Estatal.
Municipio de Guadalajara: Se reportaron afectaciones en 5 colonias contabilizando 223 viviendas donde habitan 846 personas en su mayoría adultos mayores (259 familias), calculan que el total de remoción de granizo fue de 3 mil metros cúbicos y se encuentran en fase de saneamiento. Se han contabilizado 11 árboles caídos, daño a 2 postes de energía, colapso en bardas (en proceso de verificación), 61 negocios (3 censados), 20 calles con diversos daños, (18 pendientes de revisión), 3 negocios afectados (58 pendientes de revisión). 50 vehículos dañados. Los Servicios médicos cruz verde están inhabilitados por daños en sus instalaciones: plafones, Instalaciones eléctricas y sala de rayos x; fuerza de tarea: 74 vehículos y 373 elementos. 
Municipio de Tlajomulco de Zúñiga: 70 viviendas afectadas, desbordamiento del canal de Cuenca La Colorada y La Culebra, uso de maquinaria pesada para labores de limpieza.
Municipio de Tlaquepaque: Se registran 5 colonias afectadas (Rancho Blanco, Álamo Oriente, La Capacha, Cabecera y Parque Industrial el Álamo),  con un total de 1033 inmuebles dañados, de los cuales 137 resultaron con daños en menaje e infraestructura física, así como 27 inmuebles con daños severos en estructuras a consecuencia de derrumbes de techumbres, bardas, techos y plafones, 19 derrumbes de estructuras metálicas: techumbres, naves industriales y escuelas (en proceso de verificación), 30 vehículos varados y/o con daños por colisión e inundación, 5 Atenciones médicas por hipertermia. Fuerza de tarea: 15 vehículos y 56 elementos
Municipio de Zapopan: 3 inundaciones a vía pública, 1 vehículo varado, 1 poste de energía eléctrica caído, fuerza de tarea: 15 vehículos y 74 elementos.
Municipio de Acatlán: Fuerza de tarea: 1 vehículo y 10 elementos
• Otras acciones: Continúan realizando el retiro del granizo en las colonias afectadas, se mantienen labores de limpieza y saneamiento, s e levantan censos para cuantificación de daños, el día de mañana 1 de julio se instalarán los consejos municipales para informar sobre el avance en la Evaluación de daños y determinar la viabilidad de solicitar la declaratoria de emergencia. 
SEDENA: 2 vehículos y 39 elementos.
CONAGUA: 2 Vehículos y 4 elementos.
• Gobierno Estatal: Se realizan recorridos en las colonias afectadas, fuerza de tarea: 25 vehículos y 77 elementos.</t>
  </si>
  <si>
    <t>A las 00:20 horas se registraron lluvias fuertes y de granizo en el municipio de San Miguel de Allende; la lluvia y el granizo cesaron a las 01:00 horas, se reportaron caída de árboles, afectación a la circulación en las principales vialidades por acumulación de granizo de hasta 50 cms. de altura, penetración de agua en algunas viviendas a nivel de patio, arrastre de vehículos, hasta el momento se han contabilizado 25 inmuebles afectados, entre viviendas y comercios.</t>
  </si>
  <si>
    <t>19:00 horas/02 de julio, se reportaron los primeros hallazgos de cuerpos en el Cañón de la Lima, municipio de Parras. El día de hoy hasta las 08:30 horas, se han localizado 8 cuerpos (6 han sido identificados). Se desconoce lo que hacían las personas en el lugar, por lo que la Fiscalía determinará las causas de su fallecimiento. Los cuerpos fueron localizados a orillas de un arroyo; la hipótesis que se tiene es que posiblemente las personas estaban acampando y debido a las lluvias presentadas en la zona, pudieron ser arrastrados por una corriente repentina de agua.</t>
  </si>
  <si>
    <t>Los Reyes la Paz</t>
  </si>
  <si>
    <t>Derivado de las lluvias y vientos que se registraron por la tarde de hoy, se presentó la caída de un árbol, sobre una camioneta tipo urvan, con número de placas de circulación 782-298, del transporte público; el incidente se presentó en el kilómetro 20, de la carretera México-Cuautla, en el municipio de los Reyes la Paz. Se reporta 1 fallecido y 14 personas lesionadas, de las cuales 3 fueron trasladadas al hospital de la Perla, Nezahualcóyotl.</t>
  </si>
  <si>
    <t>A las 21:00 horas, se registró el deslave de cerro sobre el techo de una vivienda en la Junta Auxiliar de Santo Tomás Chautla, municipio de Puebla. Se debió, ante la fuerte lluvia que se registró en la tarde. Se reportaron 7 personas fallecidas y 11 personas atendidas por crisis nerviosa. Ninguna otra vivienda resultó afectada y no se reportaron desaparecidos.</t>
  </si>
  <si>
    <t>21:00 horas/12 de julio, Desborde del Río Alseseca, colonia La Hacienda, municipio de Puebla. La calle Amalucan fue la más afectada, el agua en zonas bajas alcanzó un tirante de 30-40 cm. Se registraron encharcamientos en viviendas (4), penetración de agua a locales del mercado cercano (sin cuantificar), caída de una barda de 5x2.5 m. de la Escuela Primaria Hacienda De Guelatao, inundaciones en vialidades y vehículos varados, no se reportaron daños humanos. Por las lluvias, el río creció y el exceso de basura que arrasdtró provocó un tapón no permitiendo el paso del agua. Se labora en el desazolve de avenidas y limpieza en viviendas afectadas;a la 01:00 horas del 13 de julio, terminaron las labores quedando en situación normal. Se informó que 1 persona de la tercera edad fue trasladada a un Hospital.</t>
  </si>
  <si>
    <t>A las 19:48 horas/15  de julio derivado de las fuertes lluvias (62.2 mm en la estación La Primavera) se reportan anegaciones en 23 vialidades, 16 viviendas con penetración de agua, 3 árboles caídos y 31 vehículos varados o arrastrados por la corriente. Se tiene el desbordamiento del canal Patria. No se reportan daños humanos. A las 03:30 horas concluyeron las labores de remoción de sólidos, sedimentos finos y basura; se mantienen labores de saneamiento.</t>
  </si>
  <si>
    <t>18:00 horas/21 de julio, se reportó lluvia de moderada a fuerte en la zona centro del Estado, sin reporte de afectaciones. En el municipio de Tlajomulco, se tuvieron escurrimientos sobre los arroyos La Culebra y La Colorada, ocasionando un taponamiento hidráulico con palizada, lodo y ceniza de incendios forestales, lo que provocó el desbordamiento sobre calles, encharcamientos, vehículos arrastrados y destrucción de la carpeta asfáltica. Al momento, el Presidente Municipal de Tlajomulco reporta 50 viviendas afectadas de 13 colonias y 15 vehículos afectados. No se reportan daños humanos. Al momento, se realizan las siguientes acciones: 1. Evaluación de daños y análisis de necesidades en la zona aledaña al arroyo conocido como “La Colorada”. 2. Desazolve  de calles en las colonias de Bosques de Santa Anita, Terrón, Lagunitas, Ciénagas. 3. Desagüe de viviendas inundadas por la zona de Santa Anita. 4. Traslado de materiales en vehículos de volteo. 5. Saneamiento y desazolve de red fluvial.
6. Retiro de vehículos varados. 7. Salvamento de personas atrapadas en sus vehículos durante inundación sobre Boulevard Bosques de Santa Anita. 8. Obras de defensa y/o reforzamiento de cauces con costalera en el arroyo “La Colorada”. 9. El día de mañana a las 19:00 horas, comenzará la entrega de enseres domésticos a personas afectadas.</t>
  </si>
  <si>
    <t>Villa Madero</t>
  </si>
  <si>
    <t>A las 15:50 horas, se registró lluvia fuerte con duración aproximada de 35 minutos, provocando al momento afectaciones en la Zona Sur: Encharcamientos e inundaciones en vialidades principales, en algunas zonas el tirante del agua es de 20 – 80 cm. Así como 11 árboles caídos, la mayoría obstruyendo vialidades. Carros varados por encharcamientos (sin cuantificar). Desbordamiento de una Canal de Temporal en la colonia El Briseño, afectando al momento a 16 domicilios por penetración de agua (encharcamientos) y 1 barda caída en 1 de las viviendas.</t>
  </si>
  <si>
    <t>A las 17:00 horas, derivado de las lluvias registradas en el municipio de Zapopan, se registró el desbordamiento del Arroyo Seco, por la ruptura del bordo de lado de Tlaquepaque, provocando encharcamientos en vialidades entre la Av. Adolf B. Horn y calle Pino entre las colonias Santa Cruz del Valle y La Gigantera, penetración de agua a 4 comercios situados en una estación gasolinera, donde el agua en el comercio más afectado alcanzó una altura de 80 cm y 4 vehículos varados en vialidades.</t>
  </si>
  <si>
    <t>Teocuitatlán</t>
  </si>
  <si>
    <t>En el transcurso de la noche del día 28 de julio, se presentaron lluvias de ligeras a moderadas en el municipio de Teocuitatlán, reportando la afectación a 22 viviendas, 7 de ellas con daño en menaje, una escuela, una bodega y 6 parcelas, por penetración de agua.</t>
  </si>
  <si>
    <t>Guadalajara, Zapopan, Tlajomulco de Zúñiga</t>
  </si>
  <si>
    <t>En el transcurso de la tarde-noche del 29 de julio, se presentaron lluvias en la Zona Metropolitana de Guadalajara, provocando afectaciones en:
Guadalajara: 3 Pasos a desnivel inundados, 2 automóviles varados, 1 canal desbordado (Canal de Patria), 70 cm de altura de agua en vialidades e Introducción de Agua en Plaza Galerías.
Zapopan: 32 árboles caídos, 3 postes eléctricos caídos, 1 socavón, 6 casas con penetración de agua, 4 canales desbordados y 1 posible arrastre de persona por la corriente.
Tlajomulco de Zúñiga: 15 viviendas con penetración de agua, 1 fábrica con penetración de agua, 3 canales desbordados y daño a infraestructura vial en la colonia Bosques de Santa Anita.</t>
  </si>
  <si>
    <t xml:space="preserve">17:20 horas/04 de agosto, tormenta que se desarrolló al oeste de la zona metropolitana y sobre el Bosque de la Primavera, generando vientos fuertes y escurrimientos importantes, afectando a la zona sur del municipio de Zapopan. La tormenta generó la caída de granizo registrándose hasta 50 cm. de altura, ocasionando daños en viviendas, vehículos y vialidades públicas. Se registraron acumulados de 39 mm en la zona del Fortín y 37 en Technology Park, respectivamente, respecto al viento, la estación del Fortín marcó rachas de 60 km/h, las Cañadas con 50 km/h y Medio Ambiente con 47 km/h. Afectando preliminarmente 86 viviendas (en proceso de cuantificación y evaluación de daños) por introducción de hasta 50 cm. de agua y lodo. Afectaciones en 7 colonias (Villas de Perisur, Villas de Ixtépete, Mariano Otero, Lomas de la primavera, el Rehilete, la Zona de Rancho Contento y Solares). Acumulación de granizo rumbo a la salida de la carretera a Nogales (50 cm.). 10 árboles caídos. 1 barda perimetral caída. 3 vehículos arrastrados por la corriente. 31 puntos de inundación. Desbordamiento del canal “Arroyo Seco”. Se tiene habilitado 1 albergue en el municipio con capacidad para 25 personas, al momento sin ocupar porque la gente ha sido canalizada con familiares. </t>
  </si>
  <si>
    <t>Derivado de las lluvias registradas en el municipio, se reporta afectación a viviendas por penetración de agua, esto por coladeras tapadas por basura. Al momento, el Director de Protección Civil del municipio, realiza recorridos de valoración de daños, contabilizando al momento 86 viviendas con inundación con variación de altura, algunas llegan al metro de tirante de agua.</t>
  </si>
  <si>
    <t>A las 16:42 horas, derivado de las lluvias presentadas en el municipio se reporta el fallecimiento de una persona en el eje 10 a la altura del psiquiátrico, Col. Santa Catarina, municipio de Valle de Chalco. La causa por caída de rayo.</t>
  </si>
  <si>
    <t>Nicolás Romero</t>
  </si>
  <si>
    <t>15:40 horas/06 de agosto, iniciaron lluvias fuertes y posteriormente a las 18:20 horas en el municipio de Nicolás Romero, se presentó una bajada de agua por escurrimientos del río en Nicolás Romero que cruza el Sitio 217 en algunos tramos, ya que llegó al 100% de su cauce. Ocasionó anegaciones en diversos puntos del municipio por la acumulación de basura en coladeras. Ya se realizó el retiro del material y el nivel del agua ya está descendiendo. Penetración de agua en 15 viviendas. Ya se realizó el desazolve y limpieza de algunas viviendas. Se reportó la caída de una barda en Bulevares del Lago.</t>
  </si>
  <si>
    <t>A las 04:32 horas, se reportó el derrumbe de 3 cuartos que se consumieron en su totalidad de una vecindad de 2 niveles (15 habitaciones en la parte baja y 15 en la parte superior), ubicada en calle Gabino Barrera No. 730, interior 21, colonia Las Conchas, municipio de Guadalajara. Se rescataron a 5 personas (con vida) y 2 lesionados sin gravedad. Se reportaron 27 evacuados de viviendas aledañas.</t>
  </si>
  <si>
    <t>Derivado de las lluvias que se presentaron el día de ayer en el Municipio de Huixtla, se reportan preliminarmente 146 casas afectadas, de las cuales, 140 presentaron penetración de agua con un tirante variable de los 0.40 a 1.20 metros, de manera preventiva, se evacuaron 668 personas, mismas que ya regresaron a sus hogares, se reportó el colapso de un puente sobre un libramiento, 35 comercios afectados por penetración de agua, la caída de una barda de una Escuela Primaria, así como la caída de una barda del Estadio de Futbol Anáhuac.</t>
  </si>
  <si>
    <t>La tarde del día de ayer 18 de agosto, a las 13:08 horas, se reporta el desbordamiento de Rio Zanjón del Chino, esto  en las comunidades de Río Arriba y Benito Juárez en el municipio de Acapetahua, reportando 95 viviendas afectadas por penetración de agua en conjunto de las 2 comunidades, con niveles de 30 a 70cm de altura, no reportan lesionados, evacuados, ni albergues habilitados.</t>
  </si>
  <si>
    <t>Matías Romero y Santa María Petapa</t>
  </si>
  <si>
    <t xml:space="preserve">El día de ayer en el trascurso de la noche - madrugada, se presentaron lluvias y vientos fuertes en la zona Istmo Norte, derivada de esto se reportan afectaciones en los siguientes municipios: Municipio de Matías  Romero Avendaño: Se reportan 236 viviendas afectadas por penetración de agua, con un acumulado de 15 a 20 cm de alto aproximadamente, esto en la Colonia Oaxaqueña, Centro Sur, Centro Norte, Hidalgo centro, Hidalgo Norte, Robles Oriente,  Barrio Juárez Norte y Sur y Bario Nuevo. No se reportan personas evacuadas ni lesionadas. Al momento el nivel de agua bajo y se realizan labores de desazolve del sistema de drenaje y limpieza en la zona. Municipio Santa María Petapa: Se tiene afectación en 17 viviendas por penetración de agua y lodo, en la zona centro de la Colonia “El Bajío”. No se reportan personas evacuadas ni lesionadas. Por el día de hoy, se tiene suspensión de clases en el COBAO 05 del Municipio, esto debido a que también se vio afectado por las lluvias. Al momento se reporta que el nivel de agua bajó y se realizan labores de limpieza de la zona. Cabe mencionar que continúan lluvias de moderadas a fuertes en la zona, al momento no se tiene reporte ni incremento en niveles de ríos y se realiza monitoreo constante. </t>
  </si>
  <si>
    <t>Jesús Carranza</t>
  </si>
  <si>
    <t>A las 15:00 horas/20 de agosto se recibe llamada de ciudadano el palacio municipal en el que refiere que debido a las lluvias fuertes y a la creciente del Río Solosúchil en la noche del 19 de agosto, *colapsó el puente que une a las comunidades de Vicente Guerrero y Plan de Pericos. También se encuentra afectado el puente en la comunidad Modelo Dos Ríos ya que se encuentra embalsado de madera que arrastró el Río Solosúchil, se realizará labor de limpieza para evitar que colapse. Refieren que en la cabecera municipal el nivel del Río se encuentra en 4.80 metros y el agua comenzó a entrar a algunas casas (Sin contabilizar).</t>
  </si>
  <si>
    <t>A las 01:30 horas, derivado de las fuertes lluvias del día de ayer, se reportó la ruptura de ventana del río Cacaluta, municipio de Acapetahua. Se tiene reporte de afectaciones en el Ejido Murallas, al momento con 80 viviendas afectadas parcialmente por encharcamientos, sin reporte de daños humanos o evacuación preventiva.
Poblados afectados en Acapetahua por inundaciones: Embarcadero Río arriba: 70 viviendas y 280 personas afectadas. Benito Juárez: 25 viviendas y 100 personas afectadas. Barrio San José  Filapa: 30  viviendas y 120 personas afectadas. Ejido Murallas: 80 viviendas y 480 personas afectadas. Ranchera I. Allende:  7 viviendas y 35 personas afectadas. Colonia Esmeralda: 6 viviendas y 22 personas afectadas. Colonia Soconusco: 30 viviendas y 120 personas afectadas. Ranchera el Progreso: 15 vivienda y 60 personas afectadas.
Se encuentran en albergues del municipio en espera que baje el nivel del agua. Solo hubo daños a pertenencias, causados por la rotura de cuatro ventanas de los ríos de la región, originando el desborde. Se niegan a ser reubicadas a pesar de estar en zona riesgo por la cercanía de los esteros.</t>
  </si>
  <si>
    <t>El Rosario, Mazatlán, Elota, Guasave y Ahome</t>
  </si>
  <si>
    <t>Municipio de El Rosario: 20:30 hora local/21 de agosto, se registraron lluvias fuertes en el municipio, con acumulados de 200 mm las cuales ocasionaron daños entre 6 y 7 colonias. De manera preliminar, se reportan: 150 viviendas con penetración de agua hasta con un tirante de 1 metro, 70 de las afectadas son de un asentamiento Irregular con viviendas con techos de lámina, situadas todas en 3 colonias: El Tierral, Vicente Guerrero y Manuel Pineda. El agua ha comenzado a disminuir. 640 personas afectadas. Se mantiene activo un refugio temporal con 24 personas (16 menores y 8 mujeres) en el Colegio de Bachilleres del Estado de Sinaloa  COBAES No. 51 ubicado en Calle 20 de Noviembre S/N, colonia Aguaverde; quienes fueron evacuadas de la colonia Dr. Manuel Pineda. No se reportan daños humanos. Municipio de Mazatlán: 150 viviendas afectadas en la comunidad Jacarandas. Municipio de Elota: Desbordamiento de canal de aguas negras km 84, (1570) Mazatlán-Culiacán, tramo: El Venadillo-Costa Rica. Ocasionando el cierre parcial a todo tipo de vehículos en ambos sentidos de la pista.</t>
  </si>
  <si>
    <t>LLUVIA SEVERA E INUNDACIÓN PLUVIAL EL 22 Y 23 DE AGOSTO DE 2019</t>
  </si>
  <si>
    <t>Fresnillo, Sain Alto y Juan Aldama</t>
  </si>
  <si>
    <t>El día de ayer 22 de agosto a las 18:00 horas se presentó lluvia fuerte con granizo e inundación en el municipio de Fresnillo en las colonias Centro, FOVISSSTE, Olivar, Fray Servando Teresa de Mier, La Lagunilla, Reforma, Hidalgo, Juárez y Los Patillos; derivado de lo anterior se tienen 25 viviendas con penetración de agua de 25 a 40 cm; por otro lado, se reportan 80 domicilios con ligera introducción de agua, en la colonia Francisco Goitia, así mismo en la carretera estatal a la comunidad La Estación San José se vieron afectados 6 negocios con penetración de agua. También se rescataron 25 personas de vehículo varados. Igualmente, hubo encharcamientos en vialidades en los municipios de Saín Alto y Juan Aldama con un tirante de hasta 50 cm. El nivel de agua ya descendió.</t>
  </si>
  <si>
    <t>Lluvia severa e inundación fluvial y pluvial el 23 de agosto de 2019</t>
  </si>
  <si>
    <t>A las 22:17 horas, la Unidad Estatal recibió reporte de desabarrancada en la colonia Juan Pablo II, el municipio de Acultzingo. Se mantiene sin reporte de personas lesionadas. Se evacuaron por completo como medida preventiva las dos colonias afectadas: Juan Pablo II (34 viviendas evacuadas)  y Tiro al Blanco (4 viviendas). Tres familias pernoctaron en los espacios adecuados por el Ayuntamiento (1 familia en la Bodega de Protección Civil Municipal y 2 familias en el Auditorio Municipal); un total de 13 personas. Se reporta de manera preliminar 3 viviendas afectadas. Se tiene el reporte de una persona desaparecida, un hombre de 58 años, por lo que se activaron los protocolos de búsqueda.</t>
  </si>
  <si>
    <t>Derivado de las lluvias fuertes registradas durante las últimas horas en toda la Zona Metropolitana de Monterrey, ha provocado encharcamientos en gran parte del Área Metropolitana, el incremento del arroyo “Topo Chico” a su máxima capacidad sin presentar desbordamiento, inundaciones en varios puntos donde el agua fluye a nivel de banqueta con una altura de 40 cm., pasos a desnivel inundados, Barragán y Fidel Velázquez, percances viales, árboles caídos, conatos de incendio en trasformadores (atendidos por CFE) y 35 carros varados. Al momento, se reportan 2 personas fallecidas electrocutadas, por cables de energía eléctrica aunque no se confirma que sea por las lluvias, esto en vía pública.</t>
  </si>
  <si>
    <t>Se registraron fuertes lluvias en la Alcaldía de Azcapotzalco; se reportó el desbordamiento de los Ríos San Mauricio Totolinga, Río Hondo y De Los Remedios. Se reportaron 3 viviendas con anegaciones de 65 cm de tirante de inundación, donde se evacuaron a 18 personas de manera preventiva, mismas que se quedaron con familiares y amigos, se atendieron a 2 personas con crisis nerviosa y se mantuvo cerrada la Avenida de las Armas para realizar las labores de limpieza.</t>
  </si>
  <si>
    <t>Se reportaron 10 viviendas afectadas por penetración de agua a nivel de patio, donde 4 de ellas, tuvieron daños en menaje, esto en el Fraccionamiento Pastores, en la Colonia Conde, 16 viviendas presentaron anegaciones de hasta 60 cm de tirante de inundación. Se realizaron labores de limpieza al interior de los domicilios y vialidades de la zona, con apoyo de 3 pipas, 2 moto bombas y un vactor, no se reportaron daños humanos y ha disminuido de manera considerable el nivel del agua, no fue necesario activar refugios temporales.</t>
  </si>
  <si>
    <t>A las 19:00 horas del día de ayer, se registraron lluvias fuertes en la Localidad de El Resbalón, municipio de Acaponeta; se reportó el desbordamiento del arroyo El Cangrejo, al momento de la avenida extraordinaria, se encontraban varias personas en el arroyo, el cual es utilizado como balneario. Se informó que fueron arrastradas 24 personas, durante la noche de ayer y parte de la madrugada del día de hoy, fueron rescatadas 22 personas con lesiones leves, sin ameritar traslado y se rescataron los cuerpos de 2 hombres arrastrados por la corriente del río.</t>
  </si>
  <si>
    <t>Municipio Matehuala: 06:30 horas/26 de agosto, se reportó el desbordamiento de un abrevadero, por la ruptura del borde, en la comunidad de San José de Aguajes, afectando 11 viviendas por penetración de agua con altura de 45 a 50 cm de altura. Se reportaron 50 personas en un albergue temporal que se habilitó en la escuela Primaria Emiliano Zapata de la misma comunidad.</t>
  </si>
  <si>
    <t>Derivado de las lluvias registradas durante la noche de ayer y parte de la madrugada del día de hoy, se han reportado un aproximado de 50 viviendas afectadas por introducción de agua, en el Ejido de Campo El Diez. Por otro lado, se registró la crecida de un río en la Comunidad de Agua Caliente, por lo que no se tenía paso por la zona y se mantenían en espera de que baje el nivel para verificar daños.</t>
  </si>
  <si>
    <t>Se presentaron lluvias fuertes acompañadas de granizo y tormenta eléctrica, en el municipio de Culiacán, presentando anegaciones en varias vialidades, situación que ocasionó que varios vehículos quedaran varados (sin cuantificar). Protección Civil del municipio, indicó que se vieron afectadas de 80 a 100 viviendas con penetración de agua, principalmente en sus patios, el agua alcanzó en algunos lugares hasta 60 centímetros. Por otro lado, señalaron que en el campo número 6, de la Sindicatura Costa Rica, 1 persona falleció y 1 más resultó con diversas quemaduras a causa de un rayo.</t>
  </si>
  <si>
    <t>Presencia del CT Fernand en 31 municipios del estado de Nuevo León que generó fuertes precipitaciones en la entidad que derivaron en daños diversos a la infraestructura estatal y federal. Más de 3,500 viviendas fueron afectadas en diferente grado.</t>
  </si>
  <si>
    <t>Guadalajara, Tlaquepaque, Tlajomulco de Zúñiga y Zapopan.</t>
  </si>
  <si>
    <t>Noche/06 de septiembre, se presentaron lluvias de ligeras a fuertes en los municipios de Guadalajara, Tlaquepaque, Tlajomulco de Zúñiga y Zapopan. Municipio de Tlaquepaque: Se presentó lluvia de moderada a fuerte con duración de 10 minutos en el municipio, provocando en la colonia La Micailita, domicilios con penetración de agua a nivel de patio (sin cuantificar) y encharcamientos viales. Protección Civil se dirigió a los puntos para verificación y cuantificación, sin reporte de afectaciones mayores. Municipio de Zapopan: Se presentaron lluvias fuertes en el municipio, principalmente en la Zona norte, provocando inundaciones, encharcamientos viales y vehículos varados, así mismo provocando tráfico vial. No se reportaron daños humanos. Los encharcamientos disminuyeron considerablemente. Municipio de Guadalajara: Se atendió́ la lluvia registrada a las 21:10 horas sobre el sur-poniente del municipio, con una intensidad de mínima a ligera, provocando únicamente encharcamientos viales en las colonias San Carlos con altura de 30 a 40 cm, Las Conchas con altura de 30 cm y Mercado de Abastos con 50 cm de nivel de agua, ya disminuyendo sin provocar daños mayores. Se reportó daños a 1 vehículo en el paso a desnivel Gobernador Curiel, sin daños humanos. Aproximadamente la lluvia concluyó a las 22:30 horas. Municipio de Tlajomulco de Zúñiga: Derivado de las lluvias fuertes que se registraron en el municipio, se reportó el desbordamiento del canal Arroyo Seco, entre Dr. Pedro Juan Mirassou Tarno al cruce con Av. Adolf Bernanrd Horn, provocando inundación en vialidad. Personal de Seguridad Pública y vialidad realizaron el cierre de vialidades y evitar un accidente automovilístico. No se reportaron afectaciones a viviendas, únicamente a vía pública. 23:11 horas/06 de septiembre, derivado de las lluvias se registró el aumento en el cauce de un arroyo ubicado entre Camino Real y Prolongación Matamoros, por lo que un señor de aproximadamente 55 años junto con su hija a bordo de una bicicleta, intentaron cruzar el afluente y al llegar una corriente los arrastró, la mujer pudo salir pero el señor no.</t>
  </si>
  <si>
    <t>Tlatlauquitepec</t>
  </si>
  <si>
    <t>Derivado de las lluvias de 20 mm registradas a de 17:30 horas a las 19:00 horas, se reportó desbordamiento en el arroyo de la delegación de San Agustín. En el Blvd. Bosques de Santa Anita la vialidad fue cerrada a la circulación. Se reportan 4 personas fallecidas por ahogamiento, las cuales ya fueron recuperadas del canal. Se reporta el arrastre de 7 vehículos. Aún hay 4 personas desaparecidas. Se mantienen labores de búsqueda y rescate.</t>
  </si>
  <si>
    <t>Inundación fluvial y pluvial el 8 de septiembre de 2019</t>
  </si>
  <si>
    <t>Inundación fluvial el 16 de septiembre de 2019</t>
  </si>
  <si>
    <t>Durante la madrugada del día 18 de septiembre, se registraron lluvias fuertes con un acumulado de 155.8 mm en el municipio de Manzanillo; se reporta lo siguientes: Suspenden actividades los trabajadores del Gobierno del Estado en los municipios de Manzanillo, Tecomán y Armería; suspensión de clases en 10 municipios, hasta nuevo aviso; 10 viviendas afectadas (9 viviendas con penetración de agua, con niveles de hasta 1 metro), 1 vivienda afectada, por caída de barda; fueron cerrados los puertos a la embarcaciones menores y mayores; desbordamiento del Río el Dren sobre Colima-Manzanillo a la altura del puente Tepalcates, Tecomán, Colima, del arroyo Santiago en la colonia Santiago, Manzanillo y del río Marabasco, Manzanillo, Colima. Evacuación preventiva de 100 personas en el municipio de Tecomán; se tienen 15 personas refugiadas en el Conalep y 21 en la escuela Secundaria Pablo Latapí, ambos refugios en Manzanillo; se realizó el rescate de 4 personas, 2 en el arroyo Santiago en la colonia Santiago y 2 personas de vehículo en un vado en la colonia Vista del Mar, las cuatro personas en Manzanillo.</t>
  </si>
  <si>
    <t>Inundación fluvial el 18 de septiembre de 2019</t>
  </si>
  <si>
    <t>Cihuatlán, La Huerta, Tomatlán, Cuautitlán de García Barragán y Villa Purificación</t>
  </si>
  <si>
    <t>52 viviendas afectadas por penetración de agua, hasta 2 metros de altura, en el municipio de la Huerta. Se realizó la evacuación de 208 personas en el municipio de la Huerta; se tienen 50 personas refugiadas en la escuela Primaria Emiliano Zapata, en la Huerta. Cuenta con 2 Refugios Temporales (CECITEC y Secundaria 132). 
Bahía de Banderas: Cuenta con 3 Refugios Temporales (Escuelas Primarias: Luis Aguilar, Emiliano Zapata y Morelos) en caso de ser necesario, se hará la activación de otro Refugio Temporal en la Universidad Tecnológica Bahía de Banderas.</t>
  </si>
  <si>
    <t>Lluvia severa e inundacion pluvial el 21 de septiembre de 2019 por huracán "Lorena"</t>
  </si>
  <si>
    <t>Lluvia severa y vientos fuertes el 20 de septiembre de 2019 por huracán "Lorena"</t>
  </si>
  <si>
    <t>Lluvia severa e inundación pluvial el 24 y 25 de septiembre de 2019</t>
  </si>
  <si>
    <t>Durante la madrugada del día 25 de septiembre, se presentaron lluvias fuertes en el municipio de Cuautlancingo, provocando: encharcamientos viales e inundaciones en pasos a desnivel. Continúa el desazolve en la red de drenaje. Penetración de agua a 100 viviendas, 90 ya quedaron limpias y continúan drenando el agua de 10 más; 1 vehículo varado, sus ocupantes fueron rescatados. Se tienen disponibles 3 albergues, sin ocupación. El DIF otorgó desayuno, comida y cena a los afectados. No se reportan daños humanos.</t>
  </si>
  <si>
    <t>Lerdo, San Luis del Cordero, San Pedro del Gallo, Nombre de Dios, Durango, Poanas.</t>
  </si>
  <si>
    <t>Debido a la sequía se declaró en desastre natural en el sector agropecuario, a 6 municipios del estado de Durango por la perdida de 1616 ha de cultivo sinestrado.</t>
  </si>
  <si>
    <t>15:45 y 17:50 horas/26 de septiembre, se registraron lluvias muy fuertes (119.0 mm), situación que provocó escurrimientos del río Chalaquito, en el municipio de Villa Comaltitlán, esto ha ocasionado encharcamientos de hasta 30 centímetros de la siguiente manera: Barrio San Bartolo: 50 viviendas. Barrio San Juan: 20 viviendas. Barrio Santa Lucía: 20 viviendas. Barrio Guadalupano: 30 viviendas. Barrio San Isidro: 20 viviendas. Total: 140 viviendas. Se habilitó 1 albergue en el Auditorio Municipal, en el cual se dieron colchonetas y alimentos a las personas. Cabe mencionar que ninguna de las personas que fue al albergue se quedó a pernoctar. No se reportan daños humanos, únicamente pérdidas materiales.</t>
  </si>
  <si>
    <t>Inundación fluvial los dias 28 y 29 de septiembre de 2019 por huracán "Narda"</t>
  </si>
  <si>
    <t>Villa de Tututepec de Melchor Ocampo, Santos Reyes Nopala, Pinotepa Nacional, Santiago Juxtlahuaca, Villa Sola de Vega, Calihualá, Juchitán, Santa Catarina Yosonotu, Santa Catarina Juquila, San Pedro Mixtepec, San Juan Nuevo Lachao, San Mateo Piñas, Santa María Colotepec, Santa María Yolotepec, Santiago Jocotepec, Santiago Textitlán, San Miguel Panixtlahuaca, San Juan Quiahije.</t>
  </si>
  <si>
    <t>TT Narda: 29 de septiembre, 1 joven de 23 años falleció al ser arrastrado por el Río San Pedro, municipio de San Pedro Mixtepec Miahuatlán. 66 viviendas afectadas por penetración de agua y con daños materiales. Anegación de agua al Hospital Comunitario de Río Grande, municipio de Villa de Tututepec. 9 Ríos desbordados en 7 municipios. Río Maíz, Río Arena, Río Manialtepec, Río Santo Domingo, Río Juxtlahuaca, Río Sabino Solo, Río Mix-teco, Río Verde y Río Zafra. Deslave de cerro, municipio de Santa Catarina Juquila, el cual sepulta una carnicería y una tienda de ropa, en calle Principal a la altura de la antena de Telmex – callejón de Reliquias. 30 de septiembre, se confirma el fallecimiento de otro joven de 17 años, en la Agencia de San Jerónimo, Miahuatlan; contabilizándose un total de 2 personas fallecidas.</t>
  </si>
  <si>
    <t>Iguala, Coyuca de Benitez</t>
  </si>
  <si>
    <t>Debido a las lluvias que se han estado registrando en la Entidad, se registraron  2 fallecimientos, en los siguientes municipios. En la Colonia El Tomatal se reporto un deceso. Quien fue alcanzado por un rayo, falleciendo al instante. Coyuca de Benitez. En la poblacion de Tepetixtla se reporto la desaparicion de otra persona que fue arrastrada por la corriente del rio cuando intentaba cruzarlo.</t>
  </si>
  <si>
    <t xml:space="preserve">Se reportaron las siguientes afectaciones en el estado:
30 de septiembre: Daño en la infraestructura de un jardín de niños. En la Colonia San Fernando se realizó la evacuación de 34 personas la cual se alojaron con familiares y amigos. Se han atendido a 295 personas en el refugio temporal con alimentación.
1 de octubre: Se han alojado a 212 personas en 3 refugios temporales. </t>
  </si>
  <si>
    <t>San Blas, Santa Cruz de Miramar, Santiago Ixcuintla y Tecuala</t>
  </si>
  <si>
    <t>30 de septiembre:
Una persona que se encontraba extraviada fue rescatada. Comunidad San Juan de Abajo (7 casas afectadas hasta 1 m de altura), en Las Jarretaderas una vecindad de 18 casas afectadas de 15 a 20 cm, en Bahía de Banderas.
29 de septiembre:
Rescate de 6 personas en el arroyo denominado “El Mamey” municipio de San Blas. Se reporta 1 persona como desaparecida. Se evacua a 10 personas en Santa Cruz de Miramar donde hay en total 15 personas albergadas</t>
  </si>
  <si>
    <t>Cihuatlán, La Huerta, Tomatlán, Cuautitlán de García Barragán, Villa Purificación, Cabo Corrientes y Puerto Vallarta</t>
  </si>
  <si>
    <t>30 de septiembre:
En Puerto Vallarta se tiene registro de 32 viviendas afectadas por penetración de agua y 44 viviendas en Yelapa,
29 de septiembre:
120 viviendas afectadas por penetración de agua en localidad La Tecolotera, municipio de Cihuatlán, comunidad de San Patricio Melaque, municipio de Cihuatlán y  localidad de José María Morelos, municipio de Tomatlán (altura de hasta 2 m). Hay 480 personas refugiadas de manera preventiva en 9 refugios temporales.</t>
  </si>
  <si>
    <t>Colima, Villa de Álvarez, Cuauhtémoc y Coquimatlán, Tecomán, Armería y Manzanillo</t>
  </si>
  <si>
    <t>A las 19:00 horas del pasado día 29 de septiembre, la Depresión Tropical “Narda”, se encontraba  a  75 km al sur-sureste de Manzanillo, Col., y a 110 km al este de Playa Perula, Jalisco. Se reportaron las siguientes afectaciones:
2 viviendas dañadas por árboles caídos. 1 poste de cableado eléctrico caído. 1 vehículo dañado por árbol caído.</t>
  </si>
  <si>
    <t>Derivado de las fuertes lluvias presentadas en la tarde del día 2 de octubre, a las 19:30 horas se reportó 1 persona fallecida, la cual fue arrastrada por la corriente que se generó en las calle Luis Covarrubias y Agustín Fernández, colonia Gómez Farías, municipio de Guadalajara.</t>
  </si>
  <si>
    <t>Otzolotepec</t>
  </si>
  <si>
    <t>20:40 horas/07 de octubre, derivado de las fuertes lluvias, se reportó el deslizamiento de tierra por el reblandecimiento de la misma en la localidad el Mango, municipio de Escuintla, lo que provocó la afectación parcial de 1 vivienda, así como arrastre de los 5 integrantes de una familia (2 adultos y 3 menores), lo que les provocó únicamente raspones. Las personas fueron evacuadas y se refugiaron en casa de un familiar, ya que su vivienda no es apta para habitar. Hay 15 viviendas en zona de alto riesgo, incluyendo el aula de una escuela, ya que se encuentran al pie de loma y en latente riesgo a un deslizamiento de tierra.</t>
  </si>
  <si>
    <t>Derivado de las lluvias intensas, se reportó que en el municipio de Villa Comaltitlán se evacuó a la población de las comunidades Buena Vista y Zapote Mocho, debido al desbordamiento del Río Vado Ancho en la parte baja. Hasta el momento, se reportan 100 viviendas afectadas de las cuales 90 tienen un tirante de 10 a 20 cm y 10 viviendas con un tirante de 50 cm. Se activó 1 refugio temporal en la cabecera municipal, solo albergó una familia la cual ya se retiró.</t>
  </si>
  <si>
    <t>Acapetahua y Escuintla</t>
  </si>
  <si>
    <t>Por el desbordamiento del Río Doña María, se reportó en la Colonia Soconusco, municipio de Acapetahua, 152 familias con afectaciones, no se reportaron lesionados; los niveles de encharcamientos ya descendieron. En  la Ranchería Guadalupe, municipio de Escuintla, se reportaron 70 casas con encharcamientos en su interior, y afectaciones en los caminos; no hubo lesionados; los niveles de agua  están descendiendo; en la localidad de Canutillo  se reportó un  deslave en la carretera municipal.</t>
  </si>
  <si>
    <t>Cabo San Lucas</t>
  </si>
  <si>
    <t>Desde las 03:00 hasta las 04:00 horas (hora local) del día de hoy, se registraron lluvias fuertes en la región de Cabo San Lucas y lluvias moderadas en San José del Cabo; se reportó la creciente de la corriente del arroyo Salto Seco, arrastrando varios vehículos, lo cuales intentaron cruzar la corriente de manera imprudencial, 4 conductores fueron rescatados, 1 de ellos fue trasladado al Hospital del IMSS y 3 al Hospital General en Cabo San Lucas; se reportó 1 persona fallecida arrastrada dentro de su vehículo por una bajada de agua. Se activaron 3 refugios temporales con un total de 7 personas. Se presentaron daños en viviendas por penetración de agua con daños a enseres domésticos, daños a bardas, patios y calles, aún en cuantificación. Se activó el Plan Marina por parte de SEMAR, así como el Plan DN III E de SEDENA.</t>
  </si>
  <si>
    <t>Santiago Tuxtla, Ángel R. Carbajal, Catemaco y Ocampo.</t>
  </si>
  <si>
    <t>04:00/13 de octubre, se reportaron las siguientes afectaciones, sin daños humanos ni evacuados en el Municipio de Santiago Tuxtla: 777 viviendas afectadas por penetración de agua debido al desborde de Ríos. •3,108 personas afectadas; 4 vías de Comunicación Afectadas (Chinimiapan – Tepalapan, Medellín - Tres Zapotes, Tres Zapotes – Espinalito, Salto de Agua – Cerro  de Los Vázquez); 1 Refugio habilitado (Iglesia Católica San Antonio de Padua ubicada en la Localidad de Tres Zapotes); 1 Puente afectado (Puente Santiago Tuxtla con daños a la estructura del pilar).
Ángel R. Carbajal: 40 viviendas afectadas por anegamientos en la Comunidad de Los Lirios; puentes afectados (se desconocen nombres y ubicación).
Catemaco: 40 viviendas afectadas; 1 Vía de Comunicación Afectada (Carretera Estatal Coyame – Las Margaritas).
Municipio de Ocampo: 1 Vía de Comunicación Afectada (Camino Juan Días Cobarrubias – Sausal).</t>
  </si>
  <si>
    <t>Lluvia severa e inundación fluvial y pluvial los dias 16 y 17 de octubre de 2019</t>
  </si>
  <si>
    <t>Lluvia severa e inundación fluvial el 23 de octubre de 2019</t>
  </si>
  <si>
    <t>Frontera Comalapa</t>
  </si>
  <si>
    <t>Derivado de las fuertes lluvias que se presentaron el día 25 de octubre, aproximadamente a las 22:44 horas, se reportó penetración de agua en 35 viviendas, aproximadamente, a una altura de 30 a 50 cm; en el municipio de Frontera Comalapa. Se habilitó 1 refugio temporal en el Auditorio Municipal; con 2 familias (14 personas) instaladas.</t>
  </si>
  <si>
    <t>A las 01:47 horas aproximadamente,  se reportaron afectaciones por lluvia intensa presentada en el municipio de  Apaseo El Grande; se reportaron las siguientes afectaciones: 04 viviendas tuvieron penetración de agua por la bajada del agua del cerro, ubicadas en 02 predios con daños en estructura y enseres del hogar en general, ubicadas en las calles Francisco Villa, calle Nueva y calle Leopoldo Vázquez de la Comunidad de Ixtla, con un tirante de 1.5 metros; se realizó la evacuación de 15 personas quienes se refugiaron con familiares, se habilitó un  Refugio Temporal activado en Casa Ejidal calle Juan Aldama de Cabecera Municipal; 03 personas resultaron lesionadas por el arrastre de la corriente, posteriormente trasladadas al Hospital Comunitario de Apaseo El Grande para valoración.</t>
  </si>
  <si>
    <t>Zaragoza, las Choapas, Cosoleacaque, Uxpanapa, Ixhuatlán, Los Reyes</t>
  </si>
  <si>
    <t>Derivado de las lluvias fuertes registradas el día de ayer se reportan las siguientes afectaciones: Municipio de Zaragoza: Desbordamiento del arroyo Totolapan por escurrimientos, provocando afectación por anegamiento en 2 viviendas evacuando a 2 familias que fueron trasladadas al refugio temporal DIF de Zaragoza ubicado en Bajos del Palacio Municipal. Municipio de las Choapas: 10 viviendas con anegamientos (sin reporte de ubicación). Municipio de Cosoleacaque: 8 viviendas con anegamientos en la Comunidad Cuacotla. Municipio de Ixhuatlán: Se reportan 80 viviendas afectadas por anegamientos en 3 comunidades. Municipio de Los Reyes reportan socavón en la Carretera Federal en comunidad Cumbre de Los Reyes-Comunidad Cumaniquilpo.</t>
  </si>
  <si>
    <t>El Carmen Tequexquitla</t>
  </si>
  <si>
    <t>Durante la tarde-noche, se registraron lluvias fuertes en el municipio de el Carmen Tequexquitla, provocando encharcamientos viales y penetración de agua a 11 viviendas con alturas de hasta 50 cm. Se realizó limpieza de avenidas y de las viviendas.</t>
  </si>
  <si>
    <t>El 28 de octubre alrededor de las 22:00 horas, se  registró lluvia fuerte y  escurrimientos pluviales, en algunos municipios de Morelos, ocasionando las siguientes afectaciones:
Cuernavaca: A partir de las 22:00-23:00 horas/28 de octubre, con un acumulado de las 00:00 a 01:22 horas del 29 de octubre de 68.6 mm en la Capital con un umbral de 90 mm, col. Ciudad Chapultepec taponamiento de coladeras y desborde de la barranca provocando afectación de 8 viviendas, subió un nivel 2 ms. Evacuación de 20 personas que pernoctaron con familiares. Col. Los pinos aumento del cauce de la barranca Rivetex y desborde, afectación de 4 domicilios, nivel aprox. 60 cm; fracc. Camino real Sumiya entrada principal desborde a de apantle, 2 domicilios, nivel 40 cm aprox. Col. Tlahuapan afectación de 1 domicilio y calle inundada nivel de 40 a 50 cm. Aumento del rio Apatlaco: derivado de las escurrimientos en Temixco Regleta de las Animas. se reportaron 10 casas afectadas. 
Yautepec: aumento en el caudal del rio Yautepec;  Vado de Oaxtepec y afectación de 19 viviendas.
Emiliano zapata: Se desborda la barranca del Salado calles: Constitución, Cristóbal colon, cinco de mayo, rancho san pedro y colonia Centro; laboró personal de pc municipal. Afectación a 4 casas
Ayala: Se colapsó un puente vehicular y paso peatonal Chinameca.
Temixco: Afectación de 1 vivienda.
Tepoztlán: Afectación de 1 vivienda.
Tlayacapan: Afectación de 19 viviendas
Se estima que entre los municipios, se tuvieron alrededor de 58 viviendas afectadas, 10 calles, 1 puente, 3 árboles caídos, 4 bardas afectada y 1 escuela y 2 deslizamientos de ladera.</t>
  </si>
  <si>
    <t>A las 14:00/27 de octubre se registró el escurrimiento del agua de lluvia y al desbordamiento de algunos arroyos de la zona rural, en el ejido San Juan de Ulúa km 58.2 Carretera Las Choapas – Ocozocoautla. de la zona rural del Municipio, el pasado domingo un hombre adulto y un niño fueron arrastrados junto con su caballo, al adentrarse en una corriente de agua, por lo cual fallecieron.</t>
  </si>
  <si>
    <t>Debido a los fuertes vientos y lluvias que se han presentado en el estado, se reportan afectaciones como caída de árboles, anuncios espectaculares, cableados en 25 municipios. Cabe mencionar que 3 árboles cayeron sobre viviendas, sin que ocasionaran daños humanos o afectaciones mayores. Se presentó un accidente de una embarcación en Veracruz Puerto, ocasionado por los fuertes vientos, a la altura de la comunidad Jesús Reyes Heroles, a bordo iban 2 personas, de las cuales 1 perdió la vida, persona del sexo masculino.</t>
  </si>
  <si>
    <t xml:space="preserve">Entre las 18:30 - 20:30 horas aproximadamente, se registró lluvia intensa con fuertes vientos en algunas zonas del municipio de Zitácuaro. 
• Penetración de agua a 2 viviendas, con encharcamientos de 10 cm.
• 1 vehículo arrastrado que no presentó daños humanos. 
• Se registró penetración de agua al Hospital Regional de Zitácuaro, con una altura de 10 cm 
• Caída de 2 bardas, afectando a 1 vehículo.
• Caída de 1 portón en una vivienda por la fuerza de la lluvia, ocasionando daño estructural. </t>
  </si>
  <si>
    <t>Santiago Tuxtla, San Andrés Tuxtla, Hueyapan, Ángel R. Cabada y Catemaco</t>
  </si>
  <si>
    <t>Municipio de Santiago Tuxtla: 
• 15 viviendas afectadas con introducción de agua
• Activación de 2 refugios temporales (1 refugio se vio afectado) 
Municipio de San Andrés Tuxtla: 
• 2 puentes afectados por el desbordamiento del río. 
Municipio de Hueyapan: 
• 60 viviendas afectadas por introducción de agua
Municipio de Ángel R. Cabada
• 523 viviendas afectadas por introducción de agua
• 1,619 personas afectadas.
Derivado del Frente Frío No. 8 y de las lluvias registradas desde el 31 de octubre del presente año, hasta el día de hoy, 5 de noviembre, se han registrado 54 municipios con afectaciones, 3 personas ahogadas, 1 persona rescatada y 3 lesionados; con una población afectada de 16,296;  3,776 viviendas dañadas por destechamiento, inundación, caída de árbol o anegadas; 20 escuelas afectadas; 1 refugio temporal activo con 1 familia refugiada; 6 puentes dañados.</t>
  </si>
  <si>
    <t>Lluvia severa e inundación pluvial los días 2, 4 y 5 de noviembre de 2019</t>
  </si>
  <si>
    <t>Derivado de las lluvias registradas el día de ayer, así como el desbordamiento de la Laguna Mecoacán se reportó la penetración de agua a 60 viviendas con un tirante de 30 cm, ubicadas en la Colonia El Bellote (Miguel de la Madrid); se desbordó la Laguna La Machona, afectando a 69 viviendas en el Ejido Guano Solo y 26 en El Chipilín. Se desbordaron 3 Ríos (Río Seco, Río Gonzáles y Río de las Flores), originando penetración de agua en Las Flores, El Bellote, Ejido Guano Solo,  Ejido Blanco, Col Pénjamo, Poblado Chiltepec, Moctezuma, Ranchería  Aquiles Serdán, Andrés García dañando a 2,199 viviendas, en donde al momento se han activado 7 refugios temporales con un total de 181 personas albergadas.
El Estado ha otorgado apoyos en las zonas afectadas con un total de 862 despensas distribuidas, así como 560 costales entregados. No se reportan daños humanos.</t>
  </si>
  <si>
    <t xml:space="preserve">Derivado del Frente Frío 12 en el estado, se reportan las siguientes afectaciones por lluvia e inundación del día 14 de noviembre:
Municipio de Cárdenas:
•              3,922 viviendas afectadas.
•              15,688 personas afectadas. </t>
  </si>
  <si>
    <t>Tamazula, Topia, Canelas y Tepehuanes.</t>
  </si>
  <si>
    <t xml:space="preserve">Precipitaciones fuertes en el noroeste de Durango en la Región de Las Quebradas y municipios de la sierra circundante. Las más altas registradas a las 08:00 hs fue en La Rosilla, Mpio. de Guanaceví con 55 mm, Tamazula, mpio. de Tamazula con 47.5 mm y Tepahuanes, mpio. de Tepehuanes con 30 mm. Se tienen reportes de lluvia continua durante esta mañana en toda la zona noroeste del estado. 
MUNICIPIO DE TAMAZULA
- Debido a la creciente del río Canelas se evacuaron 105.
· Río de Topia: se evacuó una familia de 5 integrantes.
· La creciente del río Humaya se llevó el puente de la comunidad El Barco. La Zona del Durazno se encuentra incomunicada.
· Se realizó la evacuación de 117 familias de las localidades de Boca del Arroyo, Guacimillas, Comunidad Coluta, Localidad del Cucharo, El Guamúchil y La Junta del Santo, quienes se trasladaron con familiares y amigos, se activó un Refugio Temporal en la Secundaria No. 10. La creciente del río Tamazula dificulta el traslado de las personas al albergue. Alrededor de 200 familias se encuentran incomunicadas en la zona de Chacala a La Nueva Rosita.
MUNICIPIO DE TOPIA
· Una vivienda de la cabecera municipal sufre afectaciones por derrumbe.
MUNICIPIO DE CANELAS
· Por la crecida del rio Canelas se evacuaron 80 personas. No hay acceso a las comunidades de La Angostura, La Higuera, El Oro, Zapotes de Valencia, Agua Blanca de Rocha, debido a las malas condiciones de los caminos, así como presencia de derrumbes. Se desconoce el total de personas evacuadas.
MUNICIPIO DE TEPEHUANES
· Se activó un Refugio Temporal denominado Salón “El Conquistador”, ubicado en la Cabecera Municipal con capacidad de 750 personas, donde alberga a 483. Se presentan anegaciones en la Colonia Estación 1 con tirantes de 1.5 metros, en la Colonia Estación 2 se registraron anegaciones con tirantes de 50 cm, así como en el Centro de la Cabecera Municipal, se desbordó el Río Tepehuanes dejando incomunicadas las comunidades de San José de la Boca, Arroyo Chico, Pinos y El Rincón, por otro lado, se han cuantificado 223 viviendas afectadas, se realizó el rescate de 4 personas del río y 2 vehículos fueron arrastrados.
</t>
  </si>
  <si>
    <t>Batopilas, Morelos, Urique.</t>
  </si>
  <si>
    <t>Debido a la presencia de intensas lluvias, han sido afectados los municipios de Batopilas, Morelos y Urique, donde en ésta última, se reportó una persona desaparecida, quien intentó cruzar el cauce del Arroyo “Azul” y en consecuencia fue arrastrada, se valora la posibilidad de iniciar las labores de búsqueda, conforme continúe la situación meteorológica, por otro lado, se activa un refugio temporal en el Centro Comunitario “Librado de Chaves” con 6 personas albergadas.</t>
  </si>
  <si>
    <t>Moctezuma, Nacori chico, General Plutarco Elias Calles, Etchojoa, Huatabampo, Navojoa, San Ignacio rio muerto, Bacum, Benito Juarez, Cajeme</t>
  </si>
  <si>
    <t>Debido a la sequía se declaró en desastre natural en el sector agropecuario, a 10 municipios del estado de Sonora por la perdida de 3958 ha de cultivo sinestrado.</t>
  </si>
  <si>
    <t>LLUVIA SEVERA E INUNDACIÓN PLUVIAL LOS DÍAS 27 Y 28 DE NOVIEMBRE DE 2019</t>
  </si>
  <si>
    <t>Derivado de las fuertes lluvias que se han registrado en las últimas horas en el municipio, se informó que aumentó a 21 colonias las afectadas donde preliminarmente se tiene cuantificado 150 viviendas con penetración de agua. No se tiene reporte de daños humanos.</t>
  </si>
  <si>
    <t>Nácori Chico, Huachinera, Bavíspe, Bacadehuachi, Baserac y Villa Hidalgo</t>
  </si>
  <si>
    <t>Derivado de las lluvias registradas el día 28 de noviembre, se registraron las siguientes afectaciones:
1 socavón, 6 carreteras afectadas con deslaves, vados y arroyos crecidos, daños por saturación de sistemas de agua potable y drenaje, se  habilitaron  8 refugios temporales con 40 personas;  viviendas dañadas, pérdida de cultivos, daños en 146 planteles educativos. Se reportaron 2 lesionados. Aproximadamente 120 personas en riesgo, de la comunidad San Juan del Río, municipio de Villa Hidalgo, derivado del desfogue por vertedor libre de la Presa La Angostura.
El día 03 de diciembre, con apoyo del helicóptero de la Guardia Nacional, Protección Civil de Sonora,  realizó la entrega de 8  toneladas de víveres (Agua y despensas) a los municipios de Bavíspe, Nácori Chico, Bacerac, Bacadéhuachi y Huachinera.
Se estima que resultan afectadas un aproximado de 7,574 personas  de 47 comunidades por los daños al puente de la carretera Huásabas. En el municipio de Villa Hidalgo se tiene 1 comunidad sin paso vía terrestre por escurrimiento de agua con afectación aproximada de 150 personas. Se reportó el fallecimiento de una femenina de aproximadamente 39 años que intentó cruzar un arroyo con su camioneta y se la llevó la corriente.</t>
  </si>
  <si>
    <t>Lluvia severa el 11 de diciembre de 2019</t>
  </si>
  <si>
    <t>A las 07:13 horas  en Av. del Sol, colonia del  Sol, en el municipio de Querétaro, a la altura de Plaza del Sol, se encontró a un individuo masculino en condición de indigencia, al atenderlo personal de Cruz Roja detecta que la persona falleció por aparente hipotermia.</t>
  </si>
  <si>
    <t>A las 01:00 horas se reportó a 1 persona en situación de calle fallecida por hipotermia en la calle Dr. Fernando Shoeder, colonia Los Doctores, municipio de Piedras Negras. Se traslada al SEMEFO  en calidad de desconocido.</t>
  </si>
  <si>
    <t>Lluvia severa el 18 de diciembre de 2019</t>
  </si>
  <si>
    <t>En 2019 se presentaron cinco casos por hipotermia, tres por intoxicación y uno por quenadura .</t>
  </si>
  <si>
    <t>En 2019 se presentaron 7 casos por hipotermia,98 por intoxicación y 25 por quemaduras. 18 perdieron la vida por intoxicación.</t>
  </si>
  <si>
    <t>En 2019 se presentaron siete casos por intoxicación. 2 perdieron la vida por la misma causa.</t>
  </si>
  <si>
    <t>En 2019 fse presentaron 6 casos por intoxicación  y uno por hipotermia .  3 perdieron la vida 1por hipotermia y 2 por intoxicación.</t>
  </si>
  <si>
    <t xml:space="preserve">En 2019 2 personas perdieron la vida por intoxiación. </t>
  </si>
  <si>
    <t xml:space="preserve">En 2019 se presentaron un caso por hipotermia y uno por intoxicación. </t>
  </si>
  <si>
    <t xml:space="preserve">En 2019 se presentaron 12 casos por intoxicación. Dos personas perdieron la vida por intoxiación. </t>
  </si>
  <si>
    <t>En 2019 se presentó un caso de hipotermia y cuatro de intoxicación.</t>
  </si>
  <si>
    <t>En 2019 se presentó un caso por intoxicación.</t>
  </si>
  <si>
    <t>En 2019 se presentó un caso de hipotermia.</t>
  </si>
  <si>
    <t>En 2019 se presentaron 3 casos de intoxicación.</t>
  </si>
  <si>
    <t>En 2019 se presentaron 327 casos por altas temperaturas: 56 por golpe de calor y 271por agotamiento.  10 personas murieron por golpe de calor.</t>
  </si>
  <si>
    <t xml:space="preserve">En 2019 se presentaron 62 casos por altas temperaturas: 48 por golpe de calor y 14 por agotamiento. </t>
  </si>
  <si>
    <t xml:space="preserve">En 2019 se presentaron 56 casos por altas temperaturas: 29 por golpe de calor y 27 por agotamiento. </t>
  </si>
  <si>
    <t>En 2019 se presentaron 56 casos por altas temperaturas:36 por golpe de calor y 20 por agotamiento. 13 personas perdieron la vida por golpe de calor.</t>
  </si>
  <si>
    <t xml:space="preserve">En 2019 se presentaron 55 casos  por altas temperaturas: 7 por golpe de calor 41 por agotamiento y 7 por quemadura.Una persona murió por gole de calor. </t>
  </si>
  <si>
    <t>En 2019 se presentaron 48 casos por altas temperaturas: 30 por golpe de calor, 17 por agotamiento y una por quemadura. Una persona perdió la vida por golpe de calor.</t>
  </si>
  <si>
    <t>En 2019 se presentaron 47 casos por altas temperaturas: 37 por golpe de calor, 7 por agotamiento y 3 por quemadura. 2 perdieron la vida por golpe de calor.</t>
  </si>
  <si>
    <t>En 2019 se presentaron 41 casos por altas temperaturas: 8 por golpe de calor, 32 por agotamiento y 1 por quemadura.Una perdió la vida por golpe de calor.</t>
  </si>
  <si>
    <t>En 2019 se presentaron 29 casos por altas temperaturas: 19 por golpe de calor y 10 por agotamiento. 7 personas perdieron la vida por golpe de calor.</t>
  </si>
  <si>
    <t>En 2019 se presentaron 23 casos por altas temperaturas: 6 por golpe de calor, 16 por agotamiento y 1 por quemadura. 1 perdió la vida por golpe de calor.</t>
  </si>
  <si>
    <t xml:space="preserve">En 2019 se presentaron 19 casos por altas temperaturas: 16 por golpe de calor, 2 por agotamiento y 1 por quemadura. </t>
  </si>
  <si>
    <t>En 2019 se presentaron 17 casos por altas temperaturas: 9 por golpe de calor y 8  por agotamiento. Una perdió la vida por golpe de calor.</t>
  </si>
  <si>
    <t>En 2019 se presentaron 14 casos por altas temperaturas: 10 por golpe de calor y 4  por agotamiento. Dos perdieron la vida por golpe de calor.</t>
  </si>
  <si>
    <t>En 2019 se presentaron 11 casos por altas temperaturas: 2 por golpe de calor y 9 por agotamiento. Una perdió  la vida por golpe de calor.</t>
  </si>
  <si>
    <t>En 2019 se presentaron 7 casos por altas temperaturas: 6 por golpe de calor y una por agotamiento.</t>
  </si>
  <si>
    <t>En 2019 se presentaron 5 casos por golpe de calor.</t>
  </si>
  <si>
    <t>En 2019 se presentaron 4 casos por golpe de calor. Tres personas perdieron la vida por golpe de calor.</t>
  </si>
  <si>
    <t xml:space="preserve">En la localidad de Huitziltepec se colapso una barda de aprox. 2 m. de altura, cayendo sobre 2 personas (sexo masculino): 1 de 7 años y otro de 8 años, mismas que fallecieron </t>
  </si>
  <si>
    <t>En 2019 se presentaron 3 casos por altas temperaturas: 1 por golpe de calor y 2 por agotamiento.</t>
  </si>
  <si>
    <t>En 2019 se presentaron 3 casos por altas temperaturas: 2 por agotamiento y una por quemadura.</t>
  </si>
  <si>
    <t>En 2019 se presentaron 3 casos por altas temperaturas: Una por agotamiento y una por quemadura.</t>
  </si>
  <si>
    <t>En 2019 se presentó un caso por golpe de calor.</t>
  </si>
  <si>
    <t>En 2019 se presentó un caso por agotamiento por calor.</t>
  </si>
  <si>
    <t>En 2019 se presentó un caso por golpe de calor. Una persona perdió la vida por golpe de calor.</t>
  </si>
  <si>
    <t>Nevada severa del 31 de diciembre de 2019 al 2 de enero de 2020</t>
  </si>
  <si>
    <t>En 2020 se presentaron dos casos por hipotermia y cuatro por intoxicación.</t>
  </si>
  <si>
    <t>En 2020 se presentaron 6 casos por hipotermia,56 por intoxicación y 10 por quemaduras. Siete perdieron la vida: dos por hipotermia y cinco  por intoxicación.</t>
  </si>
  <si>
    <t>En 2020 se presentaron 9 casos por hipotermia,45 por intoxicación y seis por quemaduras. Ocho perdieron la vida: dos por hipotermia y seis  por intoxicación.</t>
  </si>
  <si>
    <t xml:space="preserve">En 2020 se presentaron tres casos por intoxicación. </t>
  </si>
  <si>
    <t xml:space="preserve">En 2020 se presentaron dos casos por hipotermia.  </t>
  </si>
  <si>
    <t>En 2020 se presentaron cuatro casos de hipotermia. Una perdió la vida por hipotermia.</t>
  </si>
  <si>
    <t>En 2020 se presentó un caso por hipotermia y dos por intoxicación.</t>
  </si>
  <si>
    <t>En 2020 se presentaron dos casos de intoxicación.</t>
  </si>
  <si>
    <t>En 2020 se presentaron 20 casos de intoxicación. Tres personas perdieron la vida por intoxicación.</t>
  </si>
  <si>
    <t>En 2020 se presentó un caso por quemadura.</t>
  </si>
  <si>
    <t>En 2020 se presentaron 45 casos por altas temperaturas: 35 por golpe de calor, 8 por agotamiento y una por quemadura. 12 personas perdieron la vida por golpe de calor.</t>
  </si>
  <si>
    <t xml:space="preserve">En 2020 se presentaron tres casos por altaspor golpe de calor. </t>
  </si>
  <si>
    <t xml:space="preserve">En 2020 se presentó un caso por agotamiento. </t>
  </si>
  <si>
    <t xml:space="preserve">En 2020 se presentaron 15 casos  por altas temperaturas: 5 por golpe de calor  y 10 por agotamiento.Cuatro murieron por gole de calor. </t>
  </si>
  <si>
    <t>En 2020 se presentó un caso por golpe de calor.</t>
  </si>
  <si>
    <t>En 2020 se presentaron cuatro casos por golpe de calor.</t>
  </si>
  <si>
    <t>En 2020 se presentaron nueve casos por altas temperaturas: 4 por golpe de calor y 5 por agotamiento.</t>
  </si>
  <si>
    <t>En 2020 se presentaron 10 casos por altas temperaturas:9 por golpe de calor y uno por agotamiento. 3 personas perdieron la vida por golpe de calor.</t>
  </si>
  <si>
    <t>En 2020 se presentaron tres casos por golpe de calor y uno por agotamiento.</t>
  </si>
  <si>
    <t>En 2020 se presentaron 72 casos por altas temperaturas: 35 por golpe de calor y 37 por agotamiento. 16 perdieron la vida por golpe de calor.</t>
  </si>
  <si>
    <t>En 2020 se presentaron tres casos por golpe de calor. Una persona perdió la vida por golpe de calor.</t>
  </si>
  <si>
    <t>En 2020 se presentaron un caso por golpe de calor y uno por agotamiento.</t>
  </si>
  <si>
    <t xml:space="preserve">En 2020 se presentaron 18 casos por altas temperaturas: 7 por golpe de calor y 18 por agotamiento. </t>
  </si>
  <si>
    <t>Helada y nevada severa del 3 al 5 de enero de 2020</t>
  </si>
  <si>
    <t>Sismo percibido de manera fuerte en las 15 de sus regiones. Sin daños en sus Sectores Educativo, Recreativo, Comercio, Agropecuario, Infraestructura Carretera, Infraestructura de Salud, Agua Potable, Alcantarillado, Telecomunicaciones y Transportes. En el municipio de Tonalá se reportó el colapso de una pared en una vivienda abandonada. SIN DAÑOS HUMANOS</t>
  </si>
  <si>
    <t>Salina Cruz, Santo Domingo Tehuantepec, Unión Hidalgo, San Blas Atempa, San juan Bautista Tuxtepec</t>
  </si>
  <si>
    <t>Municipio de Santo Domingo Tehuantepec: Se reporta el desprendimiento tejas en una vivienda Barrio de Santa María.
Municipio de Unión Hidalgo: Se agudizaron daños en el Mercado 5 de Mayo, el cual fue afectado en 2017. Plafón desprendido en el Centro de Salud. 3 Viviendas presentan fisuras en muros divisorios.
Municipio de San Blas Atempa: 1 vivienda resultó afectada en su fachada.
Municipio de San juan Bautista Tuxtepec: 1 vivienda afectada, con cuarteaduras en muro.
14. San Blas Atempa, se encuentra afectada la fachada de una vivienda en calzada el panteón, sin reporte de daños humanos
SIN DAÑOS HUMANOS.</t>
  </si>
  <si>
    <t>Ixhuatán</t>
  </si>
  <si>
    <t>San Pedro Comitancillo, Ixtepec y Juchitán</t>
  </si>
  <si>
    <t>Sismo de magnitud 5.3 el 6 de enero de 2020
Municipio de San Pedro Comitancillo:
Personas con crisis nerviosa, daños a 5 viviendas y aun en cuantificación, daños a Escuela Primaria “12 de Octubre”, 1 fugas de gas, falta de suministro de energía eléctrica. Se habilitó un refugio temporal, se estableció un módulo de atención médica, se provee de agua y colchonetas a la población.
Municipio de Ixtepec:
Movimiento de alguna tablaroca dentro del Hospital “30 camas”, presencia de algunas fugas de gas, atendidas, falta de energía eléctrica en la 1ra Sección del municipio en el Barrio de Tepalcate.
Municipio de Juchitán:
Se presentaron daños en algunos edificios.</t>
  </si>
  <si>
    <t>21:13 horas/03 de febrero, se reporta derrumbe de tierra y piedras sobre la autopista Cuacnopalan – Oaxaca, tramo Cuacnopalan - Huitzo, km 090+030, estado de Oaxaca. El incidente afectó ambos carriles, resultaron afectados 3 vehículos y se reportaron 6 lesionados trasladados al Hospital del Sagrado Corazón en Tehuacán, Puebla.</t>
  </si>
  <si>
    <t>Helada severa del 5 al 7 de febrero y lluvia severa e inundación pluvial el 10 de febrero de 2020</t>
  </si>
  <si>
    <t>Monterrey, García, General Escobedo, Iturbide y Santa Catarina.</t>
  </si>
  <si>
    <t>Derivado de los fuertes vientos que se han presentado en la entidad, se reportan las siguientes afectaciones: 87 árboles caídos, 46 postes y varadas colapsadas, 10 vehículos afectados (por caída de árboles o postes), 44 anuncios espectaculares, lonas y señalizaciones, 24 cortes de energía eléctrica en 5 colonias, 2 personas lesionadas (heridas menores), colapso de parte del techo de la empresa Bonafon, en el municipio de Escobedo, situación que ocasionó la evacuación preventiva de 35 empleados. En el municipio de Iturbide, se tiene 80 personas en 3 refugios temporales (auditorio, DIF y Casa del Campesino), esto debido al destechamiento de varias viviendas en diferentes ejidos.</t>
  </si>
  <si>
    <t>Lluvia severa e inundación pluvial ocurrida el 12 y 13 de marzo de 2020</t>
  </si>
  <si>
    <t>Lluvia severa e inundación fluvial ocurrida el 12 al 20 de marzo de 2020</t>
  </si>
  <si>
    <t>Salinas de Hidalgo</t>
  </si>
  <si>
    <t>Tarde/16 de marzo, derivado de las lluvias y después de una tromba con una hora de duración sobre la cabecera municipal de Salinas de Hidalgo, en la colonia La Joya, se reportó afectación a alrededor de 250 viviendas, se llenaron y colocaron 70 sacos de terreros, se realizó limpieza y remoción de 100 metros cuadrados de lodo y escombro, se realizó la remoción de 84 metros cúbicos de basura y se retiraron 10 vehículos que quedaron varados. No se reportan daños humanos.  En el cementerio ubicado en las proximidades del centro del municipio, se colapsaron 200 metros de barda debido a la humedad, la presión del agua y los vientos. Fueron evacuadas alrededor de 350 personas, quienes se han resguardado con familiares y al momento en el albergue se encuentran un aproximado de 80 personas.</t>
  </si>
  <si>
    <t>A las 17:50 horas, caída de techumbre (8 domos de metal) de 2 naves (nave azul y nave roja) de la zona de Hortalizas de la Central de Abastos, ubicada en Av. Canal de Río Churubusco s/n, colonia Central de Abasto, alcaldía de Iztapalapa. Se reportan al momento 6 lesionados, que requirieron traslado por caída, al Hospital de La Villa y al Hospital de Balbuena. Nave CEDA con una afectación de aproximadamente 2,000 locales pequeños y 3,000 metros cuadrados. Cuerpos de emergencia laborando en el lugar. En el lugar se registró acumulación de granizo de unos 5-7 cm en algunas zonas.</t>
  </si>
  <si>
    <t xml:space="preserve">Zinacantepec, Toluca y Metepec </t>
  </si>
  <si>
    <t>16:00 horas aproximadamente, se registraron lluvias de moderadas a fuertes acompañadas de granizo (por un lapso de 20 de minutos), en los municipios en los municipios de Zinacantepec, Toluca y Metepec. En el municipio de Toluca, se reporta el colapso de la techumbre de una bodega, ubicada en avenida Adolfo Lopez Mateo, debido a la acumulación del granizo. En el municipio de Zinacantepec se reportan afectaciones en los techos de 10 viviendas, 2 bardas, 2 viviendas con penetración de agua y varios encharcamientos en zonas bajas de vialidades.</t>
  </si>
  <si>
    <t>18:50 a 19:30 horas/24 de abril, se presentó lluvia fuerte acompañada de granizo en el municipio de Tehuacán, afectando principalmente la zona conurbada de la cabecera municipal. Se reportan las siguientes afectaciones:
Una persona sufrió una lesión en una de sus piernas, la cual no fue de gravedad, siendo atendida por personal de la Cruz Roja.
El nivel de agua alcanzó una altura de 1.5 metros, 30 viviendas que presentan daños.
o             En el bachillerato Rufino Tamayo: Se desplomó la barda perimetral en una longitud de 9 metros; dañándose el mobiliario del comedor.
o             Se afectaron 6 viviendas (21 personas afectadas). Se afectaron 2 viviendas, con inundaciones de 30 cm. Se afectaron 12 viviendas con inundaciones de 50 cm, dañándose el sistema de almacenamiento de agua potable (cisternas que se ubican al nivel del suelo).
o             Un vehículo marca Tsuru fue arrastrado por la corriente de agua, los ocupantes del vehículo no resultaron afectados, ya que con ayuda de los servicios de emergencia lograron salir del vehículo.
Se entregaron insumos, 15 láminas galvanizadas.</t>
  </si>
  <si>
    <t>Sequía severa región “A” del 1 de mayo al 30 de noviembre de 2020</t>
  </si>
  <si>
    <t>Sequía severa del 1 de mayo al 30 de noviembre</t>
  </si>
  <si>
    <t>Coxcatlán</t>
  </si>
  <si>
    <t xml:space="preserve">Noche/05 de mayo – Madrugada/06 de mayo, se presentaron lluvias de moderadas a muy fuertes en la Sierra Norte, Negra, Nororiental, Valle de Serdán y Valles Centrales con acumulados de 25 a 50 mm y puntuales de 70 mm. Se reportaron afectaciones en los municipios de Coxcatlán, en la Junta Auxiliar de San Esteban de Necoxcalco, municipios de San Antonio Cañada, Zinacatepec, Ajalpan, Tehuacán, Santiago Miahuatlán y Altepexi. Se realizaron recorridos para la evaluación de daños. Se trabajó con maquinaria en la carretera de San Esteban Necoxcalco. Se coordinó el regional de Tehuacán con cada uno de los ayuntamientos en mención, con reporte al momento de: 23 viviendas afectadas del municipio de Coxcatlán, Encharcamientos en diversas colonias, Caída de árboles y 1 espectacular, Caída de postes de luz, Afectaciones a una empresa purificadora de agua y 1  persona fallecida en un deslizamiento de tierra. </t>
  </si>
  <si>
    <t>Galeana, Apodaca, Escobedo, García, Cadereyta, Santa Catarina y Monterrey</t>
  </si>
  <si>
    <t xml:space="preserve">15:00 horas/08 de mayo, derivado de las lluvias fuertes con tormenta eléctrica en los municipios de Galeana, Apodaca, Escobedo, García y Monterrey, se registraron rachas de viento de hasta 115 km/h en algunos municipios de la zona norponiente del estado. Asimismo, caída de granizo en los municipios de Escobedo, Monterrey, General Zuazua y Apodaca. 17:00 horas, se incrementó la intensidad de la tormenta en la mayor parte de la zona metropolitana causando encharcamientos y cierres viales. 
En el 9-1-1, se recibieron 205 reportes de servicios en diversos municipios del estado de Nuevo León:
•              2 fallecidos.
•              10 lesionados.
•              90 evacuados. 
•              15 reportes de postes o bardas.
•              14 reportes de cables caídos.
•              Cierre de carretera Saltillo – Monterrey ambos sentidos. 
Municipio de Apodaca:
- 1 fallecido (femenina) de 30 años.
- 3 lesionados por vientos.
- 80 evacuados de la empresa. 
- Afectación en 12 tráileres volcándolos en la autopista Periférico a la altura de Miguel Alemán por fuertes vientos.
Municipio de Escobedo:
- Caída de vehículo en arroyo.
Municipio de Cadereyta:
- 1 fallecido (masculino) de 40 años.
Municipio de Monterrey:
- 6 lesionados por caída de marquesina en una plaza.
- 10 evacuados de la plaza. 
Municipio de Santa Catarina:
-Deslave de cerro a la altura de km 65 de autopista Saltillo - Monterrey. Se presentaron daños materiales en 3 vehículos (1 carro y 2 camiones).  
- 1 lesionado que no requirió traslado. 
-15 vehículos varados en la carretera Saltillo - Monterrey. 
</t>
  </si>
  <si>
    <t>Cinco personas muertas, quienes fueron arrastradas por una violenta bajada de agua, es el reporte final de la tromba que cayó este fin de semana en Santa María del Río.
Se trató de un fenómeno atípico, con lluvia, viento y granizo, como las que se han presentado en los últimos días en Guadalcázar o Ciudad del Maíz, así lo dio a conocer el titular de la Coordinación Estatal de Protección Civil, Ignacio Benavente Duque.</t>
  </si>
  <si>
    <t>https://www.elsoldesanluis.com.mx/policiaca/mueren-ahogados-en-santa-maria-del-rio-5212793.html</t>
  </si>
  <si>
    <t>Unión de Juárez</t>
  </si>
  <si>
    <t>El día de ayer 19 de mayo, se presentaron lluvias fuertes por la tarde-noche, en varios sectores del municipio de Unión de Juárez, situación que ocasionó anegaciones en varios puntos, 7 viviendas afectadas en el barrio Progreso y 2 en el fraccionamiento denominado El Chorizo. Asimismo, se reportó el fallecimiento de un menor de edad, el cual fue sepultado por un talud de tierra que cayó en su vivienda.
El día de hoy por la madrugada, se habilitó el auditorio municipal como refugio temporal, donde acudieron 9 familias (45 personas aproximadamente), mismas que continúan al momento.</t>
  </si>
  <si>
    <t>Tampico Alto, Tuxpan, Tantoyuca, El Higo, Pánuco, Poza Rica, Tihuatlán, Mecatlán, Coxquihui, Zozocolco, Coyutla, Filomeno Mata, Espinal, Gutiérrez Zamora, Papantla y Coahuitlán.</t>
  </si>
  <si>
    <t xml:space="preserve">Derivado de las lluvias fuertes que se presentaron durante la noche del día 21 de mayo en la Zona norte del estado, se reportan afectaciones en 16 municipios:
- Tampico Alto: 15 viviendas con destechamiento parcial en 3 comunidades (Los Jobos, Lagartero y Topila26). Afectación en energía eléctrica.
- El Higo: 20 viviendas con destechamiento parcial. Escuela con afectación en su cerco perimetral, Corte de energía eléctrica.
- Pánuco: 250 viviendas con destechamiento parcial. Afectaciones en energía eléctrica.
- Poza Rica: 1 vivienda afectada por destechamiento parcial. Afectación en energía eléctrica y telefonía, ya atendidos.
- Afectación de servicio de Energía Eléctrica en Tuxpan, Tantoyuca, Tihuatlán, Mecatlán, Coxquihui, Zozocolco, Coyutla, Filomeno Mata, Espinal, Gutiérrez Zamora, Papantla y Coahuitlán. No se reportan daños humanos.
</t>
  </si>
  <si>
    <t xml:space="preserve">Tormenta electrica en la comunidad de Sn. Juan Puerto Montaña, ocasionando que 3 elementos (sexo masculino) del 93° Batallon de Infanteria resultaran lesionados al caer un  rayo cerca de su base de operaciones: 2 de 25 años y 1 de 28 años. </t>
  </si>
  <si>
    <t>Champotón, Ciudad del Carmen, Calakmul, Calkiní, Campeche, Dzibalchén, Escárcega, Hopelchén, Hecelchakan, Tenabo, Palizada y Candelaria.</t>
  </si>
  <si>
    <t>Derivado del paso del ciclón tropical Cristóbal por la entidad de Campeche se reportan las siguientes afectaciones: 251 viviendas afectadas, 1 deslizamiento, 14 vías de comunicación afectadas con cierre parcial, 693 personas en 21 refugios temporales, 4 causes desbordados, 15 cierres totales carreteros, 1 hospital afectado, 1 instalación estratégica afectada y 58 árboles caídos.</t>
  </si>
  <si>
    <t>Balancán, Centla, Emiliano Zapata, Centro y Teapa.</t>
  </si>
  <si>
    <t>Derivado del paso del ciclón tropical por la entidad de Campeche se reportan las siguientes afectaciones: 600 viviendas, 1 deslizamiento de suelo, 2 vías de comunicación afectadas parcialmente, 500 evacuados, 73 personas en 1 refugio temporal, 1 cause desbordado, 3 cierres totales carreteros, 2 hospitales afectados 16 postes de energía colapsados.</t>
  </si>
  <si>
    <t>Acapetahua, Amatenango del Valle, Bejucal de Ocampo, Berriozabal, Bochil, Cacahoatán, Catazajá, Chiapa de Corzo, Chicoasén, Chicomuselo, Cintalapa, Coapilla, Comitán, Copainalá, Francisco León, Ixtapangajoya, La Libertad, La Trinitaria, Las Rosas, Larrainza, Mapastepec, Montecristo de Guerrero, Oxchuc, Pichucalco, Pijijiapan, San Cristóbal de las Casas, San Juan Chamula, Sayaló, Tapachula, Tapalapa, Tapilula, Tecpatan, Teopisca, Tila, Tumbala, Tuxtla Gutiérrez, Unión Juárez, Villa Comaltitlán</t>
  </si>
  <si>
    <t>Derivado del paso del ciclón tropical por la entidad de Campeche se reportan las siguientes afectaciones: 137 viviendas afectadas, 27 deslizamientos de tierra, 28 vías de comunicación afectadas parcialmente, 957 personas en 1 refugio temporal, 14 cierres totales carreteros y 10 postes caídos. Los apoyos proporcionados por el Gobierno Federal, a través del Fonden, ya fueron entregados a las familias afectadas.</t>
  </si>
  <si>
    <t>Acanceh, Akil, Chapab, Dzilam González, Dzitas, Dzilam González, Dzidzantun, Hunucmá, Kaua, Maní, Mérida, Motul, Oxcutzcab, Progreso, Sinanché, Tahmek, Tecoh, Tekantó, Tekax, Tekom, Telchac Puerto, Tinum, Tzucacab, Uayma, Valladolid y Yaxcabá (+43).</t>
  </si>
  <si>
    <t>Derivado del paso del ciclón tropical por la entidad se reportan las siguientes afectaciones: 110 viviendas afectadas, 2 vías de comunicación afectadas parcialmente, 1,596 personas en 70 refugios temporales, 2 cierres totales de carretera y 6 postes afectados.</t>
  </si>
  <si>
    <t>Bacalar, Benito Juárez, Chetumal, Felipe Carrillo Puerto, José María Morelos, Lázaro Cárdenas y Othón P. Blanco.</t>
  </si>
  <si>
    <t>Derivado del paso del ciclón tropical por la entidad se reportan las siguientes afectaciones: 1,634 viviendas, 1 deslizamiento de tierra, 7 vías de comunicación afectadas parcialmente, 2 causes desbordados, 1 cierre total carretero y 43 postes colapsados.</t>
  </si>
  <si>
    <t>A las 09:00 horas del día de ayer, se registró el desbordamiento de arroyo en el
Municipio de Pénjamo, derivada de fuertes lluvias, reportando las siguientes
afectaciones:
* viviendas 8 (con un tirante de 40 cms. a 1.10 mts)
* vivienda/tienda1 (con un tirante de 40 cms.)
* negocio Billar 1 (con un tirante de 1.00 Mt.)
* personas afectadas: 63.
La afectación en viviendas fue en cama, muebles, electrodomésticos y ropa.
* daños en una barda de adobe en vivienda (reblandecimiento)
* No se tuvieron Reportes de afectaciones de la comunidad el Rodeo.
En la Comunidad de Churintzillo, la continuidad del arroyo pasa por en medio de la comunidad y vuelve a integrarse al cauce nuevamente, detectándose azolve sobre el tramo de cauce que libera las aguas de la comunidad, afectando:
* calle principal y calle de la Capilla
* Viviendas 16 (12 viviendas con tirante de hasta 40 cms. Y 4 viviendas de 41 cms. a 1.10 mts.).
* personas afectadas: 91
La afectación en viviendas fue en camas, muebles, y ropa. 7 viviendas presentaban
líquido en patios con un tirante de 10 cms.</t>
  </si>
  <si>
    <t>Personal operativo informa que se registró un deslizamiento aproximadamente 8 m3 de tierra con afectación a viviendas en B. Juárez 87 y Aldama, Col. Barrio Norte Alcaldía Álvaro Obregón; como medida preventiva de realizó la evacuación de 22 personas. No se reportan lesionados.</t>
  </si>
  <si>
    <t>Veracruz, Papantla, Álamo Temapache, Cuitláhuac, Chacaltianguis, Soledad de Doblado e Ignacio de la Llave.</t>
  </si>
  <si>
    <t xml:space="preserve">7 municipios con reporte de afectación por lluvias:
Municipio de Veracruz: Se tiene reporte por anegamiento en el Fracc. Floresta, con tirantes entre 20 cm a 1 mt. En este momento personal de Limpia Pública municipal realizan trabajos de limpieza en las partes donde ya han bajado los tirantes de agua.
Municipio de Papantla: Se reportan 2 comunidades incomunicadas (Morgadal Arenal y Tlahunapa) y la afectación al servicio de energía eléctrica por la crecida de un arroyo de respuesta rápida, sin reporte de personas lesionadas.
Municipio de Álamo Temapache: Se reporta la caída de un árbol en el entronque al Boulevard a Tuxpan, causando afectaciones en los servicios telefónicos y de energía eléctrica, sin reporte de personas lesionadas.
Municipio de Soledad de Doblado: Se reporta una vivienda inundada por escurrimiento en una calle, 
Municipio de Ignacio de la Llave: Se reporta el fallecimiento de una persona por electrocución al caer un árbol sobre cables de alta tensión y en el techo de una vivienda, electrificando la puerta que fue tocada por la persona al intentar salir.
</t>
  </si>
  <si>
    <t xml:space="preserve">Lluvia severa el 11 de junio de 2020 </t>
  </si>
  <si>
    <t>Asunción Tlacolulita, El Espinal, Matías Romero Avendaño, Oaxaca de Juárez, San Pedro Huamelula, San Bartolo Coyotepec, Santa María Huatulco, San Juan Ozolotepec, San Pedro Pochutla, Santa Catarina Xanaguia, Santa María Mixtequilla, Santa María Ozolotepec, Santa Lucía del Camino, Salina Cruz, San Agustín Amatengo, San Pedro Tapanatepec, Santiago Pinotepa Nacional, Santo Domingo Zanatepec, San Francisco del Mar, San Francisco Ozolotepec y Villa Sola de Vega.</t>
  </si>
  <si>
    <t>Magnitud 7.4
Fallecidos
•Sayra Karina Pérez López de 25 años, municipio de Huatulco, por caída de barda.
•Martín Rosas Rosas de 55 años, municipio de San Juan Ozolotepec, por caída de techo en su vivienda.
•Gerardo Villalobos Jiménez de 53 años, municipio de Salina Cruz, causa de estructura en refinería Antonio Dovalí.
•Bonifacio Reyes de 94 años, municipio de San Agustín Amatengo, caída.
•José Fernando Lorenzo Fuentes de 26 años, municipio de San Francisco Ozolotepec, derrumbe en agencia de San Juan Guivini.
•Abdom Mendoza de 58 años, municipio de San Juan Ozolotepec, derrumbe.
Lesionados
•2 persona lesionadas en la Agencia Santa Catarina Xanaguia del municipio de San Juan Ozolotepec, por derrumbe de cerro 
•1  femenina lesionada por caída de escombro en el municipio de Oaxaca de Juárez.
•2 menores lesionados en la Agencia San Gregorio Ozolotepec del municipio de Santa María Ozolotepec.
•1  lesionada en el municipio Santa Catarina Xanaguia.
•14 lesionados en el municipio de San Pedro Tapanatepec.
•1 lesionado en el municipio de Matías Romero Avendaño.
Daños en vivienda
•164 viviendas afectadas en el municipio de San Pedro Tapanatepec.
•58 viviendas afectadas en el municipio de Santo Domingo Zanacatepec.
•21 viviendas afectadas en el municipio de San Francisco del Mar.
•406 viviendas afectadas en el municipio de Matías Romero Avendaño.
•Se reportan pequeñas afectaciones en fachadas de vivienda principalmente en el Centro histórico, municipio de Oaxaca de Juárez.  
•Daños en vivienda en San Pedro Huamelula.
•2 viviendas con daños moderados en el municipio de El Espinal.
•3 viviendas afectadas en municipio de Santa María Mixtequilla.
Infraestructura hospitalaria
•Hospital de alta especialidad en San Bartolo Coyotepec. Daño en fachada y estructura.
•Hospital General en San Pedro Pochutla, sin daños mayores, se encuentra en espera de dictamen.
•Hospital de la Niñez Oaxaqueña en San Bartolo Coyotepec. Daño en fachada y estructura.
•Hospital General  Sub zona de medicina familiar 41 Santa Cruz Huatulco. Daño en fachada y estructura, en espera de dictamen.
•Clínica del IMSS Unidad Médica Rural en San Juan Ozolotepec sierra de Miahuatlán, inhabilitado por Protección Civil.
•Fisuras en la Clínica de medicina familiar en municipio de Juchitán de Zaragoza.
•Fisuras en Hospital de Tuxtepec.
•Hospital Básico Comunitario Villa Sola de Vega daños considerables en la fachada, mismos que pudieran representar un riesgo ante las réplicas.
•7 Hospitales más que presentan afectaciones. 
Cortes eléctricos
Infraestructura de carreteras
•Derrumbes en la carretera federal 190 a la altura del Km. 90
•Derrumbes en la carretera federal 190 a la altura del Km. 78 +800. Cierre total de la carretera.
•Derrumbes en la carretera federal 190 a la altura del Km. 119+000. Cierre total de la carretera.
•Derrumbes en la carretera Oaxaca Puerto Ángel, tramo Miahuatlán – Pochutla Km. 235
•4 carreteras estatales afectadas
Otros daños
•8 iglesias afectadas en el municipio de San Pedro Tapanatepec.
•1 mercado afectado en el municipio de San Pedro Tapanatepec.
•3 agencias municipales el municipio de San Pedro Tapanatepec.
•1 casa de salud afectada en el municipio de San Pedro Tapanatepec.
•Daños en la Iglesia de Ixcotel indicando que la cúpula está a punto de caer.
•Cuarteaduras en el mercado 20 de noviembre, así como fugas de gas de los tanques  estacionarios. municipio de Oaxaca
•Palacio de Gobierno se visualiza con cuarteaduras y fisuras en el edificio en municipio de Oaxaca. 
•De manera preventiva la refinería Antonio Dovalí en Salina Cruz, realizo paro de actividades entrando en desfogue preventivo.  Se originó un conato de incendio. Al momento opera de manera normal.
•Daños menores en las instalaciones del aeropuerto de Huatulco.
•3 bardas caídas en Iglesia en Tultitlan Flores Magón, municipio de Pinotepa.
•Daños estructurales en el mercado municipal de San Pedro Huamelula.
•Daños en Iglesia del Municipio de San Pedro Huamelula. 
•Daño en templo de San Francisco Ozolotepec. Municipio de Ozolotepec.
•Escuela con daños moderados (Escuela Primaria y Universidad “Nido de Sócrates) en el municipio El Espinal.
•Caídas de molduras en la Escuela Secundaria Moisés Sainz y en la Iglesia de Guadalupe. Municipio de Santa Lucia del camino.
•Colapso de la cúpula del campanario y grietas de la iglesia, grietas en el palacio municipal del municipio de Asunción Tlacolulita
•1 iglesia afectada en el municipio de Santa María Mixtequilla
•4 zonas arqueológicas
Refugios temporales activados
Municipio Santa María Huatulco: 2 / 79 personas</t>
  </si>
  <si>
    <t>Benito Juárez, Alcaldía Cuauhtémoc, Alcaldía Gustavo A. Madero y Alcaldía Iztapalapa</t>
  </si>
  <si>
    <t>Derivado del sismo registrado el día 23 de junio a las 10:33:31 horas, con una magnitud de 7.5, en la Ciudad de México, se presentaron las siguientes afectaciones: el sismo fue percibido de manera fuerte. Se realizaron evacuaciones preventivas de edificios públicos y privados. Agrupación de Cóndores realizaron sobrevuelos de monitoreo. Sin reporte de afectaciones en el Aeropuerto de la Ciudad de México. Daños humanos: 2 personas lesionadas (1 adulto y 1 menor) en alcaldía de Iztapalapa. Daños en vivienda: 
• Daños estructurales en edificio abandonado  la calle de Medellín  y Quintana Roo en la colonia Roma.
• Revisión en edificio contiguo a la estación del Metrobús Etiopia.
• Daños en fachadas de viviendas atrás de Palacio Nacional.
• 32 edificios con daños en fachadas.
• 1 edificio inhabitable con el No. 52 en la U. H. Lindavista Vallejo, alcaldía de Gustavo A. Madero.
• 40 familias afectadas.</t>
  </si>
  <si>
    <t>A partir de las 19:00 horas, derivado de las intensas lluvias registradas durante 3 horas en el municipio de Ciudad Victoria, se reportaron algunos encharcamientos en vialidades e inundaciones en zonas bajas. Se les brindó atención a automovilistas de aproximadamente 12 vehículos que se quedaron varados. Se atendió a una joven que se transportaba en su bicicleta y fue arrastrada por la fuerte corriente de agua. Se tiene un aproximado de 20 viviendas afectadas por penetración de agua. La Coordinación de PC Municipal, mantiene comunicación con el C4, para facilitar el traslado a los albergues de familias o personas cuyas viviendas resulten inundadas, en este momento 1 persona en situación de calle en un albergue. No se reportan daños humanos.</t>
  </si>
  <si>
    <t>Lluvia severa los días 24 y 25 de junio de 2020</t>
  </si>
  <si>
    <t>Lluvia severa e inundación pluvial el 24 de junio de 2020</t>
  </si>
  <si>
    <t>El día de ayer cerca  de las 22:20 horas, se presentó el arrastre de un vehículo, cuando trataban de cruzar en arroyo, esto en la avenida Acueducto y Santa Isabel, en el municipio de Juárez. Dentro del vehículo se trasladaban 6 elementos de un mariachi, los cuales se trasladaban a realizar una serenata. De las 6 personas 2 salieron del vehículo, sin presentar lesiones. Por la mañana del día de hoy fueron recuperados los cuerpos sin vida de los 4 integrantes restantes.</t>
  </si>
  <si>
    <t>Derivado de las fuertes lluvias que se presentaron en la madrugada del día 01 de julio, en la comunidad La Huerta, municipio de San Miguel de Allende,  se registró penetración de agua (altura de 1.20 metros) en patios y en el interior de 80 viviendas. Se registró la caída de una barda en 3 viviendas de 8 metros de largo por 3 metros de altura, ocasionando la muerte de animales de granja. También se registró derrumbe de una barda de 6 metros de largo de otra vivienda, ocasionando daños en la cocina. No se reportaron daños humanos, ni evacuados.</t>
  </si>
  <si>
    <t>Apan</t>
  </si>
  <si>
    <t>A las 17:19 horas, se registraron lluvias fuertes en el municipio de Apan, provocando inundaciones y escurrimientos en viviendas de material endeble, 29, de la comunidad La Laguna y 13 de la comunidad Acopinalco, únicamente con daños a enseres domésticos y la evacuación de 1 familia (4 integrantes) con familiares. No se reportaron daños humanos.</t>
  </si>
  <si>
    <t>A partir de las 16:30 horas y por un lapso de 30 minutos, se presentaron lluvias muy fuertes en el municipio de Saltillo, situación que provocó anegaciones en diversas vialidades de zonas bajas, así como la penetración de agua con una altura máxima de 40 centímetros, dentro de 38 viviendas, donde se presentaron algunas afectaciones en enseres domésticos; 1 vivienda con colapso de paredes de 2 cuartos.</t>
  </si>
  <si>
    <t>Pueblo Nuevo y 3 más</t>
  </si>
  <si>
    <t>19:30 horas/06 de julio, se reportó granizada con duración de hora y media a 2 horas en la cabecera municipal El Salto, municipio de Pueblo Nuevo, provocando afectaciones a láminas de aproximadamente 40 viviendas, por la acumulación y tamaño del granizo. Se trasladaron a aproximadamente 15 personas al albergue municipal, las demás personas afectadas se quedaron en sus domicilios o se trasladaron con familiares y amigos. No se reportaron daños humanos.</t>
  </si>
  <si>
    <t>Atlatlahuacan</t>
  </si>
  <si>
    <t>A las 17:00 horas, se registraron lluvias fuertes en el municipio de Atlatlahucan, lo que originó el desbordamiento de Arroyo Ozumba, del afluente de la corriente Nexa del Río Yautepec, en la Col. Mancera. Se realizaron recorridos en la zona, donde se cuantificaron 14 viviendas que presentaron anegaciones con tirantes de 1.5 metros, se realizó la evacuación de la zona con un aproximado de 35 personas, las cuales se quedan con vecinos y familiares. Se realizan labores de desazolve y limpieza de las viviendas afectadas, las cuales solo presentaron daños a enseres domésticos. No se reportan daños humanos.</t>
  </si>
  <si>
    <t>Huautla de Jiménez, San Antonio Exolochitlán de Flores Magón y San Mateo
Yoloxochitlán</t>
  </si>
  <si>
    <t>Lluvias fuertes en la madrugada del 12 de julio, se registraron derrumbes, en carreteras, deslaves y colapso en la red de alcantarillado, principalmente en la región de Huautla de Jiménez, que comprende
los municipios de Huautla de Jiménez, San Antonio Exolochitlán de Flores Magón y San Mateo Yoloxochitlán.
➢2 Personas fallecidas (Femenina de 76 y Masculino de 80 años).
➢Deslizamiento de ladera sobre 3 viviendas.
➢30 Viviendas afectadas por agua y lodo.
➢9 Bloqueos en carretera por deslave.</t>
  </si>
  <si>
    <t>Derivado de las lluvias registradas el 12 de julio, se reportaron las siguientes afectaciones:
•Anegaciones en múltiples vialidades
•3 viviendas con penetración de agua
•1 fallecido a causa de caída de un árbol sobre un local de mariscos</t>
  </si>
  <si>
    <t>Las fuertes lluvias registradas por la Onda Tropical número 15 provocó la muerte de al menos dos personas e igual número de heridos en Oaxaca.
Autoridades de Huautla de Jiménez indicaron que lograron recuperar los cuerpos de dos personas que fallecieron en la comunidad de la Providencia a consecuencia de un deslizamiento de ladera generado por las lluvias de las últimas horas.</t>
  </si>
  <si>
    <t>Noche/13 de julio, derivado de las lluvias acompañadas de fuertes vientos en el municipio de Villaflores, se reportan al momento afectaciones en 10 viviendas por penetración de agua y destechamiento (techo de láminas). No se reportan daños humanos, ni evacuados.</t>
  </si>
  <si>
    <t>Granizada severa el 14 de julio de 2020</t>
  </si>
  <si>
    <t>20:53 horas/15 de julio, se reportaron afectaciones por lluvias fuertes acompañadas con granizo y vientos de hasta 105 km/h en el municipio de Colón, provocando:
o Suspensión de actividades del Aeropuerto
Internacional de Querétaro (AIQ) desde las 19:51 horas hasta las 04:39 horas del 16.
o 19 aeronaves se movieron de su posición de atraque, ejecutivas, 3 sufrieron daños menores al impactarse entre ellas.
o Volcadura de una aeronave tipo Cessna matrícula N8292M
o Caída de parte de la estructura de la empresa Air Bussines sobre una aeronave próxima a esa instalación.
o Caída de puerta de un hangar, anuncios espectaculares, 2 cercas de malla ciclónica y antenas de radiocomunicación.
o Se rompieron vidrios.
o Se volaron láminas de distintas edificaciones.
o La plataforma quedó con hielo, mismo que se eliminó con las barredoras del aeropuerto.
o Cierre de la circulación, en carretera Estatal 100 a la altura de las comunidades de Galeras y Viborillas con dirección a Colón.
o Carretera 200 a la altura del km 27 con dirección a Tequisquiapan con árboles caídos, uno de los cuales obstruye un carril y cae sobre un
vehículo, sin lesionados en el lugar.
o Caída una techumbre en la Escuela Secundaria "José María Luis Mora" de la comunidad de Galeras.
o Corte de energía en la comunidad.</t>
  </si>
  <si>
    <t>14:25 horas/15 de julio, se presentó tormenta convectiva con ráfagas de viento 60 km/h y tornado entre las colonias Arroyo Blanco, Paulino Aguilar, Loma bonita y Ampliación Paulino Águila del municipio de Tuxtla Gutiérrez provocando diversas afectaciones:
o 167 familias afectadas, con 648 personas (221 hombres, 330 mujeres, 39 niños y 58 niñas).
o 162 viviendas con afectación parcial.
o 5 viviendas con afectación total.
o 5 familias evacuadas a casa de familiares/amigos.
o 24 personas atendidas (22 por crisis nerviosa, 1 con crisis hipertensiva y 1 por herida cortante).
o 3 edificios públicos con afectaciones parciales por desprendimiento de techado: colonia Paulino Aguilar Paniagua (techado de iglesia del Carmen), colonia Loma Bonita (techado de salón de usos múltiples) y colonia Paulino Aguilar Paniagua
(malla perimetral de cancha deportiva).
o Interrupción en la energía eléctrica en las 4 colonias afectadas.
o Cableado dañado de la red de telecomunicaciones y trasporte.</t>
  </si>
  <si>
    <t>De 19:30 a 20:00 horas del día de ayer, se registró lluvia con granizo en el Centro
Histórico de la capital del estado, reportando anegaciones por obstrucción de
alcantarillado con granizo y basura afectando alrededor de 8 a 10 viviendas.</t>
  </si>
  <si>
    <t>Lluvia severa el 22 de julio de 2020</t>
  </si>
  <si>
    <t>Debido al CT Hanna, se reportaron de las 17:00 hasta las 19:00 horas del día de ayer lluvias fuertes en el municipio, provocando anegaciones en las Colonias El Mirador, El Brillante, Jardines, La Victoria, Piedra Bola, Vicente Guerrero y La Morelos, donde se cuantificaron 50 viviendas afectadas, por penetración de agua, se habilitó un refugio temporal, pero los habitantes rechazaron trasladarse. Se efectuaron labores de limpieza y sanitización en la zona.</t>
  </si>
  <si>
    <t>Guadalajara, Tlaquepaque, Tlajomulco de Zúñiga y Zapopan</t>
  </si>
  <si>
    <t>Municipio de Guadalajara: Reporta lluvia de moderada a fuerte en prácticamente todo el municipio, con encharcamientos viales momentáneos en varias avenidas de la ciudad, 4 vehículos varados, Vaso regulador El Dean con 80% de su capacidad y en desfogue con afectación en vialidades de la Colonia El Dean y 12 viviendas presentaron afectaciones menores en su mensaje debido a que se les metió el agua con tirantes de 10 cm</t>
  </si>
  <si>
    <t>Derivado de las fuertes lluvias que dejó “Hanna” se reportan las siguientes afectaciones:
•	14 viviendas afectadas
•	4 vehículos varados
•	2 bardas colapsadas
•	1 comercio afectado
•	4 personas rescatadas
•	Presa Gaviones al 90% de capacidad</t>
  </si>
  <si>
    <t>El CT Hanna ha dejado graves inundaciones en Tamaulipas donde  las fuertes lluvias han provocado la inundación de un hospital materno-infantil. El servicio de agua potable de la ciudad quedó interrumpido por las fallas de electricidad. El Ejército mexicano se ha desplegado la madrugada de este lunes para atender al menos 70 colonias que quedaron inundadas y donde sus familias se encontraban en los techos de sus viviendas. Al menos 80 personas han sido evacuadas de sus domicilios, que estaban seriamente dañados, y varias familias que estaban atrapadas en cinco automóviles también han sido rescatadas. Una persona fallecó en Reynosa, Tamaulipas, derivado de las inundaciones generadas por el paso del ciclón tropical Hanna, informó el director de Protección Civil municipal, Federico Pérez Lozano. El funcionario detalló que un hombre no logró salir a tiempo de su domicilio, ubicado en uno de los sectores más afectados por el paso de Hanna y murió ahogado por la inundación.</t>
  </si>
  <si>
    <t>Como consecuencia del huracán "Hanna", se presentaron lluvia severa el 27 de julio de 2020</t>
  </si>
  <si>
    <t xml:space="preserve">Soledad de Doblado, Córdoba, Mixtla de Altamirano, Tierra Blanca, Mecatlán y Cosautlán de Carvajal. </t>
  </si>
  <si>
    <t>Derivado de las lluvias fuertes registradas, 6 municipios reportan afectaciones materiales, sin personas lesionadas.
Soledad de Doblado &gt; Se reportan afectaciones en 15 viviendas por anegamientos.
Córdoba &gt; Se reportan 25 viviendas afectadas por destechamiento.
Mixtla de Altamirano &gt; Se reporta la afectación por destechamiento de la capilla de la comunidad de Xochitla.
Tierra Blanca &gt; Se reporta destechamiento parcial de 2 viviendas en la cabecera municipal y caída de 37 árboles, así como afectación en servicio eléctrico y la caída de una antena.</t>
  </si>
  <si>
    <t>Afectaciones por el paso de Hanna
• 55 casas inundadas
• 12 rescates de personas arrastradas por la corriente  en diferentes puntos
• 130 personas evacuadas en ciudad
• 25 personas evacuadas en la huasteca
• 455 personas apoyadas por falta de trasporte
• 2 albergues que estuvieron activos con 30 personas</t>
  </si>
  <si>
    <t>Inundación pluvial el 28 de julio de 2020</t>
  </si>
  <si>
    <t>Lluvia severa, inundación pluvial e inundación fluvial del 30 de julio al 1 de agosto</t>
  </si>
  <si>
    <t>Ocoyoacac, Atizapán de Zaragoza y Metepec.</t>
  </si>
  <si>
    <t>Municipio de Ocoyoacac: A las 16:00 horas, lluvias fuertes en la parte alta del municipio, que ocasionaron el incremento y escurrimientos del río Chichipicas, en la comunidad de San Pedro Cholula, sobre la calle Atlixco de las Flores, provocando anegaciones en vialidades y penetración de agua a un aproximado de 30 viviendas (altura de agua de 15-20 cm). No se reportaron daños humanos o afectaciones mayores.
Municipio de Metepec: Derivado de las lluvias registradas en el municipio, se presentó el colapso parcial del muro de protección de mampostería y bordo marginal derecho del río El Arenal, en la comunidad de San Bartolomé Tlaltelulco. Con una dimensión aproximada de 15 m de largo por 8 m de fondo y de 10-12 m de alto, quedando la sección colapsada dentro de la base de la cubeta al centro, generando un tope hidráulico que, de suscitarse una mayor avenida hidráulica, acrecentaría el riesgo de socavación sobre el bordo parcialmente colapsado.</t>
  </si>
  <si>
    <t>Derivado de las fuertes lluvias y el desborde del Rio Santiago,  se reportan las siguientes afectaciones: 3 derrumbes,  de los cuales 1 de ellos afecto a 12 viviendas (1 vivienda al caerle piedras y lodo y 11 viviendas más con afectaciones menores).   Se reportan 2 lesionados; Se realizó la evacuación de 40 personas de 11 viviendas,  los cuales se fueron con familiares y amigos; Inundaciones en 5 puntos críticos,  siendo el de mayor afectación en la Calle Privada Zaragoza, Colonia Centro, con 25 viviendas afectadas  con inundaciones máximas de 80 cm.; Daños en enseres domésticos.</t>
  </si>
  <si>
    <t>Acatepec</t>
  </si>
  <si>
    <t>Muerte de 3 personas (2 del sexo femenino de 9 años en prom. y 1 del sexo masculino de 60 años), por la caida de rayo y 6 personas lesionadas (4 del sexo femenino de 42 años prom. y 2 del sexo masculino de 8 años prom., trasladadas para su atencion), en la localidad de Hierba Santa, al encontrase trabajando en el campo, cuando los sorprendio la lluvia y se resguardaron debajo de un arbol.  Los familiares fueron apoyados con 15 cobertores, 15 Colchonetas y 9 Kits de limpieza.</t>
  </si>
  <si>
    <t xml:space="preserve">Derivado de una tormenta local severa con 35 mm que se presentó a partir de las 18:00 horas en el municipio de Acatlán de Juárez, se reporta el desbordamiento de un río y en la zona centro afectaciones en:
•4 a 5 manzanas de la localidad se encuentran anegadas con tirantes de agua de 1.0 – 1.2 m (agua estancada).
•Hasta el momento un conteo de 12 casas afectadas con daño total del menaje por inundación.
•Anegaciones en el DIF municipal.
•Caída de barda de 1 vivienda.
•Afectaciones en menaje de 2 viviendas a consecuencia de la corriente del agua.
•Derrumbe (desprendimiento de paredón) en el km 1 de la carretera libre Acatlán - Ciudad Guzmán, de Guadalajara a Colima. 
</t>
  </si>
  <si>
    <t>El día de ayer 6 de agosto, entre las 18:00 y 19:00 horas, se registró el arrastre de una menor, que acompañaba caminando a su madre, en el fraccionamiento Ramón Espinola, en la capital del estado. Dicha menor quedó atrapada en la llanta de un vehículo ubicado al final de una pendiente, vecinos del lugar lograron rescatarla y una patrulla municipal, la traslado con vida al hospital del IMSS, donde falleció horas más tarde.</t>
  </si>
  <si>
    <t>Movimiento de ladera del 7 al 10 de agosto</t>
  </si>
  <si>
    <t>Inundación pluvial y movimiento de ladera del 7 al 10 de agosto de 2020</t>
  </si>
  <si>
    <t>Huauchinango, Jolalpan, Xicotepec de Juárez, Zapotitlán de Méndez, Nauzontla, Olintla, Huehuetla, Tlaola, Tlapacoya, San Felipe Tepatlán, Hermenegildo Galeana, Amixtlán, Xicotepec de Juárez, Copales y Chiconcuautla.</t>
  </si>
  <si>
    <t>08:00-20:00 horas/08 de agosto, derivado de las intensas lluvias en la sierra de Puebla (120.8 mm en el municipio de Pahuatlán, con un umbral de 109 mm), se reportan las siguientes afectaciones:
•Daños en 89 viviendas y 39 caminos, en 8 municipios de la entidad: San Felipe Tepatlán, Hermenegildo Galeana, Amixtlán, Tlaola, Tlapacoya, Xicotepec de Juárez, Copales y Chiconcuautla.
•28 familias fueron evacuadas.
•1 barda colapsada.
•3 viviendas afectadas por penetración de agua (atendidas y sin novedad).
•Anegaciones al interior del mercado 5 de mayo.
Municipio de Tlaola:
•3 lesionados de forma leve.
•3 familias evacuadas (12 personas aproximadamente), por desgajamiento de bordo cercano, se fueron con familiares.</t>
  </si>
  <si>
    <t>Filomeno Mata, Coyutla, Tierra Blanca, Tres Valles, Papantla, Los Reyes, Atlahuilco, Cosautlán de Carvajal, Nogales, Ixtaczoquitlán, Atoyac, El Espinal, Mecatlán, Tecolutla, Chumatlán y Poza Rica.</t>
  </si>
  <si>
    <t>Noche/08 de agosto, derivado de la vaguada y las intensas lluvias registradas al norte del estado, se han presentado afectaciones en 16 municipios del estado:
Municipio de Filomeno Mata:
•Se reportan 3 derrumbes, afectando la escuela CECyTEV No. 12 y la comunidad El Crucero.
•3 personas fallecidas en dichos derrumbes (colapsó la casa donde se encontraban), 2 personas mayores (masculino y femenina), incluyendo un menor de edad de 7 años (masculino).
Municipio de Coyutla:
•200 viviendas afectadas por anegamientos con tirantes de 80cm en 3 colonias, por la corriente desbordada del arroyo Coyutla.
•Se activó un refugio temporal en la Escuela Secundaria Técnica No. 48.
•90 personas evacuaron de manera preventiva pero decidieron retirarse con familiares. No se reportan personas lesionadas.
Municipio de Tierra Blanca:
•60 viviendas afectadas con tirantes de 60 cm de agua aproximadamente, en 13 colonias, por las corrientes desbordadas del arroyo Cojinillo y el Río Amapa.
•Se activaron 5 refugios temporales, en Casa de la Cultura, Gimnasio Municipal, Domo Unidad Deportiva, DIF Municipal e Iglesia de los Mormones.
Municipio de Tres Valles:
•40 viviendas afectadas con tirantes de hasta 80 cm de agua.
Municipio de Ixtaczoquitlán:
•1 vivienda afectada por ingreso de lodo.
Municipio El Espinal:
•1,350 viviendas afectadas en 5 comunidades (Entabladero, La Noria, El Pacífico, Poblado Miguel Alemán y Comalteco).
•6 escuelas afectadas. 
•Afectación en puente en el camino Matamoros – Oriente, comunidad de Comalteco incomunicada.
•Se activaron 3 refugios preventivos, en los auditorios de Entabladero, El Pacífico y La Noria.
Municipio de Chumatlán:
•60 viviendas con anegación en 2 comunidades (Lázaro Cárdenas y La Vega) por la corriente desbordada del Río Ajajalpa.
•Evacuadas de manera precautoria 150 personas.
Municipio de Poza Rica:
•10 viviendas con anegamiento en 2 colonias, por la corriente desbordada del Río Cazones.
•Siendo evacuadas de manera precautoria 21 familias. 
•Se activó de manera preventiva 1 Refugio Temporal en el Gimnasio Municipal.</t>
  </si>
  <si>
    <t>San Felipe Usila</t>
  </si>
  <si>
    <t>En la Región Papaloapan derivado de las lluvias fuertes y al escurrimiento fluvial que se han registrado, se han presentado afectaciones en 5 colonias (aproximadamente de 50 a 60 viviendas) con anegación de agua.</t>
  </si>
  <si>
    <t>Colima, Villa de Álvarez, Cuauhtémoc e Ixtlahuacán.</t>
  </si>
  <si>
    <t>17:30 horas/11 de agosto, se reportó lluvia de moderada a intensa con rachas de vientos y descargas eléctricas en algunos puntos del estado.
Municipio de Colima: 
Penetración de agua en 5 viviendas y 15 vehículos varados.
Municipio de Ixtlahuacán:
16:00 horas, se presentó lluvia moderada acompañada con rachas de vientos y actividad eléctrica, provocando un incendio por corto circuito en 1 vivienda.</t>
  </si>
  <si>
    <t xml:space="preserve">Lluvia severa e inundación flivial y pluvial el 11 de agosto de 2020  </t>
  </si>
  <si>
    <t>A las 15:00 horas, el río San Juan llegó a su límite de N.A.M.O., provocando a las 16:00-17:00 horas con nivel de 21.72 el desbordamiento del río San Juan en el municipio de San Juan Evangelista. Al momento, se reportan 5 comunidades afectadas: Bellaco, San Juan Evangelista, Francisco I. Madero, Achotal y La Llorona, 15 viviendas afectadas con penetración de agua, 15 familias evacuadas con familiares, daños a campos de cultivo y sin reporte de daños humanos. En la Cabecera municipal, se encuentra habilitado 1 refugio temporal de ser necesario.</t>
  </si>
  <si>
    <t>Piaxtla</t>
  </si>
  <si>
    <t>22:30 horas, en el municipio de Piaxtla, se reportó 1 persona desaparecida que fue arrastrada por la corriente en el interior de su vehículo, en la barranca Los Naranjos, el cual cruza los municipios de Chinantla y Piaxtla. Su nivel del agua rebasó el puente que conduce a Tecomatle, donde muchos vehículos quedaron detenidos. 00:25 horas/20 de agosto, se localizó el cuerpo de la persona de 24 años.</t>
  </si>
  <si>
    <t>Salvatierra y Huanímaro</t>
  </si>
  <si>
    <t xml:space="preserve">21:27 horas/19 de agosto, derivado de la lluvia intensa en el municipio de Salvatierra, se reportó afectaciones en: 
•36 viviendas con penetración de agua, 18 con 80 cm de altura, 9 con 50 cm de altura, 9 con 1 metro de altura.
•Inundación en las oficinas de la Coordinación Municipal de Protección Civil (50 cm de altura), con afectación a muebles de oficina. 
•Encharcamiento en boulevard Posada Ocampo, (1 metro aproximadamente de altura) con 2 vehículos varados.
22:59 horas/19 de agosto, derivado de la fuerte lluvia en el municipio de Huanímaro, se reportó penetración de agua a 1 vivienda (15 cm de altura) en la calle Privada Rio Lerma, con afectación a menaje y sin evacuación preventiva.
</t>
  </si>
  <si>
    <t>Se reportan 2 personas fallecidas por ahogamiento debido a imprudencia en B.C.S.
    1 Femenino: Michelle Alejandra Peña 15 años
    1 Masculino: Erick Jhonathan Rasgado Bonilla 36 años
- CONAGUA desplegó 3 camiones cisterna de 10,000 litros c/u, 2 grúas articuladas, 1 planta potabilizadora, 3 bombas Gorman y 1 generador de energía eléctrica.
- La CFE desplegó 844 trabajadores electricistas y equipo técnico.
Refugios temporales activados 10 con 139 personas.</t>
  </si>
  <si>
    <t>13 municipios (San Andrés Teotilálpam, Villa de Tututepec de Melchor Ocampo)</t>
  </si>
  <si>
    <t>Las intensas lluvias provocadas por el huracán Genevieve  y otras tormentas y depresiones tropicales han dejado cuatro personas muertas en Oaxaca, entidad donde además se han emitido cinco declaratorias de emergencia por lluvias, inundaciones y deslizamiento de laderas.</t>
  </si>
  <si>
    <t>A las 17:40 horas, se registró una fuerte lluvia con tormenta eléctrica resultandon afectadas 8 viviendas por penetración de agua. Resultó 1 casa afectada por el desbordamiento de un arroyo de respuesta rápida en San José de Tapia (asentamiento irregular). Se reportaron afectaciones en el Hospital General Córdoba Yanga, donde se alcanzaron tirantes de hasta 10 cm en la sala de espera y el derrumbe de 1 barda perimetral en una vivienda.</t>
  </si>
  <si>
    <t>Santo Domingo Ingenio</t>
  </si>
  <si>
    <t>23:30 horas/23 de agosto, derivado de las fuertes lluvias, en zonas bajas de la Agencia municipal de Palo Blanco, municipio de Santo Domingo Ingenio, se reporta el desbordamiento de río, ocasionando encharcamientos e inundaciones en calles y penetración de agua en 15 viviendas, por lo que se realiza la evacuación de 15 familias a un refugio temporal en la Cabecera municipal. Sin daños humanos.</t>
  </si>
  <si>
    <t>Acapetahua, Venustiano Carranza, Escuintla</t>
  </si>
  <si>
    <t>Afectaciones por lluvia, datos preliminares indican 471 viviendas afectadas con deslaves así como caída de un puente tubular. En el municipio de Tapachula se desbordó el rio dejando una persona fallecida por arrastre.</t>
  </si>
  <si>
    <t>Tormenta electrica con fuertes lluvias, reportandose apagones de luz en las colonias: Fracc. Chuchululuya, Col. El Tanque, Col. San Jose y Valle Esmeralda, asi como caida de 1 arbol sobre 1 camioneta ford en la Col. Tatagildo, penetracion de agua en 1 vivienda del  Fracc. Chuchululuya y el fallecimiento de 1 persona (sexo femenino de 18 años), a causa de una sobrecarga electrica al salir de su habitacion cerro la puerta con una varilla, alcanzando a tocar con esta los cables de alta tención que pasan por el lugar.</t>
  </si>
  <si>
    <t>Lluvia severa, inundación pluvial e inundación fluvial del 26 al 28 de agosto</t>
  </si>
  <si>
    <t>Lluvia severa, Inundación pluvial e inundación fluvial el 27 y 28 de agosto</t>
  </si>
  <si>
    <t>Cihuatlán, Tomatlán, La Huerta, Cabo Corrientes, Villa Purificación y Casimiro Castillo</t>
  </si>
  <si>
    <t>La tormenta tropical Hernán dejó durante su paso daños e inundaciones.*Hasta el momento *hay 1 refugio en Tomatlán y 5 en Cihuatlán, que es de las poblaciones más afectadas, con 250 adultos y 115 menores albergados; además, se alistan 6 refugios temporales en La Huerta y otro más en Cihuatlán, en Villa Purificación, Casimiro Castillo y Cabo Corrientes. El DIF Jalisco se dirige a las zonas afectadas con cocinas móviles y el material necesario para atender a la población. Fueron rescatadas 18 personas en Melaque que estaban en sus azoteas. Algunas carreteras están bloqueadas por el desbordamiento de ríos, lodo y derrumbes.</t>
  </si>
  <si>
    <t>Tangancícuaro</t>
  </si>
  <si>
    <t>A las 18:00 horas, se presentó lluvia fuerte con vientos fuertes en el municipio de Tangancícuaro, provocando encharcamientos e inundaciones en vialidades y penetración de agua a 10 viviendas (40-80 cm de altura) sobre la calle Emilio Carranza, colonia El Vadito, únicamente con daños a enseres domésticos y un total de 24 personas afectadas. No se reportaron daños humanos.</t>
  </si>
  <si>
    <t>San Juan Bautista, Valle Nacional y San José Chiltepec</t>
  </si>
  <si>
    <t>Tarde/04 de septiembre, se registró una lluvia puntual de 149.5 mm en 2-3 horas en el municipio de San Juan Bautista Valle Nacional, efectos de los remanentes de "Nana", provocando el desbordamiento de 2 arroyos: Arroyo de Banco y Arroyo Colorado, con encharcamientos en vialidades y penetración de agua en un total de 54 viviendas. Se activaron 2 refugios temporales (sin cuantificar cuanta gente al momento): en Valle Nacional Centro. 
Noche/04 de septiembre, derivado de las lluvias fuertes en el municipio vecino de San Juan Bautista Valle Nacional, afectó en las partes bajas por la creciente del río, por lo que se reporta el desbordamiento de un arroyo de respuesta rápida, que afecta a la localidad de San Isidro el Naranjal, municipio de San José Chiltepec.</t>
  </si>
  <si>
    <t>Lluvia severa e inundación pluvial del 5 al 7 de septiembre de 2020</t>
  </si>
  <si>
    <t>Movimiento de ladera del 5 al 7 de septiembre</t>
  </si>
  <si>
    <t>Lluvia severa, inundación fluvial e inundación pluvial del 5 al 7 de septiembre</t>
  </si>
  <si>
    <t>En el Poblado El Ocotito debido a las lluvias fuertes acompañada de tormenta electrica, fallecio el cabo de infanteria perteneciente a la 25 ZM (sexo masculino de 21 años), al momento de resguardarse cuando un rayo cayo.</t>
  </si>
  <si>
    <t>Santiago Tangamandapio</t>
  </si>
  <si>
    <t>18:30 horas/10 de septiembre, derivado de las fuertes lluvias en el municipio de Santiago Tangamandapio, se reportó inundación por bajada de agua en la cabecera Municipal, con un reporte de 80 viviendas afectadas (dispersas) por penetración de agua (5 a 20 cm de altura), sin afectaciones mayores. Se habilitaron 2 refugios temporales, en la Secundaria Moisés Saint y Antiguo Colegio Victoria, sin necesidad de ser ocupados, ya que las personas permanecieron en sus viviendas. No se reportaron daños humanos. Se habilitó un comedor en Morelos y Matamoros antiguo Salón Ejidal.</t>
  </si>
  <si>
    <t>San Lorenzo Cacaotepec</t>
  </si>
  <si>
    <t>CEPC Oaxaca.
*Para conocimiento.
19:30 horas aproximadamente, se registró la muerte de una persona, por caída de rayo. Esto en la calle Constitución, en el municipio de San Lorenzo Cacaotepec.
La víctima se trató de un joven de 24 años, quien fue alcanzado por la descarga eléctrica mientras se encontraba en su domicilio, a donde acudieron elementos de Proteción Civl, quienes dieron fe del deceso a los familiares.</t>
  </si>
  <si>
    <t>Rodeo, Coneto de Comonfort</t>
  </si>
  <si>
    <t>Derivado de las lluvias ocasionadas por el frente frío núm. 2 y el canal de baja presión, se han presentado lluvias torrenciales en el municipio de Rodeo, creció el rio Nazas ocasionando los siguientes daños:
• Colapso de 3 puentes
• 2 refugios habilitados
o Se presentan derrames por vertedor libre en la Presa Peña del águila procediendo a reforzar los bordos con costalera.
Debido a las fuertes precipitaciones en Durango se debordó el arroyo Comonfort arrastrando a una persona discapacitada de sexo masculino de 62 años de edad.
UEPC Durango, DIF Municipal Durango/ UMPC Coneto de Comonfort
14 de septiembre 17:00 horas
Población Total afectada 21,434
 4 Refugios temporales habilitados
Fallecidos
• (1) Adulto mayor discapacitado de Nombre Rafael N. edad 62 años. Municipio de Comonfort</t>
  </si>
  <si>
    <t>Lluvia severa e inundación fluvial y pluvial del 13 al 15 de septiembre de 2020</t>
  </si>
  <si>
    <t>Tulcingo de Valle</t>
  </si>
  <si>
    <t>A las 07:39 horas se reporta que fue arrastrado por la corriente del agua  un vehículo sedan que realizaba funciones de taxi , debido a la crecida de barranca "La Junta" en la zona del municipio de  Tulcingo de Valle, dentro del vehículo viajaban 5 personas, (4 femeninas y 1 masculino); las femeninas lograron salir del vehículo. A las 10:33 horas se ubica  el cuerpo del masculino,  ya sin signos vitales a la altura de la comunidad conocida como El Recodo.</t>
  </si>
  <si>
    <t>Derivado de las fuertes lluvias ocurridas en la noche del lunes 14 de septiembre,  se reportan preliminarmente las siguientes afectaciones:
Recopilación de datos preliminares indican que se vieron afectadas 43 viviendas. También, se tuvo el reporte de dos puentes vehiculares sin que se registren personas lesionadas.</t>
  </si>
  <si>
    <t>Se reporta presencia de lluvias de moderadas a fuertes en el transcurso del día teniendo afectaciones en la comunidad del Triunfo. Se tiene conocimiento de penetración de agua en 50 viviendas, no se reportan daños humanos, ni personas evacuadas o refugios temporales activos.</t>
  </si>
  <si>
    <t>La Secretaría de Gestión Integral de Riesgos y Protección Civil (SGIRPC) informó que en la Alcaldía Benito Juárez un árbol cayó sobre un puesto semifijo provocando la muerte de un masculino de 41 años.</t>
  </si>
  <si>
    <t>Derivado de las fuertes lluvias presentadas el 15 de septiembre (124.46 mm), se reportan las siguientes afectaciones:
• 1 personas fallecidas, mujer de la tercera edad no pudo salir de su vivienda en la  Magdalena Contreras.</t>
  </si>
  <si>
    <t>Municipio de Atoyac: Derivado de las lluvias fuertes se reportan las siguientes afectaciones: 
• 1 canal de riego desbordado
• 08  colonias afectadas 
• 15 viviendas afectadas</t>
  </si>
  <si>
    <t>Coalcomán</t>
  </si>
  <si>
    <t>16:30 horas, se registraron lluvias fuertes en el municipio, esto aunado a la falta de mantenimiento y a la acumulación de basura en un cárcamo que se ubica en a la altura de la colonia Valente Manzo, mejor conocida como la Playita, ocasionó anegaciones en varios sectores, se registró penetración de agua en 15 viviendas, donde el agua alcanzó los 40 centímetros de altura. No se reportan daños humanos, ni personas evacuadas.</t>
  </si>
  <si>
    <t>Movimiento de ladera del 18 al 21 de septiembre</t>
  </si>
  <si>
    <t>Inundación fluvial del 18 al 20 de septiembre</t>
  </si>
  <si>
    <t>Coscomatepec, Coatepec, Xalapa, José Azueta, Los Reyes, Amatitlán, Playa Vicente, Paso del Macho, Cosautlán de Carvajal, Tlacotalpan, Santiago Sochiapan y Tlilapan</t>
  </si>
  <si>
    <t>Seguimiento a afectaciones por 90L y Tormenta Tropical Beta
• 33 municipios afectados, 
• 2,152 personas afectadas.
• 668 viviendas afectadas
• 1 escuela
• 11 derrumbes
• 11 deslaves
• 4 refugios temporales activados
Municipios:
Coatepec: Preliminar 36 viviendas afectadas por anegamiento. Se activaron 2 refugios temporales.
Xalapa: 7 viviendas afectadas por anegamientos, 1 barda caída.
José Azueta: Preliminar 260 viviendas afectadas y 1 escuela por anegamiento.
Amatitlán: Preliminar 214 viviendas afectadas por anegamiento.
Playa Vicente: 140 viviendas afectadas por anegamiento. Se activó un Refugio Temporal.
Paso del Macho  6 viviendas afectadas por anegamiento.
Tlacotalpan: 2 viviendas afectadas por anegamiento, se activó de manera preventiva un refugio temporal.
Santiago Sochiapan: 3 viviendas afectadas por anegamientos, fueron evacuadas 3 familias, que eligieron trasladarse con familiares.</t>
  </si>
  <si>
    <t>Pichucalco, San Cristobal de las Casas y Ocosingo</t>
  </si>
  <si>
    <t>Municipio de Pichucalco: En la colonia Luis Donaldo Colosio, se registró el desbordamiento de un arroyo, ocasionando penetración de agua a 80 viviendas. No se reportan evacuados ni daños humanos.
Municipio de San Cristóbal las Casas: Destechamiento de varias viviendas (sin contabilizar), derivado de fuertes vientos. 
Municipio de Ocosingo: Se reportan 47 viviendas afectadas por destechamiento.</t>
  </si>
  <si>
    <t xml:space="preserve">Puebla y Izúcar de Matamoros </t>
  </si>
  <si>
    <t>21:27 horas, se reportó que el río Atoyac presentaba escurrimientos, provocando encharcamiento a la altura del puente de México dirección a Zavaleta. Solo se reportaron encharcamientos en vialidad y 1 vehículo varado rescatado. 
Municipio de Izúcar de Matamoros:
• 1 vivienda con penetración de agua con un nivel de 1.00 a 1.05 metros de altura.
• 29 familias evacuadas que se van con familiares.
• 20 familias evacuadas que se envían al albergue habilitado en el Auditorio Municipal.</t>
  </si>
  <si>
    <t>Derivado de las lluvias fuertes presentadas de las 17:00-17:30 horas, en la colonia Las Ánimas, se reportan 6 viviendas y el desbordamiento de canal de riego.</t>
  </si>
  <si>
    <t>Zapopan y Guadalajara</t>
  </si>
  <si>
    <t>Municipio de Zapopan: 1 vivienda afectada por penetración de agua. Sin daños humanos. Sin refugios temporales activados. Al momento el nivel del agua ya descendió</t>
  </si>
  <si>
    <t>Jojutla y Tlaquiltenango</t>
  </si>
  <si>
    <t>Municipio de Jojutla: 1 colonia afectada, Drenaje saturado y 6 viviendas afectadas.
Municipio de Tlaquiltenango: 5 colonias afectadas, 30 viviendas afectadas, 1 caída de barda en la colonia presidentes, 1 menor de edad rescatado y 1 canal de riego desbordado. Sin daños humanos al momento. Sin refugios temporales al momento.</t>
  </si>
  <si>
    <t>Centla, Centro, Cárdenas, Tacotalpa, Teapa, Cunduacán, Nacajuca, Macuspana, Jalapa, Jalpa de Méndez, Huimanguillo, Balancán, Paraíso, Jonuta</t>
  </si>
  <si>
    <t xml:space="preserve">El paso del frente frío número 4-5  originón lluvias importantes en la zona del sureste mexicano. En el estado de Tabasco, durante el periodo del 27 de septiembre al 4 de octubre, se registraron lluvias acumuladas de 543.1 litros por metro cuadrado en el municipio de Centro y de 400 litros por metro cuadrado en el municipio de Tacotalpa, lo cual equivale al 21.29% y 15.68% de la precipitación promedio anual. Con las siguientes afectaciones: 4 fallecidos, 623,624 personas afectadas, 4,595 evacuados, 82 refugios activados con 4,567 personas, 12,653 viviendas afectadas, 4 deslizamiento de tierra, 2 árboles caídos, 5 corrientes desbordadas, 3 cortes carreteros . Culmina el 6 de octubre. </t>
  </si>
  <si>
    <t>A las 20:00 horas, se registraron lluvias fuertes provocando el desbordamiento del río Chalaca y la penetración de agua a 60 viviendas con 20-30 cm de altura. No se reportaron daños humanos, ni evacuados.</t>
  </si>
  <si>
    <t>Nautla, Papantla, Martinez de la Torre, Espinal, Chiconquiaco, Yecuatla, Los Reyes, Cerro Azul, Coetzala, Tomatlán, Coatzacoalcos, Banderilla, Misantla, Papantla, Xalapa, Emiliano Zapata, Chalma, Coatepec, Tonayán, Atzalan y Huiloapan</t>
  </si>
  <si>
    <t>Derivado de las fuertes lluvias, se registraron las siguientes afectaciones: 2 personas lesionadas, 152, afectadas, 6 personas evacuadas, 105 viviendas con penetración de agua, 13 deslizamientos de suelo, 28 árboles caídos, 1 poste energía eléctrica, 2 puentes afectados y 7 cortes carreteros.</t>
  </si>
  <si>
    <t>Movimiento de ladera del 29 al 30 de septiembre</t>
  </si>
  <si>
    <t>Durante los meses de octubre y noviembre se presentaron en varios municipios de la entidad una serie de lluvias intensas y deslaves.</t>
  </si>
  <si>
    <t>CAMPO</t>
  </si>
  <si>
    <t>Durante los meses de octubre y noviembre se presentaron en varios municipios de la entidad una serie de deslaves.</t>
  </si>
  <si>
    <t>Celestún, Cuncunul, Progreso, Panabá, Valladolid, Tizimín, El Cuyo, Dzibilchaltún, Sisal, Hunucmá, Chemax, Río Lagartos, San Felipe, Uayma, Oxkutzcab, Dzilam González, Ucú, Hocabá, Cenotillo, Kanasín, Mococha, Telchac Puerto, Dzoncauich, Motul, Sinanché, Tinum, Conkal, Sudzal, Cacalchén, Chankom, Espita, Peto</t>
  </si>
  <si>
    <t xml:space="preserve">El 2 de octubre inicia la Tormenta Tropical Gamma con las siguientes afectaciones: 170 personas afectadas, 170 evacuados, 2 refugios activados con 40 personas, 287 viviendas afectadas, 15 árboles caídos, 1 poste de luz, 2 cortes carreteros, 32 municipios afectados. Culmina el 6 de octubre. </t>
  </si>
  <si>
    <t>Boletín DGPC chat de la sub</t>
  </si>
  <si>
    <t>Bacalar, Benito Juárez, Cozumel, Felipe Carrillo, Isla Mujeres, Lázaro Cárdenas, Puerto Morelos, Solidaridad y Tulum</t>
  </si>
  <si>
    <t>Derivado del paso del ciclón tropical Gamma, se reportaron las siguientes afectaciones: 5 personas lesionadas, 98 personas afectadas, 78 evacuados, 34 personas en 2 refugios temporales (se habilitaron 32 refugios), 40 viviendas presentaron afectaciones, 348 árboles caídos, 80 postes de energía eléctrica y 1 corte carretero, el sistema afectó a 9 municipios.</t>
  </si>
  <si>
    <t>El 2 de octubre inicia la Tormenta Tropical Gamma con las siguientes afectaciones: 123 personas afectadas, 119 evacuados, 2 refugios activados con 104 personas, 3 viviendas afectadas. Culmina el 6 de octubre.</t>
  </si>
  <si>
    <t>Benito Juárez, Solidaridad, Lázaro Cárdenas, Isla Mujeres, Puerto Morelos, Cozumel, Tulum y Felipe Carrillo Puerto.</t>
  </si>
  <si>
    <t xml:space="preserve">Por el paso del ciclón tropical Delta, se presentaron las siguientes afectaciones:
182 Refugios temporales habilitados
Activados (63) 3,115 personas
- Benito Juárez, 16 refugios (1,759 personas)
- Solidaridad, 9 refugios (374 personas)
- Lázaro Cárdenas, 2 refugios (106 personas)
- Isla Mujeres, 3 refugios (60 personas)
- Puerto Morelos, 8 refugios (119 personas)
- Cozumel, 3 refugios (132 personas)
- Tulum, 13 refugios (430 personas)
- Felipe Carrillo Puerto, 9 refugios (135 personas)
Evacuados (39,049 personas)
- Benito Juárez 9,322 personas
- Lázaro Cardenas: 6,263 personas
- Isla Mujeres 1,122 personas
- Puerto Morelos 1,360 personas
- Tulum 265 personas
- Felipe Carrillo Puerto 73 personas
- Banco Chinchorro 67 personas
- Corales 11,188 habitantes
- Donceles 28: 3,443 habitantes
</t>
  </si>
  <si>
    <t>Abala, Acanceh, Bokoba, Buctzotz, Celestúm, Chemax, Chichimilpa, Chicxulub Pueblo, Conkal, Dzidzantun, Dzilam González, Dzitás, Dzoncauich, Hocabá, Hoctún, Motul, Coloradas, Cuyo, Río Lagartos, Panaba, Progreso, Sinanché, Sotuta, Tahmek, Tenabo, Tekal de Venegas, Tekanto, Telchac Pueblo, Telchac Puerto, Tizimín, Yaxcaba y Yobaín.</t>
  </si>
  <si>
    <t>Debido al paso del ciclón tropical Delta, el pasado 6 de octubre, se reportan las siguientes afectaciones: 44 viviendas afectadas, 197 árboles caídos, 4 cortes de energía eléctrica.
Afectaciones
- 44 viviendas.
Refugios temporales
58 refugios temporales activados (1,534 personas)</t>
  </si>
  <si>
    <t xml:space="preserve">Huajuapan de León  </t>
  </si>
  <si>
    <t>De las 18:00 a las 19:00 horas, se registraron lluvias fuertes, caída de granizo y vientos fuertes en el municipio de Huajuapan de León, provocando encharcamientos viales, bajadas de agua, 3 viviendas (techo de lámina) afectadas por destechamiento por vientos, 7 viviendas con penetración de agua, 1 camioneta que quedó atorada en una alcantarilla y derrumbes de piedras que obstruyeron la vía pública, no se reportaron daños humanos, ni personas evacuadas.</t>
  </si>
  <si>
    <t>Lluvia severa el 26 de octubre de 2020</t>
  </si>
  <si>
    <t>Lluvia severa e inundación puvial el 27 y 30 de octubre de 2020</t>
  </si>
  <si>
    <t>Afectaciones en Tabasco por la presencia de los frentes fríos 9 y 11.</t>
  </si>
  <si>
    <t>CENACOM-FONDEN-CAMPO</t>
  </si>
  <si>
    <t>Lluvia severa e inundación fluvial y pluvial del 30 de octubre al 1 de noviembre de 2020</t>
  </si>
  <si>
    <t>Agua Dulce, Nachitán</t>
  </si>
  <si>
    <t>Al momento se reportan las siguientes afectaciones.
Municipio, de Agua Dulce: 
80 viviendas con un tirante de 13 a 40 centímetros de agua. 
Municipio de Nachitán: 
Anegaciones de 20 a 30 centímetros de altura, 01 barda caída en una vivienda.</t>
  </si>
  <si>
    <t>Inundación pluvial del 21 al 22 de noviembre</t>
  </si>
  <si>
    <t>16, 17 y 18 diciembre 
Precipitaciones registradas por estaciones automáticas y convencionales, Protección Civil del municipio, reporta las siguientes afectaciones: 
• Incomunicada la comunidad Manantiales por desbordamientos. 
• Afectación a 2,100 viviendas con tirantes que van de 1 a 2 m (en las zonas más bajas). 
• Afectación a 8,000 personas. 
• Afectaciones en 10 comercios en el Mercado Campesino.  
• Afectaciones en 2 hospitales.  
• Afectaciones de 19 colonias con tirantes de 1 hasta 3 m. 
• Al momento, sin daños humanos. 
• Se han activado 4 refugios temporales. 
• 55 personas albergadas en 2 refugios temporales.
• 30 personas en 4 colonias has sido rescatadas.</t>
  </si>
  <si>
    <t>Coatzacoalcos, Soledad de Doblado, Tlalixcoyan, Boca del Río, Emiliano Zapata, José Azueta, Chacaltianguis, Jáltipan, Zaragoza, Ixmatlahuacan, Carlos A. Carrillo, Tlacojalpan, Acula, Tres Valles, Paso de Ovejas, Úrsulo Galván, Tierra Blanca, Otatitlán, Banderilla, Cosamaloapan, Cerro Azul, Tepetzintla, Naranjos, Tuxpan, Álamo Temapache, Tamiahua, Tihuatlán, Coatzintla, Puente Nacional, Coatepec, La Antigua, Xalapa, Poza Rica, Chinampa de Gorostiza, San Andrés Tlalnelhuayocan, Veracruz y Medellín de Bravo.</t>
  </si>
  <si>
    <t>Desde las 07:00 horas y durante el día del 24 de diciembre, se presentaron fuertes vientos en 37 municipios del estado, provocando afectaciones en:
Municipio de Tlalixcoyan:
• 10 viviendas afectadas por destechamientos parcial y total.
Municipio de Chacaltianguis:
• 10 viviendas afectadas por destechamientos parciales.
Municipio de Zaragoza:
• 1 inmueble afectado (bodega).
Municipio de Carlos A. Carrillo:
• 2 viviendas afectadas por destechamientos parciales.
Municipio de Tlacojalpan:
• 15 viviendas afectadas por destechamientos parciales.
Municipio de Acula:
• 5 viviendas afectadas por destechamientos parciales.
Municipio de Tres Valles:
• 1 vivienda afectada por destechamiento parcial.
Municipio de Úrsulo Galván:
• 1 vivienda afectada por destechamiento parcial.
Municipio de Tierra Blanca:
• 2 viviendas afectadas por destechamientos parciales.
Municipio de Otatitlán:
• 14 viviendas afectadas por destechamientos parciales.
Municipio de Cosamaloapan:
• 43 viviendas afectadas por destechamientos parciales.
Municipio de Puente Nacional:
• 3 viviendas afectadas por destechamientos totales.
Municipio de Poza Rica:
• 1 comercio afectado.
• 1 hospital afectado.
Municipio de Chinampa de Gorostiza:
• 2 escuelas afectadas.
Municipio de Veracruz:
• 42 viviendas afectadas por destechamientos parciales.
Municipio de Medellín de Bravo:
• 1 vivienda afectada por destechamiento total.
• 1 persona lesionada, hombre sin generales, por caída de árbol.</t>
  </si>
  <si>
    <t>Nevada severa el 30 y 31 de diciembre de 2020</t>
  </si>
  <si>
    <t>Nevada y helada severas el 30 y 31 de diciembre de 2020</t>
  </si>
  <si>
    <t>En 2021 se presentaron 5 casos por hipotermia y 2 por intoxicación. Dos perdieron la vida por intoxicación.</t>
  </si>
  <si>
    <t>En 2021 se presentó 1 caso por hipotermia. 1 persona perdió la vida por hipotermia.</t>
  </si>
  <si>
    <t xml:space="preserve">En 2021 se presentaron dos casos por intoxicación.  </t>
  </si>
  <si>
    <t>En 2021 se presentaron 56 casos por bajas temperaturas: 3 casos de hipotermia, 44 por intoxicación y 9 por quemadura . Siete perdieron la vida por intoxicación.</t>
  </si>
  <si>
    <t>En 2021 se presentaron tres casos por intoxicación.</t>
  </si>
  <si>
    <t>En 2021 se presentaron 3 casos de intoxicación. Tres personas perdieron la vida por intoxicación.</t>
  </si>
  <si>
    <t>En 2021 se presentaron dos casos por intoxicación y uno por quemadura.</t>
  </si>
  <si>
    <t xml:space="preserve">En 2021 se presentaron dos casos por intoxicación. </t>
  </si>
  <si>
    <t>En 2021 se presentó un caso por intoxicación.</t>
  </si>
  <si>
    <t>En 2021 se presentó un caso por hipotermia.</t>
  </si>
  <si>
    <t>En 2021 se presentaron 2 casos por hipotermia.</t>
  </si>
  <si>
    <t>En 2021 se presentaron 31 casos por bajas temperaturas: 4 por hipotermia, 24 por intoxicaxión y 3 por quemadura. Cinco personas perdieron la vida 2 por hipotermia y 3 por intoxicación.</t>
  </si>
  <si>
    <t xml:space="preserve">En 2021 se presentaron 58 casos: 7 por hipotermia y 51 por intoxicación.Siete personas perdieron la vida:4 por hipotermia y 3 por intoxicación. </t>
  </si>
  <si>
    <t xml:space="preserve">En 2021 se presentaron 6 casos por intoxicación. </t>
  </si>
  <si>
    <t>En 2021 se presentaron 431 casos por altas temperaturas: 51 por golpe de calor y 380 por deshidratación. 19 personas perdieron la vida por golpe de calor.</t>
  </si>
  <si>
    <t>En 2021 se presentaron 15 casos por altas temperaturas: 10 por golpe de calor y 5 por deshidratación. Una persona perdió la vida por golpe de calor y dos por deshidratación.</t>
  </si>
  <si>
    <t xml:space="preserve">En 2021 se presentaron 8 casos por altas temperaturas:  2 por golpe de calor, 5 por deshidratación y uno por quemadura. </t>
  </si>
  <si>
    <t>En 2021 se presentaron 2 casos por altas temperaturas: 1 por golpe de calor y 1 por deshidratación.</t>
  </si>
  <si>
    <t xml:space="preserve">En 2021 se presentaron 19 casos por altas temperaturas:  14 por golpe de calor, 4 por deshidratación y uno por quemadura. </t>
  </si>
  <si>
    <t>En 2021 se presentaron 7 casos por altas temperaturas: 5 por golpe de calor y 2 por deshidratación.</t>
  </si>
  <si>
    <t>En 2021 se presentó un caso por deshidratación.</t>
  </si>
  <si>
    <t>En 2021 se presentaron 3 casos por altas temperaturas: 1 por golpe de calor y 2 por deshidratación.</t>
  </si>
  <si>
    <t xml:space="preserve">En 2021 se presentó un caso por golpe de calor. Una persona murió por golpe de calor. </t>
  </si>
  <si>
    <t xml:space="preserve">En 2021 se presentaron 24 casos por altas temperaturas:  20 por golpe de calor,3 por deshidratación y uno por quemadura. </t>
  </si>
  <si>
    <t>En 2021 se presentó por golpe de calor.</t>
  </si>
  <si>
    <t>En 2021 se presentaron 12 casos por altas temperaturas: 2 por golpe de calor y 10 por deshidratación.</t>
  </si>
  <si>
    <t>En 2021 se presentó un caso por golpe de calor.</t>
  </si>
  <si>
    <t>En 2021 se presentó un caso por golpe de calor y uno por quemadura.</t>
  </si>
  <si>
    <t>En 2021 se presentaron 3 casos por altas temperaturas:  1 por golpe de calor y 2 por deshidratación.</t>
  </si>
  <si>
    <t>En 2021 se presentaron 4 casos por altas temperaturas:  1 por golpe de calor y 3 por deshidratación.</t>
  </si>
  <si>
    <t>En 2021 se presentaron 44 casos por altas temperaturas:  13 por golpe de calor,30 por deshidratación y uno por quemadura. Una perona perdió la vida por golpe de calor.</t>
  </si>
  <si>
    <t>En 2021 se presentaron 109 casos por altas temperaturas:  36 por golpe de calor,72 por deshidratación y uno por quemadura.Cinco personas perdieron la vida por golpe de calor.</t>
  </si>
  <si>
    <t>En 2021 se presentaron 146 casos por altas temperaturas:  89 por golpe de calor, 56 por deshidratación y uno por quemadura. Una persona perdió la vida por golpe de calor.</t>
  </si>
  <si>
    <t>En 2021 se presentaron 5 casos por altas temperaturas:  4 por golpe de calor y 1 por deshidratación.</t>
  </si>
  <si>
    <t>En 2021 se presentaron 9 casos por altas temperaturas:  6 por golpe de calor, 3 por deshidratación. Una persona perdió la vida por golpe de calor.</t>
  </si>
  <si>
    <t>En 2021 se presentaron 21 casos por golpe de calor y dos por deshidratación. Dos personas perdieron la vida por golpe de calor.</t>
  </si>
  <si>
    <t>Xalapa, Emiliano Zapata y Huatusco</t>
  </si>
  <si>
    <t>Derivado de las fuertes lluvias que se están presentando en el estado de Veracruz se registran afectaciones en los siguientes municipios:
- Xalapa: Registra anegaciones sobre vialidades de 12 colonias, se rescató un vehículo
- Emiliano Zapata: Registra 30 viviendas afectadas por anegaciones, 40 cm de tirante. No hay reporte de personas lesionadas.
- Huatusco: Registra la caída de un árbol sobre un poste de TELMEX, en la cabecera municipal. No hay reporte de personas lesionadas.</t>
  </si>
  <si>
    <t>A las 04:10 horas tiempo local, se recibe reporte de daños en 8 casas por el desbordamiento de aguas negras del canal Tulichek,  a la altura  de la estación Barcelona. La causa las compuertas del canal se encontraban cerradas.</t>
  </si>
  <si>
    <t xml:space="preserve">Municipio de Tecate: 
• Se reportaron cierres carreteros por nevada y cristalización de la cinta asfáltica en la carretera libre Rumorosa – Tecate del km 62 al 92 y en Mexicali - Tecate del km 20 al 62. A las 11:00 horas (tiempo local)  de hoy, Protección Civil Municipal atiende 01 albergue temporal en el poblado La Rumorosa, al momento cuenta con 180 personas.  </t>
  </si>
  <si>
    <t>A las 10:37 horas, se registró el deslizamiento de tierra en la colonia 3 de Octubre la cual se encuentra asentada en un cañón, en el Municipio de Tijuana, esto es a causa de lluvias que se presentaron el día de ayer en el Municipio, al momento se reportan, 30 familias, un aproximado de 90 personas evacuadas, 35 viviendas afectadas, de las cuales 5 se encuentran parcialmente afectadas, 26 se encuentran inhabitables y 4 se encuentran colapsadas.</t>
  </si>
  <si>
    <t>Evento: Se reporta deslizamiento de tierra en la colonia 3 de Octubre, esto es a causa de lluvias que se presentaron el día 29 de enero en el municipio, se reportan 30 familias evacuadas  (90 personas), 41 viviendas afectadas, de las cuales 5 se encuentran parcialmente afectadas, 32 se encuentran inhabitables y 4 se encuentran colapsadas.</t>
  </si>
  <si>
    <t>San Pedro  San Pablo Ayutla,Teotongo, Heroica Ciudad de Tlaxiaco, San Martín Itunyoso y Santiago Tilantongo,</t>
  </si>
  <si>
    <t>Helada severa del 02 al 22 de febrero de 2021</t>
  </si>
  <si>
    <t>Ascensión, Juárez, Ahumada y Temósachic</t>
  </si>
  <si>
    <t>Desde las 05:30 horas:
• Se registra la caída de nieve desde las 05:30-06:00 horas y al momento en los municipios de Madera, Ascensión, Juárez, Ahumada y Temósachic, caída de aguanieve en la Sierra Tarahumara, al momento sin afectaciones. 
• En el municipio de Juárez, se reporta activo con 22 personas (17 masculinos y 5 femeninas) el albergue en la estación de Bomberos de Juárez para personas en situación de calle; también se reportan cristalizadas ya varias vialidades, lo que causó la muerte de 1 persona por el derrapamiento de su motocicleta.</t>
  </si>
  <si>
    <t>Piedras Negras, Acuña, Allende, Sabinas, Monclova y Saltillo</t>
  </si>
  <si>
    <t>Se reporta caída de nieve en los municipios de Piedras Negras, Acuña, Allende, Sabinas, Monclova y Saltillo desde las 19:00 horas/14 de febrero, con un espesor de 12 cm. Se habilitaron albergues con un total de 36 personas.
Se realizó el cierre temporal de las carreteras 57, 2, y la 29, así como la Autopista Premier en el tramo de Allende a San Juan de Sabinas. de manera preventiva se cerraron puentes vehiculares.</t>
  </si>
  <si>
    <t>Tecpatán </t>
  </si>
  <si>
    <t>Lluvia severa el 18 de marzo de 2021</t>
  </si>
  <si>
    <t xml:space="preserve">FONDEN: insumos </t>
  </si>
  <si>
    <t>Iguala de Independencia, Tetipac, Taxco de Alarcon, Huitzuco de los Figueroa y Chilpancingo.</t>
  </si>
  <si>
    <t>De acuerdo al  sismo de 5.8 grados a 30 Km al Sureste de Cd  de Huitzuco, Gro., se reportan afectaciones en los municipios, Iguala de Independencia: 2 viviendas afectadas (deslizamientos  de tejas de sus techos), caida de rocas sobre la autopista de Iguala-Cuernavaca km 50, derrumbe sobre la Carr. libre Chilpancingo-Iguala. Tetipac: derrumbe sobre la Carr. Estatal Taxco-Tetipac en el paraje conocido como la maquina obstruyendo ambos carriles. Taxco de Alarcon: fachada de la Iglesia de santa Prisca y el desprendimiento de la corona de una imagen. Huitzuco de los Figueroa: fisuras en el hospital general y 2  enfermeras lesionadas, 5 viviendas (2 con daños estructurales y 3 por  deslizamientos de tejas de sus  techos).  Chilpancingo: 1 vivienda con cuarteadura.</t>
  </si>
  <si>
    <t>Se registró el deslave de cerro en calle Piñitas, colonia Lomas de la Presa, municipio de Tijuana, afectando a 27 viviendas. Se evacuaron las viviendas, (sin contar con el número de personas que las habitan). Se reportan 3 viviendas con daño estructural y 10 viviendas están en la calle Encantada Norte y 17 en la calle Piñitas se encuentran en zona de alto riesgo.</t>
  </si>
  <si>
    <t>A las 17:50 horas, del día de hoy se presentó un tornado, en la colonia Lomas del Pedregal, municipio de Apan, situación que ocasionó daños en los techos de lámina de 4 viviendas, 6 bardas afectadas, 2 vehículos y varios cortes de energía eléctrica.</t>
  </si>
  <si>
    <t>De las 19:00 a 22:00 horas, se presentó lluvia moderada con granizo en los municipios de Toluca y Metepec, se tuvieron encharcamientos en vialidades y avenidas, así como afectaciones en techumbres:
Municipio de Toluca: 
•         1 colapso de techo por granizada de un taller mecánico con razón social "Automotriz Marluc” de 49 m² aproximadamente.
•         2 casas afectadas en su techo de láminas en el dormitorio de aproximadamente 15 m², entre ambas casas 20 personas afectadas.
•         1 casa afectada en su techo de tejas del segundo piso en dormitorio, con una dimensión de 18 m², en donde habitan 4 personas.
•         2 casas afectadas por filtraciones en su techo de concreto y caída de láminas en su área de patio y garaje con dimensiones de 20 m² aproximadamente donde habitan 12 personas.
•         1 auto lavado junto al 7-Eleven, ubicado en Paseo Tollocan esquina Av. Tecnológico, donde resultó 1 femenina de aproximadamente 60 años con una contusión frontal atendida en el lugar.</t>
  </si>
  <si>
    <t>Ciudad Acuña y Zaragoza</t>
  </si>
  <si>
    <t xml:space="preserve">Se registró cerca de las 16:30 horas, caída de granizo en el ejido Balcones, en el municipio de Acuña, donde el hielo alcanzó los 5 centímetros de diámetro. Se tiene reporte de 10 personas lesionadas atendidas que no requirieron traslado. Se registran daños en los vidrios de varios vehículos, caída de postes y cables de energía eléctrica. En la tienda departamental “El Sol”, se tienen afectaciones en su plafón.
</t>
  </si>
  <si>
    <t>A partir de las 16:30 horas se presentó granizo y viento fuerte en el municipio de Ciudad Acuña, derivado de lo anterior se reporta: Caída de granizo de 5 cm de diámetro, lluvias y vientos fuertes.
• 10 lesionados (ninguno de gravedad) 
• Afectaciones en vidrios de vehículos y viviendas (se sigue contabilizando) 
• Caída de postes y cables de energía eléctrica. 
• Tuberías de gas rotas (ya controladas)
• 1 tienda departamental  afectada por caída de plafón.
• 1 tienda departamental  afectada por fuga de gas y caída de plafones con 41 evacuados</t>
  </si>
  <si>
    <t>Azcapotzalco, Benito Juárez, Coyoacán, Cuauhtémoc, Gustavo A Madero, Miguel Hidalgo, Iztacalco, Iztapalapa y Venustiano Carranza</t>
  </si>
  <si>
    <t>Desde las 18:30 se presentó lluvia de ligera a fuerte acompañada de granizo, lo anterior provocó:
Templo Mayor:  A consecuencia de la acumulación de granizo en una estructura metálica instalada sobre la ruinas del Templo Mayor. Al momento no se reportan lesionados.
En un inmueble ubicado en Calz. de la Viga, Paulino Navarro, se colapsó parcialmente una techumbre de lámina galvanizada y estructura metálica por la carga de granizo. No hubo lesionados.
Alcaldía Benito Juárez. Por acumulación de granizo Colapso de la techumbre del Mercado Moderna, no se reportan lesionados.</t>
  </si>
  <si>
    <t>Teocelo, Acajete, Xalapa</t>
  </si>
  <si>
    <t>Tarde/ 30 de abril 
Teocelo Se reporta una 1 vivienda destechada en la comunidad Texín, con 1 persona con lesiones menores atendida en el punto.
Xalapa Reporta anegamientos en 9 avenidas
• Así como en 7 colonias (Estibadores, Magisterial, Rafael Hernández Ochoa, Obrero Campesina, Rafael Lucio, Veracruz y Revoución)
•  12 viviendas afectadas por anegamiento</t>
  </si>
  <si>
    <t xml:space="preserve">19:00 horas/ 11 de mayo Lluvia fuerte en la calle López Cotilla cruce con López rayón y Zaragoza, municipio de Lagos de Moreno. Se reportan las siguientes afectaciones:
• 28 viviendas con penetración de agua de 5 a 50 cm.
• 2 locales comerciales
• 20 vehículos </t>
  </si>
  <si>
    <t>Ayer a las 16:30 horas Evento: El día de hoy cerca de las 16:30 horas, se registraron lluvias de moderadas a fuertes acompañadas de vientos fuertes en la comunidad de Pilaxtla, en el  municipio de Matlapa, situación que ocasionó que un árbol cayera sobre un grupo de trabajadores del campo, donde se reporta 1 fallecido y 6 personas lesionadas, mismas que fueron trasladadas en la Unidad Familiar de Matlapa y después trasladados al hospital General de Ciudad Valles.</t>
  </si>
  <si>
    <t>13 de mayo. Alcaldía Iztapalapa detalló que se han cuantificado alrededor de 140 viviendas afectadas y, de ellas, 80 presentan pérdidas de muebles y enseres, pero son 50 las que más afectaciones sufrieron en sus artículos del hogar, debido a la inundación que alcanzó los interiores de los domicilios.</t>
  </si>
  <si>
    <t>7 casas con penetración de agua con tirante de 10 cm.
• 4 calles con anegaciones con tirante máximo de 20 cm.
• Cables caídos de postes de TELMEX y CFE con reporte de 3 incendios de transformadores y fallas en el suministro eléctrico en algunas zonas del municipio.
• Daños en vidrios de viviendas y automóviles (sin cuantificar)
• Daños en vidrios de Hospital del IMSS y en los cristales de ambulancias, sin suspender la operación del nosocomio.</t>
  </si>
  <si>
    <t>Reynosa, Matamoros y Valle Hermoso</t>
  </si>
  <si>
    <t>Entre las 16:00 y 17:00 horas, se registraron lluvias con granizo en  las colonias Vista Hermosa y Las Lomas, Municipio de Matamoros; Lluvias fuertes en el Municipio de Valle Hermoso, se reportaron encharcamientos en calles, afectación vehicular y suspensión intermitente del servicio de energía eléctrica.
Municipio de Reynosa:
• En la Colonia Jacinto López se apoyó a 6 personas a salir de su vivienda, se les informo de un refugio temporal ubicado en la Unidad Deportiva.
• En la Colonia las Fuentes en las avenidas Boulevard Hidalgo y Fuente Diana, se reportó un camión de transporte público varado por la inundación de la avenida; se desconoce el tirante del nivel del agua registrado; 10 personas del interior del camión, fueron evacuadas sanas y salvas.
• En la colonia Aztlán, en la calle 11 y oriente 2 , se rescató a 1 persona en un vehículo varado por inundación. 
•Como medida preventiva se habilito un refugio en caso de que alguna familia requiera hacer uso del mismo.</t>
  </si>
  <si>
    <t>Durante la tarde-noche, se presentaron lluvias fuertes y vientos, en las ranchería Dos Cruces y Chacaljemel Jatón, municipio de Comitán de Domínguez, dejando afectaciones en 6 viviendas por destechamiento (desprendimiento de láminas). No se reportaron evacuados, lesionados y/o fallecidos</t>
  </si>
  <si>
    <t>San Pedro Totolapa, Tlacolula, Magdalena Yodocono, Nochixtlán, San Juan Bautista Tuxtepec, San Marco Tlapazola</t>
  </si>
  <si>
    <t>Derivado de las fuertes lluvias en el estado de Oaxaca, al momento se tienen las siguientes afectaciones:
• San Marco Tlapazola: Fue localizado el cuerpo sin vida de 1 persona, la cual fue arrastrada por la corriente del río.
• Magdalena Yodocono: 4 Viviendas afectadas y fallas en la energía eléctrica
• San Juan Bautista Tuxtepec: se habilitó un refugio temporal, sin embargo, al momento, no ha sido utilizado, se reporta el desprendimiento de láminas en 1 jardín de niños y 10 viviendas.</t>
  </si>
  <si>
    <t>San Pedro Totolapan, San Marco Tlapazola, Tlacolula, Magdalena Yodocono, Nochixtlan, San Juan Bautista Tuxtepec</t>
  </si>
  <si>
    <t>20:00 horas/ 17 de mayo Derivado de las fuertes lluvias en el estado de Oaxaca, al momento se tienen las siguientes afectaciones:
• San Pedro Totolapan: Se presentó un deslizamiento de suelo y arrastre de material pétreo sobre la carretera que conecta la Ciudad de Oaxaca y el Istmo (Tramo San Pedro Totolapa-El Camarón Yautepec). A la 01:00 horas del día de hoy se recibió el reporte en relación a la desaparición de un masculino de entre 40 y 45 años en la localidad de San Pedro Totolapan, esto luego de un deslave.  Fue localizo el cuerpo sin vida de la persona desaparecida
• San Marco Tlapazola: Fue localizado el cuerpo sin vida de 1 persona, la cual fue arrastrada por la corriente del río.
• Magdalena Yodocono: 4 Viviendas afectadas y fallas en la energía eléctrica
• San Juan Bautista Tuxtepec: de manera preventiva se habilitó un refugio temporal, sin embargo, al momento, no ha sido utilizado, se reporta el desprendimiento de láminas en 1 jardín de niños y 10 viviendas; 15 árboles caídos, suspensión de agua potable en 15 colonias.</t>
  </si>
  <si>
    <t>300 postes de luz caídos 
22 cables al piso
10 volcaduras durante las lluvias sin reporte de lesionados
02 bardas caídas
14 colonias inundadas (Longoria, Centro, Vieja Aduana, Roma, Viveros, Infonavit I,II y III, FOVISSSTE, Hidalgo, Alianza, Militar, Reservas Territoriales I y II)
01 incendio a casa habitación (se desconoce la causa no se reportan lesionados)
14 Estructuras de CFE colapsadas
1 Antena de radiocomunicación caída.
1 Carretera obstruida parcialmente</t>
  </si>
  <si>
    <t>San Antonio Cañada, Zinacantepec y Esperanza</t>
  </si>
  <si>
    <t xml:space="preserve">Municipio de Esperanza:
A las 18:00 horas, derivado de las fuertes lluvias en el municipio de Esperanza, se reportó el desbordamiento de la barranca “Toro Pinto” por rompimiento de bordo a la altura de la colonia El Maestro, reportándose afectaciones en aproximadamente 40 viviendas por penetración de agua y lodo, así como acumulación de lodo en calles. Ya laborando maquinaria para su retiro. No se reportan personas evacuadas, lesionadas y/o fallecidas. Se habilitó 1 albergue en el municipio.
</t>
  </si>
  <si>
    <t>Córdoba, Coscomatepec, Tomatlán, Huatusco, Fortín de Las Flores, Ixtaczoquitlán, Zongolica, Cosamaloapan y Otatitlán</t>
  </si>
  <si>
    <t xml:space="preserve">Durante el transcurso de la tarde-noche, se registraron lluvias y vientos fuertes en 9 municipios provocando las siguientes afectaciones:
Municipio de Córdoba: (6) Viviendas afectadas por destechamientos parciales (en atención).
Municipio de Tomatlán: 7 Viviendas afectadas por destechamientos parciales (en atención) y 1 por caída de pino.
Municipio de Otatitlán: (5) Viviendas afectadas por destechamientos parciales (en verificación). </t>
  </si>
  <si>
    <t>San Pedro Totolapan, Villa de Zaachila, Región Sierra Norte y Región de la Cuenca del Papaloapan</t>
  </si>
  <si>
    <t>Durante la tarde-noche, se registraron fuertes lluvias en diversas zonas del estado, reportando las siguientes afectaciones:
Municipio de Villa de Zaachila:
6 viviendas resultaron con inundaciones.
Región de la Cuenca del Papaloapan:
Daños en techos de viviendas, suspensión de la energía eléctrica y árboles caídos.</t>
  </si>
  <si>
    <t>Se registró lluvia y vientos fuertes con velocidades de 120 km/h en el municipio de Nuevo Laredo, derivado de lo anterior se reportan las siguientes afectaciones:
• 156 viviendas afectadas
• 325 negocios dañados en techumbres, anuncios y ventanales
• 6 personas en albergue del Auditorio Municipal, (1 familia con 1 mascota)
• 10 volcaduras de tracto-camiones con carga
• 01 fallecido por arrastre a causa de la lluvia.
• 1 Antena de radiocomunicación caída.
• 1 localizado en la calle, el cual fue trasladado a las instalaciones del DIF municipal.
• Fallecidos: 01
• Lesionados: 52
• Evacuados: 11</t>
  </si>
  <si>
    <t>Carrillo Puerto, Ayahualulco, Ixhuatlán del Café, Chocaman, Naranjal, Amatlán de los Reyes, Tequila, Zongolica, Cosamaloapan, Atoyac, Otatitlán, Córdoba, Coscomatepec, Tomatlán, Huatusco, Fortín de las Flores e Ixtaczoquitlán.</t>
  </si>
  <si>
    <t>Durante el transcurso de la tarde-noche, se registraron lluvias y vientos fuertes en 17 municipios del estado, con las siguientes afectaciones:
• Viviendas destechadas: 288
• Población afectada: 1,152
Municipio de Ayahualco: 
• Viviendas destechadas: 164
• Población afectada: 652
Municipio de Ixhuatlán del Café: 
• Viviendas destechadas: 4
• Población afectada: 16
Municipio de Chocaman: 
• Viviendas destechadas: 10
• Población afectada: 40
Municipio Naranjal: 
• Viviendas destechadas: 1
• Población afectada: 4
Municipio de Cosamaloapan: 
• Viviendas destechadas: 44
• Población afectada: 176
Municipio Atoyac: 
• Viviendas destechadas: 3
• Población afectada: 12
Municipio de Otatitlán: 
• Viviendas destechadas: 41
• Población afectada: 164
Municipio de Córdoba: 
• Viviendas destechadas: 3
• Población afectada: 12
Municipio de Coscomatepec: 
• Viviendas destechadas: 6
• Población afectada: 24
Municipio de Tomatlán: 
• Viviendas destechadas: 10
• Población afectada: 44
Municipio de Fortín de Las Flores: 
• Viviendas destechadas: 2
• Población afectada: 8</t>
  </si>
  <si>
    <t>Durante el transcurso del día, se registró lluvia fuerte y caída de granizo en el municipio de Vega de Alatorre, provocando las siguientes afectaciones:
Municipio de Vega de Alatorre:
• Viviendas afectadas: 56 (anegamientos y destechamientos parciales).
• Población afectada: 224
No se reportan evacuados, fallecidos y/o evacuados.</t>
  </si>
  <si>
    <t>Reynosa y Matamoros</t>
  </si>
  <si>
    <t xml:space="preserve">Municipio de Matamoros
Se registró lluvia fuerte acompañadas de tormenta eléctrica desde las 11:40 horas, Se reportan 13 vehículos varados.
Municipio de Reynosa
Se registró lluvia fuerte a partir de las 10:30.
Se habilitaron 2 refugios temporales.
</t>
  </si>
  <si>
    <t>Cosautlán de Carvajal y Carrillo Puerto</t>
  </si>
  <si>
    <t>Durante el transcurso del día se presentaron afectaciones en 2 municipios del estado por caída de granizo y lluvias fuertes, provocando:
Municipio de Cosautlán de Carvajal
o             Viviendas destechadas: 72
o             Población afectada: 211
o             Persona fallecida: 1 (mujer)</t>
  </si>
  <si>
    <t xml:space="preserve">A partir de las 18:00 horas, se presentaron lluvias muy fuertes en el municipio de Macuspana, provocando las siguientes afectaciones: 
o Colonia El Castaño: Penetración de agua en aproximadamente 400 viviendas, un tirante de agua en calles de 80 cm y 2 vehículos varados.
o Colonia Josefa Ortiz de Domínguez: Se presentan inundaciones en calles y penetración de agua a viviendas (sin cuantificar).
o Colonias 20 de Noviembre, Independencia y Colosio: Se presentan de 30 a 60 cm de tirante de agua en calles y viviendas (sin cuantificar).
No se reportan evacuados, lesionados y/o fallecidos.
</t>
  </si>
  <si>
    <t>Municipio de Monclova: A las 22:15 horas, se registró lluvia fuerte, caída de granizo de hasta 1 pulgada y vientos fuertes con rachas de hasta los 60 km/h en el municipio durante 1 hora, provocando afectaciones:
• Penetración de agua a viviendas: 10 (atendidas).
• Refugio temporal: 1 (sin personas al momento) en instalaciones de la estación de Bomberos  
Municipio de San Buenaventura: A las 23:00 horas, el Ayuntamiento reportó fuerte granizada.</t>
  </si>
  <si>
    <t>A las 11:20 horas, Se reportó el deslizamiento de alud en una obra de construcción a la entrada de la localidad de Cubanicuilco Municipio de Los Reyes. Resultando 2 personas atrapadas. A las 12:50 horas, se reporta el rescate de las 2 personas con vida, siendo trasladados al Hospital mas cercano para su valoración.</t>
  </si>
  <si>
    <t>Hecelchakán</t>
  </si>
  <si>
    <t>Ecatepec de Morelos, Atizapán de Zaragoza y Cuautitlán Izcalli</t>
  </si>
  <si>
    <t>Derivado de las intensas lluvias que se presentaron en el estado, se reportan las siguientes afectaciones: 
Municipio de Ecatepec
•         Se reportó anegación dentro del Hospital General Dr. José María Rodríguez del Instituto de Salud del Estado de México afectando el área interna del hospital, área de hemodiálisis, medicina interna y área COVID 19. El tirante registrado es de aproximadamente 20 cm. El nivel del agua ya disminuyó y se realizaron las tareas de limpieza y saneamiento.
•         Anegaciones en el Centro Comercial Plaza Aragón donde la parte baja registró un tirante de agua de aproximadamente 80 cm.
Municipio de Atizapán de Zaragoza
•         Desbordamiento del canal San Miguel, en la colonia Ejido San Miguel Chalma, afectando 17 viviendas en la calle Guatemala, 8 viviendas en la calle México, 5 viviendas y 2 vehículos en la calle Luis Donaldo Colosio.</t>
  </si>
  <si>
    <t>La Perla</t>
  </si>
  <si>
    <t>A las 22:55 horas, se registró el deslave afectando a una vivienda derivado de las fuertes lluvias, presentadas en la zona de la comunidad el Zapote, como referencia entrando por el camino conocido como “La Cumbre del Español”, municipio de La Perla. Al momento del incidente, en el interior de la vivienda se encontraba 1 femenina, que fue trasladada al Hospital de San Miguel Arcángel de la Cd. de Orizaba por crisis nerviosa.</t>
  </si>
  <si>
    <t>04 de junio 12:50 horas. La Secretaría del Trabajo de Coahuila recibió el reporte de un accidente en una mina de arrastre de carbón mineral y con razón social MICARAN, sobre la carretera El Sauz - Paláu km 22, comunidad de Rancherías, municipio de Múzquiz. Según las investigaciones preliminares, hay indicios de que el accidente se debió a un desbordamiento e inundación en la mina, cuando los trabajadores golpearon un “velero” (cuerpo de agua subterráneo). En el reporte se manifestó que 7 trabajadores que realizaban labores quedaron atrapados; los 7 cuerpos de los mineros ya fueron rescatados.</t>
  </si>
  <si>
    <t>Zapopan, Guadalajara y Tlaquepaque</t>
  </si>
  <si>
    <t>A partir de las 21:30 horas, inician lluvias de ligeras a fuertes en diferentes puntos del Área Metropolitana de Guadalajara, principalmente en los municipios de Guadalajara, Tlaquepaque, Tlajomulco de Zúñiga, Zapopan y Tonalá.
Municipio de Tlaquepaque:
Colapso de techumbre (lámina de asbesto) de un tejabán de 3x3 metros, provocado por la acumulación de agua en un plástico situado arriba de las láminas.  
Municipio de Zapopan:
Se registraron lluvias intensas en el municipio, provocando al momento:
•         Encharcamientos de 40-50 cm en la colonia Estancia, en Av. Patria y Av. Ludwig Van Beethoven con 5 vehículos varados.
•         En colonia Las Águila, en la Av. López Mateos y Palma se reportaron 8 vehículos varados que fueron orillados y penetración de agua a viviendas con un tirante de hasta 40 cm (sin cuantificar). 
•         En la colonia Los Paraísos, desgajamiento del Cerro Colli, afectando a 3 domicilios. En uno de los cuartos de un domicilio, ingresó parte de la tierra y piedras del deslave, provocando lesiones leves en 1 masculino, el cual fue rescatado y trasladado a un hospital para su valoración médica.</t>
  </si>
  <si>
    <t>San Lorenzo Texmelúcan</t>
  </si>
  <si>
    <t>Movimiento de ladera del 6 al 7 de julio</t>
  </si>
  <si>
    <t>FONDEN: reconstrucción</t>
  </si>
  <si>
    <t>A las 22:00 horas se registra lluvia con caída de granizo con duración de 20 minutos en las colonias Villa Posadas y  González Ortega, se presentan encharcamientos en algunos puntos de la ciudad por acumulación de basura y granizo. Protección Civil realiza labores para el desazolve de alcantarillas.
A las 00:15 horas personal de Rescate Urbano de Protección Civil realizan labores con el uso de bombas para retirar agua con tirante de 30 cm. en 8 domicilios ubicados en la calle 27 poniente y 13 sur. A las 00:40 horas se reporta como servicio concluido sin personas lesionadas ni evacuadas.</t>
  </si>
  <si>
    <t>19:00 horas/ 12 de junio
Se presentaron lluvias de moderadas a fuertes en varias colonias del municipio de Uruapan, con duración aproximada de 60 minutos.  Reportándose las siguientes afectaciones:
- Penetración de agua en 1 vivienda, Calle 5 de Mayo 8. Barrio La Magdalena. 
- Penetración de agua en 1 vivienda, Prol. Oriente 26. Col. Casa Del Niño
- Desprendimiento de un techo de lámina obstruyendo la vialidad).</t>
  </si>
  <si>
    <t>Jiutepec, Xochitepec, Cuernavaca, Xoxocotla</t>
  </si>
  <si>
    <t>18:30 horas/ 12 de junio
Lluvias de moderadas a fuertes con caída de granizo a las 18:30 horas con duración aproximada de 40 minutos.  Reportándose las siguientes afectaciones:
• Jiutepec. 1 Vehículo varado se apoyó a los tripulantes a salir de la unidad).
• Xochitepec. 3 viviendas con penetración de agua a nivel de patio con un tirante de 15 cm. 1 árbol caído sobre 1 vehículo estacionado. Sin lesionados.</t>
  </si>
  <si>
    <t>San Andrés, San Pedro Cholula, Puebla, Cuatlalcingo</t>
  </si>
  <si>
    <t xml:space="preserve">20:30 horas/ 12 de junio
Se registró desbordamiento del Río Atoyac  a la altura del municipio de San Andrés, San Pedro Cholula, Puebla, Cuatlalcingo, derivado de las fuertes lluvias ocurridas durante la tarde de hoy.
• Viviendas con penetración de agua (sin cuantificar) con tirantes de 10 a 30 cm máximo, </t>
  </si>
  <si>
    <t>• Viviendas afectadas (10): 8 Con anegamientos por colapso de drenaje, en la colonia Ruíz Cortines y 2 en la colonia Melchor O Campo.</t>
  </si>
  <si>
    <t>Chocamán, Misantla, Yecuatla, Cosoleacaque, Emiliano Zapata, Oteapan, Veracruz, Totutla, Huatusco, Tenampa, La Perla, Tonayán, Chontla, Coatepec, Xalapa y Martínez de la Torre</t>
  </si>
  <si>
    <t xml:space="preserve">• Cosoleacaque: 6 viviendas afectadas con anegamientos de 20 a 30 cm de agua en su interior. 
• Emiliano Zapata: 2 viviendas afacetadas por ingreso de tierra a patios. 
• Oteapan: 1 vivienda afectada por ingreso de lodo y 1 barda caída en colonia Barrio Apalan. 
• Veracruz: 1 socavón en el Fraccionamiento Moderno y 1 taxi involucrado. 
• Xalapa: 2 viviendas afectadas en la comunidad 6 de Enero.
• Coatepec: 105 viviendas con penetración de agua (tirante de 50 cm), 3 bardas colapsadas y 2 personas lesionadas (menores de edad), trasladados al Hospital Civil de Coatepec y a la Clínica 17 del IMSS.
• Chontla: 10 viviendas afectadas por escurrimientos en la comunidad de Las Cruces.
• Martínez de la Torre: 10 viviendas afectadas por colapso de drenaje.
</t>
  </si>
  <si>
    <t xml:space="preserve">San Juan Guichicovi, Santiago Niltepec, El Barrio de la Soledad, Juchitán de Zaragoza, Reforma de Pineda, Santo Domingo Zanatepec, Santa María Petapa, San Juan Guichicovi, Matías Romero y Ciudad Ixtepec. </t>
  </si>
  <si>
    <t xml:space="preserve">22:00 horas/ 15 de junio
Municipios: 10
Desde la noche – madrugada, se han registrado fuertes lluvias en la Zona norte y oriente del Istmo de Tehuantepec, donde se han presentado encharcamientos viales y el crecimiento de los ríos. 
- 32 viviendas afectadas
- 73 personas afectadas
o Municipio de San Juan Guichicovi: 1 vivienda afectada por el desgajamiento de 1 cerro y afectación a 1 habitante. 
o Municipio de El Barrio de la Soledad: 1 comunidad incomunicada (El Guapinol) con un total de 20 viviendas y 12 familias. 
o Municipio de Santa María Petapa: 6 viviendas afectadas por inundaciones.
o Municipio de San Juan Guichicovi: 5 viviendas afectadas. </t>
  </si>
  <si>
    <t>Tacotalpa y Teapa</t>
  </si>
  <si>
    <t>• Municipio de Tacotalpa: Se registró un deslizamiento de talud afectando a 1 vivienda, en el ejido Emiliano Zapata, provocando la entrada de tierra en la vivienda, dejando únicamente daños materiales. Por la madruga del día de hoy, se desbordó el Arroyo de nombre Zunu del Pob -  Zunu y Patastal, afectando a 8 viviendas con el ingreso de agua en su interior, al momento el nivel de agua descendió.
• Municipio de Teapa: 19:00 horas, se reportó el desbordamiento del Arroyo Ogoiba que atraviesa la Ciudad de Teapa. Debido a la acumulación de basura que impidió la fluidez del agua, resultaron afectadas 200 viviendas afectadas con hasta 80 cm de tirante.</t>
  </si>
  <si>
    <t>Durante la tarde-noche (16/06/21) y madrugada (17/06/2021), se registraron lluvias de moderadas a fuertes (161.9 mm), en el municipio de Progreso, ocasionando encharcamientos y penetración de agua en diversas viviendas. Se reportaron 400 viviendas con penetración de agua, por lo que se activó un refugio temporal en la Escuela Candelaria Ruz Patrón, ubicado en calle 30 s/n y calle 31 con 22 personas instaladas.  
16:00 horas-18/06/2021.</t>
  </si>
  <si>
    <t>Debido a las precipitaciones de 116.6 mm ocasionaron el reblandecimiento de suelo que genero un deslave de cerro en la Col. Los Pinos parte Alta, afectando a 46 viviendas  asentadas en una zona irregular.</t>
  </si>
  <si>
    <t>Apatzingán de la Constitución, Lázaro Cárdenas, Coahuayana, Aquila, Arteaga, Chinicuila del Oro Villa Victoria, Tumbiscatío y Uruapan</t>
  </si>
  <si>
    <t>Huracan Enrique Municipios: 8.
Chinicuila: Desbordamiento de Rio en la localidad Villa Victoria, 1 domicilio afectado en techedumbre.
•         Coahuayana: Evacuación de 12 personas 1 refugio temporal activado en Albergue Estudiantil “Miguel Hidalgo”.</t>
  </si>
  <si>
    <t>Cuauhtémoc, Colima, Villa Álvarez, Manzanillo y Tecomán</t>
  </si>
  <si>
    <t>Municipios: 5
- Viviendas afectadas (sin cuantificar).
- 4 refugios temporales activos (178 personas).
• Tecomán: 164 personas en refugio Temporal.</t>
  </si>
  <si>
    <t>Atzalan, Puente Nacional, San Andrés Tuxtla, Huatusco, Altotonga, Juan Rodríguez Clara y Cotaxtla</t>
  </si>
  <si>
    <t xml:space="preserve">Derivado de las fuertes lluvias que se han presentado en el estado durante el día, se reportan las siguientes afectaciones:
• Juan Rodríguez Clara: desbordamiento del Río La Unión con 2 tractocamiones varados, 1 vía de comunicación afectada en el km 129+300 de la carretera (145-D) La Tinaja – Cosoleacaque.   
• Cotaxtla: 1 vehículo afectado.
</t>
  </si>
  <si>
    <t>22:00 horas, 19/06/2021. Derivado de las lluvias, se reportó el desbordamiento del Río San Juan a la altura de la Comunidad El Bellaco, afectando 250 viviendas por incomunicación, sin reporte de lesionados o fallecidos.</t>
  </si>
  <si>
    <t>Guadalupe, Santiago, Santa Catarina, Escobedo, Apodaca, Monterrey y San Nicolás de los Garza</t>
  </si>
  <si>
    <t>Desde las 05:00 horas, se han presentado lluvias fuertes (85.8 mm Estanzuela) en 7 municipios del Estado. Se reportan las siguientes afectaciones:
- 4 Viviendas inundadas. 
- 3 Vehículos varados.
• Municipio de Santa Catarina: 
4 Viviendas inundadas en Zona de Bosque de La Huasteca y Palmar.
3 Vehículos varados.</t>
  </si>
  <si>
    <t>Zacualtipán de Ángeles</t>
  </si>
  <si>
    <t xml:space="preserve">A las 18:00 horas, se registró lluvia fuerte en las colonias Cosapa y La Camelia, municipio de Zacualtipán de Ángeles, reportándose las siguientes afectaciones:
• 76 viviendas afectadas por penetración de agua con tirantes de 75-100 cm.
• 76 familias afectadas.
• 1 refugio temporal habilitado en el Auditorio Municipal.
• 6 familias albergadas (ya regresaron a sus hogares). </t>
  </si>
  <si>
    <t>Tierra Blanca, Amatlán de los Reyes, Cuitláhuac, Atoyac, Totutla, Zongolica, Papantla, Espinal y Xalapa</t>
  </si>
  <si>
    <t xml:space="preserve">Derivado de las lluvias que se han presentado en el estado durante el día, se reportan las siguientes afectaciones: 
- 7 viviendas afectadas
- 25 personas afectadas
22 de Junio - 
• Cuitláhuac: 1 vivienda afectada. 
• Espinal: 6 viviendas afectadas, 24 personas.
</t>
  </si>
  <si>
    <t> Huixtla </t>
  </si>
  <si>
    <t xml:space="preserve"> Lluvia severa el 25 de junio</t>
  </si>
  <si>
    <t xml:space="preserve">Juchitán de Zaragoza   </t>
  </si>
  <si>
    <t>A las 03:35 horas, se presentó lluvia fuerte en el municipio, reportándose las siguientes afectaciones:
•         195 Viviendas con penetración de agua. 
•         1 Vivienda incendiada por caída de un rayo derivado de la tormenta eléctrica.
•         2,000 Personas afectadas. 
Colonia Mártires 31 de Julio (25 viviendas).
Colonia Gustavo Pineda (30 viviendas).
Col. Infonavit Zapandú (24 viviendas).
Fraccionamiento I.V.O. (26 viviendas).
Séptima Sección Calle Constitución (32 viviendas).
Séptima Sección Calle Libertad (28 viviendas - 1 por incendio). 
Novena Sección Laguna Yupi (30 viviendas).</t>
  </si>
  <si>
    <t xml:space="preserve">Chihuahua, Juárez y Camargo  </t>
  </si>
  <si>
    <t xml:space="preserve">De las 17:00 a 18:00 horas, se registró lluvia fuerte y caída de granizo en el municipio de Chihuahua y de 19:00 a 23:30 horas, se registró lluvia intensa en el municipio de Juárez, provocando en ambos municipios encharcamientos viales y vehículos varados (sin cuantificar), sin afectaciones mayores.
Municipio de Camargo: De las 18:00 a 02:00 horas, se registraron lluvias fuertes, provocando encharcamientos viales a nivel de banqueta y penetración de agua a viviendas a nivel patio (sin cuantificar). 00:13 horas, el rescate de 2 personas con vida (que quedaron agarradas de una rama) cuando su vehículo fue arrastrado por la corriente del río en la Ranchería Ortegueño. Al momento, ya sin lluvia.NOTA FONDEN insumos mas cenacom poblacion afectada 580 insumo y 2 de fonden 
</t>
  </si>
  <si>
    <t xml:space="preserve">CENACOM/FONDEN: insumos </t>
  </si>
  <si>
    <t>Chihuahua </t>
  </si>
  <si>
    <t>Lluvia severa e inundación pluvial del 27 al 30 de junio de 2021</t>
  </si>
  <si>
    <t>Carlos A. Carrillo y Cosamaloapan</t>
  </si>
  <si>
    <t>Derivado de las lluvias fuertes reportadas en el transcurso de la noche, se reportaron las siguientes afectaciones:
•              Viviendas afectadas: 179
•              Personas afectadas: 716</t>
  </si>
  <si>
    <t>A las 15:30 horas, se registra lluvia con caída de granizo con duración aproximada de 50 minutos en el Municipio de Huamantla, se reportan las siguientes afectaciones:
• 7 viviendas afectadas por penetración de agua en patios.</t>
  </si>
  <si>
    <t>Tepic y Ahuacatlán</t>
  </si>
  <si>
    <t>Derivado de las lluvias fuertes reportadas en el transcurso de la tarde-noche, se reportaron las siguientes afectaciones:
•         Viviendas afectadas: 8
•         Vehículos afectados: 1
Municipio de Tepic:
o    1 vehículo varado en Av. Independencia. 
o    1 barda caída por acumulación de agua en el Fraccionamiento Villas del Roble.
o    1 vivienda con penetración de agua en su interior de aproximadamente 40 cm en la localidad Armadillo.
Municipio de Ahuacatlán:
o    7 viviendas con penetración de agua con una altura de 50 cm.</t>
  </si>
  <si>
    <t>A las 19:39 horas del día 03 de julio, se registraron lluvias de moderadas a fuertes en el municipio de Hermosillo, reportándose:_x000B_
- 2 fallecidos
- 2 caída de barda
- 4 vehículo afectados y 1 camión de transporte de personal.
- 12 viviendas afectadas
- 12 personas rescatadas
- Personas evacuadas (sin cuantificar).
1.- Zona Uno (Centro):
- 2 caída de barda en la Col. San Luis.
2.- Zona Dos (Choyal):
-1 fallecido atrapado bajo el agua acumulada en el puente a desnivel ubicado en Luis Encinas y Américas.
-1 vehículo arrastrado por la corriente en Saturnino Campo y Juan de Dios 
3.- Zona Tres ( Villa de Seris):
- 1 fallecido por descarga eléctrica en la Col. Real de Minas.
- 2 vehículo arrastrado por la corriente en Col. Las Villas y calle Félix Gómez.
- Carros varados( sin cuantificar)
- 12 viviendas con inundaciones en calles Toscana,  Torre de Greco, Seteros y Sotalvo.
5.- Zona Cinco ( Hermosillo):
- vehículos arrastrados por corriente en colonia Cuauhtémoc ( sin cuantificar).
- 2 personas salvadas en colonia Cuauhtémoc.
6.- Zona Seis ( San Boscoso)
- 1 Vehículo arrastrado en Carlos Balderrama y Manuel M. Diéguez.</t>
  </si>
  <si>
    <t>San Mateo Atenco, Toluca, Zinacantepec, Almoloya de Juárez, Naucalpan, Atizapán de Zaragoza, Zumpango, Cuautitlán Izcalli y Tlalnepantla de Baz</t>
  </si>
  <si>
    <t xml:space="preserve">Derivado de las fuertes lluvias, granizo y fuertes vientos, se tienen las siguientes afectaciones:
• Municipios afectados: 9
• Personas fallecidas: 1
• Personas lesionadas: 2
• Personas rescatadas: 1
• Personas replegadas: 70
• Personas evacuadas: Sin cuantificar
• Viviendas afectadas: 331
• Negocios afectados: 15
• Vehiculos afectados: 12
• Escuelas: 1
• Hospitales: 1
------------------------
Municipio de Zinacantepec:
o 2 vehículos y 5 viviendas construidas al margen del río, por penetración de agua con tirante de hasta 1.5 m. Al momento, el nivel del agua descendió en su totalidad.
o Árbol caído que afectó 2 vehículos
Municipio Atizapán de Zaragoza: 
o Afectaciones en 165 viviendas y 15 negocios: 
o 1 vehículo varado por inundación en Av. Santa Mónica, con tirante de 50 cm. 
o Instalaciones de UNITEC afectadas por penetración de agua, con tirante de hasta 40 cm. 
o Hospital General de Atizapán de Zaragoza "Dr. Salvador González Herrejón", afectación por penetración de agua con tirante de hasta 30 cm. 70 personas replegadas a la parte alta del hospital, se labora en el desalojó del agua y se coordinan acciones con el Instituto de Salud del Estado de México y Cruz Roja Mexicana (7 ambulancias) para el traslado de 17 pacientes a los hospitales cercanos. 
Municipio de Zumpango:
o Fraccionamiento CADU, 161 domicilios afectados por penetración de agua.
 Municipio de Tlalnepantla de Baz
o Av. Lago de Guadalupe, presenta inundación de 50 cm ocasionando que 1 camión del transporte público quedará varado.
o 1 automóvil cubierto por agua bajo el paso a desnivel de Mario Colín y Boulevard Manuel Ávila Camacho. 
Rosarios.
o A las 22:00 horas se realiza rescate de 1 cuerpo sin vida de un masculino de aproximadamente 40 años, el cual se encontraba en el interior de un vehículo Honda color negro, en Av. Mario Colín, en el puente que atraviesa el Periférico; en el punto el tirante de agua alcanzó 4 metros cubriendo 4 vehículos, además con un bloque de hielo de 80 cm. Se rescató a una persona con vida de otro vehículo, valorada por personal de PC Tlalnepantla y se atendió a 2 elementos de bomberos ya que presentaban hipotermia.
</t>
  </si>
  <si>
    <t>A las 17:35 horas, derivado de las fuertes lluvias registradas en el municipio de San Fernando, se registró:
• Deslizamiento de ladera en la colonia Viva Cárdenas, Barrio San Miguel Dos, que ocasionó el desprendimiento de un muro de contención, provocando que 1 casa quedara sepultada por tierra y lodo. Se reportaron 6 menores de edad y 1 mujer (madre de los menores), quienes quedarían sepultados. Se realizan labores de rescate y se trasladan a 3 menores y a la mamá al Centro de Salud de San Fernando, los cuales ya no contaban con signos vitales. Se trasladan a 3 menores más al Hospital Gómez Maza en estado crítico.</t>
  </si>
  <si>
    <t>Atizapán de Zaragoza, Cuautitlán Izcalli, Tultitlán de Mariano Escobedo y Naucalpan de Juárez</t>
  </si>
  <si>
    <t xml:space="preserve">Derivado de las lluvias de moderadas a fuertes, se reportan las siguientes afectaciones:
•         Municipios afectados: 4
•         Personas rescatadas: 2
•         Viviendas afectadas: 25
•         Inmuebles afectados: 1
•         Vehiculos afectados: 1
------------------------
Municipio Atizapán de Zaragoza: 
o 1 vehículo quedó varado con 2 personas a bordo, mismas que fueron rescatadas por bomberos del municipio.
o    24 viviendas resultaron afectadas por penetración de agua con tirante de hasta 20 cm; el nivel del agua ya disminuyó.
Municipio de Naucalpan de Juárez
o Deslizamiento de tierra, afectando el patio trasero y 1 habitación del domicilio ubicado en calle Mar de la Felicidad N° 132, colonia Ciudad Brisa.
No hay reporte de evacuados, lesionados y/o fallecidos.
</t>
  </si>
  <si>
    <t>Zacualpan y Minatitlán</t>
  </si>
  <si>
    <t>Durante la tarde, se registró lluvia y vientos fuertes provocando las siguientes afectaciones:
• Municipios afectados: 2
• Viviendas afectadas: 11
• Negocios afectados: 1
• Vehiculos afectados: 1
------------------------
Municipio de Zacualpan
o    10 viviendas afectadas.
Municipio de Minatitlán
o 1 vehículo afectado por caída de árbol en colonia Insurgentes Norte.
o 1 vivienda afectada por caída de árbol en colonia Las Fuentes.</t>
  </si>
  <si>
    <t>De 19:00 a 20:00 horas, se presentaron lluvias fuertes en el municipio de Villa de Tezontepec, reportándose:
• 4 viviendas afectadas por penetración de agua con tirante hasta los 25 cm en Av. La Paz, colonia Centro.
• 4 viviendas afectadas por penetración de agua con tirante hasta los 30 cm, en Margarita Maza de Juárez esquina Benito Juárez.</t>
  </si>
  <si>
    <t>Cuautla, Cd Ayala, Yautepec, Temixco, Emiliano Zapata y Jiutepec</t>
  </si>
  <si>
    <t>A partir de las 02:00 horas, se registran lluvias fuertes en los municipios de Cuautla, Cd Ayala, Yautepec, Temixco, Emiliano Zapata y Jiutepec, provocando las siguientes afectaciones:
•         Municipios afectados: 6
•         Personas evacuadas: 8
•         Viviendas afectadas: 69
------------------------
Municipio de Cuautla
o    50 viviendas afectadas por inundación. en las colonias Santa Inés, Vicente Guerrero, Tepeyac, Otilio Montaño, Amilcingo, Martinez de la Peña (tirante de 1 m o más) y Casasano (tirante de 1 m o más).
Municipio de Ayala
o    Desbordamiento del río Ayala a la altura de la colonia La Haciendita, se procedió a la evacuación de 2 familias por el riesgo que implica. 
o    15 domicilios afectados por inundación (tirante de 2 m), por lo que se realiza la evacuación de personas. 
Municipio de Temixco
o    2 domicilios afectados por penetración de agua (tirante de 20 cm) en la colonia La Parota sobre Av. Emiliano Zapata #9.
Municipio de Emiliano Zapata
o    2 domicilios afectados por penetración de agua (tirante de 20 cm) en colonias Prohogar y Rinconada La Misión.</t>
  </si>
  <si>
    <t>Jamay, Guadalajara, Zapopan, San Pedro Tlaquepaque, Tonalá y Acatlán de Juárez</t>
  </si>
  <si>
    <t xml:space="preserve">A las 19:45 horas, se presentaron lluvias fuertes en los municipios de Jamay, Guadalajara, Zapopan, San Pedro Tlaquepaque, Tonalá y Acatlán de Juárez, reportándose las siguientes afectaciones: 
• Municipios afectados: 6
• Viviendas afectadas: 115
• Vehiculos afectados: 12
Municipio de Jamay
o 1 vehículo arrastrado por la corriente del arroyo.
Municipio de Acatlán de Juárez
o 115 viviendas afectadas por penetración de agua. </t>
  </si>
  <si>
    <t xml:space="preserve">A partir de las 03:00 horas, se registraron lluvias fuertes en el municipio de Matamoros, reportándose las siguientes afectaciones:
• Viviendas afectadas: 21 (14 con penetración de agua con daño a menaje y 7 por derrumbe).
• Vehiculos afectados: 7
• 1 refugio temporal habilitado en la “Alberca Chávez” (sin utilizar). 
• No se reportan lesionados y/o fallecidos.Nota vehiculos dañados cifras de cenacom </t>
  </si>
  <si>
    <t xml:space="preserve">CENACOM-FONDEN </t>
  </si>
  <si>
    <t>Chilpancingo de los Bravos, Mochitlan, Pungabarato y Juan R. Escudero</t>
  </si>
  <si>
    <t xml:space="preserve">Lluvia de moderada a fuerte con tormentas electricas. Se habiito 1 RT en la iglesia principal de la cabecera municipal de Mochitlan para albergar a personas debido a la creciente del rio Salado. (25 personas). </t>
  </si>
  <si>
    <t>A partir de las 20:30 horas, se registraron lluvias fuertes en el municipio de Múzquiz, reportándose:
• 24 viviendas afectadas con penetración de agua (6 en colonia Centro y 18 en colonias Luis Donaldo.</t>
  </si>
  <si>
    <t xml:space="preserve">A las 17:00 horas del 10 de julio Se reportó lluvia moderada en el centro del estado y caída de granizo en la zona norte.
Afectaciones:
- 4 Vehículos dañados por inundación
- 2 lesionados
-----------
- 1 lesionado quien fue trasladada de emergencia a la clínica 50 del IMSS.
- Árbol caído sobre la vialidad sobre un auto en Segunda Privada Del Sol, colonia Rural Atlas
- Caída de segmento de techo laminado en el C. Comercial "El Dorado". Se procedió a acordonar el área, se reportó 1 lesionada quien fue atendida en el lugar.
</t>
  </si>
  <si>
    <t>17:30 horas/ 10 de julio
Derivado de las lluvias, se reportó:
- 6 viviendas afectadas por penetración de agua.
- 34 personas afectadas.
- 4 lesionados.
———————————
Comunidad Tacuro: 
- 4 viviendas afectadas por penetración de agua.
- 24 personas afectadas.
- 4 lesionados.
Comunidad Zopoco
- 2 viviendas afectadas por penetración de agua.
- 10 personas afectadas.</t>
  </si>
  <si>
    <t>Jamay y Acatlán de Juárez</t>
  </si>
  <si>
    <t>Afectaciones por lluvias Jalisco
• 2 municipios afectados
• 50 viviendas con penetración de agua a nivel de patio, se continua cuantificando.
• 5 Vehiculos varados y arrastrados
-----------------------------
Municipio de Jamay
Se registra caída de lluvia fuerte a las 22:00 horas con duración de 1 hora, se reporta el desbordamiento del arroyo Jamay, se presentan las siguientes afectaciones:
• 5 Vehículos arrastrados
• Viviendas afectadas en proceso de cuantificación. 
Se habilitó 1 refugio temporal el cual no fue utilizado.
Municipio de Acatlán de Juárez
Se registra caída de lluvia fuerte a las 21:30 horas con duración de aproximadamente 2 horas, se presentan las siguientes afectaciones:
• Vehiculos varados (sin cuantificar)
• 50 viviendas con penetración de agua a nivel de patio.</t>
  </si>
  <si>
    <t>Tlajomulco de Zúñiga y Acatlán de Juárez</t>
  </si>
  <si>
    <t>A partir de las 19:30 horas, se registraron lluvias fuertes de 85 mm en los municipios de Tlajomulco de Zúñiga y Acatlán de Juárez, provocando: 
•         Municipios afectados: 2
•         Viviendas afectadas: 215
•         Vehiculos varados (sin cuantificar)
•         Caída de muro perimetral: 1
-------------------------
Municipio de Tlajomulco de Zúñiga
o 190 viviendas afectadas por penetración de agua. 
o 1 muro perimetral caído, por lo que se labora en la rehabilitación del Arroyo La Hacienda con desazolve a vaso regulador con apoyo de camión tipo volteo de 5 m3 y retroexcavadora 360.
o    Vehiculos varados (sin cuantificar). 
Municipio de Acatlán de Juárez
o    25 viviendas con penetración de agua. 
o    Vehiculos varados (sin cuantificar).</t>
  </si>
  <si>
    <t>19:38 horas/14 de julio. Derivado de las lluvias fuertes en zona de la Sierra y crecida del río en la localidad de El Arenal, tenencia de Atécuaro, municipio de Morelia, se reporta:
•         Penetración de agua en 10 viviendas.</t>
  </si>
  <si>
    <t>Chimaltitán</t>
  </si>
  <si>
    <t>Durante la madrugada, se presentaron lluvias fuertes en el municipio de Chimaltitán, provocando penetración de agua a 90 viviendas (45 con afectaciones a enseres y 45 a nivel de patio). 8 personas de la tercera edad evacuadas de un asilo (por condiciones higiénicas, ya que se tuvo penetración de agua en el lugar). Sin reporte de lesionados y/o fallecidos.</t>
  </si>
  <si>
    <t>A las 17:20 horas, se presentaron lluvias fuertes en la Zona norte del municipio de Guadalajara, reportándose las siguientes afectaciones:
•         12 vehículos varados.
•         2 locales con penetración de agua (tirante 40 cm).
•         3 personas rescatadas (lesionadas): el primer rescate de 1 femenina que quedó al interior de su vehículo cuando fue arrastrado por la corriente (Bomberos lograron rescatarla con leves lesiones) y el segundo rescate fue de 1 femenina de 16 años de edad y 1 masculino de 18 años de edad que se encontraban resguardándose de la lluvia en una cabaña a las faldas del cerro conocido como La Barranca de Huentitán, cuando ocurrió el derrumbe de piedras y tierra (Bomberos Municipales lograron rescatar a ambas personas; el masculino con fracturas en brazo derecho y la femenina con lesiones graves en varias partes de su cuerpo incluyendo posible fractura de cráneo).</t>
  </si>
  <si>
    <t>Durante la tarde, se registró lluvia de ligera a moderada en el municipio de Agua Prieta, reportándose: 
• 48 viviendas con penetración de agua (tirante de 10-30 cm). 
• 13 vehiculos arrastrados por la corriente (rescatados y remolcados). 
• 1 puente afectado en calle 28 y Av. 6, el cual será evaluado el día de hoy (los puntos de contacto de la cinta asfáltica perdieron contacto con la estructura del puente).</t>
  </si>
  <si>
    <t xml:space="preserve">Jesús María </t>
  </si>
  <si>
    <t>Se presentaron lluvias fuertes en la comunidad de El Cenizo, municipio de Jesús María, reportándose las siguientes afectaciones:
•         5 viviendas afectadas
•         15 personas apoyadas para la limpieza de sus domicilios
•         Se habilitó 1 refugio temporal en la cabecera municipal Sin personas instaladas.</t>
  </si>
  <si>
    <t>15 viviendas  con penetración de agua en la cabecera municipal.</t>
  </si>
  <si>
    <t xml:space="preserve">• 4,854 viviendas afectadas (10 viviendas con pérdida total de techo y lámina) 
• 48 comercios afectados
• 18,976 personas afectadas
• 36 vehículos afectados (118 personas rescatadas de vehículos)
• 10 Edificio públicos afectados
• 1 puente peatonal con daño total
• Colapso del sistema de drenaje
• Daños en el sistema de comunicación del C5 y estación de Bomberos (antenas) NOTA: Cifra de CENACOM vhiculo dañados </t>
  </si>
  <si>
    <t>Guadalajara, Tlajomulco de Zúñiga y Zapopan</t>
  </si>
  <si>
    <t xml:space="preserve">Durante la tarde del 22 de julio y derivado de las lluvias y vientos fuertes registradas en las últimas horas en la Zona Metropolitana de Guadalajara, en los municipios de Guadalajara, Tlajomulco de Zúñiga y Zapopan, se reporta:
Municipio de Zapopan
o 2 personas rescatadas de 1 vehículo varado. </t>
  </si>
  <si>
    <t>A partir de las 17:00 horas/ 24 de julio, se registró lluvia intensa en el municipio de Zapopan, resultando:
• 2 personas y 1 mascota rescatadas con vida de 1 vehículo. 
• 310 viviendas afectadas por penetración de agua.
• 12 Vehiculos varados.
§ Sobrevuelo de valoración de daños.</t>
  </si>
  <si>
    <t>A las 13:30 horas, se registró un derrumbe de talud, sobre la carretera Tetelcingo – Xaltenango, lugar conocido como El Arenal, municipio de Coscomatepec. Se reportó 1 fallecido (masculino de 26 años) quien quedó atrapado bajo tierra. Maquinaria rentada por parte del H. Ayuntamiento realizó las labores de búsqueda y recuperación del cuerpo.</t>
  </si>
  <si>
    <t>25 de julio se registró lluvia fuerte  a las 18:00 horas en el municipio de Zapopan, Tlajomulco de Zúñiga y Tlaquepaque  se reportan las siguientes afectaciones:
192 viviendas con penetración de agua
-------
Municipio de Zapopan
•  180 viviendas con penetración de agua
• Rescate de 56 personas que quedaron atrapadas en sus viviendas.
Municipio de Tlajomulco
• 6 viviendas con penetración de agua
Municipio de Tlaquepaque
• 6 viviendas con penetración de agua
- Fallecidos: 0
- Lesionados: 0
- Evacuados: 56
- Rescatados: 56</t>
  </si>
  <si>
    <t>Cananea y Nogales</t>
  </si>
  <si>
    <t xml:space="preserve">A las 13:00 horas, se presentaron lluvias de hasta 26.9 mm y vientos moderados en los municipios de Cananea y Nogales, reportando las siguientes afectaciones:
MUNICIPIO DE NOGALES
• Viviendas y negocios afectados por entrada de agua temporal, sin contabilizar 
• 20 vehículos arrastrados por la corriente
• 1 persona fallecida por arrastre al interior de su vehículo
• 2 bardas colapsadas 
MUNICIPIO DE CANANEA
• Taponamiento de alcantarillado 
• Anegaciones de hasta 50 cm
• 8 negocios con ligera introducción de agua NOTA: cifra de vehiculos dañados de CENACOM </t>
  </si>
  <si>
    <t xml:space="preserve">
Personal de Protección Civil estatal brindó atención a un reporte ciudadano sobre un hombre que quedó sepultado por arena durante sus labores en la excavación de una zanja en Cuautlancingo.</t>
  </si>
  <si>
    <t>Derivado de las fuertes lluvias durante la madruga del día de hoy, se reporta el desborde del canal Sabino, frente a la clínica 24  del IMSS, informan que el agua no entra a la unidad, solo las calles se reportaron con anegaciones, sin reporte de evacuados, ni daños humanos. El arroyo que pasa por la localidad de 6 de enero, rebasó su nivel y se desbordó, lo que causó daños en 2 casas con pérdidas materiales y 28 casas con inundaciones mínimas.</t>
  </si>
  <si>
    <t xml:space="preserve">Durante el día de ayer, se registraron lluvias fuertes en el municipio de Cómala, reportándose las siguientes afectaciones:
•         1 vivienda con penetración de agua.
•         Penetración de agua en el Centro de Salud de la localidad de Suchitlán, sin personas afectadas.
No se reportan evacuados, lesionados y/o fallecidos.
</t>
  </si>
  <si>
    <t xml:space="preserve">15:39 horas-02/08/2021. Se registró lluvia fuerte acompañada de vientos de moderados a fuertes en el municipio de Naco, ocasionando las siguientes afectaciones:
• Crecida de un arroyo que por la obstrucción de basura se desbordó afectando 23 viviendas (tirante de 50 cm).
</t>
  </si>
  <si>
    <t>Derivado por las fuertes lluvias 44 mm (14 mm de 20:00-21:00 horas), que se presentaron desde las 19:00 horas en el municipio de Torreón, se reportaron las siguientes afectaciones:
• 125 familias afectadas.
• 4 viviendas afectadas (con mayores afectaciones). 
• 2 vehiculos arrastrados desde la colonia Camilo Torres hasta La Polvorera.
• 1 barda caída de Escuela Primaria General Álvaro Obregón. 
No se reportan lesionados y/o fallecidos.</t>
  </si>
  <si>
    <t>Gómez Palacio y Mapimí</t>
  </si>
  <si>
    <t>Municipio de Gómez Palacio
Se presentó lluvia fuerte en el municipio, provocando las siguientes afectaciones: 
• 2 vehículos quedaron varados, por lo que fue necesario rescatar a las personas a bordo (sin cuantificar).
• 13 viviendas afectadas por penetración de agua (tirante de 1.5 metros) en el Ejido Poanas.
Municipio de Mapimí
• 2 refugio temporales activados en el DIF municipal (6 personas) y Refugio del Templo (18 personas). 
• 240 viviendas afectadas por penetración de agua.
No se reportaron lesionados y/o fallecidos.</t>
  </si>
  <si>
    <t xml:space="preserve">Apatzingán  </t>
  </si>
  <si>
    <t>A las 05:00 horas, derivado de las fuertes lluvias en la cabecera Municipal y parte alta en la sierra de Acahuato, municipio de Apatzingán, se provocaron las siguientes afectaciones: 
• 15 viviendas afectadas por penetración de agua sobre la Av. Tepalcatepec, colonia Miguel Hidalgo, por lo que las familias se resguardaron en casas de vecinos y familiares. Ningún domicilio sufrió daño en su estructura.</t>
  </si>
  <si>
    <t xml:space="preserve">Durante el transcurso de la madrugada, se presentaron lluvias de moderadas a fuertes en el municipio de Gómez Palacio, reportándose:
• 3 vehiculos afectados que quedaron varados en desnivel (cubiertos en su totalidad por agua), en Blvd. Miguel Alemán. 
• 12 viviendas afectadas por penetración de agua y daño por caídas de barda en Ejido Poanas. </t>
  </si>
  <si>
    <t xml:space="preserve">15:15 horas-07/08/2021. Se registraron lluvias fuertes en la localidad de San Juanito, municipio de Bocoyna, reportándose las siguientes afectaciones:
• 315 viviendas afectadas con tirantes de hasta 1.5 metros (100 se consideran las más afectadas con daños en la totalidad de enseres domésticos). 
• 1 caída de barda de taller mecánico, donde la corriente arrastró un aproximado de 15 vehiculos de su interior.
• Arrastre de 5 vehiculos más por el cauce de arroyo.
• 1 refugio temporal habilitado, sin ser necesaria su activación ya que las personas se fueron con familiares y amigos. 
Personal de Protección Civil y Bomberos laboran en el desazolve de alcantarillas, limpieza y saneamiento de viviendas. </t>
  </si>
  <si>
    <t xml:space="preserve">A partir de las 16:00 horas, se registraron fuertes lluvias (tromba) en la comunidad de Tabelojeca, municipio de Ahome, reportándose las siguientes afectaciones: 
• 40 viviendas afectadas por penetración de agua 
• 40 familias evacuadas a refugio temporal 
• 1 refugio temporal activado en la Escuela Primaria Canuto Ibarra Guerrero con 31 personas (9 menores y 22 adultos), con la instalación de 3 salones.
</t>
  </si>
  <si>
    <t>Durante la madrugada del 10 de agosto, se registraron lluvias fuertes en el municipio de Escuinapa, reportándose:
• 74 viviendas con penetración de agua ubicadas en zonas bajas. 
• Personas que se fueron con familiares y amigos (sin cuantificar).</t>
  </si>
  <si>
    <t>Gustavo A. Madero, Coyoacán, Benito Juárez, Álvaro Obregón, Iztacalco, Iztapalapa, Azcapotzalco, Tlalpan, Tláhuac, Cuauhtémoc, Xochimilco, Miguel Hidalgo y Cuajimalpa</t>
  </si>
  <si>
    <t>Durante la tarde-noche, se han registrado lluvias de ligeras a fuertes y vientos moderados en la Ciudad, provocando las siguientes afectaciones:
•         Viviendas afectadas: 2
•         Vehiculos afectados: 5</t>
  </si>
  <si>
    <t>Tepic, Amatlán, Ahuacatlán, Ixtlán del Río, Del Nayar, Rosamorada, Tuxpan y Acaponeta</t>
  </si>
  <si>
    <t xml:space="preserve">A las 20:00 horas, se presentó lluvia fuerte en el estado de Nayarit, derivado de lo anterior, al momento se reportan las siguientes afectaciones:
Municipio de Tepic:
• 10 Vehículos varados
• Viviendas afectadas (sin contabilizar) 
Municipio de Amatlán:
• Vehículos varados
• Viviendas afectadas (sin contabilizar) 
Municipio de Ixtlán:
• Vehículos varados
• Viviendas afectadas (sin contabilizar) </t>
  </si>
  <si>
    <t>Derivado de las lluvias fuertes registradas durante la tarde-noche, se registran las siguientes afectaciones:
•         12 viviendas con penetración de agua en cocheras de viviendas.</t>
  </si>
  <si>
    <t>A las 20:25 horas, se registró reblandecimiento de un alud de tierra, sobre la carretera Tuxpan a Pueblo Viejo, a la altura de las instalaciones de la DMPC, municipio de Pueblo Viejo. Se produjo ya que se realizaban labores de mantenimiento y desazolve en la línea de abasto del servicio de agua potable, dejando a 2 trabajadores sepultados y a 1 maquinaria pesada. Se reportó 1 fallecido y 1 lesionado.</t>
  </si>
  <si>
    <t>Acapulco, Petatlan, Atoyac de Alvarez, Zihuatanejo, Eduardo Neri, Taxco y Ometepec</t>
  </si>
  <si>
    <t>luvias fuertes en las zonas Costa Grande, Centro, Norte y Costa Chica, ocasionando las siguientes afectaciones: 8 arboles caidos, 4 viviendas con penetracion de agua, 8 derrumbes, 12 caidas de barda y 2 postes de energia electrica.</t>
  </si>
  <si>
    <t xml:space="preserve">A las 19:00 horas de ayer, se presentó  lluvia ligera 27.6 mm, misma que se intensificó a las 20:30 horas, en el municipio de Guadalupe. Derivado de lo anterior se reportan las siguientes afectaciones:
• 7 viviendas afectadas en el tejado  en la comunidad La Cuartilla
• 2 vehículos varados Ya atendidos 
• 2 personas rescatadas de vehículos varados
• 2 bardas colapsadas </t>
  </si>
  <si>
    <t xml:space="preserve">Álamo Temapache, Alto Lucero de Gutiérrez Barrios, Castillo de Teayo, Cerro Azul, Chiconquiaco, Chicontepec, Chumatlán, Coacoatzintla, Coahuitlán, Coxquihui, Coyutla, Espinal, Filomeno Mata, Huayacocotla, Ilamatlán, Ixhuatlán de Madero, Mecatlán, Miahuatlán, Misantla, Naolinco, Nautla, Platón Sánchez, San Rafael, Tantoyuca, Tempoal, Tenochtitlán, Texcatepec, Tlachichilco, Tonayán, Tuxpan, Vega de Alatorre, Xalapa, Zacualpan, Zongolica, Zontecomatlán de López y Fuentes, Zozocolco de Hidalgo, Alto Lucero de Gutiérrez Barrios, Banderilla, Coacoatzintla, Coatepec, Xalapa, Jilotepec , Vega de Alatorre, Álamo Temapache , Tuxpan, Herrera y Poza Rica de Hidalgo, Chalma y Chicontepec, Tempoal, Ilamatlán y Platón Sánchez (43 municipios) </t>
  </si>
  <si>
    <t>Huracán “Grace” (Lluvia severa), Inundación pluvial y fluvial del 20 y el 24 de agosto</t>
  </si>
  <si>
    <t>Huayacocotla, Jilotepec, Miahuatlán, Texcatepec, Tlilapan y Zontecomatlán de López y Fuentes </t>
  </si>
  <si>
    <t>Movimiento de ladera del 20 al 24 de agosto</t>
  </si>
  <si>
    <t xml:space="preserve">Alto Lucero de Gutiérrez Barrios, Cerro Azul, Chiconquiaco, Misantla, Naolinco, Nautla, Tantoyuca, Texcatepec, Tlachichilco, Tonayán , Zacualpan, Banderilla, Coatepec y Jilotepec,Coacoatzintla, Vega de Alatorre , Xalapa, Chalma, Chicontepec,Tempoal, Ilamatlán,Platón Sánchez, Huayacocotla, Miahuatlán y Zontecomatlán de López y Fuentes </t>
  </si>
  <si>
    <t>Lluvia severa, inundación fluvial y pluvial y movimiento de ladera del 20 al 23 de agosto de 2021</t>
  </si>
  <si>
    <t>Ahuacatlán, Ahuazotepec, Amixtlán, Aquixtla, Ayotoxco de Guerrero, Camocuautla, Caxhuacan, Chiconcuautla, Chignahuapan, Honey, Coatepec, Cuautempan, Cuetzalan del Progreso, Cuyoaco, Hermenegildo Galeana, Huauchinango, Huehuetla, Hueyapan, Hueytamalco, Huitzilan de Serdán, Atlequizayan, Ixtacamaxtitlán, Ixtepec, Jalpan, Jonotla, Jopala, Juan Galindo, Naupan, Nauzontla, Olintla, Pahuatlán, San Felipe Tepatlán, Tenampulco, Tepango de Rodríguez, Tepetzintla, Tetela de Ocampo, Tlacuilotepec, Tlaola, Tlapacoya, Tlatlauquitepec, Tuzamapan de Galeana, Venustiano Carranza, Xicotepec, Xiutetelco, Xochiapulco, Xochitlán de Vicente Suárez, Yaonáhuac, Zacapoaxtla, Zacatlán, Zapotitlán de Méndez, Zautla, Zongozotla , Zoquiapan, Pantepec  y Francisco Z. Mena</t>
  </si>
  <si>
    <t xml:space="preserve">Huracán categoría 2 "Grace" (lluvia severa) e inundación fluvial los dias 21 y 22 de agosto de 2021 55 municipios. El número de viiviendas 17916 se obtuvo de los boletines  de la página de Secretaria de Bienestar </t>
  </si>
  <si>
    <t xml:space="preserve">Secretaria de bienestar, FONDEN: insumos, reconstrucción </t>
  </si>
  <si>
    <t>Acaxochitlán, Agua Blanca de Iturbide, Calnali, Chapulhuacán, Eloxochitlán, Huautla, Huazalingo, Huehuetla, Huejutla de Reyes, Lolotla, La Misión, Molango de Escamilla, San Felipe Orizatlán, Pisaflores, San Bartolo Tutotepec, Tenango de Doria, Tepehuacán de Guerrero, Tianguistengo, Tlanchinol, Xochiatipan, Xochicoatlán , Yahualica, Mineral de la Reforma, Cuautepec de Hinojosa, Zacualtipán de Ángeles, Atlapexco y Metztitlán.</t>
  </si>
  <si>
    <t xml:space="preserve">Huracán Grace, inundación fluvial, inundación pluvial y lluvia severa del 21 al 23 de agosto. El número de viiviendas 45318 se obtuvo de los boletines de la página de Secretaria de Bienestar </t>
  </si>
  <si>
    <t xml:space="preserve">Secretaria de bienestar, FONDEN: recostruccion </t>
  </si>
  <si>
    <t>Ixmatlahuacan</t>
  </si>
  <si>
    <t>A las 12:00 horas del 23 de agosto, derivado de la lluvia y vientos fuertes en el municipio de Ixmatlahuacan, se registró el destechamiento parcial y total de 6 viviendas y afectación al servicio de energía eléctrica (restablecido) en la comunidad Las Cuatas. No se reportaron evacuados, lesionados y/o fallecidos.</t>
  </si>
  <si>
    <t>Tlacotalpan, Saltabarranca, Jáltipan, Minatitlán, Hueyapan de Ocampo, Santiago Tuxtla, Tehuipango, Amatitlán, Texistepec, Naranjal, San Juan Evangelista, Isla, José Azueta, Los Reyes, Tlapacoyan, Jalacingo, Atzalan, Altotonga, Calcahualco, Rafael Lucio, Jesús Carranza, Cosamaloapan, Atlahuilco y San Andrés Tuxtla</t>
  </si>
  <si>
    <t>Derivado de las fuertes lluvias registradas en días pasados, por el paso de la onda tropical No. 23 y 24, se reportan las siguientes afectaciones: 
• Viviendas afectadas: 4,865 (Minatitlán 100, Amatitlán 102, Texistepec 857, San Juan Evangelista 274, Isla 567, José Azueta 997, Tlapacoyan 1, Altotonga 5, Jesús Carranza 1,590, Cosamaloapan 106, Atlahuilco 1 y San Andrés Tuxtla 265) 
• Población afectada: 19,460
• Escuelas: 6
• Personas refugiadas: 53
• Personas evacuadas: 15</t>
  </si>
  <si>
    <t>Lázaro Cárdenas, Arteaga</t>
  </si>
  <si>
    <t xml:space="preserve">Huracán categoría 1 "Nora" (lluvia severa) e inundación fluvial y pluvial los dias 27, 28 y 29 de agosto de 2021 </t>
  </si>
  <si>
    <t>Comala, Tecomán,Armería, Coquimatlán, Minatitlán, Villa de Álvarez y Manzanillo</t>
  </si>
  <si>
    <t>Huracán Nora  (lluvia severa), Inundación fluvial y pluvial el 28 y 29 de agosto</t>
  </si>
  <si>
    <t> San Blas, Huajicori, Rosamorada ,  Santiago Ixcuintla, Acaponeta, Tecuala y Tuxpan</t>
  </si>
  <si>
    <t xml:space="preserve">Huracán Nora Categoría 1 (lluvia severa) e inundación fluvial del 28 al 30 de agosto 7 Municipios </t>
  </si>
  <si>
    <t>Concordia,Mazatlán, Rosario,Escuinapa, Elota, San Ignacio y Culiacán</t>
  </si>
  <si>
    <t>Lluvia severa y vientos fuertes los días 28, 29 y 30 de agosto de 2021 (Huracán "Nora")</t>
  </si>
  <si>
    <t xml:space="preserve">Cabo Corrientes, Talpa de Allende , Tomatlán,  Puerto Vallarta, Cihuatlán , La Huerta y Autlan de Navarro </t>
  </si>
  <si>
    <t xml:space="preserve">Huracán categoría 1 "Nora" (lluvia severa y vientos fuerte) e inundación fluvial los dias 28 y 29 de agosto de 2021 </t>
  </si>
  <si>
    <t>Rafael Lucio y Saltabarranca</t>
  </si>
  <si>
    <t>Derivado de las lluvias fuertes de las últimas horas en los municipios de Rafael Lucio y Saltabarranca, se reportaron las siguientes afectaciones:
Municipio de Rafael Lucio
•         10 viviendas con anegaciones (hasta 1 metro)</t>
  </si>
  <si>
    <t>Desde las 19:00 horas, se registraron lluvias fuertes acompañadas de tormenta eléctrica y vientos de moderados a fuertes en los municipios de Centro, Huimanguillo y Nacajuca, provocando al momento:
Municipio de Centro
• 3 viviendas afectadas 
• 5 vehículos afectados por caída de árboles.
Se reportaron 2 personas lesionadas trasladadas al ISSSTE.</t>
  </si>
  <si>
    <t>Tlalnelhuayocan, Alpatláhuac, Texhuacán, Tlaquilpa, Tlaltetela y Fortín de las Flores</t>
  </si>
  <si>
    <t>Derivado de las fuertes lluvias registradas durante los días 01 y 02 de agosto, se reportan las siguientes afectaciones:
• Viviendas afectadas: 12 
• Población afectada: 48
• Personas evacuadas: 23</t>
  </si>
  <si>
    <t xml:space="preserve">o 08:00 horas-01/09/2021. Debido a que se abrió la compuerta de la presa La Soledad, ubicada en la Junta Auxiliar de Mazatepec, municipio de Tlatlauquitepec, se reportaron 3 trabajadores que operaban maquinaria en la zona, como desaparecidos.
o 08:00 horas-03/09/2021. Fue localizado 1 de los cuerpos de los desaparecidos 07:00 horas-09/09/2021. Se localizó un cuerpo más de los trabajadores desaparecidos. 18:00 horas-28/09/2021. Informa Protección Civil Estatal que al no localizar a la persona desaparecida la búsqueda fue suspendida el 20 de septiembre
</t>
  </si>
  <si>
    <t>Rescate de 11 personas*que quedaron atrapadas calle Cempoaltecas. Entre las calles de Chalchiutlicue, 2 de marzo, Alfredo del Mazo, Juan Fernández Albarrán, Benito Juárez y Tulipanes,  un aproximado de 80 domicilios con afectaciones  en patios. Calle Purépechas esquina con Chalchihueiticue 26 domicilios afectados con un tirante de 0 a 120 cm de profundidad. Callejón Purépecha 5 domicilios afectados con un tirante de 0 a 1 metro de profundidad.  Calle Yaquis 30 domicilios de 0 a 1 metro de profundidad.</t>
  </si>
  <si>
    <t>Jojutla, Cuernavaca, Xochitepec, Emiliano Zapata y Jiutepec</t>
  </si>
  <si>
    <t>Desde las 00:00 horas, se registran lluvias moderadas en varios municipios del estado, sin reportar afectaciones. Se mantiene monitoreo del río Apatlaco (Zona baja del estado), que pasa por los municipios de Jojutla, Zacatepec y Apatlaco.
Municipio de Jojutla
• 14 viviendas con penetración de agua (20-30 cm).
 Municipio de Cuernavaca
• 1 vivienda afectada
 Municipio de Xochitepec
• 2 personas rescatadas de su vehículo
 Municipio de Emiliano Zapata
• 1 vehículo varado
 Municipio de Jiutepec
• 3 viviendas afectadas</t>
  </si>
  <si>
    <t>Morelia, Indaparapeo y Uruapan</t>
  </si>
  <si>
    <t>Derivado de las lluvias presentadas en el estado, se reportaron las siguientes afectaciones:
             Personas rescatadas: 3
             Viviendas afectadas: 100
             Desbordamiento de cauces: 2
Municipio de Indaparapeo (17:00 horas)
•              Penetración de agua a viviendas (30 cm).
Municipio de Uruapan (06:41 horas) 
•        100 viviendas con penetración de agua (60 cm)
•          3 personas (1 adulto y 2 menores) rescatadas del interior de su domicilio (80 cm)</t>
  </si>
  <si>
    <t>Chalco, Nezahualcóyotl, Jocotitlán, Luvianos, Apaxco, San Mateo Atenco y Tenancingo</t>
  </si>
  <si>
    <t>Debido a las lluvias presentadas desde la madrugada se reportan las afectaciones:
             Viviendas afectadas: 166
             Rescatados: 11
             Evacuados: 8
             Vehiculos afectados: 2
Infraestructura: DIF municipal de Tenancingo
Municipio de Chalco
 • 11 personas rescatadas atrapadas en calle Zempoaltecas, colonia Culturas.
• 141 viviendas con penetración de agua: 80 viviendas a nivel de patios, sobre las calles mencionadas anteriormente, 26 viviendas con penetración de agua (0-120 cm), 5 viviendas con penetración de agua (0-100 cm) y 30 viviendas en calle Yaquis (0-100 cm).
Municipio de Luvianos
 • 1 vehículo con daños por derrumbe, sin personas lesionadas. 
Municipio de Apaxco
• 10 viviendas afectadas por penetración de agua (5-20 cm).
• 1 camioneta arrastrada por la corriente, sin lesionados. 
Municipio de San Mateo Atenco
 • 15 viviendas con penetración de agua.</t>
  </si>
  <si>
    <t>A las 18:47 horas, se registró deslave de tierra en la localidad Loma Bonita, municipio de Zihuateutla, afectando a 3 viviendas, por lo que de manera preventiva 39 personas fueron evacuadas al refugio temporal del municipio.</t>
  </si>
  <si>
    <t>Tlayacapan, Yautepec, Cuautla, Ayala, Yecapixtla y Tlalnepantla</t>
  </si>
  <si>
    <t xml:space="preserve">Derivado de las fuertes lluvias se reportan:
              Personas fallecidas: 3
             Personas desaparecidas: 2
             Personas rescatadas: 16
             Viviendas afectadas: 234
             Vehiculos afectados: 60
Municipio de Tlayacapan
•              60 viviendas con penetración de agua
•              Vehiculos arrastrados por la corriente
•   Instalación de refugio temporal en el Módulo de Seguridad Pública, carreta Oaxtepec - México s/n
•              3 fallecidos (confirmado por PC estatal) 
•              2 desaparecidos en la colonia El Plan
•              13 personas albergadas, se retiraron
Municipio de Cuautla
•              114 viviendas con penetración de agua. 
•              60 vehiculos varados 
•              10 personas rescatadas
•              2 albergues habilitados 
Municipio de Ayala
•              53 viviendas con penetración de agua
•              1 albergue habilitado
•              2 personas rescatadas 
Municipio de Yecapixtla
 •              6 viviendas con penetración de agua
Municipio de Jiutepec
• 114 viviendas con penetración de agua.
</t>
  </si>
  <si>
    <t>Zapopan, Tlajomulco de Zúñiga, Guadalajara, Ejutla y El Limón</t>
  </si>
  <si>
    <t>A partir de las 19:45 horas, se registraron lluvias de moderadas a fuertes en gran parte de la Zona Metropolitana de Guadalajara, reportándose: 
•              91 viviendas afectadas
•              25 evacuados.
•              1 telesecundaria afectada: 1 El Limón.
•              3 vehiculos afectados.
Municipio de Zapopan
• 52 viviendas con penetración de agua, de las cuales ya 34 contaban con afectaciones por lluvias pasadas.
• 1 vivienda colapsada, que ya contaba con dictamen de inhabitabilidad por daño estructural.
Municipio de Tlajomulco de Zúñiga
•              Inundaciones en vialidades de 1.5 m en colonias Nueva Aurora y Santa Cruz del Valle.
Municipio de Guadalajara
•              Inundaciones viales (1 m).
•              3 vehiculos varados.
Municipio de Ejutla
•              30 viviendas afectadas.
•              25 evacuados.
Municipio El Limón
•              8 viviendas afectadas.
•              1 Telesecundaria afectada.</t>
  </si>
  <si>
    <t>Ayutla de los Libres</t>
  </si>
  <si>
    <t xml:space="preserve">2 personas que se encontraban realizando labores de siembra de campo, de las cuales 1 resulto fallecida (sexo masculino de 22 años) por caida de rayo en la localidad de Tecruz y la otra lesionada (sexo femenino de 24 años), trasladada para su atencion. </t>
  </si>
  <si>
    <t>Tuxtla Gutiérrez, Coapilla, Simojovel, Pueblo Nuevo Solistahuacán y Tapachula</t>
  </si>
  <si>
    <t>Derivado de las lluvias presentadas en los municipios de Tuxtla Gutiérrez, Coapilla, Acacoyagua, Simojovel y Tapachula, se reportaron las siguientes afectaciones:
•           Colonias afectadas: 4
•           Comunidades incomunicadas: 25
•           Desbordamientos: 3
•           Derrumbes / deslaves / hundimientos: 28</t>
  </si>
  <si>
    <t>Abasolo, Cuerámaro, Irapuato, Guanajuato y Pénjamo</t>
  </si>
  <si>
    <t>Derivado de las lluvias que se presentaron durante la tarde-noche del 5 de septiembre y madrugada del 6 de septiembre, se han reportado las siguientes afectaciones:
             Viviendas afectadas: 432
             Personas evacuadas: 1,763
             Refugio temporal activo: 1
             Personas albergadas: 19
             Escuela: 1 
Municipio de Abasolo
• 1,200 personas evacuadas de 300 viviendas. Estancia de Abasolo 350 personas evacuadas de 84 viviendas. Huitzatarito 93 personas evacuadas de 18 viviendas. Canoa 25 personas evacuadas de 5 viviendas. La Maraña 12 personas evacuadas de 3 viviendas. Los Pintores 15 personas evacuadas de 5 viviendas. San Cayetano 10 personas evacuadas de 2 viviendas. Mogotes 50 personas evacuadas de 8 viviendas. La Mora 8 personas evacuadas de 2 viviendas. 
o 1 refugio temporal activado con capacidad para 70 personas, al momento es ocupado por 19 personas.
o 1 refugio temporal habilitado en el Poliforum Miguel Hidalgo con capacidad para 150 personas, sin ocupación.
o Se dotó de 200 costales para la colocación de dique. 
Municipio de Guanajuato
• Penetración de agua en el patio de 1 vivienda, 
Municipio de Pénjamo
• 5 viviendas con penetración de agua (50-70 cm)</t>
  </si>
  <si>
    <t>Chalco, San Matero Atenco, Lerma, Ecatepec de Morelos, Tultitlán, Tultepec, Nezahualcóyotl, Coacalco de Berriozábal, Otzolotepec, Coyotepec, Huehuetoca, San José del Rincón, Acambay, Ocoyoacac, Cuautitlán Izcalli, Tenango del Valle, Hueypoxtla, Teoloyucan, Papalotla, Acolman y Apaxco</t>
  </si>
  <si>
    <t>Afectaciones presentadas por el temporal de lluvias ocurrido entre el 06 y 08 de septiembre:
- Fallecidos: 2
- Personas afectadas: 4,941
- Viviendas afectadas: 1,205
- Escuelas: 1
- Hospitales: 2
- Inmuebles: 2 (Palacio Municipal y balneario) 
Municipio de Chalco
o Entrega de kits de limpieza, colchonetas y cobertores.
Municipio de Ecatepec de Morelos
• 1,120 viviendas afectadas. 
• 4,941 personas afectadas. 
• 2 personas fallecidas: femenina y masculino.
• 2 hospitales afectados por penetración de agua: Hospital José María Rodríguez y el Centro de Salud de Jardines San Gabriel.
• Palacio Municipal penetración de agua y lodo. 
Municipio de Tultitlán
• 40 viviendas afectadas
Municipio de Coacalco de Berriozábal
• 5 viviendas afectadas en colonia Los Actuales. 
Municipio de Coyotepec
• 20 viviendas afectadas por penetración de agua en patios.
• 1 refugio temporal habilitado en el deportivo municipal. 
Municipio de Huehuetoca
• 1 escuela primaria afectada por penetración de agua.
• 20 domicilios con penetración de agua. 
• 1 albergue habilitado en las instalaciones del DIF Municipal. 
Municipio de Apaxco
•              1 inmueble afectado: Los Bañitos (balneario).</t>
  </si>
  <si>
    <t>Tlaxcoapan,Tula de Allende, Ixmiquilpan, Tezontepec de Aldama, Chilcuautla, Tasquillo, Tlahuelilpan, Tepeji del Río de Ocampo y Mixquiahuala de Juárez</t>
  </si>
  <si>
    <t>Derivado de las lluvias que se presentaron durante la tarde-noche del 06 de septiembre en los municipios de Tepeji del Río y Tula de Allende se reportan:
Tepeji del Río
• Penetración de agua en viviendas (en proceso de atención y cuantificación).
Tula de Allende
• 14 fallecidos en el Hospital General de Zona No. 5 del IMSS, los cuales eran pacientes del nosocomio con diagnóstico de COVID. La causa aparentemente por falla en el sistema de suministro de oxígeno.
• 2,000 Viviendas afectadas preliminarmente.
• Evacuación de personas del Hospital del IMSS (sin cuantificar).
• Penetración de agua en locales comerciales (sin cuantificar). 
• Vehiculos afectados (sin cuantificar). 
Tepeji del Río
o 4 albergues temporales habilitados
Tula de Allende
o 7 refugios temporales habilitados. 
o 1 centro de acopio ubicado en la duela de la Unidad Deportiva (08:00 – 20:00 horas). 
o 6 lanchas de motor realizando labores de rescate. Se espera el arribo de 1 helicóptero y 10 lanchas más.   Tlahuelilpan : Durante la noche-madrugada, derivado de las lluvias presentadas en el municipio de Tlahuelilpan, se reporta lo siguiente:
• 950 viviendas afectadas por penetración de agua.
• 1,500 personas afectadas.
• 3 refugios temporales habilitados.
• 2 refugios temporales activo.
• 49 personas refugiadas: 
• 560 personas evacuadas. Se obtuvieron datos de la página secretaria de bienestar, se adicionaron 2899 viviendas afectadas .</t>
  </si>
  <si>
    <t xml:space="preserve">Secretaria de bienestar,FONDEN: insumos, reconstrucción </t>
  </si>
  <si>
    <t xml:space="preserve">SSC: 4 sobrevuelos de cóndores para evaluar daños. </t>
  </si>
  <si>
    <t>Toluca, Metepec, San Gaspar Tlahuelilpan, Valle de Chalco, Temascalcingo, Naucalpan, Mexicaltzingo, Zinacantepec, San Antonio La Isla, San Mateo Atenco, Tenancingo</t>
  </si>
  <si>
    <t>Metepec: 2 personas lesionadas. 1 barda caída sobre 1 vehículo. 
Zinacantepec: Caída de 1 barda, sin lesionados en colonia Ojo de Agua.
San Mateo Atenco: 1 caída de barda, sin lesionados en Barrio de Guadalupe.
Tenancingo: 3 inmuebles con daños menores no estructurales.</t>
  </si>
  <si>
    <t>Morelia, Uruapan</t>
  </si>
  <si>
    <t xml:space="preserve">Morelia: 1 vivienda con daño estructural en el No. 41 de la calle Carlos Torres, colonia Solidaridad.
Uruapan: 1 derrumbe sobre la carretera Uruapan - Gabriel Zamora. 50 vehículos varados sobre este tramo carretero.
</t>
  </si>
  <si>
    <t>Nopalucan, Región Tepexi de Rodriguez, Región Tehuacán, Chila de las Flores, Santa Inés Ahuatempan, San Jerónimo Xayacatlán, Axutla, Molcaxac, La Magdalena Tlatlauquitepec, Acatzingo, Región Huauchinango, Región Ciudad Serdán, Tecamachalco, Soltepec, Región Cuetzalan, Región Teziutlán.</t>
  </si>
  <si>
    <t xml:space="preserve">Hospital Traumatología y Ortopedia de IMSS: Afectaciones menores en fachadas vidrios y puertas. Personal y pacientes replegados. 
Hospital General de Libres: Afectaciones por cristales rotos.
</t>
  </si>
  <si>
    <t>Huimilpan</t>
  </si>
  <si>
    <t>Noche-07/09/2021. Derivado de las fuertes lluvias presentadas en el municipio de Huimilpan, se presentó
• 1 vehículo quiso cruzar la corriente en la presa de San Pedro, siendo arrastrado por la fuerte corriente. Cuerpos de emergencia iniciaron labores de búsqueda y rescate.  Fue localizado el cuerpo del masculino a 150 metros de donde se localizó el vehículo.
• 7 viviendas con penetración de agua de la comunidad de El Vegil.
• Penetración de agua a algunos establecimientos.</t>
  </si>
  <si>
    <t>Derivado de las lluvias registradas desde las 20:00 horas en el  municipio de Puebla , se reportan las siguientes afectaciones:
• Afectaciones en 40 viviendas</t>
  </si>
  <si>
    <t>A las 11:00 horas, se registró un deslave en parte de un cerro, sobre la calle de Buenos Aires, Barrio El Coquito, Agencia Municipal de San Juan Chapultepec, municipio de Oaxaca de Juárez. Al arribar los cuerpos de emergencia, se encontraron con el colapso de ladera con caída de barda perteneciente a Servicios de Agua Potable y Alcantarillado de Oaxaca (SAPAO) sobre una vivienda, por lo que se procedió a la evacuación de la familia afectada (sin cuantificar) hasta que se haga un dictamen y se estabilice la ladera, ya que se corre el riesgo de pérdidas humanas.</t>
  </si>
  <si>
    <t xml:space="preserve">La paz y los cabos </t>
  </si>
  <si>
    <t>Huracán "Olaf" (lluvia severa y vientos fuertes) e inundación pluvial el 9 y 10 de septiembre de 2021</t>
  </si>
  <si>
    <t xml:space="preserve">A las 14:00 horas aproximadamente, se registró un deslave de Cerro del Chiquihuite, sobre Calle Club de Exploradores de Chimalhuacán esquina con calle Alacranes, colonia Lázaro Cárdenas 2 Sección, municipio de Tlalnepantla de Baz. Se reporta al momento:
• 2 fallecidos
•  1 lesionado, atendida por Cruz Roja, trasladada a Cruz Roja Zona Oriente
• 2 desaparecidos 
• 3 viviendas afectadas
• 141 viviendas en zona de riesgo
• 6 refugios temporales activos
• 112 refugiados
Equipo de trabajo: 70 vehículos, 11 binomios, 1 retroexcavadora y 2 camiones de volteo. NOTA: Costo de traslado de hospital y 3 casas afectadas en el momento del incidente </t>
  </si>
  <si>
    <t>Matías Romero, Juchitán de Zaragoza, Salina Cruz, San Blas, Santiago Jocotepec, Unión Hidalgo, San Francisco Ixhuatán, San Dionisio del Mar, Santo Domingo Tehuantepec, Villa de San Juan Guichicovi, San Miguel Suchixtepec, Santo Domingo Ingenio, Asunción Ixtaltepec, San Miguel Tenango, Magdalena Tequistitlán, El Espinal, Reforma de Pineda, El barrio de la Soledad, Santiago Lachiguiri y San María Petapa</t>
  </si>
  <si>
    <t>Derivado de las lluvias intensas registradas durante los días 11 y 12 de septiembre, ocasionadas por la Onda Tropical número 29, se reportan:
•              Vehículos dañados: 1
•              Rescatados: 1
•              Viviendas afectadas: 9
•              Refugios temporales activos: 5
•              Refugiados: 252
Juchitán de Zaragoza: 
- Se rescató 1 camioneta de redilas, que intento cruzar el vado del río en la 1a.sección, 1 rescatado.
San Blas Atempa:
- 2 viviendas afectadas por inundación en la colonia Campo Torre
Unión Hidalgo: 
- 1 refugio temporal en Salón Mi fiesta Av. 16 de Septiembre y Vicente Guerrero con 12 personas.
Santo Domingo Ingenio
- 5 familias afectadas por ingreso de agua en sus viviendas trasladadas a un refugio temporal en instalaciones municipales.
El Espinal
- 2 familias desalojadas.
- 1 refugio temporal en instalaciones municipales.</t>
  </si>
  <si>
    <t>Tierra Blanca, Amatitlán, Papantla, Jesús Carranza, Xico, Texhuacán, Zongolica, Tlacotalpan, Santiago Tuxtla, Saltabarranca, Teocelo, Xalapa, José Azueta, Coscomatepec, Córdoba, Atzalan, Ayahualulco, Tequila, Veracruz, Rafael Delgado, Calcahualco y Los Reyes.</t>
  </si>
  <si>
    <t>Derivado de las fuertes lluvias registradas por el paso del Ciclón Tropical “Nicholas”, se reportan las siguientes afectaciones: 
•              Viviendas afectadas: 1,021
•              Escuelas: 1
•              Personas rescatadas: 1
•              Vehículos afectados: 2
•               Puentes afectados: 1
Tierra Blanca
- 1 Puente afectado
Jesús Carranza
- 80 viviendas afectadas por anegamiento en la cabecera municipal.
 Xico
- 15 viviendas afectadas por anegamientos.
 Texhuacán
- 3 viviendas afectadas por lluvias y riesgo de deslave.
- 1 escuela afectada.
 Zongolica 
- 1 vivienda afectada en la localidad La Alianza.
 Santiago Tuxtla
- 371 viviendas
 Saltabarranca
- 163iviendas
 Teocelo
- 20 viviendas
 Xalapa
- 1 mujer rescatada el día sábado al quedar atrapada en su vehículo 
- 1 vehículo afectado. 
 Veracruz
- 1 vehículo afectado.</t>
  </si>
  <si>
    <t>Derivado de las lluvias reportadas en la mañana en el municipio de José Azueta, se reporta:
- 20 viviendas afectadas por anegamiento en interior.</t>
  </si>
  <si>
    <t>Temixco, Emiliano Zapata, Jiutepec y Cuernavaca.</t>
  </si>
  <si>
    <t>A las 18:45 horas, se reportaron de lluvias de moderadas a fuertes en zona oriente, centro y sur-oriente del estado con una duración de 30 min. Se reportaron encharcamientos en calles, carreteras y vehículos varados en avenidas principales._x000B_
Afectaciones:
- 5 viviendas
- 1 vehículo dañado por inundación
Temixco: 
- 1 vehículo inundado.
Jiutepec
- 5 viviendas con penetración de agua</t>
  </si>
  <si>
    <t>Cuernavaca, Temixco, Emiliano Zapata, Jiutepec, Tlalnepantla, Cuautla, Xochitepec y Tepoztlán</t>
  </si>
  <si>
    <t>A las 18:45 horas del 12 de septiembre, se reportaron lluvias de moderadas a fuertes en las Zonas oriente, centro y sur-oriente del estado con una duración de 30 min, reportándose lo siguiente:
- 58 viviendas con penetración de agua
- 2 personas lesionadas por arrastre 
- 11 personas rescatadas de vehiculos arrastrados 
- 7 vehiculos afectados por arrastre 
- 1 vehículo dañado por inundación</t>
  </si>
  <si>
    <t>Unión Juárez</t>
  </si>
  <si>
    <t>A las 17:59 horas, se registró el deslizamiento de ladera por lluvias en la entrada del Cantón Chiquihuite afectando a 2 viviendas, municipio de Unión Juárez. Se reportaron 2 personas atrapadas dentro de sus hogares que colapsaron por el derrumbe. Se recuperó el cuerpo de 1 masculino de 20 años y se localizó  y rescato con vida a la otra persona atrapada el día 12/09/2021 por la mañana</t>
  </si>
  <si>
    <t>Se registró la caída de una roca, sobre la carretera federal Cuernavaca-Taxco, a la altura de la localidad de la Martela, municipio de Taxco, la roca impactó a una camioneta tipo Urvan del servicio público, ocasionando la muerte de 2 personas y diversas lesiones a 11 personas</t>
  </si>
  <si>
    <t>Municipio de Salto de Agua: A las 10:40 horas, se registró el desbordamiento del río Misol-Ha, en el Ejido Jerusalén, municipio de Salto de agua. Derivado de lo anterior, se reportó penetración de agua de 30 cm en 12 viviendas. No hubo reporte de evacuados, ni lesionados. Protección Civil atendió la emergencia.</t>
  </si>
  <si>
    <t>Cuauhtémoc y Genaro Codina</t>
  </si>
  <si>
    <t xml:space="preserve"> Inundación fluvial del 16 y 17 de septiembre</t>
  </si>
  <si>
    <t>o 20:30 horas-16/09/2021. Se registró derrumbe en la carretera Minatitlán - Villa de Álvarez a la altura del km 34, municipio de Minatitlán. La carretera se encuentra cerrada en su totalidad. 
o 01:37 horas-17/09/2021. Se reportaron 3 fallecido, 1 persona lesionada (policontundida) trasladada al Hospital Regional. 18/09/2021.</t>
  </si>
  <si>
    <t>17/09/21. Aproximadamente a las 19:00 horas comenzaron lluvias moderadas en el municipio de San Miguel de Allende, se presentaron las siguientes afectaciones:_x000B_
• 1 camioneta arrastrada por un arroyo
• 2 personas rescatadas
• 3 viviendas afectadas por penetración de agua
• 1 escuela con penetración de agua</t>
  </si>
  <si>
    <t>Peribán</t>
  </si>
  <si>
    <t>Derivado de las lluvias se reportaron las siguientes afectaciones: 
MUNICIPIO DE PERIBÁN
•   Pérdida de ganado (se desconoce cantidad) 
•   9 viviendas con introducción de agua ( 1 m de altura) 
•    1 vivienda colapsada por la creciente del río
•   2 personas no localizadas (se presume que estaban al interior de la vivienda)
•   3 personas rescatadas de su domicilio
•   Vehículos y maquinaria arrastrados por la creciente del río.</t>
  </si>
  <si>
    <t>Yautepec, Jiutepec, Cuernavaca y Jojutla</t>
  </si>
  <si>
    <t>08:00 horas aproximadamente. Derivado de la lluvias de las últimas horas, se reporta:
Yautepec:_x000B_
- 150 viviendas afectadas por la penetración del agua alcanzando un tirante  de 1.50 metros hasta 2.00 metros.
Jiutepec:
- 30 Viviendas afectadas</t>
  </si>
  <si>
    <t>Derivado de las lluvias reportadas en el transcurso de la tarde del día 18 de septiembre se reportó:
60 viviendas afectadas con anegación de agua y tirantes de 40 cm a 1 metro en Comunidad Pancho Viejo (50) y Comunidad San Alfonso (10).
- 1 lesionado que cayó a una alcantarilla
- 1 escuela afectada
- 2 refugios temporales habilitados</t>
  </si>
  <si>
    <t>San Luis Potosí, Mexquitic de Carmona y Huehuetlan</t>
  </si>
  <si>
    <t>Durante la madrugada se reportaron lluvias constantes en el estado de San Luis Potosí reportando:
San Luis Potosí:
- 1 lesionado quien fue arrastrado por la corriente en camino  a la Presa San José, iba a bordo de su motocicleta. 
Mexquitic de Carmona:
- 1 persona fallecida por arrastre de agua 
Huehuetlan:
- 1 camioneta arrastrada por la corriente en la localidad de San José.</t>
  </si>
  <si>
    <t>Rincón de romos</t>
  </si>
  <si>
    <t xml:space="preserve">19:00 horas. Sólo  2 viviendas (con 15 personas), presentaron anegaciones en su interior, ocasionado daños en enseres domésticos. Ante esta situación, personal de varias dependencias acudieron al lugar, para realizar labores de limpieza y desinfección de las viviendas, asimismo, apoyaron a las familias afectadas con colchones, cobijas, catres, refrigeradores y estufas. No hubo reporte de daños humanos y las personas evacuadas ya regresaron a sus viviendas.
</t>
  </si>
  <si>
    <t xml:space="preserve">Se registraron lluvias fuertes y tormenta eléctrica en el municipio de San Luis Río Colorado, derivado de lo anterior, se reportó un fallecido por caída de rayo en el techo de un planta ubicada en Avenida Revolución y Samuel Ocaña.  </t>
  </si>
  <si>
    <t>Huetamo y Tzintzuntzan</t>
  </si>
  <si>
    <t>Se han presentado lluvias de moderadas a fuertes con actividad eléctrica en Huetamo y Tzintzunzan, reportándose al momento:
Huetamo
• 1 fallecido (masculino de 19 años) por caída de rayo (22:27 horas). 
Tzintzuntzan
• 15 viviendas afectadas por anegamientos, por el tramo carretero de La Vinata - Cucuchucho (por el panteón).</t>
  </si>
  <si>
    <t>Durante el transcurso de la mañana del 25/09/2021 y derivado del paso del Frente Frio no.1, se reportó:
- 1 deslave en Calle Río Lerma, en el Oasis afectando 1 vivienda y 5 viviendas afectadas en la Col. Manuel Ramírez por anegamiento, las cuales fueron atendidas. Personal de la DMPC apoyó a las familias afectadas para levantar sus muebles y sacar algunas pertenencias sin evacuados; así también, dejó disponible una pipa de agua potable en caso de que se requiera para lavar pisos.</t>
  </si>
  <si>
    <t>Tlalixtac de Cabrera</t>
  </si>
  <si>
    <t xml:space="preserve">A las 16:10 horas, se registraron lluvias y vientos fuertes en el municipio de Tlalixtac de Cabrera, provocando:
• 10 viviendas afectadas por penetración de agua a nivel de patio, sin daño a enseres domésticos. </t>
  </si>
  <si>
    <t>Se reporta un deslazamiento de ladera, afectando un vehículo, el cual resulta 1 persona lesionada y cierre total de la circulación. Por la tarde del día 27 de septiembre, reportaron a una enfermera desaparecida, se piensa que pudo haber sido afectada por el derrumbe. 15:30 horas, fue recuperado el cuerpo sin vida, de la persona que se encontraba como desaparecida.</t>
  </si>
  <si>
    <t>A partir de las 21:00 horas, se presentaron lluvias de ligeras a fuertes en los municipios de Corregidora, reportándose al momento:
Corregidora:
•              10 viviendas con penetración de agua en calle El Jaral, colonia Los Olvera.</t>
  </si>
  <si>
    <t>A las 02:00 horas, se registraron lluvias fuertes en el municipio de Cosamaloapan, reportándose las siguientes afectaciones:
• 17 viviendas con anegamientos en su interior con tirantes de 15 a 30 cm.</t>
  </si>
  <si>
    <t xml:space="preserve">A partir de las 17:30 horas, se reportaron lluvias intensas (algunas zonas con granizo) en la parte alta de la sierra de Guadalupe, municipio de Ecatepec de Morelos, provocando:
• Deslave de cerca de dos toneladas de tierra y rocas de una parte del cerro (30 metros de altura), en calle Salinas de Gortari, esquina Maya, colonia La Palma, municipio de Ecatepec de Morelos. El talud afectó en total a 2 viviendas, 1 de ellas afectada por la caída de tierra y piedras sobre un techo de lámina. Se reportó 1 persona lesionada (adulto de 67 años), será trasladado al Hospital General Dr. Jose María Rodríguez. La zona afectada se trata de un asentamiento irregular.
</t>
  </si>
  <si>
    <t>Derivado de los escurrimientos del estado de Guanajuato y las lluvias en la zona norte de la Capital, se presenta en el municipio de Santiago de Querétaro:
•              20 domicilios afectados por penetración de agua en la vialidad de Arroyo Pileta.</t>
  </si>
  <si>
    <t>San Juan Mixtepec</t>
  </si>
  <si>
    <t>18:00 horas-01/10/2021. Se reportó que el río de respuesta rápida (avenida) se llevó un vehículo tipo Tsuru con placas GZF-343-C del estado de Guerrero, municipio de San Juan Mixtepec, desapareciendo a 3 jóvenes de entre los 25 y 30 años.
03/10/2021. 18:16 horas, se recuperan los 3 cuerpos.</t>
  </si>
  <si>
    <t>El Llano</t>
  </si>
  <si>
    <t>Derivado de las lluvias presentadas durante los últimos días se reportaron escurrimientos del cerro de "Juan grande" afectando el municipio de El Llano con 61 personas afectadas y 19 viviendas afectadas por escurrimientos. Se estableció un refugio temporal en la escuela “Guadalupe Victoria”.</t>
  </si>
  <si>
    <t>Deslave de 8 metros cúbicos de un cerro en Tarango y Cerrada Tarango, colonia las Águilas. La causa por las lluvias presentadas los últimos días. Resultando 1 caía de barda perimetral y malla ciclónica. No se reportaron lesionados ni fallecidos. Como medida preventiva se acordono el área, los habitantes de la vivienda fueron evacuados (5 personas). La UGIRPC confirma que tendrán que evacuar los departamentos de manera permanente hasta que se ejecuten los trabajos de mitigación de riesgos; se activará un albergue.</t>
  </si>
  <si>
    <t>Rio Seco, Huimilpan, Santiago de Querétaro, Corregidora, El Marqués, San Juan del Río, Jalpan de Serra, Peñamiller, Tequisquiapan, Colón, Pinal de Amoles, Landa de Matamoros y Ezequiel Montes</t>
  </si>
  <si>
    <t>A partir de las 19:00 horas, del día sábado 02 de octubre, se reportaron lluvias de moderadas a muy fuertes al norte, sur y zona centro de la Capital del estado, resultando:
• 5 fallecidos (2 Corregidora, 2 Querétaro y 1 Huimilpan)
• 3,610 viviendas afectadas
• 18 inmuebles afectados por penetración de agua 
• 43 negocios afectados 
• 2 caminos / puentes
• 9 vehículos varados y/o arrastrados
• 19 personas rescatadas
• 1,714 personas evacuadas y 50 animales 
• 42 personas refugiadas 
-----------------------------
Municipio de Humilpan
o 1 masculino sin vida en la zona en la comunidad de Santa Teresa, por arrastre de su tractocamión
Municipio de Santiago de Querétaro
o 1 masculino sin vida en el parque industrial Querétaro, delegación de Santa Rosa Jáuregui.
o 1 camión varado, el cual intentó cruzar quedando atrapado con 9 pasajeros los cuales fueron rescatados
o Asistencia a 1 ciudadano que presentó dificultades con su vehículo, sobre la Av. Pasteur
o Carretera 430, km 5 , se reportan 3 vehículos arrastrados por la crecida de un dren natural
Municipio de Corregidora
o Afectación al dren, 1 vehículo cayó resultando 2 fallecidos.
o Apoyo a 1 conductor de 1 vehículo que cayó a canal en Av. Candiles
El día de hoy 7 de septiembre, fue localizado a las 09:15 horas, el cuerpo de la persona que se reportó como desaparecida, por el arrastre de su vehículo en el dren Santa María Magdalena.
Municipio de San Juan del Rio
o La Rueda: evacuación preventiva de 1,650 personas y 40 animales.
o Se habilitan refugios temporales en San Isidro y El Carrizo, el Anexo al CECUCO, la Deportiva Oriente "Maquío" con medidas COVID y medidas sanitarias.
o Falla en el drenaje pluvial, evacuando a 6 domicilios
o En el Refugio San Isidro actualmente 16 mujeres, 6 hombres y 7 menores (4 niñas, 3 niños) todos residentes de la Comunidad de Nogales. Así mismo, en el Albergue del CECUCO pernoctaron 13 personas.
Acciones:
Reparten 2,000 despensas de gobierno del estado, 1,000 kits de limpieza y *1,730 cobijas
Municipio de Jalpan de Serra
o 1 puente afectado
o 20 viviendas afectadas
o 1 albergue habilitado
Municipio de Tequisquiapan 
o 3 escuelas
o 1 clínica Médica
o 11 hoteles
o 3 edificios públicos
o 43 negocios comerciales
o 50 personas evacuadas
Acciones:
Se repartieron 300 costales
Servicios Municipales realiza la entrega de 600 costales en apoyo de Los Claustros, Francisco Marqués, Sabinos, Mercado de Artesanías y San Nicolás
Municipio de Pinal de Amoles
o Varios deslaves, se encontraba en riesgo una familia a quienes se les indicó que era necesario que desalojaran su vivienda, se trasladan con sus familiares.
o En el albergue se encuentran 2 personas.</t>
  </si>
  <si>
    <t>Noche-03/10/2021. Derivado de las lluvias fuertes que se presentaron en la Zona de la Huasteca, municipio de Tamazunchale, se reportaron las siguientes afectaciones:
• *Evacuación preventiva de 7 domicilios* (17 personas) ubicados a las orillas del río en calles 16 de Septiembre y Tatiano. Los habitantes decidieron irse con familiares.
• Se habilitó un albergue temporal en la Escuela Primaria “Macedonio” con 29 personas.
• 42 familias evacuadas con familiares.</t>
  </si>
  <si>
    <t>Tlajomulco de Zúñiga, Zapopan y Tlaquepaque</t>
  </si>
  <si>
    <t>A partir de las 02:00 horas, se han registrado lluvias de ligeras a fuertes en la Zona Metropolitana de Guadalajara, reportando al momento: 
o             Viviendas afectadas: 5 
San Lucas Evangelista
• 4 viviendas afectadas por penetración de agua, sobre el Circuito Metropolitano Sur
• 1 femenina rescatada después de quedar atrapada en su vivienda con inundación. 
• 1 vivienda con penetración de agua (1 m) y 2 bardas caídas en la colonia Balcones de la Calera</t>
  </si>
  <si>
    <t>Tierra Blanca y Los Reyes</t>
  </si>
  <si>
    <t>Derivado de las fuertes lluvias registradas durante la noche del 05 de octubre y madrugada del 06 de octubre en los municipios de Tierra Blanca y Los Reyes, se reportaron las siguientes afectaciones: 
•              Viviendas afectadas: 83
Espinal
- 83 viviendas afectadas por anegamientos (30 cm)</t>
  </si>
  <si>
    <t>Chapala, Tlaquepaque, El Salto, Jocotepec, Tuxcueca, Ixtlahuacán de los Membrillos y Tlajomulco de Zúñiga</t>
  </si>
  <si>
    <t>A partir de las 02:00 horas, se registraron lluvias de ligeras a fuertes en el estado de Jalisco, reportando al momento: 
 o             Viviendas afectadas: 272
o             Refugios temporales: 1
o             Personas en refugios temporales: 20
o             Vehículos arrastrados: 6
Municipio de Chapala
•              98 viviendas afectadas 
Municipio de Tlaquepaque
•              60 viviendas afectadas 
•          1 refugio temporal activado con 20 personas
Municipio de El Salto
•              40 viviendas afectadas 
Municipio de Jocotepec
•              25 viviendas afectadas 
Municipio de Tuxcueca
•              24 viviendas afectadas
•              6 vehículos arrastrados
Municipio de Ixtlahuacán de los Membrillos
•              20 viviendas afectadas
Municipio de Tlajomulco de Zúñiga
•              5 viviendas afectadas 
•       1 femenina rescatada atrapada en su vivienda.</t>
  </si>
  <si>
    <t>Se recibió el reporte de la localización de un cuerpo sin vida de una femenina entre 18 y 21 años de edad, entre las calles Nardo y Oro con el cruce de Francisco I. Madero, col. La Piedrera, municipio de El Salto. La localización se suscita después de que los niveles del canal Las Pintas han ido a la baja derivado de los trabajos de desfogue por las lluvias de días anteriores.</t>
  </si>
  <si>
    <t>Tenango del Valle y Calimaya</t>
  </si>
  <si>
    <t>Derivado de las fuertes lluvias registradas en varios puntos del estado, se registraron las siguientes afectaciones:
Tenango del Valle
• 40 viviendas afectadas por penetración de agua en su interior (30-60 cm).
Municipio de Calimaya:
• 1 vivienda a la orilla del río, que fue afectada ya que la creciente se llevó parte de la casa, quedando una parte con bardas fracturadas.</t>
  </si>
  <si>
    <t>El pasado 06 de octubre, se reportó un menor lesionado por caída de rayo en el paraje La Hacienda, municipio de Tepetlixpa. El menor fue trasladado con vida al hospital, sin embargo falleció al llegar al nosocomio.</t>
  </si>
  <si>
    <t>Angel R. Cabada, San Andres Tuxtla, Santiago Tuxtla, Alvarado, Tres Valles, Cosamaloapan, Santabarranca, Tlacotalpan, Lerdo de Tejada, Catemaco, Zaragoza, Santiago Sochiapa, Cosoleacaque y Soteapan</t>
  </si>
  <si>
    <t>Derivado de las lluvias reportadas durante la tarde del 08 de octubre y madrugada del 09 de octubre se reporta:
Afectaciones:
-7,228 viviendas afectadas (anegación).
-28,912 población
- 2 refugios temporales activo con 139 refugiados
- 2 fallecidos ( Saltabarranca y San Andrés Tuxtla)
- 2 Puente afectado
- 4 escuelas afectadas
San Andrés Tuxtla:
- 1 fallecido (ahogado, pasajero de taxi).
- Saltabarranca:
- 20 viviendas afectadas por anegamientos, con tirantes de 5 cm. de agua.
-1 fallecido (ahogado en el Predio de la Ranchería.</t>
  </si>
  <si>
    <t>A las 00:27 horas, se registraron lluvias fuertes en el municipio de Pichucalco, reportándose:
•    4 viviendas afectadas por penetración de agua. 
•   Afectación a puente vehicular, que presenta hundimiento y socavamiento en los muros de soporte.
•    1 refugio temporal activado con 4 familias en el Centro Integrador Bienestar.</t>
  </si>
  <si>
    <t>Mazatlán,Ahome, Rosario y Escuinapa</t>
  </si>
  <si>
    <t>Presencia del Huracán Pamela (Lluvia severa y Vientos fuertes) los días 12 y 13 de octubre de 2021</t>
  </si>
  <si>
    <t>Acaponeta, Huajicori, Tecuala, Tuxpan, Rosamorada, Ruiz y Santiago Ixcuintla </t>
  </si>
  <si>
    <t xml:space="preserve">Derivado del aumento del nivel del río Acaponeta por efectos del Ciclón Tropical Pamela se reportan 2 personas desaparecidas en el municipio de Huajicori. Los masculinos de 34 y 47 años, se encontraban en labores de pastoreo y fueron arrastrados por la corriente el pasado 13 de octubre. Asimismo se reporta que fueron arrastrados 2 elementos de la policía de Tecuala y 1 civil, mismos que fueron rescatados en el lugar. 
También se efectuó el rescate en el km 118 de la autopista Tepic – Mazatlán de personas a bordo de 1 tráiler y 1 camioneta familiar 
• 26/10/2021 Fue encontrado 1 de los masculinos sin vida, en el poblado del Zapote, en el municipio de Tecuala. Continúan con la búsqueda del otro desaparecido.
• 10/12/2021 Protección Civil del municipio de Huajicori informó, que después de realizar una revisión exhaustiva por los márgenes del río Acaponeta, tanto en el municipio de Huajicori, como en los municipios por donde fluye  él mismo y no encontrar a la persona desaparecida, se determinó suspender las labores de búsqueda. El número de vivinedas 14201 se obtuvo de los boletines de  la página de Secretaria de Bienestar 
</t>
  </si>
  <si>
    <t xml:space="preserve">FONDEN/Secretaria  de Bienestar </t>
  </si>
  <si>
    <t>El día 14 de Octubre alrededor de las 17:00 horas, se reportó el arrastre de 4 integrantes de una familia (2 adultos y 2 menores). Se realizó la búsqueda los días 14 y 15 de octubre informando que por la mañana del día 15 se localizó el cuerpo de una femenina de 4 años y continuando con la búsqueda de 2 adultos y 1 menor. El día 17 de octubre se reporta la localización de tres cuerpos (2 adultos y un menor) en la presa del paraje “Tres Molinos”.</t>
  </si>
  <si>
    <t>Santiago Tuxtla y Catemaco</t>
  </si>
  <si>
    <t>Derivado de las fuertes lluvias registradas durante la madrugada del 17 de octubre, en los municipios de Santiago Tuxtla y Catemaco, se reportan las siguientes afectaciones: 
•              Viviendas afectadas: 177
•              Inmuebles afectados: 1
•              Refugios temporales habilitados: 1
Santiago Tuxtla
•   175 viviendas afectadas: 170 viviendas afectadas por inundación con tirantes de aprox. 60 cm, y 5 viviendas por deslave.
•  1 inmueble afectado por inundación: Recinto Ferial.
•  1 refugio temporal habilitado: Asociación Ganadera (sin personas al momento).
Catemaco 
•  2 viviendas afectadas (atendidas) por anegamientos con tirantes de 20 cm aprox., por taponamiento del drenaje.</t>
  </si>
  <si>
    <t>Pichucalco y Juárez</t>
  </si>
  <si>
    <t xml:space="preserve">Durante la noche del 17 de octubre y hasta las 02:00 horas del 18 de octubre, se registraron lluvias de moderadas a fuertes en los municipios de Pichucalco y Juárez, reportándose:
•              Viviendas afectadas: 10
•              Personas afectadas: 44
Juárez
•    10 viviendas afectadas por penetración de agua.
•    44 personas afectadas. </t>
  </si>
  <si>
    <t>Municipio de Huimanguillo: A consecuencia de las lluvias de la madrugada al sur del municipio, se reportó que los niveles pluviales alcanzaron hasta 1 metro de altura, reportando afectaciones a 20 viviendas, sin afectaciones a vidas humanas, solo quedando en daños materiales.</t>
  </si>
  <si>
    <t>Derivado de las lluvias fuertes presentadas el día 23 de octubre se reportaron las siguientes afectaciones: 
• 1 fallecido por arrastre (masculino de 36 años en calle Nezahualcóyotl, Barrio La Santísima) 
• 18 viviendas afectadas (15 con anegación a nivel de patio y 3 con penetración de agua). 
• 1 barda colapsada del Museo Ex Convento de Tepoztlán
• 4 vehículos arrastrados</t>
  </si>
  <si>
    <t>San Miguel Totolapan.</t>
  </si>
  <si>
    <t xml:space="preserve">Se reportó el arrastre de una camioneta del ejército donde se encontraban a bordo 10 elementos, en la Comunidad de El Carrizal en el municipio de San Miguel Totolapan; el incidente se debió a que la camioneta intentaba pasar por una crecida de un arroyo, mismos que incrementaron por los escurrimientos de las partes altas; al momento se han localizado los cuerpos de 4 personas, continúan en labores de búsqueda y rescate de 6 personas más.  </t>
  </si>
  <si>
    <t>Luis Ángel Vidal</t>
  </si>
  <si>
    <t>A las 04:00 horas, se recibió llamada de auxilio por derrumbe sobre carretera que había sepultado a un vehículo, sobre el tramo carretero de la comunidad Llano Grande al Ejido Laguna del Cofre, municipio de Montecristo de Guerrero. Se registró el deslave de un cerro, cuando un vehículo transitaba y fue arrastrado y sepultado. Se reportó 1 fallecido (Presidenta Municipal de Capitán Luis Vidal) y 3 lesionados (esposo, chofer y mujer desconocida), trasladados a una clínica del municipio de Capitán Luis Vidal y son reportados como estables.</t>
  </si>
  <si>
    <t>Ixtapangajoya</t>
  </si>
  <si>
    <t xml:space="preserve">Se registraron lluvias de moderadas a fuertes en el municipio de Ixtapangajoya, de la Región Norte, provocando:
• 82 Viviendas afectadas por penetración de agua (50 cm).
No se reportaron evacuados, lesionados y/o fallecidos. Se reportaron únicamente daños materiales en enseres domésticos. 
</t>
  </si>
  <si>
    <t>Nautla, Tenochtitlán, Martínez de la Torre, Misantla, Tlapacoyan, Boca del Río y Veracruz</t>
  </si>
  <si>
    <t>Derivado de las lluvias fuertes por el Frente Frío No. 10 registradas el 22 y 23 de noviembre, se reportan las siguientes afectaciones: 
•              Municipios afectados: 7 (Nautla, Tenochtitlán, Martínez de la Torre, Misantla, Tlapacoyan, Boca del Río y Veracruz)
•              Viviendas afectadas: 298 (50 Nautla, 5 Tenochtitlán, 1 Martínez de la Torre, 233 Misantla, 8 Tlapacoyan y 1 Veracruz)
•              Personas afectadas: 1,192 (200 Nautla, 20 Tenochtitlán, 4 Martínez de la Torre, 932 Misantla, 32 Tlapacoyan y 4 Veracruz)
•              Locales comerciales: 2 (2 Veracruz) 
•              Vías de comunicación afectadas: 12 (5 Nautla, 1 Tenochtitlán y 6 Misantla)
•              Puente afectado: 3 (3 Misantla). 
•              Escuela afectada: 1 (1 Nautla).
•              Refugio temporal habilitado (sin ocupar): 3 (3 Nautla) 
•              Afectación a cultivos: 1 (1 Nautla - cultivos de limón, naranja y plátano en la localidad Troncones).</t>
  </si>
  <si>
    <t>CONAGUA: H San Joaquín, Chis., 127.3 mm ubicada en el municipio  de Pichucalco, Chis., con  un umbral de  140 mm (08:00 hora del 12/12/2021 a las 08:00 horas del 13/12/2021).                                                                  
A las 00:44 horas, se reportó el desbordamiento del arroyo Alcocer, en la colonia Luis Donaldo Colosio, municipio de Pichucalco, reportándose:
•              10 viviendas con penetración de agua (tirante de agua de 10 a 20 cm), una de ella con daño total de enseres domésticos. 
•              1 vivienda afectadas por barda colapsada.</t>
  </si>
  <si>
    <t>Tijuana, Tecate, Playas de Rosarito y Ensenada</t>
  </si>
  <si>
    <t>Durante la tarde-noche del 14 de diciembre, se han registrado lluvias de moderadas a fuertes y vientos fuertes por el paso del Frente Frío No. 14 en los municipios de Tijuana, Tecate, Playas de Rosarito y Ensenada, reportándose al momento:
Municipio de Tijuana
•    14:03 hora local. Se realizó el rescate de 2 personas de su vehículo que quedó varado en la corriente del agua, sin lesiones.
•    14:16 hora local. Fallecimiento de 1 femenina al ser arrastrada por la corriente de agua de un pluvial en calle Mérida, colonia Chapultepec
•    15:08 hora local. Búsqueda de 1 persona arrastrada por la corriente de agua en un desarenador, en Mariano Matamoros Centro
•    Se habilita 1 campamento para albergar hasta 300 migrantes.
• 15:08 hora local. Fallecimiento de 1 femenina arrastrada por la corriente de agua en un desarenador, en Mariano Matamoros Centro, localizada el día 16 de diciembre por cuerpos de emergencia.
Municipio de Playas de Rosarito
•    15:37 hora local. Se reportó el arrastre de una persona del sexo masculino en el arroyo, que pasa por el Puente Kontiki, colonia Crosthwaite. 16:00 hora local. Cuerpos de emergencia se encuentran realizando maniobras de búsqueda.
CFE: Desplegó un equipo integrado por 124 trabajadores electricistas, 32 vehículos y 24 grúas. Restableció el suministro eléctrico al 99% de los 161,959 usuarios afectados.</t>
  </si>
  <si>
    <t>Durante la tarde-noche del 14 de diciembre, se han registrado lluvias de moderadas a fuertes y vientos fuertes por el paso del Frente Frío No. 14 en los municipios de Tijuana, Tecate, Playas de Rosarito y Ensenada, reportándose al momento:
Municipio de Tijuana 
•  Falla en el suministro de la energía eléctrica en colonia Lázaro Cárdenas por caída de cables y postes 
•  Se realizó el rescate de 2 personas, sin lesiones, de su vehículo que quedó varado en la corriente del agua.
•  Fallecimiento de 1 femenina al ser arrastrada por la corriente de agua de un pluvial en calle Mérida.
•  Búsqueda de 1 persona arrastrada por la corriente de agua en un desarenador, en Mariano Matamoros Centro
•  Se habilita 1 campamento para albergar hasta 300 migrantes 
•  Se vieron suspendidas las operaciones del Aeropuerto de Tijuana, debido a condiciones de viento desfavorables.
Municipio de Tecate
•  El 75% de la población de La Rumorosa afectada por falta de energía eléctrica 
Municipio de Playas de Rosarito
•  Se reportó el arrastre de una persona del sexo masculino en el arroyo, que pasa por el Puente Kontiki, colonia Crosthwaite. Cuerpos de emergencia se encuentran realizando maniobras de búsqueda por el área de la colonia San Fernando, donde desemboca la corriente del arroyo.
CFE: Desplegó un equipo integrado por 124 trabajadores electricistas, 32 vehículos y 24 grúas. Restableció el suministro eléctrico al 99% de los 161,959 usuarios afectados que representan el 11% de la totalidad de usuarios en esta región del país.</t>
  </si>
  <si>
    <t xml:space="preserve">Durante la noche del día 30 de diciembre y el día 31 de diciembre, se reportaron precipitaciones en el municipio de Guaymas y Puerto Peñasco. 
Municipio de Guaymas:
- Vehículos varados (sin cuantificar).
Municipio de Puerto Peñasco 
- 7 Vehículos varados
- 1 casa inundada 
- Evacuados (sin cuantificar)
- 1 rescatados
- 1 Torre de CFE caída (corte de energía eléctrica por 5 horas el día 31 de diciembre) Restablecido al 100%
</t>
  </si>
  <si>
    <t xml:space="preserve">Veracruz y Tamaulipas </t>
  </si>
  <si>
    <t>Tamalín, Ozuluama, Cerro Azul, Coatepec, Veracruz, Tihuatlán, Gutierrez Zamora, Emiliano Zapata, La Antigua, Puente Nacional, Paso de Ovejas, Úrsula Galván, Xalapa y Tampico Alto, Coacoanzintla, Tlapacoyan, Playa Vicente, Manlio Fabio Altamirano, Lerdo de Tejada, San Andrés Tuxtla, Tlalnelhuayocan, Naranjos Amatlán.</t>
  </si>
  <si>
    <t>Derivado del paso del Frente Frio No. 19, se presentaron fuertes vientos en los estados de Veracruz y Tamaulipas, reportando las siguientes afectaciones:
Municipio Tamalín:
- 1 Caída de domo (Salón de Usos Múltiples de la Comunidad Ejido Rincón). 
Municipio de Ozuluama
- 1 caída de domos (Escuela de San Gregorio). 
Municipio de Cerro Azul
- 1 caída de domo (En terrenos de la Feria).
Municipio de Coatepec 
-  1 vivienda.
Municipio de Veracruz
- 1 inmueble, 2 postes caídos 
Municipio Tihuatlán:
- 1 vivienda afectada por caida de rama
- 2 lesionados trasladados al Hospital Regional de Poza Rica por caída de láminas de techo. 
Municipio de Banderilla
- 1 Caída de de barda (1): Calle Cuauhtémoc #14, Col. Centro.
Municipio Puente Nacional
- 1 Vivienda afectada por destechamiento de láminas (Atendido).
Municipio Paso de Ovejas
- 1 caída de barda
- 1 caída de domo
Municipio de Úrsulo Galván
- 1 vivienda afectada por destechamiento parcial
- 2 postes caídos
Municipio de Tlapacoyan
- 1 vivienda afectada destechamiento parcial por fuerte viento
Municipio de Otontepec
- 15 viviendas con destechamiento parcial
- 1 caída de domo.
Municipio de Manlio Fabio Altamirano
- 1 caídas de poste 
Servicio eléctrico
323,225 usuarios afectados en Veracruz; 99% de restablecimiento.</t>
  </si>
  <si>
    <t>A las 19:00 horas se reportó lluvia fuerte con granizo en el municipio de Acatzingo, en la Carretera Federal Puebla – Jalapa, a la altura de San Sebastián Villanueva, con las siguientes afectaciones: 
• La carretera se encuentra cerrada parcialmente por granizo con altura de 15 cm, cerca del km 024+000 carretera (2315), se habilitó un carril en cada sentido.
• Daños en techos de 7 viviendas
• Daños en cultivos.</t>
  </si>
  <si>
    <t>Perote, Papantla, Yecuatla, Comapa, Ixhuatlán del Café y Misantla</t>
  </si>
  <si>
    <t xml:space="preserve">•         87 viviendas afectadas (2 destechadas y 85 anegadas) 
•         348 personas afectadas  
•         4 derrumbes
•         1 vía de comunicación alterna 
•         2 puentes afectados 
•         2 escuelas afectadas </t>
  </si>
  <si>
    <t>En el municipio de Charo en la comunidad de La Escalera, se registró granizada durante la tarde, reportándose 22 domicilios de teja afectados, siendo estas familias evacuadas al albergue habilitado en el municipio y algunas más con familiares.</t>
  </si>
  <si>
    <t xml:space="preserve">Derivado de las lluvias moderadas que se presentaron durante la madrugada, se reportan las siguientes afectaciones:
•              1 vivienda de material endeble destechada
•              2 viviendas que presentaron entrada de lodo (ya en limpieza) </t>
  </si>
  <si>
    <t>28/02/2022 Se reportaron deslizamientos de tierra, sobre la calle Victor Islas Parras #12876, colonia Camino Verde, municipio de Tijuana. La causa detectada fue por un movimiento natural de la tierra que ocasionó grietas al interior de las casas y al exterior a la altura del cañón.  
05/03/2022 La mesa de trabajo interinstitucional, determinó emitir una Declaratoria Estatal de Desastre con el fin de reubicar de 120 viviendas. Se utilizará como refugio temporal la Unidad Deportiva Reforma y la Unidad Tijuana, con todos los servicios básicos para que se trasladen 599 personas.</t>
  </si>
  <si>
    <t>Jamapa, Ignacio de Llave, San Andrés Tuxtla, Catemaco, Santiago Tuxtla, Lerdo de Tejada, Saltabarranca, Tlalixcoyan, Boca del Río, Soteapan, Coatzacoalcos, Tlacolulan, Naolinco, Coetzala, Cosamaloapan, Amatitlán, Otatitlán, Banderilla, Emiliano Zapata, Tierra Blanca, Veracruz, Cotaxtla, Alvarado, Medellín de Bravo, Misantla, Pueblo Viejo, Xalapa, Ozuluama de Mascareñas</t>
  </si>
  <si>
    <t>Durante el transcurso del día 12 de marzo, debido al paso del Frente frío No. 35 y el evento de “Norte” asociado al mismo, se reportó en el Estado:
• Municipios afectados: 28 
• Viviendas afectadas: 48 
• Población afectadas: 192
• Locales comerciales afectados: 11
• Escuelas afectadas: 6 
• Afectaciones en servicios estratégicos (energía eléctrica): 9
------------------------------
• Jamapa:
Viviendas afectadas (destechamiento): 1
Servicio estratégico afectado (energía eléctrica): 1
• Ignacio de Llave:
Viviendas afectadas (destechamiento): 1
• San Andrés Tuxtla:
Viviendas afectadas (destechamiento): 2
• Catemaco:
Servicio estratégico afectado (energía eléctrica): 1
• Santiago Tuxtla:
Viviendas afectadas (destechamiento): 2
• Lerdo de Tejada:
Servicio estratégico afectado (energía eléctrica): 1
• Saltabarranca:
Escuela afectada: 1 (destechamiento) 
• Tlalixcoyan:
Viviendas afectadas (destechamiento): 7
Locales comerciales afectados: 2
Servicio estratégico afectado (energía eléctrica): 1
• Boca del Río:
Viviendas afectadas (destechamiento): 6
Locales comerciales afectados: 7
Servicio estratégico afectado (energía eléctrica): 1
• Soteapan:
Viviendas afectadas (destechamiento): 3
• Cosamaloapan:
Escuela afectada: 1
• Amatitlán:
Escuela afectada: 1
• Otatitlán:
Viviendas afectadas (destechamiento): 12
• Tierra Blanca:
Viviendas afectadas (destechamiento): 3
• Veracruz:
Viviendas afectadas (destechamiento): 2
Locales comerciales afectados: 2
Servicio estratégico afectado (energía eléctrica): 1
Escuela afectada: 1
• Alvarado:
Viviendas afectadas (destechamiento): 4
Servicio estratégico afectado (energía eléctrica): 1
• Medellín de Bravo:
Viviendas afectadas (destechamiento): 4
Escuela afectada: 1
Servicio estratégico afectado (energía eléctrica): 1
• Misantla:
Escuela afectada: 1</t>
  </si>
  <si>
    <t>Pichucalco, Solosuchiapa, Chilón, Amatenango, Palenque</t>
  </si>
  <si>
    <t xml:space="preserve">En el transcurso de la noche del 12 de marzo y madrugada del 13 de marzo, derivado del Frente Frio No. 35 y viento del "Norte" se reportaron afectaciones  sin reporte de lesionados, en los municipios de:
• Pichucalco: 1 vivienda afectada por desprendimiento de lámina y madera
• Solosuchiapa: Desprendimiento de láminas en 1 domo.
• Chilón: 1 vivienda afectada por destechamiento.
• Amatenango: 1 vivienda afectada por destechamiento.
• Palenque: 1 árbol caído sobre una vivienda.
• Mezcalapa: Caída de 1 árbol sobre carretera.
</t>
  </si>
  <si>
    <t>Coroneo</t>
  </si>
  <si>
    <t xml:space="preserve">A las 15:30 horas, se reportó la caída de una lona de gran tamaño (se desconocen dimensiones) por colapso de estructura metálica sobre los asistentes de la 41° Muestra Gastronómica del municipio de Santiago de Anaya, ubicada en el Parque de la explanada municipal de la localidad de Santiago de Anaya. </t>
  </si>
  <si>
    <t>Tlanalapa</t>
  </si>
  <si>
    <t>Se registraron lluvias fuertes e intensa caída de granizo (por 15 minutos) en gran parte del municipio de Tlanalapa</t>
  </si>
  <si>
    <t>De las 08:00 horas del 07 de abril a las 08:00 horas del 08 de abril, se registraron las siguientes precipitaciones por efectos del Frente Frío No. 41.</t>
  </si>
  <si>
    <t>Calimaya, Mexicaltzingo, Chapultepec, Metepec y San Mateo Atenco</t>
  </si>
  <si>
    <t xml:space="preserve">o             5 municipios afectados. 
o             1 persona lesionada (trasladada por hipotermia).
o             25 domicilios afectados.
o             80 personas afectadas.
o             1 barda colapsada.
o             1 socavón.
o             1 albergue temporal habilitado (sin ocupación)
o             1 desbordamiento del río El Jaral.
</t>
  </si>
  <si>
    <t>Los Reyes de Juárez, Cuapiaxtla de Madero, Quecholac, Molcaxac, Tochtepec, Huejotzingo, Domingo Arenas, Tepeaca y Tecamachalco</t>
  </si>
  <si>
    <t xml:space="preserve">: Municipio de Reyes de Juárez:
•              Afectaciones en una estructura metálica en la plaza del Palacio Municipal.
•              Daño en techado de parroquia “Los Santos Reyes”. 
•              4 viviendas afectadas.
Municipio de Cuapiaxtla de Madero:
•              6 viviendas afectadas por techumbres colapsadas y 1 por inundación por fallas en el drenaje.
Municipio de Quecholac:
•              1 vivienda afectada por techumbre de aluminio colapsado. 
Municipios de Molcaxac, Tochtepec, Cuapiaxtla de Madero, Los Reyes de Juárez, Huejotzingo, Domingo Arenas, Tepeaca y Tecamachalco:
•              500 hectáreas de cosechas como hortalizas, frutales y otros cultivos de la zona
</t>
  </si>
  <si>
    <t xml:space="preserve">Amatán </t>
  </si>
  <si>
    <t xml:space="preserve">Movimiento de ladera el 8 de abril de 2022 y lluvia del 7 de abril . Se emitió declaratioria de emergencia y de desastre </t>
  </si>
  <si>
    <t>DGGR</t>
  </si>
  <si>
    <t xml:space="preserve">Se registraron vientos fuertes en el municipio de Ostuacán, dejando como afectación 13 viviendas de lámina por destechamiento. </t>
  </si>
  <si>
    <t xml:space="preserve">Cordoba </t>
  </si>
  <si>
    <t xml:space="preserve">🔺 Afectaciones:
•         44 viviendas de material endeble por destechamiento parcial
•         21 cables eléctricos y telefónicos caídos 
•         2 postes telefónicos caídos
•         10 árboles caídos 
•         4 espectaculares caídos 
•         Láminas caídas en el Estadio de Béisbol 
•         Anegaciones viales en varios puntos de la ciudad ya atendidos 
•         Deslizamientos parciales de tierra
</t>
  </si>
  <si>
    <t>Río Grande, Cañitas de Felipe Pescador, Zacatecas y Guadalupe</t>
  </si>
  <si>
    <t xml:space="preserve">4 municipios 
- 1 lesionado (accidente vial en Guadalupe)
- 25 viviendas 
- 4 salones
- 1 gasolinera
- 20 vehículos 
- 2 accidentes viales 
*  3 refugios temporales habilitados
Río Grande (lluvia atípica y granizada) 
•              Penetración de agua en viviendas (sin cuantificar) 
•              25 viviendas afectadas por caídas de techo y penetración de agua (70 cm) 
•              Encharcamientos en vialidades por taponamientos en las coladeras (colapsando el tránsito)
•              Daños en iglesias
•              4 salones ejidales afectados por caída de techos
•              1 gasolinera con daños (caída de techo) 
•              Caída de bardas
•              20 vehículos afectados
•              Aumento en cauce de ríos y cañadas 
Guadalupe:
Guadalupe:
•              2 accidentes viales, en uno en donde 1 vehículo derrapó y se salió del rodamiento asfáltico, resultando 1 persona lesionada atendida en el sitio
3 refugios temporales habilitados (con alimento, medicina y abrigo): Escuela Benito Juárez, Casa Hogar Santa Elena y Base 2 de Protección Civil en el Cerrito del Tepeyac (calle Zaragoza), municipio de Río Grande.
</t>
  </si>
  <si>
    <t>Aguascalientes y San Francisco de los Romo</t>
  </si>
  <si>
    <t xml:space="preserve">Aguascalientes 
•              120 viviendas afectadas por penetración de agua (50 cm)
•              5 vehículos varados
•              Árboles y ramas caídas
•              Caída de espectaculares
San Francisco de los Romo
•              400 viviendas afectadas por penetración de agua (80 cm)
•              32 vehículos varados
•              Árboles y ramas caídas
•              Caída de espectaculares
</t>
  </si>
  <si>
    <t xml:space="preserve">Durante la tarde, se registró lluvia y fuerte granizada en el municipio de Panotla, reportándose:
•              2 techos de terrazas afectados en viviendas
•              1 inundación en calle 15 de mayo hasta El Sifón (ya se puede transitar) 
•              Acumulación de granizo y encharcamientos en vialidades
•              Inundación y granizo en la carretera federal Tlaxcala - San Martín, abanderada por la Guardia Nacional y Policía Estatal 
</t>
  </si>
  <si>
    <t xml:space="preserve">CENACOM  </t>
  </si>
  <si>
    <t xml:space="preserve">Acuña </t>
  </si>
  <si>
    <t xml:space="preserve">50 viviendas (aproximadamente) de material endeble afectadas por destechamiento (daños en láminas) 
•              Caída de ramas y árboles
•              Inundaciones y encharcamientos viales
•              Vehículos varados 
•              Cortes del suministro eléctrico por caída de postes y cables en varios sectores
</t>
  </si>
  <si>
    <t>Azcapotzalco, Coyoacán, Tlalpan, Gustavo A. Madero, Miguel Hidalgo, Cuauhtémoc, Iztapalapa, Iztacalco y Venustiano Carranza</t>
  </si>
  <si>
    <t xml:space="preserve">o             Alcaldías afectadas: 9
o             Encharcamientos / inundación: 23
o             Árboles/ramas caídas: 25
o             Viviendas afectadas: 2 por caída de árbol / sin cuantificar por penetración de agua (Azcapotzalco)
o             Vehículos varados: 1
o             Colapso de domo: 1                                                     Colapso de un domo al interior del Mercado Xochinahuac, colonia San Martín Xochinahuac, a consecuencia de la acumulación de granizo. No hubo lesionados. Como medida de seguridad se acordonó la zona. Se realizarán trabajos de mitigación de riesgos y restablecimiento
</t>
  </si>
  <si>
    <t>Tlalnepantla de Baz, Naucalpan y Aculco</t>
  </si>
  <si>
    <t xml:space="preserve">Municipio de Tlalnepantla de Baz
• Caída de arco techo del deportivo Santa Cecilia, por caída de granizo. 
• 3 árboles caídos.
• Encharcamiento sobre Av. Periférico y Lago de Guadalupe, colonia San Pedro Barrientos, con un tirante de aproximadamente 1.5 metros.
• 6 vehículos varados. 
• Varios puntos afectados por tirantes de 30 cm aproximadamente de inundación por acumulación de granizo. 
• Anegaciones a nivel de banqueta en las avenidas Gustavo Bass y Mario Colín. 
Municipios de Naucalpan
• Encharcamientos viales. 
Municipio de Aculco
• Accidente vehicular debido al granizo en el asfalto, resultando choque entre 7 vehículos. Sin novedad.
</t>
  </si>
  <si>
    <t>Se recibió un reporte atreves de la línea de emergencia 911, en relación a un derrumbe, en el Callejón Leopoldo Uzarraga en la colonia Jardines del Rubí, municipio de Tijuana.  El incidente fue originado debido a una fuga de agua y derivado de lo anterior informó personal de bomberos que la mitad de la vialidad presenta daños por lo que evacuaran 4 domicilios con afectaciones. Al momento la Comisión Estatal de Servicios Públicos de Tijuana (CESPT), ya se encuentra trabajando en el lugar</t>
  </si>
  <si>
    <t>Catazajá</t>
  </si>
  <si>
    <t xml:space="preserve">El 11 de mayo por la tarde-noche derivado de las lluvias y fuertes vientos, se reportan:
•              5 árboles caídos sobre líneas de tensión eléctrica, 
•              Desprendimiento de láminas de viviendas de material endeble, así como 4 casas con desprendimiento parcial.
•              Se reportaron 2 personas desaparecidas, a las 23:33 horas confirman y recuperan el cuerpo de una persona y a la 01:45 horas del día de hoy se confirma y recupera el cuerpo de la segunda persona fallecida por ahogamiento
</t>
  </si>
  <si>
    <t>Campeche  </t>
  </si>
  <si>
    <t>Derivado de las lluvias presentadas en la Capital del estado 2 personas fallecieron al parecer por descarga eléctrica, después de que 1 masculino (indigente) fue arrastrado por la corriente de agua, en contacto con un registro subterráneo de CFE que electrificó los charcos, la persona ya no se movió, por lo que 1 femenina (45 años) al ver lo que ocurría, salió a ayudarlo y comenzó a desvanecerse. Al arribar los cuerpos de emergencia</t>
  </si>
  <si>
    <t>Toluca y Chimalhuacán</t>
  </si>
  <si>
    <t xml:space="preserve">•             Municipios afectados: 2
•             Árboles / ramas caídas: 7
•             Vehículos afectados: 1
•             Viviendas afectadas: 1
•             Fallecidos y/o lesionados: 2 lesionados
</t>
  </si>
  <si>
    <t>Los Herrera y Santiago</t>
  </si>
  <si>
    <t xml:space="preserve">Municipio de Los Herreras: 
o          Caída de árboles sobre calles
o          1 vivienda afectada por su techo volado
Municipio de Santiago: 
•           Comunidad La Jacinta: 2 vehículos arrastrados por la corriente dejando el saldo de 1 persona (femenina) sin vida.
•           Deslaves en varios tramos carreteros.  
•           Crecientes de ríos y arroyos en la zona alta de la Sierra. 
</t>
  </si>
  <si>
    <t xml:space="preserve">•              7 viviendas con penetración de agua 
•              13 árboles caídos
•              7 anegaciones en vialidades 
•              1 espectacular caído 
•              Sin evacuados, lesionados y/o fallecidos
</t>
  </si>
  <si>
    <t>Zumpango de Ocampo</t>
  </si>
  <si>
    <t xml:space="preserve">San Pedro Pochutla, Santa María Tonameca, Santa María Huatulco, Santa María Colotepec, Villa de Tututepec de Melchor Ocampo, Pluma Hidalgo, Candelaria Loxicha, San Mateo Piñas, San Pedro Mixtepec, San Juan Lajarcia, San Miguel Suchixtepec, Juchitán de Zaragoza, Salina Cruz, San Miguel del Puerto, Santo Domingo Petapa, Santa María Jalapa del Marqués, Santa Catarina Juquila, San Pedro Comitancillo, San Francisco Ixhuatán, San Mateo del Mar, Santo Domingo Ingenio, Santa María Jamixtepec, San Mateo Río Hondo, San Pedro el Alto, Santo Domingo Zanatepec, San Francisco del Mar, Santa Cruz Ozolotepec, San Juan Ozolotepec ( municipios afectados infoemación cenacom)      </t>
  </si>
  <si>
    <t xml:space="preserve">Huracan Agatha,2022. Se emitió declaratoria de emergencia y de desastre 
</t>
  </si>
  <si>
    <t xml:space="preserve">19 362 </t>
  </si>
  <si>
    <t>CENAPRED/DGGR</t>
  </si>
  <si>
    <t xml:space="preserve">A las 14:55 horas de ayer, se registraron lluvias fuertes, en el municipio de San Cristóbal de las Casas. Derivado de lo anterior, se reportan las siguientes afectaciones:
• Viviendas afectadas: 70 (50 colonia Bosques del Sol, 10 colonia del Viento, 5 San Juan de los Lagos y 5 San José del Recuerdo). 
• Escuelas afectadas: 2 (primaria “Gral Miguel Utrilla y preescolar “Victoria Durán de Aguilar”) Por entrada de agua.                                                               Desbordamientos: 1 (comunidad de Rancho Nuevo)
</t>
  </si>
  <si>
    <t xml:space="preserve">Puebla </t>
  </si>
  <si>
    <t>En la colonia Valle de las Flores por filtración de aguas negras en viviendas 8 viviendas con una altura máxima de 30 cm. Cuerpos de emergencia laboraron en el desazolve en drenaje y recorridos para la valoración de daños y afectaciones, sin reporte de lesionados, ni registro de evacuados.</t>
  </si>
  <si>
    <t>Derivado de las fuertes lluvias y caída de granizo, que se registraron en la alcaldía de Benito Juárez, se reporta la caída de techo de un supermercado (Tienda Soriana) de aproximadamente 35 x 20 metros, en Av. Revolución, esquina con Caravaggio, colonia San Juan, alcaldía Benito Juárez. Derivado de lo anterior, se reporta 1 persona lesionada (con probable fractura de hombro derecho), trasladada al Hospital del ISSSTE Fernando Quiroz y la evacuación de 200 personas del inmueble</t>
  </si>
  <si>
    <t>Guadalajara, San Pedro Tlaquepaque, Tonalá y Zapopan</t>
  </si>
  <si>
    <t>4 Municipios afectados, 1 persona lesionadas, 8 personas rescatadas, 24 viviendas afectadas por penetración de agua, 8 colonias afectadas, 7 Inundaciones viales, 3 pasos a desnivel cerrados, 38 vehículos varados, 10 vehículos arrastrados por la corriente, 11 árboles caídos, 2 postes caídos de CFE, 2 deslaves y Siteur Jalisco con servicio provisional.</t>
  </si>
  <si>
    <t xml:space="preserve">• 13 colonias con afectaciones
• 31 viviendas con penetración de agua con altura no mayor a los 20 cm.
• Inundaciones de vialidades en zonas bajas
• En el Hospital General se presentó desprendimiento de parte del plafón del techo (sin afectar su operación)
Se realizaron labores de desazolve de coladeras y apoyo a los domicilios afectados, culminando labores a las 02:30 horas. Sin personas lesionadas y/o evacuadas. Participan: H. C. de Bomberos del Estado y del Municipio.
</t>
  </si>
  <si>
    <t xml:space="preserve">
A las 14:30 horas del 18 de junio, se presentaron lluvias fuertes el municipio de Xalapa, (60 mm de las 08:00 a las 16:00 horas de hoy)   derivado de lo anterior, se reporta lo siguiente: 
•              20 viviendas afectadas por ligera introducción de agua Ya atendidas
•              11 colonias afectadas por anegaciones en calles y avenidas de hasta 50 cm Ya atendidas 
•              4 vehículos varados 
•              2 arroyos con escurrimientos (arroyo papas y carnitas) Ya en su nivel 
•              1 desbordamiento por corriente de río (Garnica) Ya en su nivel 
•              2 árboles caídos
•              1 deslave
•              1 palmera sobre cables de suministro de energía eléctrica
•              1 anegación de vehículo
Las afectaciones ya fueron atendidas por personal de Protección Civil Municipal.
</t>
  </si>
  <si>
    <t>Tenosique y Emiliano Zapata</t>
  </si>
  <si>
    <t xml:space="preserve">Durante la madrugada, se presentaron lluvias fuertes suscitadas por la Depresión Tropical “Celia”Afectaciones:
• 24 viviendas afectadas en el estado.
Municipio de Tenosique:
• Desbordamiento de un arroyo que atraviesa el ejido Rancho Grande.
• Penetración de agua en 14 viviendas: 8 en Ejido Rancho Grande y 6 en los Poblados Arena de Hidalgo e Independencia.
Municipio de Emiliano Zapata:
• Desbordamiento del arroyo Chancala, poblado de Gregorio Méndez.
• Penetración de agua en 10 viviendas.
</t>
  </si>
  <si>
    <t>Zapotlán el Grande</t>
  </si>
  <si>
    <t xml:space="preserve">Alrededor de las 16:00 horas, se registró un desplazamiento por movimiento de las placas de la falla geológica, que inicia en la zona conocida como La Ladrillera en los límites Norte con la Mancha urbana, la cual corre con tendencia hacia el poniente cruzando por áreas emblemáticas como la Base Regional de Protección Civil y Bomberos Jalisco, colonia Mansiones del Real, hasta el sector conocido actualmente como las colonias Las Primaveras, cabecera municipal de Ciudad Guzmán, municipio de Zapotlán el Grande 50 viviendas con algún tipo de afectación (preliminar-dato del Presidente Municipal), 3 de ellas con daños estructurales (ya no son habitables) y sobre la carpeta asfáltica de las vialidades Calzada Madrid, Carranza, Manuel M. Diéguez e Ignacio Mejía.
•              12 personas evacuadas de manera preventiva. 
•              Sin lesionados y/o fallecidos.
•              Sin afectaciones al sistema de agua potable.
</t>
  </si>
  <si>
    <t>Naucalpan de Juárez, Huixquilucan, Valle de Chalco, Ecatepec de Morelos y Tenancingo</t>
  </si>
  <si>
    <t xml:space="preserve">Municipio de Naucalpan de Juárez:
•              49 viviendas afectadas por penetración de agua, por el aumento en el nivel de la presa El Sordo, ya que las viviendas están construidas al interior de la presa, por lo que les ocasionó que el agua ingresará en el primer nivel (tirante de hasta 2 metros de altura), con daños materiales a menaje. Las personas se encuentran en la parte alta de sus domicilios, al no querer evacuar sus viviendas. CONAGUA informa que los niveles de agua están descendiendo. 
•              Encharcamiento en carriles laterales de Perif. Blvd. Manuel Ávila Camacho, a la altura de la Calle Joselillo, Col. El Parque. 
</t>
  </si>
  <si>
    <t xml:space="preserve">Tapalapa, Mazatán, Ocosingo, Bochil, San Cristóbal de las Casas y Unión Juárez. </t>
  </si>
  <si>
    <r>
      <rPr>
        <b/>
        <sz val="9"/>
        <color theme="1"/>
        <rFont val="Aptos Narrow"/>
        <family val="2"/>
        <scheme val="minor"/>
      </rPr>
      <t xml:space="preserve"> Lluvia severa el 20 de junio. Se emitió declaratioria de desastre. </t>
    </r>
    <r>
      <rPr>
        <sz val="9"/>
        <color theme="1"/>
        <rFont val="Aptos Narrow"/>
        <family val="2"/>
        <scheme val="minor"/>
      </rPr>
      <t xml:space="preserve"> Afectaciones
• 8 municipios afectados
•  210 viviendas afectadas
• 2 desgajamiento de tramo carretero
• 1 derrumbe rural
• 2 desbordamientos de ríos
• 4 familias evacuadas
• 2 instalaciones educativas afectadas
• 1 puente dañado
</t>
    </r>
  </si>
  <si>
    <t>CENACOM/DGGR</t>
  </si>
  <si>
    <t>Diversos Municipios</t>
  </si>
  <si>
    <r>
      <rPr>
        <b/>
        <sz val="9"/>
        <color theme="1"/>
        <rFont val="Aptos Narrow"/>
        <family val="2"/>
        <scheme val="minor"/>
      </rPr>
      <t xml:space="preserve">Lluvia severa, inundación pluvial y fluvial del 21 al 23 de junio. Se emitio declaratoria de desastre. </t>
    </r>
    <r>
      <rPr>
        <sz val="9"/>
        <color theme="1"/>
        <rFont val="Aptos Narrow"/>
        <family val="2"/>
        <scheme val="minor"/>
      </rPr>
      <t xml:space="preserve"> Afectaciones:
• 42 municipios afectados
• 546 Viviendas afectadas (1 destechada, 27 derrumbe /deslave y 518 por anegaciones)
• 2,184 personas afectadas 
• 5 colonias afectadas
• 24 localidades afectadas 
• 13 corrientes desbordadas
• 16 deslaves 
• 4 socavones
• 10 colonias con anegamientos
• 11 vialidades con anegamientos
• 10 deslizamientos
• 36 derrumbes
• 21 instalaciones educativas afectadas
• 1 caída de roca
• 27 localidades incomunicadas
• 1 puente afectado
• 27 localidades incomunicadas
• 6 vías de comunicación afectadas
• 17 caídas de árboles
• 6 postes caídos
• 1 persona fallecida (Ixtaczoquitlán)
• 4 personas lesionadas (Sochiapa)
• 1 refugio desactivado
• 1 refugio temporal activo: 36 personas refugiadas
• 10 servicios estratégicos 
• Fallecidos: 1
• Lesionados: 4
• Evacuados: 0
</t>
    </r>
  </si>
  <si>
    <t xml:space="preserve">San Juan Bautista Valle Nacional, San Juan Bautista Tuxtepec, Jocotepec, Ayotzintepec, San Miguel Yotao, San Juan Cotzocon, Ixtlán de Juárez, Santiago Camotlán, San Felipe Jalapa De Díaz, Santa María Jacatepec, </t>
  </si>
  <si>
    <t xml:space="preserve">Afectaciones
• Municipios afectados:10
• Personas fallecidas: 1 por arrastre de corriente en municipio de San Felipe Jalapa De Díaz
• Viviendas afectadas: 133 (1 San Juan Bautista Valle Nacional, 98 San Juan Bautista Tuxtepec, 34 Ixtlán de Juárez)
• Puente colapsado: 1 carretera de Ayotzintepec Rio Chiquito, kilómetro 22
• Puentes artesanales colapsados: 2
• Derrumbes en carreteras: 18
• Postes de luz caídos: 3
• Afectaciones en área de cultivo: 1
</t>
  </si>
  <si>
    <t>Derivado de las lluvias fuertes que se registraron en el municipio de Tlajomulco de Zúñiga, se reportó el desbordamiento de un canal, mismo que cruza las colonias Colinas del Roble, Fresno, Villas de la Hacienda, Chulavista y Lomas del Sur, municipio Tlajomulco de Zúñiga. Derivado de lo anterior, se reportó penetración de agua de 50 cm en patios de 10 viviendas (se tiene daños de menaje en 2 viviendas) y caída de algunas bardas de patios</t>
  </si>
  <si>
    <t xml:space="preserve">Moctezuma  </t>
  </si>
  <si>
    <t xml:space="preserve">🔺 Afectaciones:
•              2 viviendas con penetración de agua, ubicadas donde se registró bajada de agua. 
•              Encharcamientos viales (30 cm), bajadas y corrientes de agua. 
•              Vehículos varados. 
•              4 comunidades afectadas: San Francisco, San Felipe, La Luz y Revalin.
•              Árboles caídos. 
•              Sin evacuados, lesionados y/o fallecidos
</t>
  </si>
  <si>
    <t xml:space="preserve">15 viviendas afectadas por entrada de agua
• 9 colonias afectadas (Constitución, Providencia, Hijos Ilustres, Guayabos, Gándara, Santa Rosa, Constituyentes, San Felipe, La Giralda)
• 12 árboles caídos
• Múltiples anegaciones viales
• 8 vehículos varados y 5 motocicletas arrastradas.
</t>
  </si>
  <si>
    <t xml:space="preserve">Nogales </t>
  </si>
  <si>
    <t>Ecatepec de Morelos, Chalco, Nicilás Romero</t>
  </si>
  <si>
    <t>derivado de la tormenta severa que se presentó en los municipios  de Ecatepec de Morelos, Chalco, Nicilás Romero, resultaron dos viviendas afectadas por penetración de agua</t>
  </si>
  <si>
    <t xml:space="preserve">Se registraron lluvias fuertes, acompañadas de tormenta eléctrica y fuertes vientos en el municipio de Tuxpan, dejando las siguientes afectaciones: 
-12 árboles caídos sobre la autopista Colima - Guadalajara.
- 1 árbol caído sobre un vehículo, en el km 104+500, provocando 2 lesionados, trasladados por sus propios medios a un Hospital.
- 1 árbol caído sobre un vehículo, en el km 69, provocando 2 fallecidos.
- 2 árboles caídos sobre dos vehículos, en el km 90 al 104.
</t>
  </si>
  <si>
    <t>Zapopan, Tlajomulco de Zúñiga, Zapotlán el Grande, Guadalajara, San Pedro Tlaquepaque, Zapotlanejo y Tizapán el Alto</t>
  </si>
  <si>
    <t xml:space="preserve">🔺 Afectaciones:
-              7 municipios afectados
-              15 colonias afectadas (15 Zapopan) 
-              17 viviendas con penetración de agua (5 Zapopan y 10 en Zapotlán el Grande) 
-              1 persona rescatada (1 Zapopan) 
-              2 desbordamientos del “Arroyo Seco” (Zapopan y Tlajomulco de Zúñiga) 
-              12 vehículos afectados
-              19 vehículos varados 
-              44 encharcamientos viales / inundaciones 
-              1 acumulación de granizo en carretera
-              20 árboles caídos 
-              1 espectacular caído 
-              1 caída de estructura 
-              1 socavón 
-              Sin reporte de lesionados, fallecidos y/o evacuados
</t>
  </si>
  <si>
    <t>Tlalpan, Cuauhtémoc y Xochimilco</t>
  </si>
  <si>
    <t xml:space="preserve">🔺 Afectaciones:
- 1 persona lesionada
- 3 alcaldías afectadas
- 10 colonias afectadas
- 61 viviendas afectadas
- 6 encharcamientos/inundaciones 
- 3 desbordamientos / escurrimientos (1 Xochimilco y 2 Tlalpan) Ya en niveles normales 
- 2 escuelas afectadas
- 1 hospital afectado
- 1 señalamiento caído
- 1 vehículo afectado
- 1 árbol caído
</t>
  </si>
  <si>
    <t>Jalisco, Guadalajara, San Pedro Tlaquepaque, Zapopan, Tonalá, El Salto, Tlajomulco de Zúñiga y San Francisco Tesistán</t>
  </si>
  <si>
    <t xml:space="preserve">Durante el día de ayer 12 de julio, se registraron lluvias moderadas y fuertes, acompañadas de caída de granizo, actividad eléctrica y viento fuerte en los municipios de Guadalajara, San Pedro Tlaquepaque, Zapopan, Tonalá, El Salto, Tlajomulco de Zúñiga, Jalisco y San Francisco Tesistán con las siguientes afectaciones: Municipio de Guadalajara:
-Se registró lluvia fuerte, con caída de granizo, actividad eléctrica y viento fuerte, principalmente en la zona Oriente, Centro y Norte.
-Encharcamientos viales sobre Glorieta de Tránsito.
- 6 vehículos varados, en Av. Javier Mina con tirantes de 20 cm; en avenida Sierra Mojada afuera del Centro Médico de Occidente, con tirantes de 40; en Hacienda de Tala y Hacienda Ciénega de Mata con tirantes de 40 cm.
-Penetración de agua viviendas (sin cuantificar) en calle Manuel María Ponce y calle San Andrés con un nivel de 40 cm.
- Inundación con tirantes de 60 cm, en av. Gobernador Curiel, a la altura de Artes Plásticas y avenida esculturas.
-Suspensión del sistema del Macrobús, en pasos a desnivel de Av. Washington en sus cruces con 8 de Julio, Héroes Ferrocarrileros, calle Roble y Av. Federalismo.
-Retiro de acumulación de basura de las rejillas pluviales, colonia San Carlos, sobre la calle Azucena en los límites de la colonia Analco. 
-4 árboles caídos
Municipio San Pedro Tlaquepaque:
-Se registró lluvia intensa, viento fuerte y caída de granizo
-Encharcamientos viales momentáneos, en Av. Niños Héroes y Santos Degollado en Zona Centro con tirante de 30 cm; calle Pedro Celestino Negrete entre Revolución y Boulevard Marcelino García Barragán, con tirante de 40 a 45 cm.
- 8 vehículos varados.
-3 árboles caídos sobre vialidad en Calle Progreso y Las Torres en la Col. La Capacha.
-Cierre parcial en vialidades
Municipio Tlajomulco de Zúñiga:
-Se registra lluvia fuerte y caída de granizo en algunos puntos.
- 1 árbol caído sobre una barda, en fraccionamiento Bosque de Santa Anita.
Municipio de Zapopan:
- Se registró lluvia fuerte en las colonias de Puerta del Llano, Zona Industrial y Jardines de Nuevo México.
-Encharcamientos e inundaciones.
- 10 viviendas afectadas por penetración de agua con 1 metro de altura, en Jardines de Nuevo México.
Municipio San Francisco Tesistán
- Desbordamiento del canal Río Blanco, sin penetración de agua en viviendas (el nivel del río ya disminuyo).
- 6 vehículos con penetración de agua.
Al momento no se tiene reporte de lesionados y/o fallecidos. Se mantiene comunicación con Protección Civil ante cualquier eventualidad.
</t>
  </si>
  <si>
    <t>Pajacuarán</t>
  </si>
  <si>
    <t>Se presentaron lluvias intensas en el municipio de Pajacuarán, provocando afectaciones por penetración de agua en 2 viviendas, (1 sin habitar) ubicadas en la calle de Álvaro Obregón #222 y #224. Cuerpos de emergencia atendieron el tema realizando la evacuación preventiva de 5 personas sin reporte de la habilitación de albergue para las mismas</t>
  </si>
  <si>
    <t>Atlahuilco, Los Reyes, Soledad Atzompa, Tequila, Texhuacán y Zongolica</t>
  </si>
  <si>
    <t xml:space="preserve">Movimiento de ladera del 20 al 23 de junio de 2022. Se emitió declaratoria de desastre </t>
  </si>
  <si>
    <t>Cuichapa, Coscomatepec, Amatlán de los Reyes, Omealca, Córdoba, Yecuatla, Martinez de la Torre, Zentla, Huatusco y Hueyapan de Ocampo</t>
  </si>
  <si>
    <t xml:space="preserve">🔺 Afectaciones:
-              1 persona fallecida (por caída de rayo en Martínez de la Torre - fallecido en hospital) 
-              10 municipios afectados
-              46 viviendas afectadas
-              184 población afectada 
-              5 colonias afectadas
-              4 localidades afectadas 
-              1 escuela afectada 
-              3 registro con caída de granizo
-              1 deslizamiento 
-              70 árboles caídos
-              1 caída de rayo
-              3 servicios estratégicos afectados (energía eléctrica) 
</t>
  </si>
  <si>
    <t>Juan Rodríguez Clara</t>
  </si>
  <si>
    <t xml:space="preserve">Se registraron lluvias fuertes en la Comunidad del Blanco, en el municipio de Juan Rodríguez Clara. Derivado de esto se registraron las siguientes afectaciones:
🔺Afectaciones:
-13 viviendas destechadas parcialmente 
- 1 corte de energía eléctrica (restablecida)
- 5 árboles caídos
</t>
  </si>
  <si>
    <t>Puerto Vallarta, Zapopan, Guadalajara y Tizapán el Alto</t>
  </si>
  <si>
    <t xml:space="preserve">🔺Afectaciones:
-              4 municipios afectados. 
-              8 viviendas afectadas.
-              30 vehículos varados y/o arrastrado
-              1 vehículo dañado por caída a socavón
-              1 socavón 
-              2 caídas de cableado. 
-              14 puntos con encharcamientos y/o corrientes agua 
-              1 desbordamiento de riachuelo (Puerto Vallarta)
-              1 incremento de río (Tizapán el Alto)
-              15 colonias afectadas 
-              4 árboles caídos
</t>
  </si>
  <si>
    <t xml:space="preserve">Irapuato </t>
  </si>
  <si>
    <t xml:space="preserve">Se registraron lluvias moderadas, en el municipio de Irapuato dejando las siguientes afectaciones:
🔺Afectaciones:
4 viviendas por penetración de agua
5 negocios por penetración de agua
3 vialidades con encharcamientos
Municipio Irapuato
- 1 vivienda con un tirante de 30 a 40 cm, en calle Celaya No. 21, colonia Los Pozos, con daños a 1 sala, 2 camas y 1 el motor de un refrigerador.
- 1 vivienda con un tirante de 10 cm, en calle Celaya No.271, con daños a 2 bases de cama, refrigerador, mueble de televisión, estufa de la parte inferior y juguetes.
- 1 vivienda con un tirante de 30 a 40 cm, en calle Saucillo, con daños a muebles de madera.
- 1 vivienda con un tirante de 7 cm, en Manuel Doblado, No. 67,con daños a libros
- 1 negocio con un tirante de 5 cm de altura.
- 1 negocio de mariscos, razón social “Mariscos Chico” con un tirante de 15 cm, con daños a un refrigerador.
- 1 mueblería
- 1 local de películas con un tirante de 2 cm
- 1 taquería con razón social “Juanito” con un tirante de 4 cm
- 1 encharcamiento en calzada Insurgentes y av. Guanajuato
- 1 encharcamiento en 16 de septiembre y Manuel Doblado
- 1 encharcamiento en Mariano J. García.
Nota: Al momento, no hay reporte de lesionados y/o fallecidos.
</t>
  </si>
  <si>
    <t xml:space="preserve">Tequila </t>
  </si>
  <si>
    <r>
      <rPr>
        <b/>
        <sz val="9"/>
        <color theme="1"/>
        <rFont val="Aptos Narrow"/>
        <family val="2"/>
        <scheme val="minor"/>
      </rPr>
      <t xml:space="preserve"> Movimiento de ladera del 26 al 28 de julio de 2022. Se emitió declataoria de desastre. </t>
    </r>
    <r>
      <rPr>
        <sz val="9"/>
        <color theme="1"/>
        <rFont val="Aptos Narrow"/>
        <family val="2"/>
        <scheme val="minor"/>
      </rPr>
      <t xml:space="preserve">Derivado de las lluvias registradas durante la noche del 26 de julio y madrugada de hoy en el municipio de Tequila se reportan las siguientes afectaciones:
• 21 viviendas afectadas (20 por agrietamiento de ladera y 1 por deslave) en proceso de atención.
• 1 masculino fallecido por deslave de ladera
• 2 lesionados atendidos en el lugar
• Servicio eléctrico afectado.
• Derrumbes en caminos sobre varios puntos del municipio, en proceso de cuantificación y atención. 
• 1 árbol caído
</t>
    </r>
  </si>
  <si>
    <t xml:space="preserve">9 viviendas afectadas.
• 30 personas evacuadas.
• 15 colonias afectadas por anegaciones: Carlos Salazar, Prados Verdes, Primo Tapia Poniente, Nueva Valladolid, Realito, Torreón Nuevo, El libramiento norte, salida a Guadalajara por la central camionera, Camelinas, Obrera, Isaac Arraiga a la altura de la poza rica, Boulevard García de León, Tres Puentes, la Voz, y Mariano Escobedo.
• 32 vehículos varados.
• Varias personas rescatadas de sus vehículos
• 1 barda perimetral colapsada de la Primaria Ignacio Zaragoza, sobre el cofre de 1 camioneta (desocupada).
• 1 zanja de 3 m de largo x 1 m de ancho. 
• Encharcamientos con tirantes máximos de 80 cm principalmente en zonas bajas.
• Cortos circuitos al interior del Merado Independencia.
• El Río Grande y el Río Chiquito alcanzaron niveles de 90% y 80% en su NAMO, respectivamente; continúan disminuyendo. 
• Sin reporte de lesionados y/o fallecidos. 
</t>
  </si>
  <si>
    <t xml:space="preserve">se registraron lluvias en el estado de Sinaloa, registrando afectaciones en el municipio de Guasave, al momento no se reportan lesionados y/o evacuados, personal de emergencia continúan labores de atención a las afectaciones:
🔺 Afectaciones
- 247 viviendas con penetración de agua.
- Filtración de agua al interior del Hospital General de Guasave.
- 17 vehículos varados
</t>
  </si>
  <si>
    <t>Hermosillo, Nogales, Nacozari de García y Cumpas</t>
  </si>
  <si>
    <t xml:space="preserve">🔺 Afectaciones:
-              Municipios afectados: 4
-              Encharcamientos e inundaciones viales: 7
-              Viviendas afectadas por penetración de agua: 25
-              Desprendimiento de cerro: 1
-              Espectacular caído: 1
-              Bardas caídas: 1
-              Vehículos afectados: 1
-              Vehículos varados
-              Crecida de arroyos: 4
-              Al momento, no se reportan lesionados y/o fallecidos.
</t>
  </si>
  <si>
    <t>Palenque, Tumbalá, Ocosingo, Villaflores, Rosario Ixtal y Tuxtla Chico</t>
  </si>
  <si>
    <t xml:space="preserve">Afectaciones:
- Lesionados: 3 (por caída de árbol y techumbre en Tumbalá)
- Encharcamientos viales
- Árboles caídos
- Viviendas afectadas: Sin cuantificar (Palenque) 
- 2 viviendas con desprendimiento de techumbre: Ocosingo
</t>
  </si>
  <si>
    <t xml:space="preserve">Chínipas  </t>
  </si>
  <si>
    <t xml:space="preserve">Afectaciones:
- 10 Viviendas afectadas por entrada de agua (hasta 40 cm de tirante) 
- 2 vehículos arrastrados
- aumento en el caudal de un arroyo (sin desbordamiento)
- deslizamientos de tierra en la carretera  Palamerejo  a Chínipas  (ya en atención)
</t>
  </si>
  <si>
    <t>Se presentaron lluvias de moderadas a fuertes, en el municipio de Tecpan de Galena, situación que ocasionó el incremento de un arroyo que atraviesa por la colonia Loma Bonita, provocando la penetración de agua en 15 viviendas.</t>
  </si>
  <si>
    <t>Acapulco de Juárez, San Marcos, Coyuca de Benítez, Cutzamala de Pinzón</t>
  </si>
  <si>
    <t>Derivado de las fuertes lluvias registradas la noche de ayer y madrugada de hoy en los municipios de Acapulco, Coyuca de Benítez, San Marcos y Cutzamala, se reportan preliminarmente las siguientes afectaciones: 60 viviendas con penetración de agua, 3 viviendas dañadas por deslave y 10 viviendas con daños en sus techos.</t>
  </si>
  <si>
    <t xml:space="preserve">Agua Prieta  </t>
  </si>
  <si>
    <t xml:space="preserve">Afectaciones:
•               5 personas arrastradas por la corriente del río, rescatados con vida.
•               4 vehículos arrastrados por la corriente del río (3 vehículos y 1 cuatrimoto).
•               250 vehículos atrapados sin poder salir del parque
</t>
  </si>
  <si>
    <t xml:space="preserve">🔺 Afectaciones:
- Municipio afectado: 1
- Viviendas afectadas: 1
-Escurrimientos de arroyos: 2
-Evacuados: 2
- Rescate de persona: 1
- Arrastre de vehículo: 1
Municipio de La Paz:
-Lluvias fuertes a las 14:00 horas, que concluyen a las 15:30 horas
- Escurrimientos de los arroyos El Vaquero y La Fuente, provocando penetración de agua en 1 vivienda. Derivado de esto se evacuan a 2 personas.
- Arrastre de un vehículo, donde iba 1 tripulante, en la Comunidad San Pedro, mismo que fue rescato con vida.
Acciones:
-Desazolve en la vivienda afectada
-Evacuación de 2 personas
- Rescate de 1 persona 
Al momento, el nivel del río de los arroyos ya se encuentra en su normalidad.
</t>
  </si>
  <si>
    <t xml:space="preserve">Municipio Villa Madero:
• 20 a 25 viviendas con penetración de agua (sin necesidad de realizar evacuación de personas)
• 5 comercios 
🔸Acciones:
- Recorrido en las viviendas por posible daños
- Entrega de cobijas a los afectados
- Labores de limpieza y desazolve
</t>
  </si>
  <si>
    <t>Ahualulco de Mercado</t>
  </si>
  <si>
    <t xml:space="preserve">🔺 Afectaciones:
-              Viviendas afectadas: 50 (tirantes de 0.50 - 1.50 m).
-              Personas afectadas: 250.
-              Desbordamiento: 1 arroyo “El Cocolisco”, a la altura de la colonia El Espinal.
-              Vehículos afectados: 6.
-              Ganado afectado: por determinar (caprino).
-              Cultivo afectado: por determinar (caña, maguey y maíz).
-              Inundaciones vales: 5
-              Sin lesionados y/o fallecidos.
</t>
  </si>
  <si>
    <t xml:space="preserve">CONAGUA: Nogales 17 mm, con un umbral de 64 mm (08:00 h - 18:00 h 13/08/2022).
A partir de las 14:26 a las 15:53 horas, se registraron lluvias fuertes con una precipitación de 68.6 mm, y rachas de viento de hasta 77 km/h, en el municipio de Nogales, reportando las siguientes afectaciones:
🔺 AFECTACIONES MUNICIPIO DE NOGALES
- 3 personas fallecidas, (2 menores que viajaba en un taxi y 1 adulto – femenina, que viajaba en 1 vehículo particular; arrastrados por la corriente del arroyo)
- 19 personas rescatadas con vida
- 1 desbordamiento del arroyo Av. Tecnológico 
- 19 vehículos arrastrados por corriente de agua 
- 10 vehículos atrapados en encharcamientos viales 
- 7 viviendas afectadas por penetración de agua
- 3 derrumbes de infraestructura en viviendas
- Caída de 1 barda, 1 árbol y 1 poste
- Diversas colonias afectadas 
</t>
  </si>
  <si>
    <t>Purísima del Rincón, Guanajuato, Yuriria</t>
  </si>
  <si>
    <t xml:space="preserve">Municipio de Purísima del Rincón
• 2 viviendas con penetración de agua en área de patios con tirante máximo de 40 cm. (colonia El Toro)
Municipio de Guanajuato
• 2 viviendas con penetración de agua con tirante máximo de 50 cm. (colonia Huertas)
• 1 Caída de barda perimetral (colonia Huertas)
Municipio de Yuriria
• Desbordamiento del arroyo de la comunidad Puquichapio
• 6 viviendas con penetración de agua con tirante máximo de 1 m.
• Encharcamientos en la vía pública con tirante máximo de 1 m en zonas bajas
• 5 personas evacuadas con familiares
</t>
  </si>
  <si>
    <t xml:space="preserve">Afectaciones
-              6 viviendas afectadas por deslizamientos de tierra (4 en Fraccionamiento California y 2 en Residencial Monarcas).
-              15 familias evacuadas (65 personas aproximadamente) por fuga de gas. El deslizamiento de tierra en el Fraccionamiento California, provocó que una barda cayera sobre un tanque estacionario, lo que provocó el incidente. 
-              1 vivienda en riesgo por deslizamiento de tierra.
-              Crecimiento de arroyos.  
-              Bardas colapsadas. 
-              Encharcamientos viales. 
-              Bajadas de agua. 
-              Vehículos varados. 
</t>
  </si>
  <si>
    <t xml:space="preserve">Afectaciones:
-              22:20 horas. Se reportó el arrastre de 1 camioneta con 1 masculino en su interior, por una bajada de agua derivada de la crecida de un arroyo, sobre Av. Principal Pinos rumbo a Picacho. 02:00 horas. Se localizó la camioneta a 500 m cuesta abajo, sin localizar al masculino. 08:00 horas. Fue localizado el cuerpo a 3 km de donde se localizó la camioneta. 
-              Deslizamiento de rocas sobre la carretera federal 49. Se realizaron labores para el retiro de las rocas (la más grande de 2-3 m de diámetro). Ya hay paso a vehículos.
-              Caída de 1 cable de alta tensión sobre la carretera, el cual fue retirado.
</t>
  </si>
  <si>
    <t>Jaral del Progreso, Comonfort y Celaya</t>
  </si>
  <si>
    <t xml:space="preserve">Municipio de Jaral del Progreso
- 50 viviendas afectadas por penetración de agua (30 cm de tirante) 
- 20 personas evacuadas.
- Escurrimiento del río Laborío. 
Municipio de Celaya
- 15 puntos con encharcamientos 
- 12 colonias afectadas: Los Álamos, San Juanico, El Cantar, Los Olivos 3er Sección, Zona Centro, Benito Juárez, Villas del Romeral, Obrero Mundial, Quinta Arboleda, Campus II de Tecnológico, Jardines de Celaya y  3ra Sección de los Naranjos.
- 2 viviendas afectadas por penetración de agua.
Municipio de Comonfort
- Encharcamientos en varios puntos del municipio.
- Escurrimiento de arroyo sobre campos de cultivo, comunidad Neutla. 
</t>
  </si>
  <si>
    <t>Querétaro, Colón y Cadereyta</t>
  </si>
  <si>
    <t xml:space="preserve">🔺 Afectaciones: 
- 7 viviendas con penetración de agua
- 3 vehículos afectados
- 1 barda colapsada
- 4 colonias afectadas (Loma Bonita, Monte Vesubio, Eduardo Loarca y Jurica) 
- Cierres viales en zonas anegadas
- Encharcamientos viales y en zonas bajas
- Arrastre de material pétreo sobre calles 
- Fallas en suministro eléctrico 
- Sin lesionados y/o fallecidos.
• Municipio de Cadereyta:
- En una obra de drenaje, en la Comunidad de Vizarrón, el agua boto una de las coladeras, provocando penetración de agua en varias viviendas (sin cuantificar).
- Encharcamientos en zonas bajas, provocando penetración de agua en las viviendas (sin cuantificar).
</t>
  </si>
  <si>
    <t>Tequisquiapan y Ezequiel Montes</t>
  </si>
  <si>
    <t xml:space="preserve">Derivado de las lluvias de ligeras a moderadas con tormenta eléctrica de las 20:30 a las 22:00 horas del 16 de agosto, en el municipio de  Tequisquiapan se reportó lo siguiente:
🔺 Afectaciones:
•              1 femenina (32 años) fallecida por la caída de rayo al resguardarse de la lluvia bajo un árbol.
•              Inundación en vialidades con tirantes máximos de 30 cm.
•              Viviendas con penetración de agua (sin cuantificar) a nivel de patio, por el paso de vehículos en calles encharcadas. 
•              Vehículos varados (sin cuantificar).
•              1 caída de barda perimetral del Fraccionamiento Residencial Hacienda (daños materiales).                                                                 Municipio de Ezequiel Montes
•              2 viviendas afectadas por derrumbe de 1 barda por la presión del agua. 
•              2 familias evacuadas de la colonia San José de Bernal
</t>
  </si>
  <si>
    <t>Atolinga</t>
  </si>
  <si>
    <t xml:space="preserve">Durante la noche del 15 de agosto, se registraron fuertes lluvias en el municipio de Atolinga, reportando lo siguiente:
🔺 Afectaciones:
•              Crecida del arroyo Pajaritos.
•              15 viviendas con penetración de agua, localizadas en la ladera del arroyo (con pérdida total y/o parcial de sus enseres). 
•              2 talleres con penetración de agua. 
•              1 vehículo arrastrado por la corriente del arroyo.  
•              Encharcamientos viales. 
</t>
  </si>
  <si>
    <t>Villa Hidalgo, Agua Prieta, Sonoyta, Sahuaripa, Mazatán, Guaymas, Banámichi, Empalme, Nogales, Cumpas, Cajeme, Huásabas, Hermosillo, Santa Ana y Nacozari</t>
  </si>
  <si>
    <t xml:space="preserve">🔺 Afectaciones:
-              15 municipios afectados.
-              1 fallecido (Hermosillo - caída de rayo).
-              1 lesionado (Hermosillo - caída de rayo).
-              4 rescatados de su auto (1 Banámichi y 3 Hermosillo).
-              2 derrumbes carreteros.
-              Viviendas afectadas.
-              Encharcamientos e inundaciones viales.
-              Caída de postes.
-              1 comunidad incomunicada. 
-              1 socavón en carretera. 
-              1 presa desfogando. 
-              1 barda caída. 
-              12 cuerpos de agua crecidos. 
-              Sin lesionados y/o fallecidos
</t>
  </si>
  <si>
    <t>Othón P. Blanco y Bacalar</t>
  </si>
  <si>
    <t xml:space="preserve">Municipio de Othón P. Blanco
-              44 calles y avenidas por encharcamiento y/o inundación.
-              120 vehículos varados.
-              20 viviendas afectadas por penetración de agua. 
-              Penetración de agua en galeras, zona de cañeros (sin cuantificar).
-              11 colonias afectadas: Fraccionamiento Pacto Obrero, Santa María,  Flamingos 1, David Gustavo Gutiérrez Ruiz, Solidaridad, Proterritorio,  Américas 1, Américas 2, Américas 3, Fidel Velázquez y Carlos A. Madrazo.
-              3 refugios temporales habilitados: Secundaria General N°13 Armando Escobar Nava, CBTIS 253 Chetumal y Escuela Primaria Mariano Azuela.
-              1 árbol caído.
-              Vuelos cancelados por tormenta en el Aeropuerto de Chetumal.
-              El canal de la Av. Constituyentes con Erick Paolo, se registra un tirante de aproximadamente 70 centímetros y desalojando el agua, conforme las precipitaciones lo permiten. 
-              La operación de los servicios de agua potable en Chetumal, Bacalar y Mahahual se mantienen estables, sin embargo, se han registrado bajos voltajes ligeros en la ciudad que mantienen vigilancia permanente para atender cualquier incidencia operativa.
Municipio de Bacalar
-              10 viviendas afectadas con penetración de agua. 
-              Inundaciones viales.
-              1 colonia afectada: Miguel Hidalgo. 
-              En el puente del km 21 antes de Reforma y en el puente que se encuentra a 2 km después de Reforma, el nivel subió.
-              2 refugios temporales activos con 5 familias en uno de ellos. Se regresa a la normalidad, al bajar el agua en las zonas de inundación.
</t>
  </si>
  <si>
    <t xml:space="preserve">• 3 viviendas con entrada de agua
• 18 personas evacuadas (trasladados con familiares) 
• 1 arroyo crecido
• 16 colonias con anegaciones
• 6 vehículos varados
• 5 puntos con anegaciones
Y movilización de cuerpos de emergencia 
</t>
  </si>
  <si>
    <t>Las Margaritas y Villa de Corzo</t>
  </si>
  <si>
    <t xml:space="preserve">💧 CONAGUA: 49.6 mm en el municipio de La Concordia, con un umbral de 117 mm (08:00 h 18/08/2022 a 08:00 h 19/08/2022). 
Derivado de la Onda Tropical No. 23, durante las últimas 24 horas, se han registrado lluvias de ligeras a fuertes en varios municipios del estado, reportando:  
Municipio de Las Margaritas
•              16 viviendas afectadas por encharcamientos (tirante de 10 a 25 cm): barrio de Sta. Cecilia 2, San Sebastián 8, La Pila 2, Guadalupe 1 y Sacsalum 3.
•              5 colonias afectadas. 
Municipio de Villa de Corzo
•              8 viviendas con afectación (1 m de tirante) en la colonia San Pedro Buenavista, en el Barrio “La Semillera”, con pérdidas en colchones, muebles, techos y aparatos eléctricos.
•              1 colonia afectada. 
</t>
  </si>
  <si>
    <t xml:space="preserve">A las 21:06 horas, se reportó que derivado de las fuertes lluvias durante la tarde en el municipio de Tuxpan, se registró lo siguiente:
🔺 Afectaciones:
•              4 viviendas afectadas.
•              1 derrumbe de lodo y piedras, en el tramo carretero federal Tuxpan - Zitácuaro, a la altura del lugar conocido como Malacate. Disminuyó el flujo vehicular parcialmente, al momento ya atendido. 
</t>
  </si>
  <si>
    <t>Se presentaron lluvias moderadas y vientos en el municipio de Acámbaro, reportando la caída de 1 árbol (20 m de altura) sobre 1 vivienda, resultando 1 persona (femenina de 77 años) fallecida y 4 personas lesionadas (3 meses, 1, 6 y 52 años respectivamente). Se tuvo afectación en la techumbre de lámina y bardas de tabique de la casa</t>
  </si>
  <si>
    <t xml:space="preserve">Derivado de la presencia de una tormenta eléctrica, se reportó descarga eléctrica y la caída de 1 rayo sobre espectadores en un campo de futbol ubicado en la colonia El Gavilán, municipio de Ocozocoautla.
Derivado del suceso, resultó 1 persona fallecida y 5 lesionados, trasladados a diferentes nosocomios para su atención  médica. 
</t>
  </si>
  <si>
    <t xml:space="preserve">A partir de las 13:49 horas del 20 de agosto, se presentaron lluvias moderadas en el municipio de Culiacán, reportando afectaciones por encharcamientos viales, y la creciente de 1 arroyo. Sin reporte de lesionados y/o evacuados.
Afectaciones Municipio de Culiacán
16 Encharcamiento viales
1 Creciente de arroyo
• 1 menor desaparecido por arrastre de un arroyo en el fraccionamiento Colinas del Bosque.
• 1 Blvd Miguel Tamayo y Alfonso G Calderón
• 4 Calzada Aeropuerto en Fray Marco de Niza, Blvd Las Torres, Blvd Jesús Kumate y Azahares.
• *1*Blvd Benjamín Hill y Aztlan
• 2 Blvd Las Torres en Blvd Ejército de Occidente y la entrada a la Feria Ganadera
• 2 Blvd Pedro Infante  en Av Juan M Zambada y Blvd Jorge Julián Chávez Castro
• 1 Blvd José Limón y Blvd Enrique Félix Castro
• 2 Av Álvaro Obregón en Blvd Francisco I Madero y Ciudades Hermanas
• 1 Av Lázaro Cárdenas e Insurgentes y 16 de Septiembre
• 2 Calzada Heroico Colegio Militar en Blvd Francisco I Madero y Tercera
• 1 Creciente de arroyo en Calle Hilario Medina entre Enrique Colunga y Guillermo Laveaga, Col. Díaz Ordaz
22/082022 20:50 horas, señalan que en relación al menor que se reportó como desaparecido, por el arrastre de un arroyo en el fraccionamiento de Colinas del Bosque, el día de hoy a las 10:30 horas fue encontrado el cuerpo sin vida, en el dren 10, a 2 kilómetros de la comunidad denominada del 10. Por lo cual, finalizaron los trabajos de búsqueda y rescate.
</t>
  </si>
  <si>
    <t>Sinaloa y Culiacán</t>
  </si>
  <si>
    <t xml:space="preserve">Durante el día 23 de agosto, se presentaron lluvias de diversas intensidades en varios municipios del estado, reportando lo siguiente:
Municipio de Sinaloa
•              Penetración de agua en viviendas (sin cuantificar) en las localidades de: Tepantita, Morelos, El Norteño, Casas Nuevas, La Mojonera y las playas por el Arroyo El Palojoso.
•              Arroyo crecido en su máxima capacidad en carretera el Caimán - Genaro Estrada, poblado El Caimán, no hay paso vehicular. Se monitorea. 
•              Desbordamiento de arroyo en Carretera a Cabrera de Inzunza, poblado Cabrera de Inzunza, no hay paso vehicular. Se monitorea.
•              Desbordamiento de arroyo en Carretera del Añil a Bacubirito, poblado Las Playas, ya bajando los niveles. 
No se puede realizar el EDAN, ya que se encuentran incomunicados, hoy por la mañana saldrá personal de PC del Estado para realizar recorridos junto con PC Municipal.
Municipio de Culiacán
•              13 viviendas afectadas por penetración de agua en la localidad de Obispo.
•              30 viviendas afectadas por penetración de agua en la localidad de Jacola.
•              1 Esc. Prim. “Ignacio Zaragoza” con inundaciones de aprox 1 m. 
</t>
  </si>
  <si>
    <t xml:space="preserve">CONAGUA: 70 mm en el municipio de Zapopan, con un umbral de 76 mm (08:00 h a 21:00 h - 24/08/2022).
Evento: A las 04:00 horas, del día 24 de agosto, se reportaron lluvias en el municipio de Zapopan, reportando:
🔺 Afectaciones:
• Viviendas afectadas: 6 (2 requieren reposición de menaje).
• Locales comerciales con anegamientos: 2
• Daños de vehículos en predio: 19 (unidades de carga y de transporte de personal)
• Vehículos varados: 10 (avenidas principales)
• Fraccionamiento afectados: 2 (Campestre y Pinar de la Venta)
• Cierre de circulación
• Encharcamientos viales (1m de altura)
</t>
  </si>
  <si>
    <t xml:space="preserve">Moctezuma, Villa Hidalgo, Agua Prieta, Sonoyta, Sahuaripa, Mazatán, Guaymas, Banámichi, Empalme, Nogales, Cumpas, Cajeme, Huásabas, Hermosillo, Santa Ana y Nacozari </t>
  </si>
  <si>
    <t xml:space="preserve">Afectaciones:
- 16 municipios afectados.
- 2 fallecidos y 2 lesionados
1 fallecido (Hermosillo - caída de rayo).
1 fallecido por arrastre de vehículo (Guaymas)
1 lesionado (Hermosillo - caída de rayo).
1 lesionado por arrastre de vehículo (Guaymas)
- 140 labores de rescate (Municipios de Empalme y Guaymas)
- 1 desaparecido por arrastre por el río (Empalme)
- 8 refugios temporales habilitados en el municipio de Empalme.
- 526 personas refugiadas. (456 municipio de Empalme y 70 municipio de Guaymas)
- 3 derrumbes carreteros.
- 1,500 viviendas afectadas.
- 6,500 personas afectadas.
- Encharcamientos e inundaciones viales.
- Caída de postes.
- Comunidades incomunicadas
- 1 socavón en carretera. 
- 1 presa desfogando. 
- 1 barda caída. 
- 14 cuerpos de agua crecidos. 
- 1 Desbordamiento del Bordo Regulador Ortiz (Municipio de Guaymas)
- 2 daños estructurales en carreteras.
- 6 cierres carreteros.
</t>
  </si>
  <si>
    <t>Delicias, Cuauhtémoc, Hidalgo del Parral y Guerrero</t>
  </si>
  <si>
    <t xml:space="preserve">🔺 Afectaciones:
- Municipios afectados: 4
- Personas evacuadas: sin cuantificar y en proceso 
- Albergues habilitados: 3
- Personas refugiadas: 47
- Encharcamientos e inundaciones viales
- Viviendas afectadas: 4
- Vehículos afectados: 21
- Desbordamiento de arroyos
</t>
  </si>
  <si>
    <t>Nogales, Camerino Z. Mendoza, Huiloapan de Cuauhtémoc, Mariano Escobedo y Orizaba</t>
  </si>
  <si>
    <t xml:space="preserve">🔺 Afectaciones:
- Municipios afectados: 5
- Viviendas afectadas: 88
- Colonias/comunidades/localidades afectadas: 10
- Árboles caídos: 1
- Vía de comunicación afectada: 1
- Deslaves: 4
- Afectación en servicios estratégicos: 1 
- Crecimiento de cuerpos de agua: 1
</t>
  </si>
  <si>
    <t>Culiacán, Mazatlán, Guasave y San Ignacio</t>
  </si>
  <si>
    <t xml:space="preserve">🔺 Afectaciones:
- 3 Municipios afectados
- 33 Viviendas afectadas
- 1 Persona  rescatada
- 1 Refugio temporal activado
- Vehículos varados/ arrastrados por la corriente
-Encharcamientos viales
- Cierre de calles y avenidas
- Crecimiento en los niveles de agua
</t>
  </si>
  <si>
    <t>Ocozocoautla de Espinosa y Acala</t>
  </si>
  <si>
    <t xml:space="preserve">AFECTACIONES
2 municipios afectados
2 colonias afectadas
8 viviendas afectadas por entrada de agua
1 arroyo desbordado (ya en su nivel) 
1 deslizamiento de tierra
</t>
  </si>
  <si>
    <t>Tepeji del Río de Ocampo</t>
  </si>
  <si>
    <t xml:space="preserve">Afectaciones:
•              Encharcamientos e inundaciones viales, ya descendieron. 
•              30 viviendas afectadas por penetración de agua (15 a 70 cm).
•              6 colonias afectadas: El Cerrito, El Edén, El Paraíso, Cumbres del Real, Tinajas y Nextengo.
</t>
  </si>
  <si>
    <t xml:space="preserve">Afectaciones:
•              1 vivienda con penetración de agua y lodo en calle Huicamina s/n. 
•              1 local comercial denominado "La Guadalupana" con penetración de agua y lodo, en calle Nezahualcóyotl s/n.
•              1 socavón formado por corriente de agua, de aproximadamente 3x4x1 m de profundidad, en calle Xolot s/n.
•              Afectación de aprox. 100 metros de adoquín en la calle Tizoc entre la calle Papatzin y Nezahualcóyotl.
•              1 vado de piedras y lodo que comunica con la comunidad de Miguel Hidalgo. 
</t>
  </si>
  <si>
    <t xml:space="preserve">Afectaciones:
•              Encharcamientos viales. 
•              19:39 horas. 1 fallecido (menor de edad) y 1 lesionado (mamá del menor) por caída de 1 árbol sobre 1 puesto de periódicos, en calle 5 de Mayo y 2 Oriente, colonia Centro Histórico.
•              10 árboles caídos en distintos puntos de la Ciudad. 
•              1 vehículo afectado por caída de árbol. 
•              1 barda afectada por caída de árbol.
•              3 inmuebles afectados: Museo del Automóvil con ruptura de ventanas, Palacio Municipal y tienda departamental por desprendimiento y daños en plafones. 
</t>
  </si>
  <si>
    <t>Escuintla, Acapetahua, Villa Comaltitlán, Tuxtla Gutierrez y Huixtla</t>
  </si>
  <si>
    <t xml:space="preserve">🔺 Afectaciones:
-              Municipios afectados: 5
-              Viviendas afectadas: 63
-              Colonias afectadas: 8
-              Refugios temporales activos: 1
-              Personas refugiadas: 10
-              Desbordamientos: 2
-              Escurrimientos: 2 
-              Árboles caídos: 2
-              Vehículos varados
</t>
  </si>
  <si>
    <t>Jojutla, Tlaltizapán de Zaragoza, Tlaquitenango y Zacatepec</t>
  </si>
  <si>
    <t xml:space="preserve">Afectaciones:
- 4 municipios
- 425 viviendas afectadas por penetración de agua
•              225 Jojutla
•              200 Zacatepec
- 655 personas afectadas en Jojutla
- 15 colonias afectadas
- Desborde de canales de riego
- 1 albergue habilitado en el Auditorio Municipal de Jojutla 
- 2 árboles caídos
</t>
  </si>
  <si>
    <t xml:space="preserve">Los Mochis (cabecera municipal)
• Anegaciones viales por acumulación de basura
Valle del Carrizo  (poblado)
• 1 lesionado durante anegación (por caída) 
• 29 personas evacuadas en la zona de poblado 5  y El Bajío
• 1 Refugio temporal activado “Nuevo Sinaloa”
•        30 personas en refugio temporal 
• 1 vivienda afectada (por caída de árbol) 
• 1 árbol caído
• Anegaciones viales
30/08/2022
Cuerpos de emergencia realizaron labores de limpieza de las zonas afectadas
</t>
  </si>
  <si>
    <t xml:space="preserve">Derivado de las lluvias registradas durante la madrugada del día 29 de agosto, se reportó el desbordamiento de un dren, cercano a la localidad la trinidad, ubicado en el municipio de Guasave, reportando:
AFECTACIONES: 
- 1 municipio afectado
- 100 viviendas afectadas por penetración de agua
• 70 con tirantes de 0.50 a 1.0 metros 
• 30 a nivel de patio
30/08/2022
Cuerpos de emergencia realizaron labores de limpieza de las zonas afectadas y entrega de despensas a la población afectada.
Sin reporte de personas lesionadas y/o fallecidas.
</t>
  </si>
  <si>
    <t xml:space="preserve">Acuña y piedras negras </t>
  </si>
  <si>
    <t xml:space="preserve">Afectaciones:
• 2 municipios afectados
• 2 viviendas afectadas Colonia Granjas del valle y Primera de mayo, Acuña
• 1 persona fallecida por arrastre en un cauce. _ Acuña_
• Encharcamientos e inundaciones viales.
• Vehículos varados.
• Calles y puentes a desnivel cerrados. 
• Penetración de agua en la Clínica 81 del IMSS en Ciudad Acuña, sin evacuados.
🔸 Acciones:
o Se mantiene en recorridos de verificación.
o Cierre de vialidades.
o Activación de refugio temporal en Centro Comunitario de Acuña. Sin personas alojadas.
</t>
  </si>
  <si>
    <t>Comala, Coquimatlán y Villa de Álvarez</t>
  </si>
  <si>
    <t xml:space="preserve">💧 CONAGUA: Comala 80.5 mm, con un umbral de 118 mm (08:00 h - 22:00 h 31/08/2022).
Evento: Durante la tarde, derivado de las fuertes lluvias en los municipios de Comala, Coquimatlán y Villa de Álvarez, se reporta:
🔺 Afectaciones:
¬ Municipios afectados: 3
¬ Desbordamientos: 3
¬ Viviendas afectadas: 4 (por penetración de agua)
¬ Encharcamientos en calles
¬ Sin reporte de lesionados y/o fallecidos. 
Municipio de Comala:
• 1 desbordamiento del río La Caja en comunidad La Caja y Suchitlán
• Encharcamientos en calles.
• 4 viviendas afectadas por penetración de agua.
Municipio de Coquimatlán:
• 1 desbordamiento del río Colima, se encuentra bloqueado a la altura del Puente Negro, sin paso en ambas direcciones, afectando a las comunidades de Jala, El Alcomún y Madrid.
Municipio de Villa de Álvarez:
• 1 desbordamiento del Arroyo Seco, afectando la vialidad de la carretera Villa de Álvarez - Minatitlán. Ya liberado el paso vehicular. 
</t>
  </si>
  <si>
    <t xml:space="preserve">Afectaciones:
-              Alcaldías afectadas: 1
-              Lesionados: 4 (por caída de árbol sobre auto) 
-              Encharcamientos: 8
-              Caída de árboles: 1  
-              Vehículos afectados: 2
</t>
  </si>
  <si>
    <t xml:space="preserve">A partir de las 04:00 horas, se presentaron lluvias moderadas en el municipio de Tlajomulco, reportando: 
🔺 Afectaciones:
•              Viviendas afectadas: 18 (tirantes de 10 - 60 cm)
•              Colonias afectadas: 1 (Fraccionamiento Eucaliptos) 
•              Encharcamientos viales
Al momento, ya no llueve en el municipio y cuerpos de emergencia continúan laborando en el sitio. 
🔸 Acciones:
o             Evaluación y recorridos de verificación.
o             Apoyo a desazolve y limpieza de viviendas
</t>
  </si>
  <si>
    <t xml:space="preserve">Mulegé ,La Paz  y Los Cabos </t>
  </si>
  <si>
    <t xml:space="preserve">Tormenta tropical "Javier" . Se emitio declaratoria de desastre.                                                                                   Estados afectados: 1
- Municipios afectados: 5
- Personas rescatadas: 5
- Personas evacuadas: 2
- Habilitación de refugios temporales: 15
- Personas albergadas: 60
- Viviendas afectadas: 50
- Hospitales afectados: 1
- Crecida de arroyos: 5
- Socavones: 6
- localidades incomunicadas: 2
- Deslaves/derrumbes: 3
- Cierres viales/ carreteros: 15
- Vehículos varados: 15
- Embarcaciones arrastradas: 1
- Árboles caídos: 15
- Bardas colapsadas: 1
- Suspensión de servicio de agua potable: 2 
</t>
  </si>
  <si>
    <t>La Paz, Comondú y Mulegé</t>
  </si>
  <si>
    <t xml:space="preserve">"Huracán  Kay "
del 7 al 9 de  Septiembre . Se emitió declaratoria de desastre </t>
  </si>
  <si>
    <t>Mexicali, Tecate, San Felipe, Ensenada, San Quintín y Playas de Rosarito</t>
  </si>
  <si>
    <t xml:space="preserve">"Huracán  Kay " del 
8 al 11 de septiembre de 2022. Se emitió declaratoria de desastre </t>
  </si>
  <si>
    <t>Canatlán, Durango, Indé, Nazas, Nuevo Ideal, Rodeo, San Bernardo, San Juan del Río, Súchil y Tepehuanes</t>
  </si>
  <si>
    <t xml:space="preserve">9 viviendas con  penetración de agua 
1 vivienda techo colapsado evaluar con techo de lámina 
2 vehículos arrastrados 
4 fallecidas 
</t>
  </si>
  <si>
    <t xml:space="preserve">Durante la madrugada de ayer 06 de septiembre, se presentó una tromba en el municipio de Sombrerete por un lapso de 6 horas ( 40 mm con un umbral de 61 mm), el cual afectó a la localidad de Flores García; reportando las siguientes afectaciones: 
• Crecimiento y desbordamiento del arroyo que atraviesa la comunidad
• 65 viviendas afectadas por penetración de agua de hasta 1 metro de tirante (55 viviendas perdieron el 100% de enceres domésticos)
• 64 cabezas de ganado (50 ovinos, 10 bovinos y 4 porcinos)
• 12 vehículos afectados
• Afectaciones menores a cultivos cercanos 
• Caída de bardas
• Afectaciones a drenaje
Se ha abierto tres centros de acopio en la cabecera municipal
SEDENA habilitó un albergue y cocina en la Iglesia de la localidad en caso de ser requerido por los pobladores 
El nivel del río ya disminuyó 
Al momento se encuentran en fase limpieza y recuperación
</t>
  </si>
  <si>
    <t>A las 16:45 horas del día 05 de agosto, se registró el hundimiento de embarcación menor (panga) en la laguna de tres Palos, Localidad La Estación, municipio de Acapulco, Estado de Guerrero. Se reportaban 2 personas desaparecidas; en las primeras horas de este día, fueron localizados por  pescadores alrededor de las 07:00 horas los cuerpos sin vida de dos menores de edad de 15 años y 8 años.</t>
  </si>
  <si>
    <t xml:space="preserve">Zacatepec,Tlaltizapán Jojutla, Ayala, Cuernavaca y Jiutepec </t>
  </si>
  <si>
    <t xml:space="preserve">Afectaciones:
• Municipios afectados: 06
• Viviendas afectadas: 55
• Deslizamiento de rocas: 01
• Encharcamientos a nivel banqueta (Cuernavaca y Jiutepec)
• Escurrimientos de barrancas y cañaverales
</t>
  </si>
  <si>
    <t xml:space="preserve">Mazatlán, Culiacán, El Fuerte y Navolato  </t>
  </si>
  <si>
    <t xml:space="preserve">160 Personas auxiliadas
1 personas rescatado
100 Personas afectadas 
192 Viviendas afectadas
40 personas evacuadas
3 vehículos afectados
1 RT activado
67 personas en RT
2 puentes afectados
1 derrumbe carretero
3 cierre vial/ carretero
Encharcamientos viales
</t>
  </si>
  <si>
    <t>El Oro y Canatlan</t>
  </si>
  <si>
    <t xml:space="preserve">Municipio El Oro
- Desbordamiento del río Sixtin
-Penetración de agua en viviendas (sin cuantificar)
- Encharcamientos en vialidades
Municipio de Canatlán
- 1 Desbordamiento del río Mimbres
- Encharcamientos en vialidades
- 10 colonias afectadas (Manzanal, Plutarco Elías Calles, Jardines, Santa Cruz de la Huertas, Arboledas, H. Ayuntamientos, Soledad Álvarez, Infonavit, La Cañada y El Pozole)
- Cierre de la carretera Durango- Nuevo Ideal
- 1,575 viviendas (en 5 colonias)
</t>
  </si>
  <si>
    <t>Coquimatlán, Colima, Cuauhtémoc y Villa de Álvarez.</t>
  </si>
  <si>
    <t xml:space="preserve">Derivado de las lluvias fuertes que iniciaron a partir de las 17:00 horas, en los municipios de Coquimatlán, Colima, Cuauhtémoc y Villa de Álvarez , se registran las siguientes afectaciones:
• 4 Municipios afectados
• 2 desbordamientos (Arroyo Pereyra y del Río Colima)
• 7 vialidades afectadas
• Anegaciones en zonas bajas de los municipios 
• 4 Vehículos varados
• 4 Viviendas afectadas por penetración de agua
• 19 Caída de árboles
- 1 sobre vehículo
• Caída de cables de energía eléctrica y telefonía
• Cierre carretero hacia las comunidades de  Jala, El Alcomún y Madrid por aumento de Río en Coquimatlán
• 1 socavón en vialidad Puente negro
Cuerpos de emergencia realizaron las labores de atención a las emergencias, sin reporte de daños humanos y/o personas evacuadas
</t>
  </si>
  <si>
    <r>
      <rPr>
        <b/>
        <sz val="9"/>
        <color theme="1"/>
        <rFont val="Aptos Narrow"/>
        <family val="2"/>
        <scheme val="minor"/>
      </rPr>
      <t xml:space="preserve"> Lluvia severa, inundación pluvial e inundación fluvial del 10 al 26 de septiembre. Se emitió declaratoria de desastre  </t>
    </r>
    <r>
      <rPr>
        <sz val="9"/>
        <color theme="1"/>
        <rFont val="Aptos Narrow"/>
        <family val="2"/>
        <scheme val="minor"/>
      </rPr>
      <t xml:space="preserve">Derivado de las lluvias fuertes registradas durante la tarde del 09 de septiembre en el municipio de Atzacan, se reportó:
🔺 Afectaciones:
•              1 vivienda afectada por deslave. Sufrió daños severos en 2 cuartos por el ingreso de lodo y piedras.
•              1 localidad afectada: Rosa Blanca. 
•              1 deslave: localidad Rosa Blanca, reportando 11 viviendas cercanas al deslave en riesgo.
•              50 personas evacuadas, se refugiarán con familiares.
•              1 caída de poste: localidad Rosa Blanca. 
•              1 poste de energía eléctrica afectado, del cual, ya tiene conocimiento CFE, acudirá una cuadrilla para su atención
</t>
    </r>
  </si>
  <si>
    <t xml:space="preserve">Afectaciones:
• 57 viviendas afectadas por penetración de agua (tirantes de hasta 1.20 m).
• Locales comerciales afectados. 
• Encharcamientos e inundaciones viales.
• Anegaciones en zonas bajas de la colonia centro.
• Vehículos arrastrados por la corriente. 
• No se reportan lesionados y/o fallecidos. 
</t>
  </si>
  <si>
    <t>Compostela, San Blas y Ruíz</t>
  </si>
  <si>
    <t xml:space="preserve">Derivado de las lluvias fuertes y vientos registrados durante la noche del 10 de septiembre y madrugada de hoy, se reportaAfectaciones:
-              Municipios afectados: 3
-              Desbordamientos: 1
-              Viviendas afectadas: 3
-              Vehículos afectados: 1
-              Árboles caídos: 2
-              Incremento de ríos: 1
-              Cierres por vados: 1
</t>
  </si>
  <si>
    <t xml:space="preserve">Rayón </t>
  </si>
  <si>
    <t xml:space="preserve">Derivado de las lluvias registradas el día 10 de septiembre, el día de hoy a las 00:16 horas en el municipio de Rayón, se reportó: 
🔺 Afectaciones:
•              Deslizamiento de tierra en la comunidad de La Naranja.
•              2 viviendas afectadas por el deslizamiento.
•              1 kínder afectado. 
•              Sin reporte de evacuados, lesionados y/o fallecidos. 
</t>
  </si>
  <si>
    <t xml:space="preserve">Derivado de las lluvias y vientos fuertes registrados el día 10 de septiembre en el municipio de Jitotol, se reportó: 
🔺 Afectaciones:
•              3 viviendas afectadas por destechamiento en el barrio Santa Teresa. 
•              Sin reporte de evacuados, lesionados y/o fallecidos. 
</t>
  </si>
  <si>
    <t xml:space="preserve">A partir de las 18:30 horas del 10 de septiembre, se presentaron lluvias fuertes en la tenencia de Francisco Sarabia, municipio de Jiquilpan, reportándose lo siguiente:
🔺 Afectaciones:
•              Socavones que han afectado a:
-              5 viviendas, de las cuales 3 han sido evacuadas con familiares.
-              12 personas evacuadas de las 3 viviendas.
-              22 personas afectadas de las 5 viviendas. 
-              Afectaciones en la calle Robles, al frente y atrás de las viviendas, colonia El Monte. 
•              Bajada de agua del cerro con material lodoso.
•              18 viviendas afectadas con filtración de agua en los interiores, ubicadas en la zona baja.
</t>
  </si>
  <si>
    <t>La Yesca, Santiago Ixcuintla y Compostela</t>
  </si>
  <si>
    <t xml:space="preserve">Durante la madrugada se registraron lluvias de moderadas a fuertes, reportando las siguientes afectaciones:
🔺 Afectaciones:
• 03 Municipios afectados
• 01 Fallecido
• 02 Escurrimientos de ríos 
• Penetración de agua en viviendas (sin cuantificar)
• 03 viviendas evacuadas
Municipio de La Yesca:
- Arrastre por la corriente de 1 persona, misma que falleció, en la comunidad Huijin
Municipio de Santiago Ixcuintla:
- Escurrimiento del río Santiago, provocando penetración de agua en viviendas (sin cuantificar)
Municipio de Compostela:
- Escurrimiento de un río, en la comunidad de Mazatán, provocando penetración de agua en viviendas 
-Evacuación de 3 viviendas
</t>
  </si>
  <si>
    <t>Viesca y Matamoros</t>
  </si>
  <si>
    <t xml:space="preserve">Afectaciones:
• Municipios afectados: 02
• *30  viviendas afectadas por penetración de agua/ derrumbes
• Desbordamiento de río (Aguanaval)
• Suspensión de clases
• Refugios temporales habilitados (gimnasio municipal, 2 secundarias y en edificios públicos)
• Evacuación de personas aledañas a los ejidos afectados: 500 aproximadamente
• Daños a tuberías de agua potable
• Árboles caídos
• Vehículos varados
Municipio de Viesca
- 30 viviendas afectadas Se ha registrado penetración de agua en viviendas, principalmente en los ejidos de Nueva Reynosa, Buenavista y Villa de Bilbao, la afectación ha sido a consecuencia del desbordamiento del río Aguanaval, que viene desde Zacatecas, asimismo el río incrementa su nivel porque las lluvias continúan en la zona.
-Se habilitó un albergue en el Ágora
-Se colocaron bordos con maquinaria pesada para devolver a su cauce al Río Aguanavall 
Municipio de Matamoros
- Se habilitaron 2 albergues en las Secundarias 1 y 2
</t>
  </si>
  <si>
    <t xml:space="preserve">Derivado de las lluvias fuertes registradas en la capital del estado, a partir de las 19:30 horas del día 7 de septiembre, se reportan:
• 15 colonias afectadas por anegaciones.
• 100 personas evacuadas del poblado 5 de Mayo
• 12 viviendas afectadas (poblado 5 de mayo) 
• Encharcamientos viales en zonas bajas.
• Desbordamiento del canal San Ignacio
• Presa Peña del Águila al 110% de llenado (vertedor libre). Lo anterior ya no representa riesgo a la población
El día sábado 10 de mayo, las personas regresaron a sus domicilios
SIN REPORTE DE DAÑO HUMANOS
</t>
  </si>
  <si>
    <t xml:space="preserve">Viviendas afectadas por penetración de agua: 22 (tirantes entre 10 y 20 cm de agua)
Viviendas con daños estructurales: 04
Personas evacuadas: 160
Albergue activo: 2 (Tecaroca y Centro de Desarrollo Comunitario)
Personas albergadas: 95
Derrumbes carreteros: 2
Vado carretero: 1
Afectación en instalaciones: 1
Vehículos afectados (sin cuantificar)
Daños en menaje de casa
</t>
  </si>
  <si>
    <t>En 2019 se presentaron 3 casos por altas temperaturas: 2 por golpe de calor y 1 por agotamiento.</t>
  </si>
  <si>
    <t>Cuautla y Cuernavaca</t>
  </si>
  <si>
    <t xml:space="preserve">Municipio de Cuautla:
- 30 viviendas con entrada de agua (30 cm de tirante) 
- 3 colonias con afectaciones (colonia Tetelcingo, Unidad Habitacional Tabachines y Cuautlixco)
- 1 árbol caído 
Municipio de Cuernavaca:
- 5 viviendas con entrada de agua (30 cm de tirante) 
- 3 colonias con afectaciones (colonias Las Flores y Unidad Deportiva)
</t>
  </si>
  <si>
    <t xml:space="preserve">Se registró un derrumbe de talud sobre 2 viviendas sobre la calle Bugambilias, colonia Los Pilares, en el municipio de Cuernavaca. Esto derivado de la humedad en la zona por las lluvias registradas en los últimos días. Se reportan 2 féminas fallecidas (ya extraídos sus cuerpos), 3 lesionados, 1 rescatado (infante), los cuales fueron trasladados a un Hospital; se presume que aún queda 1 persona atrapada bajo los escombros.
Fuerza de tarea se encuentran en labores de localización de la persona restante atrapada
19:10 horas informan que ya fue localizado el cuerpo sin vida de la última persona que se encontraba atrapada debajo de los escombros, asimismo inician las labores para rescatar el cuerpo.
</t>
  </si>
  <si>
    <t>Coaxtla</t>
  </si>
  <si>
    <t xml:space="preserve">Evento: Derivado de las fuertes lluvias registradas en el trascurso de la madrugada, se reporta lo siguiente: 
🔺Afectaciones:
- 2 viviendas afectadas por penetración de agua (hasta 103 centímetros de tirante) 
- 13 locales comerciales afectados (hasta 86 centímetros de tirante)
- 1 Colonia afectada  (Centro)
- 1 Corriente desbordada (Río Cotaxtla  ya descendió)
- Encharcamientos a nivel banqueta (Calle Leona Vicario, Entronque Blvd. Benito Juárez y Calle Monja Alférez).
SIN REPORTE DE DAÑOS HUMANOS 
</t>
  </si>
  <si>
    <t>Yecapixtla, Cuautla, Ocuituco, Tlaltizapán, Ayala, Atlatlahucan, Yautepec y Jonacatepec</t>
  </si>
  <si>
    <t xml:space="preserve">Durante la tarde, del día de ayer 18 de septiembre, se han registrado lluvias de moderadas a fuertes en Yecapixtla, Cuautla, Ocuituco, Tlaltizapán, Ayala, Atlatlahucan, Yautepec y Jonacatepec, reportando:
🔺 Afectaciones:
Municipios afectados: 3
• Penetración de agua en viviendas: 53 (1.20 a 1.50 m de altura)
• Encharcamientos viales.
• Rescate de personas: 20
• Vehículos arrastrados: 3
• Vehículos varados
</t>
  </si>
  <si>
    <t>Apatzingán, Aquila, Coahuayana Coalcomán de Vázquez Pallares y Chinicuila</t>
  </si>
  <si>
    <t xml:space="preserve">Sismo de magnitud 7.7 ocurrido el 19 de septiembre de 2022 en Coalcomán  Michoacán. Se emitio declaratoria de desastre </t>
  </si>
  <si>
    <t xml:space="preserve">
Armería, Colima, Comala, Coquimatlán, Cuauhtémoc, Ixtlahuacán, Manzanillo, Minatitlán, Tecomán y Villa de Álvarez
</t>
  </si>
  <si>
    <t>Centro, Jalapa, Tenosique, Emiliano Zapata y Jonuta</t>
  </si>
  <si>
    <t xml:space="preserve">Derivado de las lluvias fuertes y vientos fuertes registrados durante las últimas 24 horas en el estado, se reporta: 
🔺 Afectaciones:
• *5 Municipios afectados
• 3 crecimiento del ríos (De la Sierra, Tamcochapan y Usumacinta)
• Inundaciones en calles.
• 4 comunidades afectadas: Jahuacapa, La Unión, Emiliano Zapata y Astapa.
• 2 vados en accesos al poblado Jahuacapa. 
• 1 árbol caído sobre la carretera federal Macuspana - Villahermosa km 30. 
• 35 familias afectadas
• Afectaciones a caminos de acceso a las comunidades
• 35 Viviendas afectadas 
</t>
  </si>
  <si>
    <t>Minatitlán y Jesús Carranza</t>
  </si>
  <si>
    <t xml:space="preserve">Derivado de las fuertes lluvias que se registraron el 19 de septiembre, se reportan las siguientes afectaciones:
Municipio de Minatitlán.
- Comunidades afectadas (Limas, Boca de Uxpanapan, La Victoria, Limonta, Jicaro, Ixhuatepec, Boca de Oro, Ignacio Aldama, Benito Juárez, Cahuapan y la Abundancia).
- 1 corriente desbordada (río Coatzacoalcos).
- 3 escuelas afectadas (escuela primaria Ixhuatepec, escuela primaria Boca y escuela telesecundaria La Victoria).
Municipio de Jesús Carranza.
- Afectaciones en la cabecera municipal.
- 2 corrientes desbordadas (río Jaltepec y arroyo Toloche).
- 70 viviendas afectadas.
Al momento, no se tiene reporte de daños humanos y continúan realizando recorridos de valoración de daños y de entrega de apoyos
</t>
  </si>
  <si>
    <t xml:space="preserve">🔺 Afectaciones:
• 1 familia desalojada con familiares. Su vivienda se ubica exactamente en la zona del deslave.
• No se reportan lesionados y/o fallecidos. 
</t>
  </si>
  <si>
    <t>Ostuacán, Pantelhó, Chenalhó, Cintalapa, Ixtapa, Oxchuc, Motozintla y Huitiupán</t>
  </si>
  <si>
    <t xml:space="preserve">Derivado de las lluvias de diferente intensidad que se registraron el día de ayer 20 de septiembre, en los municipios de Ostuacán, Pantelhó, Chenalhó, Cintalapa, Ixtapa, Oxchuc, Motozintla y Huitiupán.
Municipio Pantelhó
- 1 caída de puente en la Localidad Las Laminitas, la población se encuentra incomunicada.
Municipio de Chenalhó:
- 1 deslave de camino y derrumbes, en la localidad Civil Ocum.
Municipio de Cintalapa: 
- Penetración de agua en viviendas, sin cuantificar.
Municipio de Ixtapa:
- 1 caída de rocas en el km 243+950.
Municipio Motozintla:
- 1 deslave de cerro, a la altura del Barrio El Rosario y Agua Escondida, tramo carretero Motozintla – Huixtla km 46+900.
Municipio Huitiupán:
- 1 hundimiento de la carpeta asfáltica.
21/09/2022. 
Municipio de Ostuacán.
- Fuertes lluvias presentadas en días anteriores:
- 14 viviendas afectadas por encharcamientos en sus patios en el ejido Xochimilco Nuevo.
- 1 derrumbe en la carretera Plan de Ayala, que ocasionaba la incomunicación a la cabecera municipal. Al día hoy, han finalizado los trabajos de retiro del agua estancada, limpieza y desinfección de las áreas anegadas y el retiro de piedras y lodo de la carretera.
Municipio de Oxchuc.
- Derivado de las lluvias registradas en los últimos días, se presentaron:
- 1 telesecundaria del municipio con anegaciones en su interior. 
- Anegaciones en los patios de varias viviendas, sin cuantificar.
- Daños en áreas de cultivo y la pérdida de varios animales de corral. El día de ayer 20 de septiembre, se realizaron los trabajos de limpieza y desinfección de las zonas afectadas, finalizando a las 14:20 horas.
No se tiene reporte de daños humanos, hasta el momento.
</t>
  </si>
  <si>
    <t>Plancarte y Tingüindín</t>
  </si>
  <si>
    <t xml:space="preserve">Derivado de las lluvias de diferente intensidad que se registraron en el municipio de Jacona de Plancarte y Tingüindín, se reporta lo siguiente:
🔺 Afectaciones:
• 02 Municipios afectados
Municipio de Tingüindín
• 20 viviendas con penetración de agua (4 con afectaciones mayores), colonia “Las Carmelitas” (tirante máximo de 80 cm y un mínimo de 10 cm)
• 1 albergue activo
- 9 personas albergadas (5 adultos y 4 menores) 
Municipio de Jacona de Plancarte
• Desborde de río Celio
• Salida de agua de canal que pasa por la zona Conurbada
• Refugio temporal activado
</t>
  </si>
  <si>
    <t>Acapetahua, Escuintla y Villa Comaltitlán</t>
  </si>
  <si>
    <r>
      <rPr>
        <b/>
        <sz val="9"/>
        <color theme="1"/>
        <rFont val="Aptos Narrow"/>
        <family val="2"/>
        <scheme val="minor"/>
      </rPr>
      <t>lluvia severa, inundación pluvial e inundación fluvial del 20 al 22 de septiembr</t>
    </r>
    <r>
      <rPr>
        <sz val="9"/>
        <color theme="1"/>
        <rFont val="Aptos Narrow"/>
        <family val="2"/>
        <scheme val="minor"/>
      </rPr>
      <t xml:space="preserve">e. Se emitió declaratoria de desastre. Durante el día 18 y 19 de septiembre, se reportaron lluvias fuertes en los municipios de Acapetahua, Escuintla y Villa Comaltitlán, reportando: 
🔺 Afectaciones:
• 03 Municipios afectados
• 105 viviendas con penetración de agua (tirante de 30 a 40 cm)
• 05 colonias afectadas (Ejido Esmeralda, José Ampliación, Nueva Esperanza, Pesquería Las Laureles e Ignacio Allende)
• Derrumbes/deslaves (Villa Comaltitlán)
AL MOMENTO, SIN LESIONADOS Y/O FALLECIDOS
</t>
    </r>
  </si>
  <si>
    <t xml:space="preserve">
Salvador Alvarado
</t>
  </si>
  <si>
    <t xml:space="preserve">A las 19:20 horas (tiempo local) del 22 de septiembre, se registró tornado en la Ciudad de Guamúchil, municipio de Salvador Alvarado, reportando lo siguiente:
🔺 Afectaciones:
• 01 Municipio afectado
• 01 lesionado (rostro) atendido en el lugar
• 12 árboles caídos
• 04 techos de láminas dañados
• 04 cables dañados
• 06 espectacular dañados
• 03 automóviles dañados
• 01 cortina metálica dañada
</t>
  </si>
  <si>
    <t xml:space="preserve">Manzanillo </t>
  </si>
  <si>
    <t xml:space="preserve">💧 CONAGUA: 82.3 mm en el municipio de Manzanillo, con un umbral de 141 mm (08:00 h 21/09/2022 - 08:00 h 22/09/2022)
Evento: Durante la noche del 21 de septiembre y madrugada de hoy, se registraron fuertes lluvias en el municipio de Manzanillo, provocando:  
🔺 Afectaciones:
• Encharcamientos e inundaciones viales. 
• 1 crecimiento del arroyo Santiago al 90% de su capacidad. 
• 1 vehículo arrastrado por arroyo Santiago, sin lesionados.
• 1 masculino arrastrado por el arroyo Santiago, se realizó búsqueda por parte del personal de PC Municipal y vecinos de la zona. Durante la mañana, se localizó el cuerpo de 1 persona en la zona de Peña Blanca, por lo que personal del ENSAR se encargará de verificar si se trata de la misma persona. 
• 2 personas y 1 mascota, trasladados a 1 refugio temporal en el Casino de la Feria, fueron recibidos por personal del DIF municipal.
• 1 derrumbe de rocas obstruyendo 1 carril en carretera libre Manzanillo - Colima, libramiento de El Colomo.
</t>
  </si>
  <si>
    <t xml:space="preserve">Derivado de las lluvias de moderadas a fuertes que se presentaron a partir de las 19:00 horas el día de ayer 24 de septiembre, en el municipio de Puebla, se reportan:
🔺 Afectaciones:
• 01 municipio afectado
• 24 viviendas afectadas por penetración de agua, en Primera Cerrada Xonacatepec, Rosario Domínguez, colonias Álamos, Entronque de Amalucan, Miguel Negrete y Bosque de San Sebastián
• Encharcamientos viales en la colonia Vista Hermosa
• Vehículos varados
• 01 inundación en mercado Morelos
• 01 árbol caído
• 01 escuela primaria Independencia afectada por penetración de agua, en la colonia Chapultepec
• 05 salones afectados por lodo
• 01 tubo de agua pluvial de la escuela afectado
• Desbordamiento parcial del río Alseseca (regreso a su cauce normal cuando dejo de llover)
</t>
  </si>
  <si>
    <t xml:space="preserve">A partir de medianoche, se registraron lluvias moderadas acompañadas de tormenta eléctrica y vientos en el municipio de Acapulco de Juárez, reportando:
🔺 Afectaciones:
- 1 femenina fallecida por arrastre (escurrimiento pluvial en la calle Niños Héroes, colonia Progreso)
- 1 árbol caído. 
- Colonias sin energía eléctrica.  (Ya restablecida)
</t>
  </si>
  <si>
    <t>San Pedro Pochutla, Reforma de Pineda, San Blas Atempa, San Juan Mixtepec, Santa María Tonameca, Pluma Hidalgo, Villa de Tututepec de Melchor Ocampo, San José del Pacífico, Santo Tomás Tamazulapan, La Reforma, Santa María Zacatepec, Teotitlán de Flores Magón, Santa Catarina Juquila, Mazunte</t>
  </si>
  <si>
    <t xml:space="preserve">CICLÓN POST-TROPICAL “LESTER”
1 Vivienda afecta en el municipio de San Pedro Pochutla 
2 Camionetas arrastradas por el arroyo en Santa María Tonameca y Mazunte.
Los demás municipios presentaron derrumbe en el tramo carretero
</t>
  </si>
  <si>
    <t>Escuintla, Mitontic, Chilón, Amatán, Salto de Agua, Capitán A. Vidal, Acapetahua, Siltepec, Villaflores, Amatenango de la Frontera, Aldama y Chalchihuitán</t>
  </si>
  <si>
    <t xml:space="preserve">🔺 Afectaciones:
o Municipios afectados: 12
o Viviendas afectadas: 210
o Derrumbes/deslizamientos: 15
o Hundimientos carreteros: 2
o Personas evacuadas: 47
o Árboles caídos: 3
o Desbordamientos de arroyos: 2 
o Refugios habilitados: 2 
o Sin reporte de lesionados y/o fallecidos
</t>
  </si>
  <si>
    <t xml:space="preserve">CONAGUA: 
- 140 mm en el municipio de Mulegé, con un umbral de 59 mm (08:00 h 27/09/2022 - 08:00 h 28/09/2022)
- 38 mm en el municipio de Mulegé, con un umbral de 59 mm (08:00 h 28/09/2022 - 08:00 h 29/09/2022)
De las 02:30 a 04:20 hora local del día 28 de septiembre, se presentaron lluvias fuertes (103.4 mm) en la localidad de Santa Rosalía, municipio de Mulegé, reportando lo siguiente: 
🔺 Afectaciones:
• Municipio afectado: 1 - Mulegé
• Localidad afectada: 1 - Santa Rosalía
• Colonias incomunicadas: 6 - Ranchería Barrio Canadá, 8 de Octubre, Imperial, el Retiro y 2 más con caminos de terracería.
• Desbordamientos/corrida de arroyos: 2 - arroyo que pasa por la Av. Manuel F. Montoya y Arroyo Purgatorio, San Luciano.
• Viviendas afectadas: 85 - daños en enseres domésticos
• Viviendas con pérdida total: 3
• Vehículos arrastrados/afectados: 19 - 3 pérdida total
• Personas rescatadas: sin cuantificar
• Derrumbes carreteros: 3 - carretera Transpeninsular en los km 04, km 127 y km 129.
• Socavones: 2 - en la cañada Mineral Santa Martha y acceso a nueva Santa Rosalía. 
• Puentes afectados: 1 - deslave de terraplén en la carretera Transpeninsular km 161 tramo Loreto - Santa Rosalía, paso con precaución.
• Bajadas de agua por calles y avenidas - al momento los niveles de agua ya descendieron
• Cierres carreteros: 3 - carretera Transpeninsular en el tramo San Bruno y vado de San Lucas, entrada norte a Santa Rosalía y acceso a colonia Nueva Santa Rosalía.
• Afectaciones a infraestructura hidráulica: 4 - daños en cerco perimetral Cárcamo de Rebombeo de aguas residuales No. 2 (120 m de cerco perimetral y portón de acceso), daños al camino de acceso y línea de descarga de Laguna de Oxidación de tratamiento de aguas residuales, daños a la Laguna No. 4 y línea de interconexión entre lagunas 3 y 4, y daños en el acueducto Palo Verde – Santa Rosalía.
• Daños en líneas de conducción de agua potable y drenaje
• No se reportan lesionados y/o fallecidos. 
</t>
  </si>
  <si>
    <t xml:space="preserve">Derivado de las lluvias fuertes que se registraron en los últimos dos días, se registran las siguientes afectaciones:
🔺 Afectaciones:
• 01 municipio afectado
• 03 lesionados
• 01 árbol caído (plaza comercial Galeana)
Municipio de Ciudad Madero:
- 1 caída de un árbol en plaza comercial Galeana, en la colonia Galeana. 
- 3 lesionados, trasladados a la Cruz Roja No. 2
</t>
  </si>
  <si>
    <t xml:space="preserve">💧 CONAGUA: 45.0 mm en el municipio de Coatzacoalcos, con un umbral de 186.0 mm (08:00 h - 13:00 h 29/09/2022)
Derivado de las lluvias fuertes que se han registrado en el municipio de Coatzacoalcos durante las últimas horas, se reporta lo siguiente: 
🔺 Afectaciones:
• Municipio afectado: 1 – Coatzacoalcos
• Encharcamientos viales a nivel de banqueta
• Viviendas afectadas: 3 – penetración de agua (ubicadas en zonas bajas) 
• Vehículos varados: 1 
• Sin reporte de lesionados y/o fallecidos.
• Al momento, ya no se presentan lluvias. 
</t>
  </si>
  <si>
    <t>Tultitlán de Mariano Escobedo, Coacalco de Berriozábal y Cuautitlán Izcalli.</t>
  </si>
  <si>
    <t xml:space="preserve">Se registraron lluvias fuertes en los municipios de Tultitlán de Mariano Escobedo y Coacalco de Berriozábal, situación que ha generado anegaciones en diversos puntos de los municipios, principalmente en la avenida López Portillo. Asimismo, se reporta la suspensión del servicio por las anegaciones en las líneas 1, 2 y 4, del Mexibús. 
Al momento, no se tiene reporte de daños humanos y se realizan recorridos de valoración.
Cabe mencionar, que en el municipio de Cuautitlán Izcalli, se registraron lluvias de moderadas a fuertes.
20:42 horas, personal de la Comisión del Agua del Estado de México laboran en el abatimiento de los encharcamientos viales presentados en la Av. José López Portillo, los cuales han generado asentamientos viales.
5 de octubre
02:30 horas, se reportan escurrimientos en el canal del boulevard poniente, reportando afectaciones por penetración de agua en viviendas de las siguientes colonias del municipio de Tultitlán:
- Colonia Cueyamil 1 vivienda afectada con un tirante de 0.60 m 
- Colonia Bosques de Tultitlán 2 viviendas afectadas con un tirante de 0.60 m 
- Colonia Residencial Los Reyes 1 vivienda afectada con un tirante de 0.25 m
Sin reporte de personas lesionadas y/o evacuadas.
</t>
  </si>
  <si>
    <t>Chapultenango, lxtacomitán, Juárez, Ostuacán, Pichucalco, Reforma y Sunuapa</t>
  </si>
  <si>
    <t xml:space="preserve">Lluvia severa, inundación fluvial e inundación pluvial el 14 de octubre de 2022. Se emitió declataria de emergencia y  de desastre </t>
  </si>
  <si>
    <t xml:space="preserve">Se presentaron lluvias fuertes acompañadas de rachas de vientos de hasta 40 km/h, de las 10:00 a las 15:30 hora local del 15 de octubre en el municipio de Mexicali.
A las 22:00 horas, ya no se presentan lluvias.
🔺Afectaciones:
• 1 municipio afectado
• 4 evacuados
• 3 casas inundadas
• 1 fraccionamiento inundado, Arboleda Residencial
• 2 cortos circuitos
• 4 fallas en semáforos
• 1 cable colgando
• 2 inundaciones en las colonias Agua Leguas y Ampliación Lucerna
• 2 incendios de casa habitación
• 4 otros incendios
• 6 accidentes de tránsito, sin lesionados
• 1 socavón de 4 m aproximadamente
• 1 techo colapsado 
• 4 pasos a desnivel cerrados a la circulación vial 
• 1 colisión 
• 1 agretamiento en la zona regional
• Varias ubicaciones sin suministro de energía eléctrica en el Valle de Mexicali: Cerro Prieto, Campo León, Ej. Choropo, Tulichek, Col. Gómez, Río Hardy, Ej. Chihuahua.
Municipio de Mexicali:
- 1 socavón de aproximadamente 4 metros, en la parte de atrás de una vivienda, ubicada en una zona de alto riesgo, en av. República de Uruguay 730 y calle Río Sinaloa. De manera preventiva, se realizó la evacuación de 4 personas.
- En las zonas inundadas ya disminuyo el nivel del agua.
</t>
  </si>
  <si>
    <t xml:space="preserve">Durante la madrugada, se registraron fuertes lluvias en el municipio de Comalcalco, reportando lo siguiente:
🔺 Afectaciones:
Municipio de Comalcalco:
• Encharcamientos en calles de la población de Ranchería Oriente 6ta.
• 1 desbordamiento del dren de descarga al río Grande, el cual no alcanzó a descargar libremente por acumulación de basura y falta de limpieza, ya que se observó ramas y mucha maleza que impiden su libre descarga del agua.
• 70 viviendas afectadas por penetración de agua (20 en su interior y 50 en patios). Fueron provocadas por pases de agua y alcantarillas tapadas, el agua ya empezó a descender lentamente, al momento 10 cm aproximadamente y continúa a la baja.
• 78 familias afectadas que no quisieron trasladarse al refugio temporal habilitado. 
</t>
  </si>
  <si>
    <t xml:space="preserve">🔺 Afectaciones:
- Encharcamientos e inundaciones en diversas calles de la zona de La Margarita y La Hacienda.
- 5 viviendas afectadas por penetración de agua.
- 1 plaza afectada por penetración de agua: Plaza del Cuadrito.
- 6 vehículos varados en: 2 en Bulevar Díaz Ordaz y 14 Sur, colonia San Manuel; 2 en 14 Sur y Bulevar Valsequillo; 2 en 52 poniente y 15 norte, Lomas de San Miguel.
- Sin reporte de evacuados, lesionados y/o fallecidos.
</t>
  </si>
  <si>
    <t>Coatzacoalco, Agua Dulce, Moloacán</t>
  </si>
  <si>
    <t xml:space="preserve">Municipio de Coatzacoalcos:
- 10 Viviendas afectadas por penetración de agua y lodo por deslave de cerro. 
- Encharcamientos viales.
- Crecimiento de nivel del río Coatzacoalcos. 
- 1 deslave de cerro en el Ejido Esperanza.
- 1 refugio temporal habilitado en la localidad de La Esperanza con 30 personas.
Municipio de Agua Dulce:
- 60 Viviendas afectadas por penetración de agua.
- 15 localidades con afectaciones 
- Encharcamientos viales.
- Desbordamiento del río Aguadulcita. 
Cuerpos de emergencia laboran en la limpieza y atención de las viviendas afectadas, se estima que a medio día se culminen con las labores.
Municipio de Moloacán:
- 23 Viviendas afectadas por penetración de agua.
- 3 localidades con afectaciones 
- Encharcamientos viales.
- Desbordamiento del río Nexmegata. 
</t>
  </si>
  <si>
    <t xml:space="preserve">Emiliano Zapata, Centro, Jalpa de Méndez, Jalapa, Cunduacán, Huimanguillo, Tenosique, Balancán y Jonuta </t>
  </si>
  <si>
    <t xml:space="preserve">Municipio de Emiliano Zapata:
• 3 árboles caídos sobre la carretera Tenosique Emiliano Zapata y sobre la carretera al ejido Puvicub.
• Encharcamientos viales.
Municipio de Centro:
• Encharcamientos viales en las colonias Las Mercedes, La Venta, Fraccionamiento San Manuel, Bicentenario, Los Claustros, Playas del Rosario, Colonias, Carrizal, Casa Blanca, Tierra Colorada, calle Ignacio Comonfort, Tamulté, Bastar Sozaya, Centro, Av. Fco. Javier Mina atrás de la tienda Chedraui, Calle chico che, Gaviotas Norte Sector Valle y Verde Gaviotas Sur.
Municipio de Jalpa de Méndez:
• 1 árbol caído sobre 1 vivienda del poblado Amatitán, solo se reportan pérdidas materiales. 
• 21 viviendas afectadas por penetración de agua (tirantes de 10 cm). 
• Caída de varios árboles. 
Municipio de Jalapa:
• Fuertes lluvias y vientos.
• Caída de ramas y árboles sobre ambos carriles en la carretera Jalapa - Villahermosa, en el tramo conocido como Los Tintales.
Municipio de Cunduacán:
• Fuertes lluvias y vientos.
• Encharcamientos viales.
• Caída de árboles.
• Caída de luminarias, postes y cables de CFE.
• Fallas en el servicio de energía eléctrica.
• Destechamientos (sin cuantificar). 
Municipio de Huimanguillo:
• 1 árbol caído en el Poblado Mecatepec.
Municipio de Tenosique:
• 1 vado en el poblado Arena de Hidalgo de Tenosique.
• Encharcamientos viales.
• Caída de árboles.
Municipio de Balancán:
• Encharcamientos viales.
• Caída de árboles.
Municipio de Jonuta:
• 39 personas albergadas.
• 1 albergue activo. 
</t>
  </si>
  <si>
    <t>Tijuana, Rosarito, Tecate y Ensenada</t>
  </si>
  <si>
    <t xml:space="preserve">Derivado de las lluvias moderadas que se registraron durante la tarde del 08 de noviembre en los municipios de Tijuana, Rosarito, Tecate y Ensenada, se han reportado las siguientes afectaciones:
🔺 Afectaciones: 
- Municipios afectados: 4
- Personas fallecidas: 1 (Tijuana)
- Personas desaparecidas: 1 (Tijuana)
- Viviendas afectadas: 14 (8 delegaciones)
- Inundaciones sobre vialidades: 65 (57 Tijuana, 7 Rosarito y 1 Tecate)
- Caída de cables: 9 (7 Tijuana, 1 Rosarito y 1 Ensenada)
- Caída de postes: 11 (7 Tijuana, 2 Rosarito, 1 Tecate y 1 Ensenada)
- Derrumbes: 10 (8 Tijuana, 1 Rosarito y 1 Tecate)
- Agrietamientos: 5 (Tijuana)
- Explosión de transformadores: 9 (5 Tijuana, 3 Rosarito y 1 Ensenada)
- Vehículos varados: 23 (19 Tijuana y 4 Rosarito)
- Rescate de personas: 7 (Tijuana)
- Fallas de energía eléctrica: 7 (4 Tijuana y 3 Tecate)
- Fallas de semáforo: 2 (Tecate)
- Vehículos descompuestos: 2 (Tecate)
- Alcantarilla obstruida: 1 (Tecate)
- Caída de anuncio: 2 (Rosarito)
- Corto circuito: 12 (2 Rosarito, 2 Tecate y 8 Ensenada)
- Árboles caídos: 2 (Ensenada)
- Desbordamiento de aguas negras: 1 (Rosarito)
- Suspensión de clases
Municipio de Tijuana:
08/11/2022
• Arrastre de 2 personas por la corriente, en el Cañón del Pato, colonia Francisco Villa, Distrito San Antonio de los Buenos, al momento, no han sido localizados, vecinos realizan búsqueda.
• Inundaciones sobre vialidades, sobre el Poniente, Boulevard Agua Caliente y Casa Blanca, Gato Bronco, Corredor 2000.
• Suspensión de clases en todos los niveles educativos.
09/11/2022
• 07:03 horas, se localiza cuerpo de 1 femenina de aproximadamente 20 años en el área del desarenador, calle Ignacio Zaragoza, colonia Obrera, indicando que se trata de una de las 2 personas desaparecidas el día 08 de noviembre, quedado varadas en su vehículo. Personal del H.C. de Bomberos continúa con la búsqueda de la segunda persona no localizada.
• 09:35 horas. Se informa que PC del Estado le dio aviso a autoridades de EUA, por la posibilidad de que el río se lleve a la persona desaparecida río abajo. Las labores continuarán el día 10 de noviembre. 
</t>
  </si>
  <si>
    <t>Teapa, Paraíso y Emiliano Zapata</t>
  </si>
  <si>
    <t xml:space="preserve">CONAGUA (08:00 h DEL 16/11/2022 a las 08:00 h del 17/11/2022)
• 234 mm municipio de Teapa, con un umbral de 234 mm
Evento: Derivado del paso del Frente Frío No. 9,  se presentaron lluvias fuertes durante la noche y madrugada del día de hoy, en los municipios de Teapa, Paraíso y Emiliano Zapata, reportando las siguientes afectaciones:
🔺 Afectaciones:
• Encharcamientos viales (Teapa y Paraíso)
• 11 colonias afectadas
• 71 viviendas afectadas 
• 12 viviendas en riesgo
• 13 familias en riesgo (52 personas aproximadamente) 
• 2 deslizamiento de tierra
• 1 árbol caído
• 1 socavón 
• 1 vado carretero 
Municipio Teapa:
- 10 colonias afectadas (Barrio Tecomajiaca, Villa Verde, Villa Juan Aldama, Nicolás Bravo, Ejido José María Morelos, Las Flores, San Isidro, Reforma, Morelia)
- 71 viviendas con penetración de agua (hasta 60 cm)
- 1 caída de árbol en la entrada de Juan Aldama
- 1 socavón en la carretera Teapa-Pichucalco, km 56+200
- 1 vado en la carretera Villahermosa – Teapa (Ya disminuyó) 
- 1 deslizamiento de tierra en Ejido José María Morelos
Municipio Paraíso:
- Lluvias fuertes intermitentes desde el día de ayer 16 de noviembre, que iniciaron a las 09:00 horas y al momento continúan.
- Encharcamientos viales sobre vialidades.
Municipio Emiliano Zapata:
- 1 deslizamiento de tierra en colonia Ecologista Segunda Sección
- 12 viviendas en riesgo en la colonia Ecologista Segunda Sección
- 52 personas en riesgo (aproximadamente)  
- Se solicitó un dictamen a Protección Civil Estatal y apoyo personal de SEDENA para el retiro de tierra a fin de evitar riesgos 
</t>
  </si>
  <si>
    <t>Chapultenango, Francisco león, Ixtapangajoya, Juárez, Ostuacán, Pichucalco, Solosuchiapa y Tecpatán</t>
  </si>
  <si>
    <t xml:space="preserve">Lluvia severa, inundación fluvial e inundación pluvial el 22 de noviembre de 2022. Se emitió declaratoria de desastre </t>
  </si>
  <si>
    <t xml:space="preserve">
• 1,141 viviendas afectadas
• 87 colonias/ localidades afectadas
• 4 escuelas afectadas
• 1 centro de salud afectado
• 4 deslizamientos de tierra
• 2 vados carreteros
• 19 corrientes desbordadas/ crecidas
• 17 personas evacuadas (6 familias)
• 01 refugio temporal activo
• 02 árboles caídos
</t>
  </si>
  <si>
    <t>Papantla, Coatzintla, Espinal y Álamo Temapache</t>
  </si>
  <si>
    <t xml:space="preserve">🔺 Afectaciones:
- Municipios afectados: 4
- Desbordamientos: 5
- Viviendas afectadas: 145
- Colonias/comunidades afectadas: 8
- Aumento en cauces: 2
- Refugios temporales activados: 3
- Sin reporta de lesionados y/o fallecidos. 
</t>
  </si>
  <si>
    <t>Pungabarato</t>
  </si>
  <si>
    <t xml:space="preserve">A las 09:20 horas se reporta que derivado de las lluvias registradas durante la madrugada del día de hoy en la región Tierra caliente se presentaron las siguientes afectaciones:
• Desbordamiento de un arroyo 
• 30 viviendas afectadas.
</t>
  </si>
  <si>
    <t xml:space="preserve">Boca del Río, San Andrés Tuxtla, Ángel R. Cabada, Catemaco, Lerdo de Tejeda, Jamápa, Soteapan, Ignacio de la Llave, Las Choapas, Coatzacoalcos, Pajapan, Veracruz, Yecuatla, Poza Rica de Hidalgo, Xalapa, Nanchital de Lázaro Cárdenas del Río, Santiago Tuxtla, La Antigua, Úrsulo Galván, Medellín de Bravo. </t>
  </si>
  <si>
    <t xml:space="preserve">• Árboles caídos: 89
• Postes caídos: 16
• Derrumbe: 1
• Cierre carretero: 1
• Destechamientos: 17
• Anuncios caídos: 5
• Caída de barda: 1
• Comunidades/colonias afectadas: 3
• Cortes de energía eléctrica: 3
• Encharcamientos
• Cables de luz caídos
</t>
  </si>
  <si>
    <t>Pichucalco, Solosuchiapa y Mezcalapa</t>
  </si>
  <si>
    <t xml:space="preserve">Afectaciones:
- Municipios afectados: 3
- Viviendas afectadas: 10
- Deslaves: 3
- Deslizamiento de suelo: 1
- Vehículos afectados: 1
- Árboles caídos
- Anegaciones en predios de cultivo 
</t>
  </si>
  <si>
    <t>Acaponeta, Bahía de Banderas, Huajicori, San Blas, Tecuala, Rosamorada Santiago Ixcuintla yTuxpan</t>
  </si>
  <si>
    <t>Presencia del Huracán "Roslyn" categoría 4, lluvia severa, vientos fuertes, inundación fluvial y pluvial ocurridos del 22 al 24 de octubre de 2022. Se emitió decalaratoria de desastre y de emergfencia</t>
  </si>
  <si>
    <t xml:space="preserve">DGGR </t>
  </si>
  <si>
    <t>En 2022 se presentaron 6 casos por hipotermia,51 por intoxicación y 19 por quemaduras. 21 personas perdieron la vida: cinco por hipotermia 15 por intoxicación y una por quemadura.</t>
  </si>
  <si>
    <t xml:space="preserve">Secretaria de salud </t>
  </si>
  <si>
    <t>En 2022 se presentaron 2 casos por hipotermia,27 por intoxicación y 4 por quemaduras. Cinco personas perdieron la vida: uno por hipotermia, 3 por intoxicación y una por quemadura.</t>
  </si>
  <si>
    <t>En 2022 se presentaron 6 casos por intoxicación.</t>
  </si>
  <si>
    <t>En 2022 se presentaron 4 casos por intoxicación. Dos personas perdieron la vida por intoxicación.</t>
  </si>
  <si>
    <t>En 2022 un apersona perdió la vida por hipotermia.</t>
  </si>
  <si>
    <t>En 2022 se presentaron 7 casos por intoxicación.</t>
  </si>
  <si>
    <t>En 2022 se presentaron 9 casos por intoxicación.</t>
  </si>
  <si>
    <t>En 2022 se presentaron 16 casos por intoxicación y dos por quemadura.</t>
  </si>
  <si>
    <t>En 2022 se presentaron 3 casos por intoxicación.</t>
  </si>
  <si>
    <t>En 2022 se presentaron 4 casos por intoxicación.</t>
  </si>
  <si>
    <t xml:space="preserve">En 2022 se presentaron 24 casos por golpe de calor, 296 por deshidratación y 7 por quemadura. </t>
  </si>
  <si>
    <t>En 2022 se presentaron 130 casos por golpe de calor, 65 por deshidratación y 2 por quemadura. Una persona perdió la vida por golpe de calor.</t>
  </si>
  <si>
    <t>En 2022 se presentaron 76 casos por golpe de calor ,82 por deshidratación y 2 por quemadura. 24 personas perdieron la vida por golpe de calor y una por desidratación.</t>
  </si>
  <si>
    <t>En 2022 se presentaron 66 casos por golpe de calor  79 por deshidratación y 2 por quemadura. 7 personas perdieron la vida por golpe de calor.</t>
  </si>
  <si>
    <t xml:space="preserve">En 2022 se presentaron 12 casos por golpe de calor y 47 por deshidratación. Se emitió declaratoria de emergencia </t>
  </si>
  <si>
    <t xml:space="preserve">En 2022 se presentaron 10 casos por golpe de calor, 10 por deshidratación y 14 por quemadura. Una persona perdió la vida por golpe de calor. </t>
  </si>
  <si>
    <t xml:space="preserve">En 2022 se presentaron 15 casos por golpe de calor, 15 por deshidratación y 1 por quemadura. Dos personas perdieron la vida por golpe de calor. </t>
  </si>
  <si>
    <t xml:space="preserve">En 2022 se presentaron 11 casos por golpe de calor, 12 por deshidratación y 1 por quemadura. </t>
  </si>
  <si>
    <t>En 2022 se presentaron 6 casos por golpe de calor, 3 por deshidratación y 10 por quemadura. Una persona perdió la vida por golpe de calor.</t>
  </si>
  <si>
    <t>En 2022 se presentaron 17 casos por golpe de calor y una por deshidratación. Una persona perdió la vida por golpe de calor.</t>
  </si>
  <si>
    <t xml:space="preserve">En 2022 se presentaron 17 casos por golpe de calor. </t>
  </si>
  <si>
    <t xml:space="preserve">En 2022 se presentaron 10 casos por golpe de calor, uno por deshidratación y uno por quemadura. </t>
  </si>
  <si>
    <t>En 2022 se presentaron 8 casos por golpe de calor, 8 por deshidratación y una por quemadura. Una persona perdió la vida por golpe de calor.</t>
  </si>
  <si>
    <t>En 2022 se presentaron un caso por golpe de calor y 8 deshidratación. Una persona perdió la vida por golpe de calor.</t>
  </si>
  <si>
    <t>En 2022 se presentaron 6 casos por golpe de calor y uno por deshidratación.</t>
  </si>
  <si>
    <t>En 2022 se presentaron 5 casos por golpe de calor y uno por deshidratación.</t>
  </si>
  <si>
    <t>En 2022 se presentaron 4 casos por golpe de calor y uno por deshidratación.Una persona perdió la vida por golpe de calor.</t>
  </si>
  <si>
    <t>En 2022 se presentaron 3 casos por golpe de calor y uno por deshidratación.</t>
  </si>
  <si>
    <t>En 2022 se presentaron 1 caso por golpe de calor, uno por deshidratación y uno por quemadura.</t>
  </si>
  <si>
    <t>En 2022 se presentaron 3 casos por deshidratación.</t>
  </si>
  <si>
    <t>En 2022 se presentaron 3 casos por golpe de calor. Una persona perdió la vida por golpe de calor.</t>
  </si>
  <si>
    <t>En 2022 se presentó 1 caso por golpe de calor.</t>
  </si>
  <si>
    <t xml:space="preserve">Pichucalco </t>
  </si>
  <si>
    <t xml:space="preserve">Derivado de las lluvias fuertes, que se presentaron durante la noche del día 12 de enero y la madrugada del día 13 de enero, por el Frente Frío 23, se reportan las siguientes afectaciones:
Municipio de Pichucalco
- Desbordamiento del Río Platanar.
- Anegaciones en los tramos carreteros: Santa Martha-Estación Crimea (Zona baja de Platanar), y en el camino de acceso a El Ejido San Carlos.
- Anegaciones en predios de cultivo.
- Libre el acceso a la circulación de todos tipos de vehículos.
• Municipios afectados: 1
• Viviendas afectadas: 26 (30 a 40 cm)
• Anegaciones en tramos carreteros: 2
• Desbordamiento de río 1
• Anegaciones en predios de cultivo
</t>
  </si>
  <si>
    <t>Tijuana, Playas de Rosarito, Ensenada y Tecate</t>
  </si>
  <si>
    <t xml:space="preserve">🔺 Afectaciones:
• Municipios afectados: 4
• Personas fallecidas: 3
• Personas desaparecidas: 0
• Personas rescatadas y lesionadas: 8
• Deslaves carreteros: 8
• Viviendas afectadas por penetración de agua: 11
• Viviendas afectadas por arrastre de lodo: 2
• Deslizamiento de material pétreo: 4
• Árboles caídos: 3
• Caída de postes: 4
• Caída de bardas: 4
• Vehículos varados: 14
• Activación de albergues temporales: 3
• Personas albergadas: 34
• Usuarios con afectaciones al suministro eléctrico: 87,832 (restablecido al 80%)
• Suspensión de clases en todos niveles educativos (Tijuana, Rosarito, Tecate, Ensenada y San Quintín)
• Caída de muro de contención: 1
• Caída de nieve
• Inundaciones sobre avenidas principales
</t>
  </si>
  <si>
    <t xml:space="preserve">Derivado del paso del Frente Frío No. 27, el día 25 de enero, se han registraron lluvias moderadas (72.5 mm en 24 horas) en el municipio de Macuspana, reportando lo siguiente: 
🔺Afectaciones:
1 municipio afectado
2 localidades afectadas  
17 viviendas afectadas 
45 personas afectadas
1 corriente desbordad
1 cierre carretero 
</t>
  </si>
  <si>
    <t>Salto de Agua, Pichucalco, Chapultenango, Francisco León, Tila, Ixhuatán, Reforma y Palenque</t>
  </si>
  <si>
    <t xml:space="preserve">CONAGUA: 
- Chapultenango 271 mm, con un umbral de 187 mm (08:00h 25/01/2023 - 08:00h 26/01/2023).
- Salto de Agua 161 mm, con un umbral de 176 mm (08:00h 26/01/2023 - 08:00h - 27/01/2023). 
Derivado al paso del Frente Frío No. 27, a partir de las 22:00 horas del día 25 de enero, se registraron lluvias de moderadas a fuertes en los municipios de la zona norte del estado, reportándose las siguientes afectaciones:
🔺Afectaciones:
• Municipios afectados: 8
• Personas rescatadas: 1
• Comunidades afectadas: 7
• Corrientes desbordadas: 2
• Viviendas afectadas: 11
• Personas afectadas: 40
• Deslizamientos de tierra: 6
• Cierres carreteros: 5
• Puentes afectados: 3
• Hundimientos/socavones en carreteras: 3
• Encharcamientos en predios de cultivo
• Sin reporte de evacuados, lesionados y/o fallecidos. 
</t>
  </si>
  <si>
    <t xml:space="preserve">Teapa, Macuspana y Tacotalpa </t>
  </si>
  <si>
    <t xml:space="preserve">Derivado al paso del Frente Frío No. 31, a partir de las 19:00 horas del día de 10 de febrero, se presentaron lluvias fuertes en el estado de Tabasco, reportando lo siguiente:
🔺 Afectaciones:
• 3 municipios afectados.
• 80 viviendas afectadas por entrada de agua.
• 11 colonias / comunidades afectadas.
• 2 albergues temporales habilitados y activados.
• 47 personas albergadas. 
• 4 ríos con aumento de niveles.
• 3 bordos del río Teapa colapsados. 
• 2 vados carreteros.
• 2 corrientes desbordadas.
• 1 deslizamiento de tierra. 
• 2 árboles caídos.
• 1 puente vehicular afectado. 
• Bajadas de agua en calles y avenidas.
• Anegaciones viales.
• Colapso del sistema de drenaje.
</t>
  </si>
  <si>
    <r>
      <t xml:space="preserve">Solosuchiapa, Pichucalco, Berriozábal, Chapultenango, Tecpatán, Ixtapangajoya, Juárez, Francisco León, Ostuacán, El Bosque, Simojovel, Ixtacomitán, Sunuapa, Tonalá, Chalchihuitán, Palenque y Amatán. </t>
    </r>
    <r>
      <rPr>
        <b/>
        <sz val="10"/>
        <color theme="1"/>
        <rFont val="Aptos Narrow"/>
        <family val="2"/>
        <scheme val="minor"/>
      </rPr>
      <t>DECLARATORIA DE DESASTRE, MUNICIPIOS DECLARADOS Amatán, Chapultenango , Ixtapangajoya , Pichucalco , Tecpatán, Juárez, Solosuchiapa</t>
    </r>
  </si>
  <si>
    <t xml:space="preserve">Derivado al paso del Frente Frío No. 31, a partir de las 19:00 horas del día 10 de febrero, se presentaron lluvias fuertes en el estado de Chiapas, reportando lo siguiente:
🔺 Afectaciones:
• 17 municipios afectados.
• 15 deslizamientos de tierra.
• 40 viviendas con penetración de agua.
• 1 refugio temporal habilitado.
• 50 personas evacuadas. 
• 3 vados carreteros. 
• 1 corriente desbordada. 
• 5 corrientes con incremento en sus niveles.
• 3 postes de luz caídos. 
• 6 árboles caídos. 
• Anegaciones viales y en cultivos.
• Sin lesionados y/o fallecidos. 
</t>
  </si>
  <si>
    <t xml:space="preserve">Derivado de las lluvias registradas el día 12 de febrero durante la tarde-noche, se reportó lo siguiente:
🔺 Afectaciones: 
• 1 deslizamiento por inestabilidad de ladera en la colonia Herradura Sur, mismo que causó las siguientes afectaciones:
- 6 viviendas con diversas afectaciones y 4 en riesgo, calle Segundo Balcón Flamingos.
- 5 viviendas en riesgo de caer, callejón Flamingos.
- 2 viviendas abandonadas caídas en Lomas de Rubí. 
• Se realizó una evacuación parcial de las familias (sin cuantificar), los menores se trasladaron con familiares y amigos, pero los adultos se negaron a salir, por el miedo a que les roben sus pertenencias.
• Sin lesionados y/o fallecidos. 
</t>
  </si>
  <si>
    <t xml:space="preserve">Janos, Juárez, Buenaventura, Chihuahua y Casas Grandes </t>
  </si>
  <si>
    <t xml:space="preserve">Derivado al ingreso del Frente Frío No. 33 en el estado durante el 15 de febrero, se presentó:
Municipios afectados: 5
- Vehículos afectados: 5 (4 camiones de carga volcados)
- Viviendas afectadas (destechamiento): 1
- Espectaculares caídos: 1
- Desprendimiento de lonas de espectaculares: 5
- Caída de árboles
- Postes afectados: 1
- Caída de semáforos
- Caída de bardas
- Incendios: 1
- Fallas en el servicio de energía eléctrica
</t>
  </si>
  <si>
    <t xml:space="preserve">Iztapalapa </t>
  </si>
  <si>
    <t xml:space="preserve">💧 CONAGUA: 67 mm en Cosautlán de Carvajal, con un umbral de 144 mm (08:00h 13/03/2023 - 08:00h 14/03/2023). Aproximadamente a las 16:30 horas del 13 de marzo, se registró lluvia, viento fuerte y caída de granizo en el municipio de San Juan Evangelista, reportando lo siguiente: 
🔺 Afectaciones:
• 32 viviendas afectadas por destechamiento en verificación y atención.
• 3 comunidades afectadas: Villa Juanita, Bellaco y Soledad.
• 1 cabecera municipal afectada. 
• 15 árboles caídos.
• 1 afectación en la escuela primaria Juan Aldama en Villa Juanita, por destechamiento de 3 aulas y caída de 1 domo
</t>
  </si>
  <si>
    <t xml:space="preserve">💧 CONAGUA: 39.0 mm en Hopelchén, con un umbral de 102.3 mm (08:00h 14/03/2023 - 08:00h 15/03/2023). Durante el día 14 de marzo, se registró una tromba en el poblado de San Vicente Cumpich, municipio de Hecelchakán, reportando: 
🔺 Afectaciones:
• 6 viviendas que sufrieron daños en tinglados (desprendimiento de láminas de zinc).
• 28 personas afectadas.
• Sin reporte de lesionados y/o fallecidos
</t>
  </si>
  <si>
    <t>25 viviendas e Iglesia resultaron afectadas (daños estructurales) por los fuertes vientos registrados en el Poblado de San Quintín y el Ejido Champa San Agustín, municipio de Ocosingo. Derivado de lo anterior, 1 mujer de 46 años falleció tras caer el puente colgante donde circulaba, el cual comunicaba a los poblados antes mencionados.</t>
  </si>
  <si>
    <t>Chilón y Tumbalá</t>
  </si>
  <si>
    <t xml:space="preserve">Derivado de las lluvias fuertes acompañadas con granizo y fuertes ráfagas de viento por el Frente Frío No. 50, que se presentaron el día 23 de abril de las 15:00 a las 21:00 horas, en la Región Tulijá-Tzeltal-Chol, municipios de Chilón y Tumbalá, se reportó lo siguiente:
🔺 Efectos: 
• 2 municipios afectados. 
• 171 viviendas afectadas por desprendimiento de techos.
• 28 localidades afectadas.
• 1,149 láminas con pérdida total. 
• Caída de árboles en tramos carreteros (ya atendidos).
👫🏻 Sin lesionados y/o fallecidos.
Municipio de Chilón:
• 161 viviendas afectadas por desprendimiento de techos.
• 27 localidades afectadas: Poblado Xanil (12), Xanil 2da Sección (5), Yaxtehel (6), Poblado Chabán (28), Chabán 1ra Sección (9), Localidad San José Nancito Cabecera Mpal de Chilón (1), Barrio Guadalupe Centro Cabecera Mpal (1), Ejido La Libertad (1), Comunidad Masanilja (4), Comunidad Pamtemasanilja (2), San Pedro Chicnitik (2), Rio San Pedro (1), Pathelna 1ra Sección (7),  Pathelna 2da Sección (7), Jotolá Belisario Domínguez (5), Yalxex (7), Monte Sinaí (6), Xaxajatic (1), Patelná (1), Nazareth (2), Maquinchab (17), Salto del Tigre (10), Saquil-Ulub (6), Tzinteel (1), Yaxteel (2), Agua Azul Chico (7) y Pamala (1).
• 1,077 láminas con pérdida total. 
• Caída de árboles en tramos carreteros (ya atendidos).
Municipio de Tumbalá:
• 10 viviendas afectadas por desprendimiento de techos.
• 1 localidad afectada: Poblado Agua Azul (10).
• 72 láminas con pérdida total
</t>
  </si>
  <si>
    <t xml:space="preserve">De las 02:00 a 06:36 horas del 23 de abril, se registró lluvia moderada con granizo de aproximadamente 1 pulgada en el municipio de Acuña y de 05:20 a 06:40 horas lluvias intensas (3.66 pulgadas) acompañadas de caída de granizo (tamaño de una canica) en el municipio de Piedras Negras, reportando: 
🔺 Efectos: 
Municipio de Piedras Negras:
• Encharcamientos en zonas bajas de la Cabecera Municipal. 
• 30 Viviendas afectadas por penetración de agua en 13 colonias: Roma, González, Vista Hermosa, Central, Tierra y Esperanza, Villas del Carmen, San Joaquín, Ramón Bravo, Juárez, Lázaro Cárdenas, Las Malvinas, Esfuerzo Nacional, Loma Verde.
• 8 Personas rescatas de vehículos varados. 
3 escuelas afectadas por acumulación de agua, ya atendidas (Secundaria Benito Juárez, Jardín de Niños Juan Sebastián Bagh y Diego Rivera)
• 8 vehículos varados en 4 colonias: Lázaro Cardenas (5), Ramón Zepeda (1), Infonavit (1) y Río Bravo (1). 
• 3 árboles caídos
• 3 palmeras caídas
• 1 fuga de gas natural
• 1 persona albergada (persona de la tercera edad) en la Estación de Bomberos, ya que su vivienda sufrió afectaciones. (Ya se retiró a su vivienda)
• 3 arroyos a su capacidad: La Primavera, El Soldado y El Tornillo. 
• Interrupción parcial de energía eléctrica (ya restablecida)
👫🏻 Sin lesionados y/o fallecidos.
</t>
  </si>
  <si>
    <t xml:space="preserve">A partir de las 19:12 horas del día 28 de marzo se presentaron lluvias fuertes acompañadas de granizo en el municipio de Coroneo, reportando:
🔺 Efectos:
- Municipios: 1
- Comunidades: 13
- Viviendas afectadas: 327 en techo de teja de asbesto, calentadores solares y vidrios de ventanas de algunas viviendas..  
--
• Comunidad Piedra larga: 53 viviendas afectadas 
• Comunidad Loma bonita: 07 casas afectadas
• Comunidad Loma de la Presa:  02 viviendas afectadas
• Comunidad La presa: 02 viviendas afectadas
• Comunidad Cerro Colorado: 56 viviendas afectadas 
• Comunidad el Capulín: 52 viviendas afectadas
• Comunidad Santa Cruz: 37 viviendas afectadas
• Comunidad Calvario: 03 viviendas afectadas 
• Comunidad Sauz de Cebolletas: 50 viviendas afectadas
• Comunidad Arroyo el Durazno: 23 viviendas afectadas
• Comunidad Arroyito: 10 viviendas afectadas
• Zona Centro: 06 viviendas afectadas solo 1 de ellas con encharcamientos.
• Comunidad la Cuadrilla: 26 viviendas afectadas
SIN REPORTE DE PERSONAS LESIONADAS Y/O EVACUADAS.
</t>
  </si>
  <si>
    <t>Atzalan y Martínez de la Torre</t>
  </si>
  <si>
    <t xml:space="preserve">CONAGUA: 123 mm, con un umbral de 191 mm  en Tamiahua 07/04/2023 en 24 h 
CONAGUA: 20 mm, con un umbral de 169 mm en Álamos Temapache_08/04/2023 en 24 h_Municipio Martinez de la Torre
•             152 viviendas afectadas por penetración de agua
• 9 Colonias/ comunidades afectadas (Villa Independencia, Estudiantes, Altamirano, La Margaritas, Ampliación Arcos, Costa Esmeralda, Graciano Sánchez, Arroyo Fierro y Arroyo Negro)
• 1 desbordamiento del arroyo Pedernales
• 2 Vías de comunicación afectadas (Carretera Graciano Sánchez y Carretera Arroyo Fierro, ambas con afectación a la carpeta asfáltica)
• 24 personas evacuadas (Colonia Altamirano, Localidad Graciano Sánchez y Las Margaritas, (16 fueron refugiadas, pero ya se encuentran en sus viviendas)
• 1 Refugio temporal activado (Preescolar Graciano Sánchez).
Municipio de Atzalan:
• 60 viviendas afectadas por penetración de agua, en la Comunidad Pedernales.
• 7 deslaves, así como afectación en la carretera estatal Almanza - Tierra Nueva, por la corriente desbordada del río Pedernales.
</t>
  </si>
  <si>
    <t>Chapantongo y Alfajayucan</t>
  </si>
  <si>
    <t xml:space="preserve">El día 06 de abril, a partir de las 15:15 horas y hasta las 16:10 horas, se registraron lluvias acompañadas de granizo, en los municipios de Chapantongo y Alfajayucan, reportando: Municipio Chapantongo:
- 198 viviendas afectadas por destechamiento.
- 2 Comunidades afectadas.
Municipio Alfajayucan:
- 321 viviendas afectadas por destechamiento.
- 10 Comunidades afectadas.
</t>
  </si>
  <si>
    <t xml:space="preserve">Desde las 17:00 horas del 10 de abril, se registró lluvia torrencial acompañada de granizo que superó los 20 cm al norte del municipio de Tecámac, reportando lo siguiente: 
🔺 Efectos:
• 60 viviendas afectadas por inundación, 5 de gravedad y 1 con daños severos.
• 1 colonia afectada: Fraccionamiento Real Granada (Boulevard San Jerónimo). La lluvia y el granizo taponeó la tubería de la privada Almenares de este conjunto habitacional.
• 1 barda caída con una extensión de 80 metros lineales. La parcela contigua a este fraccionamiento, del núcleo ejidal de San Jerónimo Xonacahuacan, indebidamente rellenada, ante la cantidad de lluvia desbordó la barda.
• Encharcamientos e inundaciones en vialidades y banquetas, debido al que la red de drenaje colapsó, restableciéndose a las 22:40 horas.
👫🏻 Sin evacuados, lesionados y/o fallecidos.
</t>
  </si>
  <si>
    <t>Comonfort, Irapuato, León y Celaya</t>
  </si>
  <si>
    <t xml:space="preserve">A partir de las 16:20 horas del día 11 de abril, se registraron lluvias con caída de granizo y fuertes ráfagas de viento en los municipios de Comonfort, Apaseo El Grande, Irapuato, Celaya, León y Guanajuato Capital, reportando:
🔺 Efectos:
¬ 4 municipios afectados.
¬ 171 domicilios afectados.
¬ 12 personas evacuadas.
¬ 1 albergue habilitado y activado.
¬ 1 espectacular caído.
¬ 1 caída de barda.
¬ 29 árboles caídos y ramas caídas.
¬ 3 vehículos afectados. 
¬ 3 desprendimiento de lonas. 
👫🏻 Sin lesionados y/o fallecidos.
</t>
  </si>
  <si>
    <t>Citlaltepec, Tepetzintla, Yecuatla, Naranjos Amatlán, Tamalín, Zentla, Misantla, Comapa, Acayucan, Poza Rica de Hidalgo, Coatzintla, Atzalan, Banderilla, Xalapa y Playa Vicente</t>
  </si>
  <si>
    <t xml:space="preserve">Desde las 14:00 horas del 16 de abril, se registraron lluvias fuertes acompañadas de caída de granizo y fuertes vientos, por el ingreso del Frente Frío 49 y evento de norte en gran parte del estado, reportando lo siguiente: 🔺 Afectaciones:
¬ 15 municipios afectados.
¬ 33 viviendas afectadas (5 destechadas y 28 anegadas)
¬ 152 personas afectadas.
¬ 29 colonias afectadas.
¬ 5 comunidades afectadas.
¬ 7 lugares con caída de granizo.
¬ 3 vías de comunicación afectadas.
¬ 2 corrientes desbordadas: Río de la defensa y Río Amatlán (en su cauce).
¬ 1 derrumbe.
¬ 5 árboles caídos.
</t>
  </si>
  <si>
    <t xml:space="preserve">Derivado del paso de la turbonada del día de ayer 16 de abril, se registraron lluvias fuertes acompañadas de granizo, en el municipio Felipe Carrillo Puerto, reportando:
🔺 Efectos:
-  2 Comunidades afectadas (Santa Lucía y de Manuel Altamirano)
- 35 Vivienda con destechamientos.
- 25 Árboles Caídos.
- Sin lesionados, fallecidos y/o evacuados.
</t>
  </si>
  <si>
    <t>San Felipe, Dzilam González, Progreso, Celestún, Sinanché, Hunucmá, Buctzotz, Río Lagartos, Celestún, Progreso y Espita</t>
  </si>
  <si>
    <t xml:space="preserve">Durante el mediodía del domingo 16 de abril, previo a la llegada del Frente Frío No. 49, el estado registró una línea de turbonada originada por su vaguada prefrontal, con vientos fuertes que se intensificaron hasta los 70 km/h de 15:00 a 17:00 horas, reportándose:3 viviendas afectadas por destechamiento.
1 poste caído.
2 árboles caídos.
Cableado caído. 
Fallas en el servicio de energía eléctrica (ya restablecida) 
</t>
  </si>
  <si>
    <t xml:space="preserve">Puebla y Atlixco </t>
  </si>
  <si>
    <t xml:space="preserve">Durante la tarde-noche del 20 de abril, se registraron lluvias fuertes acompañadas de caída de granizo y actividad eléctrica, además de vientos en varias zonas del estado, reportando al momento: Encharcamientos e inundaciones viales.
- 15 viviendas afectadas por penetración de agua. 
- 1 caída de rayo. 
- Locales afectados por el ingreso de agua: sin cuantificar. 
- Daño por el levantamiento de adoquines en vialidades. 
- Fallas en el servicio de la energía eléctrica. 
- Árboles caídos.
- 1 deslave carretero. 
- 3 vehículos descompuestos
- 3 vehículos varados
</t>
  </si>
  <si>
    <t>Azcapotzalco, Álvaro Obregón, Benito Juárez, Iztapalapa, Gustavo A. Madero, Xochimilco, Miguel Hidalgo, Coyoacán y Cuauhtémoc</t>
  </si>
  <si>
    <t xml:space="preserve">Durante la tarde se registraron fuertes vientos reportando:
🔺 Efectos: 
- Alcaldías afectadas: 9
- Lesionados: 2
- Viviendas afectadas: 2
- Vehículos afectados: 3
- Árboles/ramas caídos: 14
- Cables caídos
</t>
  </si>
  <si>
    <t xml:space="preserve">Reynosa y Río Bravo </t>
  </si>
  <si>
    <t xml:space="preserve">Durante el día 21 de abril, tras el ingreso del Frente Frío No. 50, se registraron lluvias fuertes, caída de granizo y fuertes vientos en algunos puntos del estado, reportando: 🔺 Efectos: 
¬ Viviendas afectadas (por destechamiento): 6
¬ Daños a postes y cables sin cuantificar. 
¬ Vehículos afectados (por caída de granizo): sin cuantificar. 
¬ Árboles caídos: sin cuantificar. 
¬ Caída de postes de luz: sin cuantificar. 
¬ Anuncios caídos y a punto de caer sin cuantificar.
</t>
  </si>
  <si>
    <t>se reportó una fuerte tolvanera en la Feria Aeroespacial 2023, ubicada en la Base Aérea Militar No. 1, colonia Santa Lucía, municipio de Zumpango de Ocampo. Derivado del fenómeno, se reportó el levantamiento y caída de 2 carpas de exhibiciones así como del Hospital Móvil de SUEM, mismo que quedó inhabilitado. Se reportaron 13 lesionados, 3 atendidos en el lugar y 10 trasladados al Hospital General de las Américas, IMSS Hospital General Regional 196, IMSS Hospital General Regional No.200, IMSS Hospital Magdalena de las Salinas y Hospital Regional Militar Santa Lucía.</t>
  </si>
  <si>
    <t xml:space="preserve">Durante la tarde del día de ayer 04 de mayo, se registraron lluvias acompañadas de granizo en diversos municipios del estado, se reporta al momento: 🔺 Afectaciones:
- Municipios afectados: 1
- Domicilios afectados: 3
- Caída de techumbres: 2 (escuela y casa de materiales) 
- Encharcamientos viales 
</t>
  </si>
  <si>
    <t xml:space="preserve">Durante la tarde del día de ayer 10 de mayo, se registraron lluvias de distintas intensidades y vientos en varias alcaldías, reportando:
🔺 Afectaciones:
- Alcaldías afectadas: 1
- Viviendas con penetración de agua: 3
- Vehículos varados: 1
- Encharcamientos: 3
- 👫🏻 Sin evacuados, lesionados y/o fallecidos.Alcaldía de Iztapalapa:
• 1 Encharcamiento en Calz. Ermita Iztapalapa, col. Lomas de Zaragoza. Se tuvo afectación en la vialidad. 1 vehículo quedó varado, mismo que ya fue retirado por equipos de emergencia.
• 1 Encharcamiento en Calz. Ermita Iztapalapa, col. Santiago Acahualtepec. El agua ingresó a 3 viviendas. Equipos de emergencia libera las coladeras para abatir los niveles de agua.
• 1 Encharcamiento en Calz. Ermita Iztapalapa, col. Santa Martha Acatitla. Se tiene afectación en la vialidad. Equipos de emergencia en el lugar para abatir los niveles de agua.
</t>
  </si>
  <si>
    <t>Coscomatepec, Alpatláhuac, Chocamán, Tomatlán, Xalapa</t>
  </si>
  <si>
    <t>Por la tarde del 11 de mayo, se registraron fuertes lluvias acompañadas de viento y granizo, reportando:
🔺 Efectos:
• 5 municipios afectados.
• 44 viviendas con afectaciones en techos
• 4 Caída de árboles.
• Encharcamientos
• 👫🏻 Sin evacuados, lesionados y/o fallecidos.</t>
  </si>
  <si>
    <t>De 18:50 a 20:00 horas del 14 de mayo, se registraron lluvias fuertes con granizo y vientos moderados en el municipio de Parral, reportando lo siguiente: 
🔺 Efectos:
• Encharcamientos e inundaciones viales.
• 14 vehículos varados y arrastrados en Av. del Río y Av. Santa Bárbara.
• 30 domicilios con penetración de agua (30 a 100 cm).
• 15 colonias afectadas: PRI, Guerra y Libertad, Santa Elena, Che Guevara, Palmilla, Valle Verde, Emiliano Zapata, Topo Chico, Francisco Villa, Centro, Morelos, Américas, La Peña, La Huerta y San Antonio de las Huertas.
• 1 escurrimiento: río Parral (incrementó su cauce hasta 2.5 m).
• 3 incrementos de caudales: arroyos La Cruz, La Calera y Aranjuez.
• Distintos deslaves en el Periférico Colosio al norte y al sur de la ciudad.
• 👫🏻  Sin evacuados, lesionados y/o fallecidos</t>
  </si>
  <si>
    <t>Querétaro y El Marqués</t>
  </si>
  <si>
    <t>Derivado de las lluvias fuertes registradas en las últimas horas en los municipios de El Marqués y Querétaro Capital, se reportaron las siguientes afectaciones:🔺 Efectos:
- 2 municipios afectados.
- Encharcamientos viales.
- 15 domicilios afectados por penetración de agua.
👫🏻 Sin evacuados, lesionados y/o fallecidos.</t>
  </si>
  <si>
    <t xml:space="preserve">Durante la tarde, se presentaron fuertes lluvias y caída de granizo en el municipio de Saltillo, provocando:
🔺 Efectos:
• Encharcamientos, inundaciones y bajadas de agua en vialidades.
👫🏻 1 menor de 14 años de edad (estudiante) fallecida, al ser arrastrada por la corriente en boulevard Otilio González.
• 1 persona rescatada (masculino) con vida, intentó rescatar a la menor arrastrada por la corriente.
• 3 viviendas afectadas con filtración de agua por goteras.
• 1 vivienda de adobe y block con derrumbes en su interior, al ingresar mucha agua al domicilio, en la colonia Landín.
• 1 persona evacuada de vivienda afectada, resguardada con vecina.
• 1 vivienda con salida de aguas negras en baño, colonia Buenos Aires.
• 1 desbordamiento de presa, en la colonia Diana Laura Riojas de Colosio, ocasionando vados y que varios vehículos quedaran detenidos.
</t>
  </si>
  <si>
    <t>Durante las últimas 24 horas, se registraron lluvias de diferente intensidad, en el municipio de Candelaria, reportando:
🔺Efectos:
- Municipio afectado: 1
- Penetración de agua en viviendas: 8 (6 en la colonia Independencia; 1 en la colonia San Isidro y 1 en la colonia Nueva Creación)
- Colonias afectadas: 3 (colonia Independencia, San Isidro y Nueva Creación)
- Desbordamiento de río: 1</t>
  </si>
  <si>
    <t>Guadalupe, Monterrey, García, Santa Catarina y Mina</t>
  </si>
  <si>
    <t>CONAGUA: 60 mm en el municipio de Montemorelos (08:00 - 21:00 h del 20/05/2023). Derivado de las lluvias de moderadas a fuertes registradas desde la mañana hasta la tarde en la Zona Metropolitana del estado, se reportaron:
🔺 Efectos:
- 5 municipios afectados.
- 1 menor rescatado con vida: García.
- 8 viviendas con penetración de agua.
- Vehículos varados: sin cuantificar.
- 2 vehículos arrastrados.
- Anegaciones viales en zonas bajas
- 1 desbordamiento: arroyo “Las Tinajas”, Guadalupe.
- Colonias sin energía eléctrica.
👫🏻 Sin evacuados, lesionados y/o fallecidos.</t>
  </si>
  <si>
    <t>De las 18:03 a 22:12 horas del 24 de mayo, se registraron lluvias moderadas (lapso de 30 min) y vientos de 40 km/h debido a una vaguada (baja presión) en la Ciudad de Chetumal, municipio de Othón P. Blanco, reportando lo siguiente:
🔺 Efectos:
Municipio de Othón P. Blanco:
• Encharcamientos viales en zonas bajas.
• 18:45 horas. 2 fallecidos y 4 lesionados, derivado de la caída de 1 árbol, el cual lesionó a trabajadores del tren maya que se encontraban realizando trabajos de construcción en las instalaciones del Aeropuerto. Los trabajadores se encontraban debajo de un toldo resguardándose de la lluvia, cuando un árbol de aproximadamente 10 m de altura, cae sobre el toldo desde la raíz. Los lesionados fueron trasladados al IMSS de Chetumal.
• 8 árboles caídos.
• 2 postes caídos.
• 1 caída de espectacular.
• 1 cableado caído.
• Fallas en el servicio de energía eléctrica.</t>
  </si>
  <si>
    <t>A las 12:30 horas, se reportó tormenta eléctrica, en las inmediaciones de la Comunidad la mesa de Aldama, Municipio de Aldama.
Derivado de lo anterior, se reportó la caída de un rayo a 2 senderistas, los cuales fueron trasladados a un nosocomio cercano, para su valoración médica.</t>
  </si>
  <si>
    <t>San Salvador el Seco</t>
  </si>
  <si>
    <t xml:space="preserve">A las 16:00 horas, se presentaron lluvias fuertes y caída de granizo en la Cabecera Municipal de San Salvador el Seco, provocando:
🔺 Efectos:
• Encharcamientos y corrientes de agua en vialidades.
• Viviendas afectadas (daños en láminas): 3.
• Vehículos afectados (por caída de láminas): sin cuantificar. 
• Puestos ambulantes afectados (al caerse su lona por el peso del granizo): sin cuantificar.
• Colonias afectadas por fallas en la energía eléctrica.  
• Terrenos de cultivos afectados 
👫🏻 Sin evacuados, lesionados y/o fallecidos.
</t>
  </si>
  <si>
    <t>Úrsulo Galván, Paso de Ovejas y La Antigua</t>
  </si>
  <si>
    <t xml:space="preserve">A las 08:00 horas del día de ayer 02 de junio, se presentaron lluvias fuertes (por lapso de 5 horas) en el centro del estado de Veracruz, reportando lo siguiente /Municipio de La Antigua
2 viviendas afectadas (tirantes de 30 cm)
2 colonias afectadas (Modelo y Vicente López)
1 corriente desbordada (Conala)
1 árbol caído
1 deslizamiento de tierra en la carreta federal Xalapa-Veracruz
Municipio de Úrsulo Galván
20 viviendas afectadas
3 colonias/ localidades afectadas (Zempoala, Playa Chachalacas y Cabecera municipal)
2 árboles caídos
Municipio de Paso de Ovejas:
15 viviendas afectadas (tirantes de 30 cm)
1 colona afectada (Centro)
</t>
  </si>
  <si>
    <t>Puebla, Acatzingo, San Pedro Cholula, Ocoyucan, San Martín Texmelucan y Huejotzingo</t>
  </si>
  <si>
    <t xml:space="preserve">Municipio de Puebla:
• 3 viviendas afectadas en techos por la acumulación de granizo.
• Acumulación de granizo en vialidades.
• Encharcamientos e inundaciones viales.
• 1 vehículo varado en la colonia Tres Cerritos.
• 1 iglesia afectada por daños en su techo de lona en la Junta Auxiliar San Aparicio. 
Municipio de Acatzingo:
• Acumulación de granizo en vialidades, provocando así encharcamientos. 
• 18:00 horas. 1 persona fallecida con 2 de sus animales de su yunta, por la caída de 1 rayo. 
• 00:340 horas. Después de las indagaciones, el cuerpo fue entregado a familiares. 
Municipio de San Pedro Cholula:
• Encharcamientos e inundaciones viales.
Municipio de Ocoyucan:
• Encharcamientos e inundaciones en vialidades, patios y áreas comunes. 
Municipio de San Martín Texmelucan:
• Encharcamientos e inundaciones viales.
• Daños a cultivos por granizo. 
Municipio de Huejotzingo:
• Encharcamientos e inundaciones viales y en bajo puentes.
</t>
  </si>
  <si>
    <t>Tlalpan,Álvaro Obregón, Iztapalapa, Iztacalco,Miguel Hidalgo, Cuauhtémoc, Benito Juárez Y Xochimilco</t>
  </si>
  <si>
    <t xml:space="preserve">Se reportaron lluvias con chubascos, actividad eléctrica y caída de granizo en 14 alcaldías de la Ciudad de México, reportando:
🔺 Efectos:
• 8 alcaldías afectadas
• 26 encharcamientos 
- 5 árboles caídos
- 1 fallecido y 1 lesionado por caída de árbol
- Afectación vial
- 1 vehículo dañado
</t>
  </si>
  <si>
    <t xml:space="preserve">Veracruz,Boca del Río, Tierra Blanca,Isla, </t>
  </si>
  <si>
    <t xml:space="preserve">Se presentaron lluvias fuertes en el estado de Veracruz, reportando:
💧 CONAGUA: 91 mm en el municipio Boca del Río. (08:00 del 05/06/2023 a las 08:00h del 06/06/2023).
🔺 Efectos:
¬ 4 municipios afectados 
- 290 Viviendas afectadas
- 10 Árboles caídos 
- 5 postes caídos
- 3 Escuelas afectadas
- 2 bardas caídas
- 9 colonias/ localidades afectadas
- 1 refugio temporal activado
- 1 corriente desbordada
- Encharcamientos viales 
- Afectación en servicios de energía eléctrica y telefonía
</t>
  </si>
  <si>
    <t xml:space="preserve">se reportó lluvia y caída de granizo grande en el municipio de Jaumave, reportando: 
🔺 Afectaciones:
- 👫🏻 4 personas lesionadas (granizo) aproximadamente: atendidos en el Hospital Integral de Jaumave, con lesiones leves.
-     6 Viviendas afectadas aproximadamente: daños en techos de lámina, en la Cabecera Municipal.
-     Vehículos afectados: sin cuantificar 
-    Árboles caídos: sin cuantificar 
</t>
  </si>
  <si>
    <t xml:space="preserve">San Agustín Atenango </t>
  </si>
  <si>
    <t xml:space="preserve">A las 01:00 horas del 10 de junio, se intensifican las fuertes lluvias y vientos en el municipio de San Agustín Atenango, reportando: Municipio de San Agustín Atenango:
• 1 caída de techumbre de lámina la cancha municipal.
• 1 daños en el techado de la Presidencia Municipal. 
• 5 viviendas afectadas por caída de techumbres (láminas) y caída de tejas.
• 2 escuelas afectadas, se suspenderán las clases: daño el techado de las aulas de la Escuela Primaria “Vicente Guerrero” y daño en el techado de la cancha de la Escuela Secundaria.
• 6 daños en postes y cableado de luz, por lo que se reporta falla en el suministro de la energía eléctrica. 
• Falla en el servicio de telefonía fija y celular.
• 4 árboles caídos. 
</t>
  </si>
  <si>
    <t xml:space="preserve">Se presentaron fuertes lluvias y vientos moderados en el municipio de Tapachula, reportándose:
🔺 Afectaciones:
- 1 desbordamiento del río Pumpuapa en el Ejido Álvaro Obregón y otros puntos de la ciudad de Tapachula.
- 2 ríos con escurrimientos: Texcuyuapan y Triplillo.
- 20 viviendas afectadas por penetración de agua.
- 2 colonias afectadas por anegaciones: Álvaro Obregón y Colinas del Rey.
- 1 colapso de barda en la colonia Vista Hermosa, por desbordamiento del caudal del río. 
- 1 barda caída en Agencia Automotriz (Nissan).
- 1 Refugio Temporal habilitado. 
- 1 árbol caído. 
- 👫🏻 Sin evacuados, lesionados y/o fallecidos.
</t>
  </si>
  <si>
    <t>Centro y Teapa</t>
  </si>
  <si>
    <t xml:space="preserve">Se registraron lluvias y vientos fuertes en el municipio de Centro y Teapa, provocando: 
🔺 Afectaciones:
- 2 municipios afectados.
- 1 femenina lesionada (caída de árbol sobre un autobús de pasajeros).
- 15 árboles caídos.
- 1 techumbre de láminas caídas.
- 1 vehículo afectado.
- 1 autobús de pasajeros afectado.
- 1 poste de luz afectado.
- 1 antena de internet caída en un edificio particular
- Afectaciones en colonias por fallas en el suministro de la energía eléctrica.
- Suspensión de concierto gratuito (por seguridad de los asistentes). 
- 👫🏻 Sin lesionados y/o fallecidos.
</t>
  </si>
  <si>
    <t xml:space="preserve">Se registraron lluvias ligeras en los municipios de Agua Blanca, Huejutla de Reyes, Pisaflores, Mineral del Monte, Tenango de Doria, Pachuca de Soto, Emiliano Zapata, Apan, Zimapán y Tlahuiltepa, sin reporte de efectos, y de 15:30 a 17:10 horas de moderadas a fuertes en el municipio de Tizayuca, reportando: 
🔺 Efectos:
• 110 viviendas afectadas por penetración de agua (hasta 40 cm): 105 en la colonia El Recinto, 4 en Loma Bonita y 1 en El Pedregal.
• 11 colonias afectadas por encharcamientos en vialidades: Fraccionamiento Jardines de Tizayuca I, Rancho Don Antonio, San Ángel, Marbella, Loma Bonita, El Recinto, Ex-presidentes, Emiliano Zapata, Tizayuca Centro, El Pedregal y Los Naranjos. 
• 2 árboles caídos: 1 en colonia Unidad Habitacional y 1 en colonia Universidad. 
• 👫🏻 Sin lesionados y/o fallecidos.
</t>
  </si>
  <si>
    <t xml:space="preserve">Recibió reporte el día de ayer a las 17:00 horas, sobre el fallecimiento de 1 hombre por caída de rayo sobre  la carretera Cadereyta – Allende, localidad de Lajitas, del municipio de Cadereyta. Cuerpos de emergencia acudieron al sitio, pero el hombre ya no contaba con signos vitales. El cuerpo fue retirado por el servicio Médico Forense. </t>
  </si>
  <si>
    <t>Teopisca</t>
  </si>
  <si>
    <t xml:space="preserve">CONAGUA: 48 mm en el municipio de Ostuacán, con umbral de 194 mm (08:00 h 09/07/2023 - 06:00 h 10/07/2023). La Secretaría de Protección Civil de Chiapas, informa que derivado de las fuertes lluvias del día 09 de julio por la tarde, se reporta en el municipio de Teopisca: 
🔺 Efectos:
• Encharcamientos e inundaciones viales.
• 1 localidad afectada: localidad Betania.
• 8 viviendas afectadas por encharcamientos en su interior.
• 47 personas afectadas (8 familias), trasladadas con amigos y familiares. 
• Vehículos y motos varados. 
• 👫🏻 Sin lesionados y/o fallecidos.
</t>
  </si>
  <si>
    <t>Guaymas y Empalme</t>
  </si>
  <si>
    <t xml:space="preserve">🔺 Efectos:
• 2 municipios afectados: Guaymas y Empalme.
• 63 postes caídos. 
• 6 cables caídos.
• 39 árboles caídos.
• 3 reportes por cristales rotos.
• 2 rescates acuáticos.
• 2 cortos circuitos.
• 10 espectaculares caídos.
• 8 apoyos diversos otorgados a la población.
• 30 daños estructurales en hogares.
• 1 torre de comunicación privada dañada.
• La CFE restableció el suministro eléctrico al 100% de los usuarios afectados. El impacto del fenómeno meteorológico afectó el servicio eléctrico de 55,162 usuarios, quienes representan el 5% de los usuarios totales en la región.
• 👫🏻 Sin evacuados, lesionados y/o fallecidos.
</t>
  </si>
  <si>
    <t xml:space="preserve">Guadalajara, Zapopan, Tlajomulco de Zúñiga y San Pedro Tlaquepaque </t>
  </si>
  <si>
    <t xml:space="preserve">💧CONAGUA: 16.2 mm en el municipio de San Pedro Tlaquepaque, con un umbral de 85 mm (08:00h 20/07/2021 - 08:00h 21/07/2021)
Evento: La Unidad Estatal de Protección Civil y Bomberos Jalisco, informó, que a partir de las 04:50 horas, se presentan lluvias de moderadas a fuertes en la Zona Metropolitana de Guadalajara, reportando: Municipio de Guadalajara:
- Encharcamientos viales.
- Viviendas con penetración de agua. 
Municipio de Zapopan:
- 9 puntos con encharcamientos viales (3 pasos a desnivel). 
- 5 viviendas con penetración de agua. 
- 1 árbol caído.
- 10 vehículos varados/arrastrados. 
Municipio de Tlajomulco de Zúñiga:
- Encharcamientos viales: Av. López Mateos con una inundación de hasta 60 centímetros de tirante de agua.
- 1 desbordamiento del canal La Culebra.
- 1 persona fallecida al ser arrastrada por la corriente de un vado. Su motocicleta fue localiza en el canal La Cuenca. El cuerpo fue localizado el 24 de julio a las 10:00 horas en la Presa el Guayabo.
- 10 vehículos varados: 4 en Camino Real a Colima y Camino Viejo a Santa Cruz, 6 por desbordamiento. 
Municipio de San Pedro Tlaquepaque:
- Encharcamientos viales.
- 1 desbordamiento del Arroyo Seco. 
- Vehículos varados. 
- Entrada de agua en algunos negocios, con tirantes de 20 cm. 
- Viviendas afectadas por penetración de agua en el Fraccionamiento Villa Fontana
</t>
  </si>
  <si>
    <t xml:space="preserve">La UMPC Mazatlán informa que a partir de las 18:30 y hasta las 19:15 horas (tiempo local), del 22 de julio, se presentaron lluvias y vientos fuertes (38.3 mm) en el municipio, reportando: 
</t>
  </si>
  <si>
    <t>Zapopán y Puerto Vallarta</t>
  </si>
  <si>
    <t xml:space="preserve">La UEPC Jalisco informa que a partir de las 19:30 del 22 de julio, se presentaron lluvias y vientos fuertes (52 mm en 12 hrs) en el estado, reportando al momento: Municipio de Puerto Vallarta 
• 9 colonias anegadas (10 de mayo, Floresta, Calvario, Versalles, Fraccionamiento Monte Verde, Misiones, Infonavit Alarcón, Olimpica)
• 6 Vehículos arrastrados (se rescataron ilesos a los tripulantes), en las calles Etziquio, Primero de Mayo, Revolución. 
• 6 personas rescatadas vehículos en las calles Etziquio, Primero de Mayo, Revolución. 
• 10 árboles caídos 
• 2 desprendimientos en estructuras (Plaza Caracol y taquería en col Versalles) 
• 1 corriente crecida (arroyo el Contentillo)
• Fallas en el suministro de energía eléctrica, ya restablecido
• Cierre de vialidades
• Encharcamientos viales
Municipio de Zapopan 
• 1 fallecido por arrastre de camioneta en carreta Cocotlán (colonia Hacienda Copala) 
• 1 rescatada de arrastre de camioneta en carreta Cocotlán (colonia Hacienda Copala) 
• 1 vehículo afectado (colonia Hacienda Copala) 
</t>
  </si>
  <si>
    <t>Guadalajara, Zapopan, Tlajomulco de Zúñiga, San Pedro Tlaquepaque y Villa Guerrero</t>
  </si>
  <si>
    <t xml:space="preserve">La Unidad Estatal de Protección Civil y Bomberos de Jalisco, informa que durante la tarde del 26 de julio, se presentaron lluvias de moderadas a fuertes y vientos fuertes de hasta 60 km/h en la Zona Metropolitana de Guadalajara, reportando:CONAGUA: 40 mm en el municipio de Guadalajara, con un umbral de 86 mm (en 12 horas)
• 5 municipios afectados.
• 122 Viviendas afectadas. 
• 58 vehículos varados. 
• 26 encharcamientos e inundaciones viales.
• 25 colonias afectadas.
• 6 árboles caídos. 
• 2 comercios afectados.
• 3 personas rescatadas de vehículos varados. 
• 1 desbordamiento.
• 4 árboles/ ramas caídas
• 1 barda caída. 
• Afectaciones por filtraciones en estaciones del Sistema de Tren Eléctrico Urbano. 
• Suspensión del servicio del Macrobús sobre Gobernador Curiel.
👫🏻 Sin lesionados y/o fallecidos. 
 </t>
  </si>
  <si>
    <t xml:space="preserve">La UMPC Tlalnepantla de Baz, informa que a partir de las 18:00 horas de ayer 29 de julio, se registraron lluvias fuertes que concluyeron a las 20:00 horas, reportando:
🔺 Efectos:
- 1 municipio afectado
- 4 viviendas con penetración de agua al momento 
- Encharcamientos viales
- Árboles caídos
- 1 desborde del río Santa Cecilia
- 👫🏻 Sin evacuados, lesionados y/o fallecidos, al momento.
</t>
  </si>
  <si>
    <t>Yajalón, Chilón y Pichucalco</t>
  </si>
  <si>
    <t xml:space="preserve">La SPC Chiapas, informa de lluvias fuertes durante la noche – madrugada del 28 de julio en los municipios de Yajalón, Chilón y Pichucalco, reportando:
Municipio de Yajalón
- 55 viviendas con penetración de agua
- 30 negocios con penetración de agua
Municipio de Chilón
- 75 negocios con penetración de agua
Municipio de Pichucalco
- 6 viviendas con penetración de agua
</t>
  </si>
  <si>
    <t xml:space="preserve">La CEPC Michoacán de Ocampo informa que durante la noche de ayer 29 de julio, se registraron lluvias intensas reportando:
🔺 Efectos:
- 1 municipio afectado
- 40 viviendas con penetración de agua al momento (39 con afectaciones menores y 1 pérdida total, en la calle Orquídea, no, 42)
- arrastre de lodo y piedras
- 03 afectados al momento (2 adultos y 1 menor de edad) se trasladan por sus propios medios con familiares
- Encharcamientos viales
- 👫🏻 Sin lesionados y/o fallecidos, al momento.
</t>
  </si>
  <si>
    <t xml:space="preserve">La CEPC Michoacán, informa que a partir de las 15:21 horas, se registraron lluvias fuertes en el municipio de Uruapan, reportando:
🔺 Efectos:
Municipio de Uruapan:
• 10 viviendas afectadas con encharcamientos.
• 31 personas afectadas. 
• 1 negocio afectado por penetración de agua. 
• 4 encharcamientos viales.
• 4 árboles caídos.
• 1 vehículo afectado por caída de árbol. 
• 1 vehículo varado. 
• 👫🏻 Sin evacuados, lesionados y/o fallecidos.
</t>
  </si>
  <si>
    <t>Cosoleacaque, Pajapan, Ixhuatlán del Sureste, Minatitlán, Huatusco, Xalapa y Zongolica</t>
  </si>
  <si>
    <t xml:space="preserve">La SPC de Veracruz y H. Ayuntamiento de Minatitlán, informa que a partir de las 19:00 horas del 29 de julio, se registraron lluvias intensas, reportando al momento:
🔺 Efectos:
- 7 municipios afectados
- penetración de agua en asilo de ancianos, colonia Ejido Tacoteno. (Minatitlán)
- 1,125 viviendas afectadas 
- 38 colonias afectadas al momento
- 4 vía de comunicación afectadas
- 2 derrumbes carreteros
- 1 deslave
- 03 refugios activados al momento, con 133 personas refugiadas.
- 02 corrientes desbordadas
- 1 caída de barda
- 3 caída de árboles
- 1 vehículo afectado
- Afectación en servicios de agua potable y drenaje
- encharcamientos viales
</t>
  </si>
  <si>
    <t>Orizaba, Moloacán, Ixtaczoquitlán y Atzacan</t>
  </si>
  <si>
    <t xml:space="preserve">La SPC Veracruz, informa que desde las 14:00 horas del 30 de julio, se registraron fuertes lluvias en varios municipios del estado, reportando: 
🔺 Efectos:
- 4 municipios afectados.
- 54 viviendas afectadas 
- 1 incremento de arroyo
- 1 desbordamiento del arroyo Nexcalapa
- 1 deslave
- 6 colonias / calles afectadas
- 1 refugio temporal activo con 8 personas
- 8 vías de comunicación afectadas
- 2 socavones
- Vehículos afectados
- Encharcamientos e inundaciones viales
- 👫🏻 Sin lesionados y/o fallecidos. 
</t>
  </si>
  <si>
    <t>Atoyac de Álvarez y Acapulco de Juárez</t>
  </si>
  <si>
    <t xml:space="preserve">La SGIRyPC Guerrero informa que durante la tarde-noche del 31 de julio, se registraron fuertes lluvias en las regiones Costa Grande, Costa Chica, Acapulco, Centro y la parte alta de la Sierra, así como lluvia de ligera a moderada en las regiones Tierra Caliente, Norte y Montaña, reportando Municipio de Atoyac de Álvarez:
- Encharcamientos e inundaciones viales.
- 3 personas rescatadas (ilesas) al ser arrastradas por la creciente de un arroyo al tratar de cruzarlo a bordo de una camioneta, sobre la calle Allende de la colonia Mariscal (las personas se encontraban en estado de ebriedad).
- 21 viviendas afectadas por penetración de agua: 11 viviendas en la Col. 18 de Mayo, 5 viviendas en la col. Las Palmeras, 3 viviendas en la col. Loma del Sur y 2 viviendas en la col. Mariscal.
- 4 viviendas afectadas: 3 por inundaciones y 1 al derrumbarse, debido al crecimiento de un arroyo, en el poblado El Paraíso
- 1 derrumbe de tierra en la carretera Atoyac - El Paraíso, existe vialidad.
- Zona sin energía eléctrica. 
- 5 árboles caídos en diferentes puntos de la Ciudad, principalmente sobre el Blvd. Álvarez y la colonia 18 de Mayo.
- Crecida de escurrimientos naturales en diferentes puntos de la Ciudad de Atoyac de Álvarez, los cuales bajaron a su nivel normal al finalizar la lluvia.
Municipio de Acapulco de Juárez:
- 1 árbol caído sobre la carretera Acapulco - Pinotepa Nacional.
- 2 viviendas afectadas por inundaciones, en la colonia Bella Miel.
</t>
  </si>
  <si>
    <t>Atlahuilco, Coetzala, Coscomatepec, Ixtaczoquitlán, Los Reyes, Mixtla de Altamirano, Tequila, Texhuacán, Tlilapan, Tlalixcoyan, Naranjal y Zongolica</t>
  </si>
  <si>
    <r>
      <t xml:space="preserve">Presencia de lluvia severa e inundación fluvial y/o pluvial ocurrida el día 3 de agosto de 2023 para el Estado de Veracruz de Ignacio de la Llave. </t>
    </r>
    <r>
      <rPr>
        <b/>
        <sz val="10"/>
        <color theme="1"/>
        <rFont val="Aptos Narrow"/>
        <family val="2"/>
        <scheme val="minor"/>
      </rPr>
      <t>Declaratoria de emergencia  y desastre</t>
    </r>
  </si>
  <si>
    <t xml:space="preserve">Los reyes, Zongolica </t>
  </si>
  <si>
    <r>
      <t xml:space="preserve">Ocurrencia de movimiento de ladera del 3 al 7 de agosto de 2023 en 2 municipios del Estado de Veracruz de Ignacio de la Llave.                                          </t>
    </r>
    <r>
      <rPr>
        <b/>
        <sz val="10"/>
        <color theme="1"/>
        <rFont val="Aptos Narrow"/>
        <family val="2"/>
        <scheme val="minor"/>
      </rPr>
      <t xml:space="preserve">Declaratoria de desastre, por lo que se destinaron recursos al sector educativo </t>
    </r>
    <r>
      <rPr>
        <sz val="10"/>
        <color theme="1"/>
        <rFont val="Aptos Narrow"/>
        <family val="2"/>
        <scheme val="minor"/>
      </rPr>
      <t xml:space="preserve"> </t>
    </r>
  </si>
  <si>
    <t>Mazapiltepec  de Juárez</t>
  </si>
  <si>
    <t xml:space="preserve">La CGPC de Puebla, informa que a las 22:39 horas de ayer 04 de agosto, se registraron lluvias moderadas en el municipio de Mazapiltepec de Juárez, reportando: Municipio de Mazapiltepec de Juárez:
- 2 viviendas con encharcamientos con tirantes de 20 y 25 cm, en calle Emiliano Zapata S/N.
- 2 viviendas con inundación de aproximadamente 1 metro, en camino a Mazapiltepec S/N.
- 1 viviendas con encharcamientos de 25 cm aproximadamente, en José Mario Morelos y Pavón 406 Localidad San Martín Rinconada.
- 1 vivienda con encharcamientos de 50 cm aproximadamente, en calle Benito Juárez S/N, San Martín Rinconada.
- 3 viviendas con encharcamientos de 15 y de 20 cm aproximadamente, en San Martín Rinconada.
- 1 vivienda con encharcamientos de 25 cm aproximadamente, en calle Benito Juárez y Emiliano Zapata S/N.
- 3 familias evacuadas, que se fueron con familiares por sus propios medios.
</t>
  </si>
  <si>
    <t xml:space="preserve">La CEPC Michoacán, informa que a partir de las 22:15 horas y hasta las 22:30 horas de ayer 02 de agosto, se registraron lluvias fuertes y vientos fuertes, en el municipio de Morelia, reportando:
🔺 Efectos:
- 1 municipio afectado
- 1 barda caída: Fresno No. 217, Jardines del Rincón
- 1 vivienda con encharcamientos: Lisboa No. 245, Valle Quieto
- 1 árbol caído
- 1 poste caído
</t>
  </si>
  <si>
    <t>San Martin Hidalgo</t>
  </si>
  <si>
    <t xml:space="preserve">CONAGUA informa lluvias fuertes en la madrugada en el municipio de San Martin Hidalgo, reportando al momento afectaciones en la Localidad de El Salitre:
💧 CONAGUA: San Martin Hidalgo 130 mm, con un umbral de 82 mm (08:00 h - 08/08/2023 a las 08:00 h 09/08/2023).
🔺Efectos:
- 1 municipio afectado
- 22 viviendas afectadas: 14 con penetración de agua (tirantes de 0.50 a 1 metro) y 8 con penetración de agua a nivel patio.
- 1 vivienda colapsada al momento: restablecimiento de muros y techos.
-3 calles afectadas: Campesinos, Montebello y Privada Hidalgo.
- 3 árboles caídos al momento sobre la vialidad.
</t>
  </si>
  <si>
    <t>Tlaxcala de Xicohténcatl, Totolac y Chiautempan</t>
  </si>
  <si>
    <r>
      <t xml:space="preserve">💧 CONAGUA: 52.2 mm en la capital del estado, con un umbral de 59.0 mm (08:00h 11/08/2022 - 08:00h 12/08/2023)
La CEPC Tlaxcala, informó que a partir de las 16:30 horas del 11 de agosto, se presentaron lluvias fuertes con granizada atípica en diversos municipios del estado, reportando:
🔺Efectos:
• 3 municipios afectados.
• 1 poste caído.
• 1 deslave.
• 1 vivienda afectada.
• 2 cuartos afectados. 
• 5 personas afectadas. 
• 2 bardas caídas. 
• 1 árbol caído. 
• Encharcamientos de vialidades.
• Encharcamientos en Sedeco. 
• Caída de cables de energía eléctrica.
• 👫🏻 Sin lesionados y/o fallecidos. 
</t>
    </r>
    <r>
      <rPr>
        <sz val="10"/>
        <color rgb="FFFF0000"/>
        <rFont val="Aptos Narrow"/>
        <family val="2"/>
        <scheme val="minor"/>
      </rPr>
      <t>Devido a las fuertes lluvias ocurrio el deslave</t>
    </r>
  </si>
  <si>
    <t xml:space="preserve">Loreto y Mulague </t>
  </si>
  <si>
    <r>
      <t>Ocurrencia de huracán "Hilary" y lluvia severa el 19 de agosto de 2023 en 1 municipio del Estado de Baja California Sur.</t>
    </r>
    <r>
      <rPr>
        <b/>
        <sz val="10"/>
        <color theme="1"/>
        <rFont val="Aptos Narrow"/>
        <family val="2"/>
        <scheme val="minor"/>
      </rPr>
      <t xml:space="preserve"> Declaratoria de emergencia y desastre </t>
    </r>
  </si>
  <si>
    <t>Poanas</t>
  </si>
  <si>
    <t xml:space="preserve">La CONAGUA informa que a las 15:51 horas, se registró el desbordamiento del arroyo de la colonia Rural, comunidad La Joya, municipio de Poanas. Esto debido a las fuertes lluvias que se registraron en el Cerro de Sacrificio, provocando escurrimientos al arroyo. Al momento, el nivel ya está disminuyendo, con un reporte de 2 viviendas afectadas por penetración de agua en su interior (tirante 20 cm) y 3 con encharcamientos en patios. </t>
  </si>
  <si>
    <t>Guadalajara, Zapopan, San Pedro Tlaquepaque, Tlajomulco de Zúñiga, Valle de Guadalupe y San Miguel el Alto</t>
  </si>
  <si>
    <t xml:space="preserve">💧 CONAGUA: 116.9 mm en municipio de Tala (08:00h 19/08/2023- 08:00h 20/08/2023). 
La UEPCyB de Jalisco, informa que a partir de las 18:00 horas del 19 de agosto, se presentaron lluvias de moderadas a fuertes y vientos en la Zona Metropolitana de Guadalajara, reportando: 
Municipio de Guadalajara:
- Encharcamientos e inundaciones viales.
- 6 vehículos varados.
Municipio de Zapopan:
- Encharcamientos e inundaciones viales.
- 12 vehículos varados.
- 5 árboles caídos sobre vialidades. 
Municipio de San Pedro Tlaquepaque:
- El Arroyo Seco presentó desbordamientos a la altura de Av. Adolf B Horn con afectación en vialidad y a la altura del Fraccionamiento Villa Fontana.
- 5 viviendas afectadas por penetración de agua, en el Fraccionamiento Villa Fontana, Av. Colon en su cruce con Periférico Sur.
- La Presa el Chicharrón presentó el 100% de llenado, afectando solo vialidades.
- La Presa Las Pintas se mantiene al 100% y desfogando por compuerta y vertedor.
Municipio de Tlajomulco de Zúñiga:
- Encharcamientos e inundaciones viales.
- 1 vehículo varado. 
Municipio de Valle de Guadalupe:
- 3 viviendas afectadas por penetración de agua, en la colonia Gran China.
Municipio de San Miguel el Alto:
- 1 vivienda afectada por entrada de agua, en la colonia Olas Altas. 
</t>
  </si>
  <si>
    <t>Nahuatzen y Morelia</t>
  </si>
  <si>
    <t xml:space="preserve">La CEPC Michoacán informa, que a partir de las 16:40 horas se registraron lluvias fuertes en los municipios de Nahuatzen y Morelia, reportando    Municipio de Nahuatzen:
• Encharcamientos en diversas vialidades de zonas bajas.
• 2 colonias afectadas: Barrio 1° y Barrio 2°.
• 6 viviendas afacetadas por penetración de agua: 1 de ellas con afectación en dormitorios, por lo que la familia es reubicada con familiares. 
Las afectaciones se debieron por una bajada de agua sobre una barranca, que fue obstruida por ramas y basura.
Municipio de Morelia:
• 1 vivienda con penetración de agua, al momento que dejó de llover, el agua anegada disminuyó en su totalidad.
• 1 colonia afectada: colonia López Mateos. 
• 3 árboles caídos: 1 colonia Valle de los Manantiales, 1 colonia Félix Arreguín y 1 colonia La Huerta Fovissste.
• 1 anuncio luminoso a punto de caer: colonia Irrigación.
</t>
  </si>
  <si>
    <t xml:space="preserve">Ixhuacán de los Reyes, Los Reyes, Huiloapan de Cuauhtémoc, Coatepec, Xalapa y Huatusco </t>
  </si>
  <si>
    <t xml:space="preserve">💧 CONAGUA: 08:00h 28/08/2023 - 00:00h 29/08/2023
- 115 mm municipio de Xalapa, con un umbral de 119 mm.
- 103 mm municipio de Cosautlán, con un umbral de 144 mm.
</t>
  </si>
  <si>
    <t>Chila de la Sal</t>
  </si>
  <si>
    <t xml:space="preserve">La CGPC Puebla informa, que durante la madrugada del 02 de septiembre, se registraron lluvias fuertes en el municipio de Chila de la Sal, reportando:
🔺 Efectos:
Municipio de Chila de la Sal:
- 21 viviendas afectadas en enseres domésticos (tirantes de 1.2 m).
- 1 desbordamiento de barranca. 
- Encharcamientos e inundaciones viales. 
- 👫🏻 Sin lesionados y/o fallecidos
</t>
  </si>
  <si>
    <r>
      <t xml:space="preserve">La CEPC Baja California, informa que a las 15:30 hora local del día 1 de septiembre, se presentaron lluvias de moderadas a fuertes con tormenta eléctrica en el municipio de Mexicali, reportando: </t>
    </r>
    <r>
      <rPr>
        <sz val="10"/>
        <color theme="1"/>
        <rFont val="Aptos Narrow"/>
        <family val="2"/>
        <scheme val="minor"/>
      </rPr>
      <t xml:space="preserve">
🔺 Efectos:
• 90 viviendas afectadas por anegamientos.
• 65 postes dañados de CFE, 47 de ellos corren a un costado (derecho de vía) de la vialidad, son aproximadamente 3 km sobre la carretera estatal 02, en el tramo Ejido Guanajuato - Ejido Michoacán de Ocampo. 
• 1 desbordamiento del canal Tulechek.
• Vehículos varados.
• Cierre de la mayoría de los pasos a desnivel.
• Cortes de energía eléctrica en diferentes puntos de la Ciudad.
• Bajada de agua de la parte serrana (zona Valle Sur).
• Parcelas agrícolas inundadas (zona Valle Sur).
• Encharcamientos e inundaciones en vialidades, en fraccionamientos y en colonias a nivel banqueta.
</t>
    </r>
  </si>
  <si>
    <t>Salto de Agua, Zinacantán y Palenque</t>
  </si>
  <si>
    <t xml:space="preserve">💧 CONAGUA: 49.5 mm en el municipio de Ocosingo (08:00h 01/09/2023 - 08:00h 02/08/2023)
Evento: La SPC Chiapas, informa que durante el día 01 de septiembre, se registraron lluvias y vientos fuertes en varios municipios del estado, reportando: 
🔺 Efectos:
- 3 municipios afectados.
- 6 viviendas afectadas.
- 1 árbol caído.  
- Encharcamientos viales. 
- 👫🏻 Sin lesionados y/o fallecidos. 
Municipio de Salto de Agua:
• 5 viviendas afectadas por desprendimiento de techumbre en el ejido La Gloria, lote 8.
Municipio de Zinacantán:
• Encharcamientos viales. 
Municipio de Palenque:
• 1 árbol caído sobre 1 vivienda, dañando losa y pared, sin daños humanos. 
</t>
  </si>
  <si>
    <t xml:space="preserve">La CEPC Guanajuato, informa que a partir de las 18:00 horas de ayer 06 de septiembre, se registraron lluvias fuertes a ligeras con vientos fuertes en León y Silao, reportando:
🔺 Efectos:
• 1 municipio afectado
• 6 árboles caídos: Colonias Las Trojes, Las Américas, León 1, Jardines de Santa Fe y Miguel Hidalgo
• 3 viviendas afectadas: 1 por caída de barda y 2 por desprendimiento de techos de lámina a causa de los fuertes vientos
• 3 Caída de cables: Colonia San Marcos
• 👫🏻 Sin lesionados y/o fallecidos al momento.
</t>
  </si>
  <si>
    <t>Tlalpan y Tláhuac</t>
  </si>
  <si>
    <t xml:space="preserve">H.C. de Bomberos CDMX informó que a partir de las 17:30 horas de ayer 16 de septiembre, se presentaron lluvias moderadas en varias alcaldías, reportando:
🔺 Efectos: 
2 alcaldías afectadas
8 encharcamientos
6 viviendas con encharcamientos en patios
1 vivienda (en desnivel) 1 con ingreso de agua, se tuvo afectación en tres áreas de: 15 m², 9 m² y 12 m², con tirantes de hasta 1.20 m
--
Alcaldía Tlalpan
- 6 viviendas con encharcamientos de 15 cm. en patios, al nivel de agua ya bajó
- 1 vivienda (en desnivel) 1 con ingreso de agua, se tuvo afectación en tres áreas de: 15 m², 9 m² y 12 m², con tirantes de hasta 1.20 m
- 1 Encharcamiento, Calzada de Tlalpan esquina José María Morelos colonia Tlalpan Centro.
- 1 Encharcamiento calle Tetiz esquina Acanceh, colonia Pedregal de San Nicolás 1a sección.
- 1 Encharcamiento calle Homun colonia Pedregal San Nicolás 1a sección
- 1 Encharcamiento calle Belisario Domínguez, colonia Miguel Hidalgo 2a sección
- 1 Encharcamiento en Dzemul y Maní, Pedregal 4ta sección.
- 1 Encharcamiento en etiz y Acanceh, colonia Pedregal de San Nicolás
- 1 Encharcamiento en Corregidora y Campo Xóchitl, col. Miguel Hidalgo.
Alcaldía Tláhuac
- 1 Encharcamiento con espejo de 5 m, tirante 20 cm, en Francisco Acuña de Figueroa y Tomas Carrasquilla, colonia Zapotitla
</t>
  </si>
  <si>
    <t xml:space="preserve"> Ensenada, Mexicali, Tecate, Tijuana, Playas de Rosarito, San Quintín, San Felipe</t>
  </si>
  <si>
    <r>
      <t>ocurrencia del huracán "Hilary" del 18 al 20 de agosto de 2023 en 7 municipios del Estado de Baja California.</t>
    </r>
    <r>
      <rPr>
        <b/>
        <sz val="10"/>
        <color theme="1"/>
        <rFont val="Aptos Narrow"/>
        <family val="2"/>
        <scheme val="minor"/>
      </rPr>
      <t xml:space="preserve"> Declaratoria de desastre </t>
    </r>
  </si>
  <si>
    <t>Autlán de Navarro</t>
  </si>
  <si>
    <r>
      <t>Ocurrencia de movimiento de ladera el día 25 de septiembre de 2023 en 1 Municipio del Estado de Jalisco</t>
    </r>
    <r>
      <rPr>
        <b/>
        <sz val="10"/>
        <color theme="1"/>
        <rFont val="Aptos Narrow"/>
        <family val="2"/>
        <scheme val="minor"/>
      </rPr>
      <t xml:space="preserve"> Declaratoria de desastre, por lo que se destinaron los recursos al sector hidraulico </t>
    </r>
  </si>
  <si>
    <t>Frontera, Matamoros, Monclova y Torreón</t>
  </si>
  <si>
    <t xml:space="preserve">La UEPC Coahuila informa que durante la tarde-noche del 5 de octubre, se presentaron  lluvias de moderadas a fuertes en el estado, reportando: 
💧 CONAGUA: 82 mm en el municipio de Monclova, con un umbral de 74.36 mm (08:00h 05/10/2023 - 08:00h 06/10/2023)
🔺 Efectos:
- 4 municipios afectados.
- 40 viviendas afectadas.
- 35 vehículos varados.
- 2 colonias afectadas.
- 1 árbol caído.
- Anegaciones en zonas bajas y encharcamientos viales.
</t>
  </si>
  <si>
    <t xml:space="preserve">Yecuatla, Tamiahua, Huyacocotla, Agua dulce, Xalapa, Álamo Temapache, Veracruz, Naranjos Amatlán, Tuxpan, Tihuatlán, Córdoba, Amatlán de los reyes, Ixtaczoquitlán, Tlapacoyán, Misantla, Chontla, San Rafael, Ixhuatlán, Papantla y Tuxpan </t>
  </si>
  <si>
    <t xml:space="preserve">• 20 municipios
• 1 deslave
• 2 personas lesionadas
• 43 viviendas 
• 14 Colonias afectadas
• 1 vías de comunicación
• 10 derrumbes
• 2 socavón
• 3 Corrientes desbordadas
• 1 inmueble afectado
• 31 árboles caídos
• 1 Escuela afectada
• 2 caída de barda
• Servicio de drenaje afectado
</t>
  </si>
  <si>
    <t>Coyuca de Benítez, Benito Juárez, Acapulco de Juárez , Atoyac de Álvarez, Xalpatláhuac , Técpan de Galeana</t>
  </si>
  <si>
    <r>
      <t xml:space="preserve">Presencia de "vientos fuertes y lluvia severa ocasionados por la Tormenta Tropical Max" </t>
    </r>
    <r>
      <rPr>
        <b/>
        <sz val="10"/>
        <color theme="1"/>
        <rFont val="Aptos Narrow"/>
        <family val="2"/>
        <scheme val="minor"/>
      </rPr>
      <t xml:space="preserve">Declaratoria de emergencia y desastre </t>
    </r>
  </si>
  <si>
    <t>Puerto Vallarta, Cabo Corrientes y Tomatlán</t>
  </si>
  <si>
    <t xml:space="preserve">Huracán Lidia </t>
  </si>
  <si>
    <t xml:space="preserve">Gobierno del estado de Jalisco </t>
  </si>
  <si>
    <t xml:space="preserve">Gobierno del estado de Nayarit </t>
  </si>
  <si>
    <t xml:space="preserve"> Armería, Colima, Manzanillo, Minatitlán, Villa de Álvarez e Ixtlahuacán</t>
  </si>
  <si>
    <t xml:space="preserve">Gobierno del estado de Colima </t>
  </si>
  <si>
    <t>Ixhuatlán del Sureste , Moloacán, Agua Dulce  , Las Choapas, Uxpanapa, Misantla</t>
  </si>
  <si>
    <r>
      <t xml:space="preserve">Ocurrencia de lluvia severa, inundación fluvial e inundación pluvial el 15 y 16 de octubre de 2023 en 6 municipios del Estado de Veracruz de Ignacio de la Llave. </t>
    </r>
    <r>
      <rPr>
        <b/>
        <sz val="10"/>
        <color theme="1"/>
        <rFont val="Aptos Narrow"/>
        <family val="2"/>
        <scheme val="minor"/>
      </rPr>
      <t>Declaratoria de desastre</t>
    </r>
    <r>
      <rPr>
        <sz val="10"/>
        <color theme="1"/>
        <rFont val="Aptos Narrow"/>
        <family val="2"/>
        <scheme val="minor"/>
      </rPr>
      <t xml:space="preserve"> </t>
    </r>
  </si>
  <si>
    <t>La paz, Los Cabos</t>
  </si>
  <si>
    <t xml:space="preserve">Huracán "Norma" . Se emite declaratoria de emergencia por ocurrencia de lluvia severa, inundación fluvial y pluvial, y vientos fuertes del 20 al 22 de octubre de 2023 en 2 municipios del Estado de Baja California Sur. </t>
  </si>
  <si>
    <t xml:space="preserve">Coyuca de Benítez, Acapulco de Juárez </t>
  </si>
  <si>
    <t>Tatahuicapan de Juárez, Texistepec, Ixhuatlán del Sureste, Nanchital, Santiago Tuxtla, Acayucan, Las Choapas, Tlilapan, Lerdo de Tejada, San Andrés Tuxtla, Catemaco, Alvarado, Ignacio de la Llave, Jamapa, Minatitlán, Boca del Río, Medellín de Bravo, Agua Dulce, Coatzacoalcos y Veracruz</t>
  </si>
  <si>
    <t xml:space="preserve">La SPC Veracruz, reportó lluvias fuertes y rachas de viento fuertes asociadas a evento de Norte y al paso del Frente Frío No. 8, del 31 de octubre al 06 de noviembre en varios municipios del estado, reportando:
🔺Efectos:
• 21 municipios afectados.
• 3 personas lesionadas.
• 3,573 viviendas afectadas.
• 14,292 personas afectadas. 
• 12 localidades incomunicadas.
• 32 colonias / comunidad afectadas.
• 3 deslizamientos.
• 5 puentes afectados.
• 1 derrumbe.
• 1 deslave. 
• 1 socavón.
• 12 vías de comunicación afectada.
• 2 inmuebles afectados.
• 6 construcciones afectadas.
• 2 bardas colapsadas.
• 46 locales comerciales afectados.
• 11 escuelas afectadas.
• 9 corrientes desbordadas.
• 97 personas refugiadas.
• 1 persona evacuada.
• 205 personas rescatadas. 
• 0 refugio temporal activos.
• 5 refugios desactivados.
• 28 postes caídos.
• 289 árboles caídos.
• 23 espectaculares caídos.
• 8 zonas con fallas en energía eléctrica.
• Fallas en el servicio de drenaje y agua potable.
</t>
  </si>
  <si>
    <t>Se registró choque por alcance entre 1 autobús de pasajeros y 1 tractocamión en la Autopista Siglo XXI a la altura del Tamarindo, en el municipio de La Unión de Isidoro Montes de Oca, correspondiente al estado de Guerrero, se desconocen las causas del percance. Derivado de lo anterior, se reportan 27 personas lesionadas, los cuales fueron trasladados al hospital de Lázaro Cárdenas. La vialidad fue cerrada para la atención de la emergencia, al momento se labora en el retiro de la unidad</t>
  </si>
  <si>
    <t>Alvarado, Veracruz, José Azueta, Cosamaloapan, Tlalixcoyan, Jamapa, Boca del Río, Medellín de Bravo, Tuxtilla, Tlacotalpan, Soledad de Doblado, Amatitlán, Tres Valles, Tierra Blanca, Úrsula Galván, Carlos A. Carrillo, La Antigua, La Isla, Rafael Lucio, Ignacio de la Llave, Xalapa, Tancoco, Tlaltetela, Tepetzintla, Los Naranjos Amatlán, Álamo Temapache, Cerro Azul y Los Tlapacoyan</t>
  </si>
  <si>
    <t xml:space="preserve">La SPC Veracruz, informa que derivado al paso del Frente Frío No. 16, durante el día 10 de diciembre, se registraron lluvias fuertes vientos en el estado, reportando: 
💧 CONAGUA: 38 mm en el municipio de Pánuco, con un umbral de 144 mm (08:00h 09/12/2023 - 08:00h 10/12/2023).
🌬️ CONAGUA: - 113 km/h de rachas de viento en el municipio de Veracruz. 
🔺Efectos: 
29 municipios afectados.
44 viviendas afectadas.
176 personas afectadas.
13 espectaculares caídos.
13 colonias / localidades afectadas.
1 escuela afectada.
1 derrumbe.
2 locales comerciales.
4 estructuras afectadas.
2 inmuebles afectados.
5 vehículos afectados. 
41 postes caídos.
11 lonas caídas.
217 árboles caídos.
4 bardas caídas.
1 albergue desactivado. 
16 fallas en suministro eléctrico.
2 fallas en telefonía. 
4 personas lesionadas. 
35 personas albergadas (ya en sus hogares). 
</t>
  </si>
  <si>
    <t xml:space="preserve">Se registró el desprendimiento de un talud el cual dejo atrapados a 4 trabajadores durante obras de revestimiento y rectificación del río Tula por parte de la empresa constructora Control de Erosión S. A. de C. V., en el municipio de Tula de Allende.
Se desconoce la causa, reportando que los trabajadores fueron rescatados y resultando 1 fallecido y 3 más lesionados, los cuales fueron trasladados a un centro médico.
</t>
  </si>
  <si>
    <t>En 2023 se presentaron 582 casos por golpe de calor, 464 por deshidratación  y 56 por quemaduras.102 personas perdieron la vida: 89 golpe de calor y 13 por deshidratación</t>
  </si>
  <si>
    <t>SSA</t>
  </si>
  <si>
    <t>En 2023 se presentaron 324 casos por golpe de calor, 492 por deshidratación  y 3 por quemaduras.117 personas perdieron la vida: 113 golpe de calor y 4 por deshidratación</t>
  </si>
  <si>
    <t>En 2023 se presentaron 307 casos por golpe de calor, 108 por deshidratación  y 3 por quemaduras.6  personas perdieron la vida por golpe de calor</t>
  </si>
  <si>
    <t>En 2023 se presentaron 62 casos por golpe de calor y 183 por deshidratación. 11  personas perdieron la vida por golpe de calor</t>
  </si>
  <si>
    <t>En 2023 se presentaron 167 casos por golpe de calor, 35 por deshidratación  y 2 por quemaduras 31  personas perdieron la vida por  golpe de calor</t>
  </si>
  <si>
    <t>En 2023 se presentaron 103 casos por golpe de calor, 83 por deshidratación  y 1 por quemaduras, 54 personas perdieron la vida por  golpe de calor</t>
  </si>
  <si>
    <t>En 2023 se presentaron 87 casos por golpe de calor, 98 por deshidratación  y 1 por quemaduras, 1 persona perdió la vida por  golpe de calor</t>
  </si>
  <si>
    <t>En 2023 se presentaron 136 casos por golpe de calor y  34 por deshidratación, 9 persona perdió la vida por  golpe de calor</t>
  </si>
  <si>
    <t>En 2023 se presentaron 120 casos por golpe de calor y  43 por deshidratación, 32 personas perdieron la vida:31 golpe de calor y 1 por deshidratación</t>
  </si>
  <si>
    <t>En 2023 se presentaron 111 casos por golpe de calor, 36 por deshidratación  y 1 por quemaduras.1  personas perdieron la vida: 8 golpe de calor y 6 por deshidratación</t>
  </si>
  <si>
    <t>En 2023 se presentaron 49 casos por golpe de calor, 64 por deshidratación  y 7 por quemaduras.1  persona perdió la vida  por golpe de calor</t>
  </si>
  <si>
    <t>En 2023 se presentaron 82 casos por golpe de calor, 20 por deshidratación  y 1 por quemaduras.6  persona perdió la vida  por golpe de calor</t>
  </si>
  <si>
    <t>En 2023 se presentaron 49 casos por golpe de calor, 13 por deshidratación  y 28 por quemaduras, 13  personas perdieron la vida: 12 golpe de calor y 1 por deshidratación</t>
  </si>
  <si>
    <t>En 2023 se presentaron 39 casos por golpe de calor y  25 por deshidratación, 3 personas perdieron la vida por golpe de calor</t>
  </si>
  <si>
    <t>En 2023 se presentaron 37 casos por golpe de calor, 13 por deshidratación y 1 por quemaduras.1  persona perdió  la vida por golpe de calor</t>
  </si>
  <si>
    <t>En 2023 se presentaron 37 casos por golpe de calor, 9 por deshidratación y 1 por quemaduras.  9 personas perdieron la vida: 6 golpe de calor y 3 por deshidratación</t>
  </si>
  <si>
    <t>En 2023 se presentaron 8 casos por golpe de calor y 27 por deshidratación,  2 personas perdieron la vida por golpe de calor</t>
  </si>
  <si>
    <t>En 2023 se presentaron 13 casos por golpe de calor y 21 por deshidratación,  3 personas perdieron la vida por golpe de calor</t>
  </si>
  <si>
    <t>En 2023 se presentaron 20 casos por golpe de calor</t>
  </si>
  <si>
    <t>En 2023 se presentaron 15 casos por golpe de calor</t>
  </si>
  <si>
    <t>En 2023 se presentaron 11 casos por golpe de calor, 3 por deshidratación y 1 por quemaduras</t>
  </si>
  <si>
    <t>En 2023 se presentaron 11 casos por golpe de calor, 3 por deshidratación y 1 por quemaduras. 1 persona perdió la vida por golpe de calor</t>
  </si>
  <si>
    <t>En 2023 se presentaron 12 casos por golpe de calor y 2 por deshidratación r, 4 personas perdieron la vida por golpe de calor</t>
  </si>
  <si>
    <t>En 2023 se presentaron 5 casos por golpe de calor y 4 por deshidratación 1 persona perdió la vida por golpe de calor</t>
  </si>
  <si>
    <t>En 2023 se presentaron 6 casos por golpe de calor 1 persona perdió la vida por golpe de calor</t>
  </si>
  <si>
    <t>En 2023 se presentaron 2 casos por golpe de calor y  4 por quemaduras.</t>
  </si>
  <si>
    <t>En 2023 se presentaron 5 casos por golpe de calor</t>
  </si>
  <si>
    <t>En 2023 se presentaron 4 casos por golpe de calor y 1 por deshidratación</t>
  </si>
  <si>
    <t>En 2023 se presentaron 4 casos por golpe de calor</t>
  </si>
  <si>
    <t>En 2023 se presentaron 1 casos por golpe de calor y 1 por quemadura</t>
  </si>
  <si>
    <t>En 2023 se presentaron 34 por intoxicación y 21 por quemaduras. 11 personas perdieron la vida:10 por intoxicación y 1 por quemadura.</t>
  </si>
  <si>
    <t>En 2023 se presentaron 1 casos por hipotermia, 23 por intoxicación y 2 por quemaduras. 3 personas perdieron la vida: 1 por hipotermia y 2 por intoxicación</t>
  </si>
  <si>
    <t xml:space="preserve">En 2023 se presentaron 4 casos por hipotermia  </t>
  </si>
  <si>
    <t xml:space="preserve">En 2023 se presentaron 2 casos por intoxicación  </t>
  </si>
  <si>
    <t>En 2023 se presentaron 2 casos por intoxicación y 2 persona personas perdieron la vida por intoxicación</t>
  </si>
  <si>
    <t>En 2023 se presentaron  3 casos por intoxicación</t>
  </si>
  <si>
    <t>En 2023 se presentaron 1 casos por hipotermia  y 1 por quemaduras</t>
  </si>
  <si>
    <t>En 2023 se presentaron 1 casos por hipotermia</t>
  </si>
  <si>
    <t>En 2023 se presentaron 1 casos por intoxicación y una defunción por intoxicación</t>
  </si>
  <si>
    <t>En 2023 se presentaron 1 casos por hipotermia y 8 por intoxicación. 2 personas perdieron la vida por intoxicación</t>
  </si>
  <si>
    <t>En 2023 se presentaron 1 casos por hipotermia y 3 por intoxicación. 1 personas perdieron la vida por hipotermia</t>
  </si>
  <si>
    <t xml:space="preserve">En 2023 se presentaron 1 casos por hipotermia y 4 por intoxicación. </t>
  </si>
  <si>
    <t>En 2023 se presentaron 2 casos por hipotermia</t>
  </si>
  <si>
    <t>En 2023 se presentaron 1 casos por hipotermia y 1 persona perdió la vida por hipotermia</t>
  </si>
  <si>
    <t xml:space="preserve">Se presento sequía en el estado de Chuhuahua donde se entregaron distintos apoyos Juntos por la-  Sierra Tarahumara, - Subsidios a la Produccion, Equipamento e infraestructura, - Rastrojo, - Fideicomisos para el fomento de las actividades productivas,- Creditos emergentes a los agricultores </t>
  </si>
  <si>
    <t xml:space="preserve">Gobierno del estado de Chihuahua </t>
  </si>
  <si>
    <t xml:space="preserve">Gobierno del estado de Zacatecas </t>
  </si>
  <si>
    <r>
      <t xml:space="preserve">Presencia  de lluvia severa y vientos fuertes el día 24 de octubre de 2023 en 2 municipios del Estado de Guerrero ocacionados por huracan "Otis" categoría 5 Los estados se corroboraron en el término de la </t>
    </r>
    <r>
      <rPr>
        <b/>
        <sz val="10"/>
        <color theme="1"/>
        <rFont val="Aptos Narrow"/>
        <family val="2"/>
        <scheme val="minor"/>
      </rPr>
      <t>declaratoria de emergencia</t>
    </r>
    <r>
      <rPr>
        <sz val="10"/>
        <color theme="1"/>
        <rFont val="Aptos Narrow"/>
        <family val="2"/>
        <scheme val="minor"/>
      </rPr>
      <t xml:space="preserve"> publicada el 09 de noviembre de 2023 en el DOF. </t>
    </r>
    <r>
      <rPr>
        <b/>
        <sz val="10"/>
        <color theme="1"/>
        <rFont val="Aptos Narrow"/>
        <family val="2"/>
        <scheme val="minor"/>
      </rPr>
      <t xml:space="preserve">Declaratoria de desastre </t>
    </r>
  </si>
  <si>
    <t xml:space="preserve">Debido a la sequía en el estado de Zacatecas se implementó un programa a productores ganaderos para hacer frente a este fenómeno </t>
  </si>
  <si>
    <t>Ciclones</t>
  </si>
  <si>
    <t>Frío Extremo</t>
  </si>
  <si>
    <t>Lluvias e Inundaciones</t>
  </si>
  <si>
    <t>Viento Extremo</t>
  </si>
  <si>
    <t>Calor Extremo</t>
  </si>
  <si>
    <t>Actividad Volcánica</t>
  </si>
  <si>
    <t>Sismos</t>
  </si>
  <si>
    <t>Movimientos de Masa</t>
  </si>
  <si>
    <t>Mes</t>
  </si>
  <si>
    <t>Duración días</t>
  </si>
  <si>
    <t>A</t>
  </si>
  <si>
    <t>B</t>
  </si>
  <si>
    <t>Impacto humano</t>
  </si>
  <si>
    <t>Daños a infraestructura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</si>
</sst>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quot;$&quot;* #,##0.00_-;_-&quot;$&quot;* &quot;-&quot;??_-;_-@_-"/>
    <numFmt numFmtId="43" formatCode="_-* #,##0.00_-;\-* #,##0.00_-;_-* &quot;-&quot;??_-;_-@_-"/>
    <numFmt numFmtId="164" formatCode="d\-m\-yy;@"/>
    <numFmt numFmtId="165" formatCode="#,##0.0"/>
    <numFmt numFmtId="166" formatCode="d\-mmm"/>
    <numFmt numFmtId="167" formatCode="0.0"/>
    <numFmt numFmtId="168" formatCode="d\-m"/>
    <numFmt numFmtId="169" formatCode="_-* #,##0_-;\-* #,##0_-;_-* &quot;-&quot;??_-;_-@_-"/>
    <numFmt numFmtId="170" formatCode="_-&quot;$&quot;* #,##0.0_-;\-&quot;$&quot;* #,##0.0_-;_-&quot;$&quot;* &quot;-&quot;??_-;_-@_-"/>
  </numFmts>
  <fonts count="26" x14ac:knownFonts="1">
    <font>
      <sz val="11"/>
      <color theme="1"/>
      <name val="Aptos Narrow"/>
      <family val="2"/>
      <scheme val="minor"/>
    </font>
    <font>
      <sz val="11"/>
      <color theme="1"/>
      <name val="Aptos Narrow"/>
      <family val="2"/>
      <scheme val="minor"/>
    </font>
    <font>
      <u/>
      <sz val="11"/>
      <color theme="10"/>
      <name val="Aptos Narrow"/>
      <family val="2"/>
      <scheme val="minor"/>
    </font>
    <font>
      <b/>
      <sz val="9"/>
      <name val="Arial"/>
      <family val="2"/>
    </font>
    <font>
      <sz val="9"/>
      <color theme="1"/>
      <name val="Arial"/>
      <family val="2"/>
    </font>
    <font>
      <sz val="9"/>
      <name val="Arial"/>
      <family val="2"/>
    </font>
    <font>
      <sz val="9"/>
      <color indexed="8"/>
      <name val="Arial"/>
      <family val="2"/>
    </font>
    <font>
      <i/>
      <sz val="9"/>
      <name val="Arial"/>
      <family val="2"/>
    </font>
    <font>
      <sz val="9"/>
      <color rgb="FF2F2F2F"/>
      <name val="Arial"/>
      <family val="2"/>
    </font>
    <font>
      <sz val="10"/>
      <name val="Arial"/>
      <family val="2"/>
    </font>
    <font>
      <sz val="10"/>
      <color theme="1"/>
      <name val="Arial"/>
      <family val="2"/>
    </font>
    <font>
      <sz val="9"/>
      <color indexed="10"/>
      <name val="Arial"/>
      <family val="2"/>
    </font>
    <font>
      <sz val="9"/>
      <color theme="1"/>
      <name val="Aptos Narrow"/>
      <family val="2"/>
      <scheme val="minor"/>
    </font>
    <font>
      <sz val="10"/>
      <color theme="1"/>
      <name val="Aptos Narrow"/>
      <family val="2"/>
      <scheme val="minor"/>
    </font>
    <font>
      <sz val="8"/>
      <name val="Arial"/>
      <family val="2"/>
    </font>
    <font>
      <sz val="9"/>
      <color rgb="FF4B4B4B"/>
      <name val="Arial"/>
      <family val="2"/>
    </font>
    <font>
      <b/>
      <sz val="9"/>
      <color indexed="8"/>
      <name val="Arial"/>
      <family val="2"/>
    </font>
    <font>
      <sz val="10"/>
      <color rgb="FF000000"/>
      <name val="Arial"/>
      <family val="2"/>
    </font>
    <font>
      <u/>
      <sz val="9"/>
      <color theme="10"/>
      <name val="Arial"/>
      <family val="2"/>
    </font>
    <font>
      <b/>
      <sz val="9"/>
      <color theme="1"/>
      <name val="Aptos Narrow"/>
      <family val="2"/>
      <scheme val="minor"/>
    </font>
    <font>
      <b/>
      <sz val="10"/>
      <color theme="1"/>
      <name val="Aptos Narrow"/>
      <family val="2"/>
      <scheme val="minor"/>
    </font>
    <font>
      <sz val="10"/>
      <color rgb="FF222222"/>
      <name val="Montserrat"/>
    </font>
    <font>
      <sz val="10"/>
      <color theme="1"/>
      <name val="Montserrat"/>
    </font>
    <font>
      <sz val="10"/>
      <color rgb="FFFF0000"/>
      <name val="Aptos Narrow"/>
      <family val="2"/>
      <scheme val="minor"/>
    </font>
    <font>
      <sz val="9"/>
      <color indexed="81"/>
      <name val="Tahoma"/>
      <family val="2"/>
    </font>
    <font>
      <b/>
      <sz val="9"/>
      <color indexed="81"/>
      <name val="Tahoma"/>
      <family val="2"/>
    </font>
  </fonts>
  <fills count="7">
    <fill>
      <patternFill patternType="none"/>
    </fill>
    <fill>
      <patternFill patternType="gray125"/>
    </fill>
    <fill>
      <patternFill patternType="solid">
        <fgColor theme="0" tint="-0.34998626667073579"/>
        <bgColor indexed="64"/>
      </patternFill>
    </fill>
    <fill>
      <patternFill patternType="solid">
        <fgColor rgb="FFFAFAFA"/>
        <bgColor indexed="64"/>
      </patternFill>
    </fill>
    <fill>
      <patternFill patternType="solid">
        <fgColor theme="0"/>
        <bgColor indexed="64"/>
      </patternFill>
    </fill>
    <fill>
      <patternFill patternType="solid">
        <fgColor indexed="9"/>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xf numFmtId="0" fontId="1" fillId="0" borderId="0"/>
    <xf numFmtId="0" fontId="9" fillId="0" borderId="0"/>
    <xf numFmtId="43" fontId="1" fillId="0" borderId="0" applyFont="0" applyFill="0" applyBorder="0" applyAlignment="0" applyProtection="0"/>
    <xf numFmtId="0" fontId="9" fillId="0" borderId="0"/>
    <xf numFmtId="0" fontId="1" fillId="0" borderId="0"/>
  </cellStyleXfs>
  <cellXfs count="259">
    <xf numFmtId="0" fontId="0" fillId="0" borderId="0" xfId="0"/>
    <xf numFmtId="164" fontId="3"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49" fontId="3" fillId="2" borderId="1" xfId="0" applyNumberFormat="1" applyFont="1" applyFill="1" applyBorder="1" applyAlignment="1">
      <alignment horizontal="center" vertical="center"/>
    </xf>
    <xf numFmtId="49" fontId="3" fillId="2" borderId="1" xfId="0" applyNumberFormat="1" applyFont="1" applyFill="1" applyBorder="1" applyAlignment="1" applyProtection="1">
      <alignment horizontal="center" vertical="center"/>
      <protection locked="0"/>
    </xf>
    <xf numFmtId="0" fontId="4" fillId="0" borderId="0" xfId="0" applyFont="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alignment horizontal="left" vertical="center"/>
    </xf>
    <xf numFmtId="165" fontId="5" fillId="0" borderId="1" xfId="0" applyNumberFormat="1" applyFont="1" applyBorder="1" applyAlignment="1">
      <alignment horizontal="left" vertical="center"/>
    </xf>
    <xf numFmtId="165" fontId="5" fillId="0" borderId="1" xfId="0" quotePrefix="1" applyNumberFormat="1" applyFont="1" applyBorder="1" applyAlignment="1">
      <alignment horizontal="left" vertical="center" wrapText="1"/>
    </xf>
    <xf numFmtId="165" fontId="5" fillId="0" borderId="1" xfId="0" applyNumberFormat="1" applyFont="1" applyBorder="1" applyAlignment="1" applyProtection="1">
      <alignment horizontal="left" vertical="center" wrapText="1"/>
      <protection locked="0"/>
    </xf>
    <xf numFmtId="3" fontId="5" fillId="0" borderId="1" xfId="0" quotePrefix="1" applyNumberFormat="1" applyFont="1" applyBorder="1" applyAlignment="1">
      <alignment horizontal="center" vertical="center"/>
    </xf>
    <xf numFmtId="3" fontId="5" fillId="0" borderId="1" xfId="0" applyNumberFormat="1" applyFont="1" applyBorder="1" applyAlignment="1">
      <alignment horizontal="center" vertical="center"/>
    </xf>
    <xf numFmtId="44" fontId="5" fillId="0" borderId="1" xfId="1" applyNumberFormat="1" applyFont="1" applyBorder="1" applyAlignment="1">
      <alignment vertical="center"/>
    </xf>
    <xf numFmtId="0" fontId="5" fillId="0" borderId="1" xfId="0" quotePrefix="1" applyFont="1" applyBorder="1" applyAlignment="1">
      <alignment horizontal="center" vertical="center"/>
    </xf>
    <xf numFmtId="0" fontId="5" fillId="0" borderId="1" xfId="0" applyFont="1" applyBorder="1" applyAlignment="1">
      <alignment horizontal="left" vertical="center"/>
    </xf>
    <xf numFmtId="165" fontId="5" fillId="0" borderId="1" xfId="0" applyNumberFormat="1" applyFont="1" applyBorder="1" applyAlignment="1">
      <alignment horizontal="left" vertical="center" wrapText="1"/>
    </xf>
    <xf numFmtId="166" fontId="5" fillId="0" borderId="1" xfId="0" applyNumberFormat="1" applyFont="1" applyBorder="1" applyAlignment="1">
      <alignment horizontal="left" vertical="center"/>
    </xf>
    <xf numFmtId="0" fontId="5" fillId="0" borderId="1" xfId="0" applyFont="1" applyBorder="1" applyAlignment="1">
      <alignment horizontal="center" vertical="center" wrapText="1"/>
    </xf>
    <xf numFmtId="49" fontId="5" fillId="0" borderId="1" xfId="0" applyNumberFormat="1" applyFont="1" applyBorder="1" applyAlignment="1">
      <alignment horizontal="left" vertical="center" wrapText="1"/>
    </xf>
    <xf numFmtId="0" fontId="5" fillId="0" borderId="1" xfId="0" applyFont="1" applyBorder="1" applyAlignment="1" applyProtection="1">
      <alignment horizontal="left" vertical="center" wrapText="1"/>
      <protection locked="0"/>
    </xf>
    <xf numFmtId="1" fontId="5" fillId="0" borderId="1" xfId="0" quotePrefix="1" applyNumberFormat="1" applyFont="1" applyBorder="1" applyAlignment="1">
      <alignment horizontal="center" vertical="center" wrapText="1"/>
    </xf>
    <xf numFmtId="3" fontId="5" fillId="0" borderId="1" xfId="0" applyNumberFormat="1" applyFont="1" applyBorder="1" applyAlignment="1">
      <alignment horizontal="center" vertical="center" wrapText="1"/>
    </xf>
    <xf numFmtId="44" fontId="5" fillId="0" borderId="1" xfId="1" applyNumberFormat="1" applyFont="1" applyFill="1" applyBorder="1" applyAlignment="1">
      <alignment vertical="center" wrapText="1"/>
    </xf>
    <xf numFmtId="49" fontId="5" fillId="0" borderId="1" xfId="0" applyNumberFormat="1" applyFont="1" applyBorder="1" applyAlignment="1">
      <alignment horizontal="center" vertical="center" wrapText="1"/>
    </xf>
    <xf numFmtId="44" fontId="5" fillId="0" borderId="1" xfId="1" applyNumberFormat="1" applyFont="1" applyFill="1" applyBorder="1" applyAlignment="1">
      <alignment vertical="center"/>
    </xf>
    <xf numFmtId="0" fontId="4" fillId="0" borderId="1" xfId="4" applyFont="1" applyBorder="1" applyAlignment="1">
      <alignment horizontal="center" vertical="center" wrapText="1"/>
    </xf>
    <xf numFmtId="0" fontId="4" fillId="0" borderId="1" xfId="4" applyFont="1" applyBorder="1" applyAlignment="1">
      <alignment horizontal="left" vertical="center"/>
    </xf>
    <xf numFmtId="0" fontId="4" fillId="0" borderId="1" xfId="4" applyFont="1" applyBorder="1" applyAlignment="1">
      <alignment horizontal="left" vertical="center" wrapText="1"/>
    </xf>
    <xf numFmtId="0" fontId="4" fillId="0" borderId="1" xfId="4" applyFont="1" applyBorder="1" applyAlignment="1">
      <alignment vertical="center" wrapText="1"/>
    </xf>
    <xf numFmtId="167" fontId="4" fillId="0" borderId="1" xfId="4" applyNumberFormat="1" applyFont="1" applyBorder="1" applyAlignment="1">
      <alignment horizontal="center" vertical="center" wrapText="1"/>
    </xf>
    <xf numFmtId="44" fontId="4" fillId="0" borderId="1" xfId="4" applyNumberFormat="1"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3" fontId="4" fillId="0" borderId="1" xfId="0" applyNumberFormat="1" applyFont="1" applyBorder="1" applyAlignment="1">
      <alignment horizontal="center" vertical="center" wrapText="1"/>
    </xf>
    <xf numFmtId="44" fontId="4" fillId="0" borderId="1" xfId="1" applyNumberFormat="1" applyFont="1" applyFill="1" applyBorder="1" applyAlignment="1">
      <alignment vertical="center" wrapText="1"/>
    </xf>
    <xf numFmtId="3" fontId="4" fillId="0" borderId="1" xfId="0" applyNumberFormat="1" applyFont="1" applyBorder="1" applyAlignment="1">
      <alignment horizontal="center" vertical="center"/>
    </xf>
    <xf numFmtId="44" fontId="4" fillId="0" borderId="1" xfId="1" applyNumberFormat="1" applyFont="1" applyFill="1" applyBorder="1" applyAlignment="1">
      <alignment vertical="center"/>
    </xf>
    <xf numFmtId="0" fontId="4" fillId="0" borderId="1" xfId="0" applyFont="1" applyBorder="1" applyAlignment="1">
      <alignment horizontal="left" wrapText="1"/>
    </xf>
    <xf numFmtId="1" fontId="4" fillId="0" borderId="1" xfId="0" applyNumberFormat="1" applyFont="1" applyBorder="1" applyAlignment="1">
      <alignment horizontal="center" vertical="center" wrapText="1"/>
    </xf>
    <xf numFmtId="3" fontId="4" fillId="0" borderId="1" xfId="1" applyNumberFormat="1" applyFont="1" applyFill="1" applyBorder="1" applyAlignment="1">
      <alignment horizontal="center" vertical="center" wrapText="1"/>
    </xf>
    <xf numFmtId="44" fontId="4" fillId="0" borderId="1" xfId="0" applyNumberFormat="1" applyFont="1" applyBorder="1" applyAlignment="1">
      <alignment horizontal="right" vertical="center"/>
    </xf>
    <xf numFmtId="3" fontId="5" fillId="0" borderId="1" xfId="0" quotePrefix="1" applyNumberFormat="1" applyFont="1" applyBorder="1" applyAlignment="1">
      <alignment horizontal="center" vertical="center" wrapText="1"/>
    </xf>
    <xf numFmtId="3" fontId="6" fillId="0" borderId="1" xfId="0" applyNumberFormat="1" applyFont="1" applyBorder="1" applyAlignment="1">
      <alignment horizontal="center" vertical="center"/>
    </xf>
    <xf numFmtId="44" fontId="6" fillId="0" borderId="1" xfId="1" applyNumberFormat="1" applyFont="1" applyFill="1" applyBorder="1" applyAlignment="1">
      <alignment vertical="center"/>
    </xf>
    <xf numFmtId="0" fontId="6" fillId="0" borderId="1" xfId="0" applyFont="1" applyBorder="1" applyAlignment="1">
      <alignment horizontal="center" vertical="center"/>
    </xf>
    <xf numFmtId="49" fontId="4" fillId="0" borderId="1" xfId="0" applyNumberFormat="1" applyFont="1" applyBorder="1" applyAlignment="1">
      <alignment horizontal="left" vertical="center" wrapText="1"/>
    </xf>
    <xf numFmtId="0" fontId="4" fillId="0" borderId="1" xfId="0" applyFont="1" applyBorder="1" applyAlignment="1" applyProtection="1">
      <alignment horizontal="left" vertical="center" wrapText="1"/>
      <protection locked="0"/>
    </xf>
    <xf numFmtId="1" fontId="4" fillId="0" borderId="1" xfId="0" quotePrefix="1" applyNumberFormat="1" applyFont="1" applyBorder="1" applyAlignment="1">
      <alignment horizontal="center" vertical="center" wrapText="1"/>
    </xf>
    <xf numFmtId="49" fontId="4" fillId="0" borderId="1" xfId="0" applyNumberFormat="1" applyFont="1" applyBorder="1" applyAlignment="1">
      <alignment horizontal="center" vertical="center" wrapText="1"/>
    </xf>
    <xf numFmtId="0" fontId="8" fillId="0" borderId="1" xfId="0" applyFont="1" applyBorder="1" applyAlignment="1">
      <alignment horizontal="left" vertical="center" wrapText="1"/>
    </xf>
    <xf numFmtId="0" fontId="8" fillId="0" borderId="1" xfId="0" applyFont="1" applyBorder="1" applyAlignment="1">
      <alignment horizontal="left" wrapText="1"/>
    </xf>
    <xf numFmtId="0" fontId="5" fillId="0" borderId="1" xfId="0" applyFont="1" applyBorder="1" applyAlignment="1">
      <alignment horizontal="left" vertical="center" wrapText="1"/>
    </xf>
    <xf numFmtId="0" fontId="5" fillId="0" borderId="1" xfId="5" applyFont="1" applyBorder="1" applyAlignment="1">
      <alignment horizontal="center" vertical="center"/>
    </xf>
    <xf numFmtId="0" fontId="5" fillId="0" borderId="1" xfId="0" applyFont="1" applyBorder="1" applyAlignment="1" applyProtection="1">
      <alignment horizontal="center" vertical="center"/>
      <protection locked="0"/>
    </xf>
    <xf numFmtId="3" fontId="5" fillId="3" borderId="1" xfId="0" applyNumberFormat="1" applyFont="1" applyFill="1" applyBorder="1" applyAlignment="1">
      <alignment horizontal="center" vertical="center"/>
    </xf>
    <xf numFmtId="1" fontId="5" fillId="0" borderId="1" xfId="0" applyNumberFormat="1" applyFont="1" applyBorder="1" applyAlignment="1">
      <alignment horizontal="center" vertical="center"/>
    </xf>
    <xf numFmtId="0" fontId="4" fillId="0" borderId="1" xfId="0" applyFont="1" applyBorder="1" applyAlignment="1">
      <alignment horizontal="left" vertical="top" wrapText="1"/>
    </xf>
    <xf numFmtId="166" fontId="5" fillId="0" borderId="1" xfId="0" applyNumberFormat="1" applyFont="1" applyBorder="1" applyAlignment="1">
      <alignment horizontal="left" vertical="center" wrapText="1"/>
    </xf>
    <xf numFmtId="4" fontId="5" fillId="0" borderId="1" xfId="0" applyNumberFormat="1" applyFont="1" applyBorder="1" applyAlignment="1">
      <alignment horizontal="center" vertical="center"/>
    </xf>
    <xf numFmtId="44" fontId="5" fillId="0" borderId="1" xfId="0" applyNumberFormat="1" applyFont="1" applyBorder="1" applyAlignment="1">
      <alignment vertical="center"/>
    </xf>
    <xf numFmtId="3" fontId="5" fillId="0" borderId="1" xfId="0" applyNumberFormat="1" applyFont="1" applyBorder="1" applyAlignment="1">
      <alignment horizontal="left" vertical="center" wrapText="1"/>
    </xf>
    <xf numFmtId="168" fontId="5" fillId="0" borderId="1" xfId="0" applyNumberFormat="1" applyFont="1" applyBorder="1" applyAlignment="1">
      <alignment horizontal="left" vertical="center" wrapText="1"/>
    </xf>
    <xf numFmtId="16" fontId="5" fillId="0" borderId="1" xfId="0" applyNumberFormat="1" applyFont="1" applyBorder="1" applyAlignment="1">
      <alignment horizontal="left" vertical="center" wrapText="1"/>
    </xf>
    <xf numFmtId="0" fontId="5" fillId="0" borderId="1" xfId="0" applyFont="1" applyBorder="1" applyAlignment="1">
      <alignment horizontal="left"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3" fontId="6" fillId="0" borderId="1" xfId="0" applyNumberFormat="1" applyFont="1" applyBorder="1" applyAlignment="1">
      <alignment horizontal="center" vertical="center" wrapText="1"/>
    </xf>
    <xf numFmtId="44" fontId="6" fillId="0" borderId="1" xfId="1" applyNumberFormat="1" applyFont="1" applyFill="1" applyBorder="1" applyAlignment="1">
      <alignment vertical="center" wrapText="1"/>
    </xf>
    <xf numFmtId="49" fontId="5" fillId="4" borderId="1" xfId="0" applyNumberFormat="1" applyFont="1" applyFill="1" applyBorder="1" applyAlignment="1">
      <alignment horizontal="left" vertical="center" wrapText="1"/>
    </xf>
    <xf numFmtId="0" fontId="5" fillId="3" borderId="1" xfId="0" applyFont="1" applyFill="1" applyBorder="1" applyAlignment="1">
      <alignment horizontal="left" vertical="center" wrapText="1"/>
    </xf>
    <xf numFmtId="3" fontId="5" fillId="4" borderId="1" xfId="0" applyNumberFormat="1" applyFont="1" applyFill="1" applyBorder="1" applyAlignment="1" applyProtection="1">
      <alignment horizontal="center" vertical="center"/>
      <protection locked="0"/>
    </xf>
    <xf numFmtId="0" fontId="9" fillId="0" borderId="1" xfId="0" applyFont="1" applyBorder="1" applyAlignment="1">
      <alignment horizontal="center" vertical="center"/>
    </xf>
    <xf numFmtId="0" fontId="9" fillId="0" borderId="1" xfId="0" applyFont="1" applyBorder="1" applyAlignment="1">
      <alignment horizontal="left" vertical="center" wrapText="1"/>
    </xf>
    <xf numFmtId="3" fontId="9" fillId="0" borderId="1" xfId="0" applyNumberFormat="1" applyFont="1" applyBorder="1" applyAlignment="1">
      <alignment horizontal="center" vertical="center"/>
    </xf>
    <xf numFmtId="0" fontId="5" fillId="5" borderId="1" xfId="0" applyFont="1" applyFill="1" applyBorder="1" applyAlignment="1">
      <alignment horizontal="center" vertical="center"/>
    </xf>
    <xf numFmtId="165" fontId="5" fillId="5" borderId="1" xfId="0" applyNumberFormat="1" applyFont="1" applyFill="1" applyBorder="1" applyAlignment="1">
      <alignment horizontal="left" vertical="center" wrapText="1"/>
    </xf>
    <xf numFmtId="3" fontId="5" fillId="5" borderId="1" xfId="0" applyNumberFormat="1" applyFont="1" applyFill="1" applyBorder="1" applyAlignment="1">
      <alignment horizontal="left" vertical="center" wrapText="1"/>
    </xf>
    <xf numFmtId="3" fontId="5" fillId="5" borderId="1" xfId="0" applyNumberFormat="1" applyFont="1" applyFill="1" applyBorder="1" applyAlignment="1">
      <alignment horizontal="center" vertical="center"/>
    </xf>
    <xf numFmtId="44" fontId="5" fillId="5" borderId="1" xfId="1" applyNumberFormat="1" applyFont="1" applyFill="1" applyBorder="1" applyAlignment="1">
      <alignment vertical="center"/>
    </xf>
    <xf numFmtId="3" fontId="5" fillId="5" borderId="1" xfId="0" quotePrefix="1" applyNumberFormat="1" applyFont="1" applyFill="1" applyBorder="1" applyAlignment="1">
      <alignment horizontal="left" vertical="center" wrapText="1"/>
    </xf>
    <xf numFmtId="166" fontId="5" fillId="5" borderId="1" xfId="0" applyNumberFormat="1" applyFont="1" applyFill="1" applyBorder="1" applyAlignment="1">
      <alignment horizontal="left" vertical="center"/>
    </xf>
    <xf numFmtId="165" fontId="5" fillId="5" borderId="1" xfId="0" quotePrefix="1" applyNumberFormat="1" applyFont="1" applyFill="1" applyBorder="1" applyAlignment="1">
      <alignment horizontal="left" vertical="center" wrapText="1"/>
    </xf>
    <xf numFmtId="1" fontId="10" fillId="0" borderId="1" xfId="0" applyNumberFormat="1"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1" fontId="9" fillId="0" borderId="1" xfId="0" applyNumberFormat="1" applyFont="1" applyBorder="1" applyAlignment="1">
      <alignment horizontal="center" vertical="center"/>
    </xf>
    <xf numFmtId="1" fontId="10" fillId="0" borderId="1" xfId="1" applyNumberFormat="1" applyFont="1" applyFill="1" applyBorder="1" applyAlignment="1">
      <alignment horizontal="center" vertical="center"/>
    </xf>
    <xf numFmtId="0" fontId="10" fillId="0" borderId="1" xfId="0" applyFont="1" applyBorder="1" applyAlignment="1">
      <alignment horizontal="center" vertical="center"/>
    </xf>
    <xf numFmtId="0" fontId="6" fillId="5" borderId="1" xfId="0" applyFont="1" applyFill="1" applyBorder="1" applyAlignment="1">
      <alignment horizontal="left" vertical="center" wrapText="1"/>
    </xf>
    <xf numFmtId="0" fontId="6" fillId="5" borderId="1" xfId="0" quotePrefix="1" applyFont="1" applyFill="1" applyBorder="1" applyAlignment="1">
      <alignment horizontal="left" vertical="center" wrapText="1"/>
    </xf>
    <xf numFmtId="4" fontId="5" fillId="0" borderId="1" xfId="0" applyNumberFormat="1" applyFont="1" applyBorder="1" applyAlignment="1">
      <alignment horizontal="center" vertical="center" wrapText="1"/>
    </xf>
    <xf numFmtId="44" fontId="5" fillId="0" borderId="1" xfId="0" applyNumberFormat="1" applyFont="1" applyBorder="1" applyAlignment="1">
      <alignment vertical="center" wrapText="1"/>
    </xf>
    <xf numFmtId="0" fontId="5" fillId="5" borderId="1" xfId="0" applyFont="1" applyFill="1" applyBorder="1" applyAlignment="1">
      <alignment horizontal="left" vertical="center" wrapText="1"/>
    </xf>
    <xf numFmtId="0" fontId="5" fillId="5" borderId="1" xfId="0" quotePrefix="1" applyFont="1" applyFill="1" applyBorder="1" applyAlignment="1">
      <alignment horizontal="left" vertical="center" wrapText="1"/>
    </xf>
    <xf numFmtId="0" fontId="3" fillId="5" borderId="1" xfId="0" applyFont="1" applyFill="1" applyBorder="1" applyAlignment="1">
      <alignment horizontal="center" vertical="center"/>
    </xf>
    <xf numFmtId="166" fontId="5" fillId="5" borderId="1" xfId="0" applyNumberFormat="1" applyFont="1" applyFill="1" applyBorder="1" applyAlignment="1">
      <alignment horizontal="left" vertical="center" wrapText="1"/>
    </xf>
    <xf numFmtId="16" fontId="5" fillId="5" borderId="1" xfId="0" applyNumberFormat="1" applyFont="1" applyFill="1" applyBorder="1" applyAlignment="1">
      <alignment horizontal="left" vertical="center"/>
    </xf>
    <xf numFmtId="44" fontId="4" fillId="0" borderId="1" xfId="1" applyNumberFormat="1" applyFont="1" applyBorder="1" applyAlignment="1">
      <alignment vertical="center"/>
    </xf>
    <xf numFmtId="0" fontId="6" fillId="5" borderId="1" xfId="0" applyFont="1" applyFill="1" applyBorder="1" applyAlignment="1">
      <alignment horizontal="center" vertical="center"/>
    </xf>
    <xf numFmtId="3" fontId="6" fillId="5" borderId="1" xfId="0" applyNumberFormat="1" applyFont="1" applyFill="1" applyBorder="1" applyAlignment="1">
      <alignment horizontal="center" vertical="center"/>
    </xf>
    <xf numFmtId="44" fontId="6" fillId="5" borderId="1" xfId="1" applyNumberFormat="1" applyFont="1" applyFill="1" applyBorder="1" applyAlignment="1">
      <alignment vertical="center"/>
    </xf>
    <xf numFmtId="1" fontId="5" fillId="0" borderId="1" xfId="0" applyNumberFormat="1" applyFont="1" applyBorder="1" applyAlignment="1">
      <alignment horizontal="center" vertical="center" wrapText="1"/>
    </xf>
    <xf numFmtId="169" fontId="5" fillId="0" borderId="1" xfId="1" applyNumberFormat="1" applyFont="1" applyFill="1" applyBorder="1" applyAlignment="1">
      <alignment horizontal="center" vertical="center" wrapText="1"/>
    </xf>
    <xf numFmtId="165" fontId="5" fillId="0" borderId="1" xfId="0" applyNumberFormat="1" applyFont="1" applyBorder="1" applyAlignment="1">
      <alignment horizontal="center" vertical="center" wrapText="1"/>
    </xf>
    <xf numFmtId="166" fontId="5" fillId="0" borderId="1" xfId="0" quotePrefix="1" applyNumberFormat="1" applyFont="1" applyBorder="1" applyAlignment="1">
      <alignment horizontal="left" vertical="center" wrapText="1"/>
    </xf>
    <xf numFmtId="44" fontId="6" fillId="0" borderId="1" xfId="0" applyNumberFormat="1" applyFont="1" applyBorder="1" applyAlignment="1">
      <alignment vertical="center" wrapText="1"/>
    </xf>
    <xf numFmtId="0" fontId="6" fillId="0" borderId="1" xfId="0" quotePrefix="1" applyFont="1" applyBorder="1" applyAlignment="1">
      <alignment horizontal="center" vertical="center" wrapText="1"/>
    </xf>
    <xf numFmtId="166" fontId="5" fillId="0" borderId="1" xfId="0" applyNumberFormat="1" applyFont="1" applyBorder="1" applyAlignment="1">
      <alignment vertical="center" wrapText="1"/>
    </xf>
    <xf numFmtId="3" fontId="5" fillId="0" borderId="1" xfId="0" applyNumberFormat="1" applyFont="1" applyBorder="1" applyAlignment="1">
      <alignment vertical="center" wrapText="1"/>
    </xf>
    <xf numFmtId="3" fontId="5" fillId="0" borderId="1" xfId="0" quotePrefix="1" applyNumberFormat="1" applyFont="1" applyBorder="1" applyAlignment="1">
      <alignment vertical="center" wrapText="1"/>
    </xf>
    <xf numFmtId="0" fontId="4" fillId="0" borderId="1" xfId="0" applyFont="1" applyBorder="1" applyAlignment="1" applyProtection="1">
      <alignment horizontal="center" vertical="center" wrapText="1"/>
      <protection locked="0"/>
    </xf>
    <xf numFmtId="0" fontId="5" fillId="0" borderId="1" xfId="0" applyFont="1" applyBorder="1" applyAlignment="1">
      <alignment vertical="center" wrapText="1"/>
    </xf>
    <xf numFmtId="14" fontId="13" fillId="0" borderId="1" xfId="0" applyNumberFormat="1" applyFont="1" applyBorder="1" applyAlignment="1">
      <alignment vertical="center" wrapText="1"/>
    </xf>
    <xf numFmtId="1" fontId="13" fillId="0" borderId="1" xfId="0" applyNumberFormat="1" applyFont="1" applyBorder="1" applyAlignment="1">
      <alignment vertical="center" wrapText="1"/>
    </xf>
    <xf numFmtId="0" fontId="12" fillId="0" borderId="1" xfId="0" applyFont="1" applyBorder="1" applyAlignment="1">
      <alignment vertical="center" wrapText="1"/>
    </xf>
    <xf numFmtId="0" fontId="13" fillId="0" borderId="1" xfId="0" applyFont="1" applyBorder="1" applyAlignment="1">
      <alignment vertical="center" wrapText="1"/>
    </xf>
    <xf numFmtId="0" fontId="12" fillId="0" borderId="1" xfId="0" applyFont="1" applyBorder="1" applyAlignment="1">
      <alignment vertical="top" wrapText="1"/>
    </xf>
    <xf numFmtId="0" fontId="13" fillId="0" borderId="1" xfId="0" applyFont="1" applyBorder="1" applyAlignment="1">
      <alignment horizontal="center" vertical="center" wrapText="1"/>
    </xf>
    <xf numFmtId="44" fontId="13" fillId="0" borderId="1" xfId="2" applyFont="1" applyFill="1" applyBorder="1" applyAlignment="1">
      <alignment vertical="center" wrapText="1"/>
    </xf>
    <xf numFmtId="165" fontId="5" fillId="0" borderId="1" xfId="0" quotePrefix="1" applyNumberFormat="1" applyFont="1" applyBorder="1" applyAlignment="1">
      <alignment vertical="center" wrapText="1"/>
    </xf>
    <xf numFmtId="165" fontId="5" fillId="0" borderId="1" xfId="0" applyNumberFormat="1" applyFont="1" applyBorder="1" applyAlignment="1">
      <alignment vertical="center" wrapText="1"/>
    </xf>
    <xf numFmtId="1" fontId="4" fillId="0" borderId="1" xfId="0" applyNumberFormat="1" applyFont="1" applyBorder="1" applyAlignment="1">
      <alignment horizontal="center" vertical="center"/>
    </xf>
    <xf numFmtId="0" fontId="5" fillId="4" borderId="1" xfId="0" applyFont="1" applyFill="1" applyBorder="1" applyAlignment="1" applyProtection="1">
      <alignment horizontal="center" vertical="center"/>
      <protection locked="0"/>
    </xf>
    <xf numFmtId="1" fontId="5" fillId="4" borderId="1" xfId="0" applyNumberFormat="1" applyFont="1" applyFill="1" applyBorder="1" applyAlignment="1">
      <alignment horizontal="center" vertical="center"/>
    </xf>
    <xf numFmtId="44" fontId="4" fillId="0" borderId="1" xfId="0" applyNumberFormat="1" applyFont="1" applyBorder="1" applyAlignment="1">
      <alignment vertical="center"/>
    </xf>
    <xf numFmtId="0" fontId="5" fillId="4" borderId="1" xfId="0" applyFont="1" applyFill="1" applyBorder="1" applyAlignment="1" applyProtection="1">
      <alignment horizontal="left" vertical="center" wrapText="1"/>
      <protection locked="0"/>
    </xf>
    <xf numFmtId="44" fontId="5" fillId="4" borderId="1" xfId="1" applyNumberFormat="1" applyFont="1" applyFill="1" applyBorder="1" applyAlignment="1">
      <alignment vertical="center"/>
    </xf>
    <xf numFmtId="14" fontId="5" fillId="0" borderId="1" xfId="0" applyNumberFormat="1" applyFont="1" applyBorder="1" applyAlignment="1">
      <alignment horizontal="center" vertical="center" wrapText="1"/>
    </xf>
    <xf numFmtId="0" fontId="12" fillId="0" borderId="1" xfId="0" applyFont="1" applyBorder="1" applyAlignment="1">
      <alignment horizontal="left" vertical="center" wrapText="1"/>
    </xf>
    <xf numFmtId="170" fontId="4" fillId="0" borderId="1" xfId="1" applyNumberFormat="1" applyFont="1" applyFill="1" applyBorder="1" applyAlignment="1">
      <alignment vertical="center" wrapText="1"/>
    </xf>
    <xf numFmtId="0" fontId="9" fillId="0" borderId="1" xfId="0" applyFont="1" applyBorder="1" applyAlignment="1">
      <alignment horizontal="left" wrapText="1"/>
    </xf>
    <xf numFmtId="0" fontId="9" fillId="0" borderId="1" xfId="0" applyFont="1" applyBorder="1" applyAlignment="1">
      <alignment horizontal="left" vertical="center"/>
    </xf>
    <xf numFmtId="0" fontId="13" fillId="0" borderId="1" xfId="0" applyFont="1" applyBorder="1" applyAlignment="1">
      <alignment horizontal="center" vertical="center"/>
    </xf>
    <xf numFmtId="44" fontId="4" fillId="0" borderId="1" xfId="6" applyNumberFormat="1" applyFont="1" applyFill="1" applyBorder="1" applyAlignment="1">
      <alignment vertical="center" wrapText="1"/>
    </xf>
    <xf numFmtId="3" fontId="5" fillId="4" borderId="1" xfId="0" applyNumberFormat="1" applyFont="1" applyFill="1" applyBorder="1" applyAlignment="1">
      <alignment horizontal="center" vertical="center"/>
    </xf>
    <xf numFmtId="0" fontId="5" fillId="0" borderId="1" xfId="4" applyFont="1" applyBorder="1" applyAlignment="1">
      <alignment horizontal="center" vertical="center" wrapText="1"/>
    </xf>
    <xf numFmtId="0" fontId="5" fillId="0" borderId="1" xfId="4" applyFont="1" applyBorder="1" applyAlignment="1">
      <alignment horizontal="left" vertical="center" wrapText="1"/>
    </xf>
    <xf numFmtId="167" fontId="5" fillId="0" borderId="1" xfId="4" applyNumberFormat="1" applyFont="1" applyBorder="1" applyAlignment="1">
      <alignment horizontal="center" vertical="center" wrapText="1"/>
    </xf>
    <xf numFmtId="44" fontId="5" fillId="0" borderId="1" xfId="6" applyNumberFormat="1" applyFont="1" applyFill="1" applyBorder="1" applyAlignment="1">
      <alignment vertical="center" wrapText="1"/>
    </xf>
    <xf numFmtId="49" fontId="5" fillId="0" borderId="1" xfId="0" applyNumberFormat="1" applyFont="1" applyBorder="1" applyAlignment="1">
      <alignment horizontal="center" vertical="center"/>
    </xf>
    <xf numFmtId="0" fontId="5" fillId="0" borderId="1" xfId="0" applyFont="1" applyBorder="1" applyAlignment="1" applyProtection="1">
      <alignment horizontal="left" vertical="top" wrapText="1"/>
      <protection locked="0"/>
    </xf>
    <xf numFmtId="3" fontId="15" fillId="0" borderId="1" xfId="0" applyNumberFormat="1" applyFont="1" applyBorder="1" applyAlignment="1">
      <alignment horizontal="center" vertical="center"/>
    </xf>
    <xf numFmtId="3" fontId="4" fillId="0" borderId="1" xfId="0" applyNumberFormat="1" applyFont="1" applyBorder="1" applyAlignment="1">
      <alignment horizontal="left" vertical="center" wrapText="1"/>
    </xf>
    <xf numFmtId="3" fontId="4" fillId="0" borderId="1" xfId="0" quotePrefix="1" applyNumberFormat="1" applyFont="1" applyBorder="1" applyAlignment="1">
      <alignment horizontal="center" vertical="center" wrapText="1"/>
    </xf>
    <xf numFmtId="0" fontId="4" fillId="0" borderId="1" xfId="7" applyFont="1" applyBorder="1" applyAlignment="1" applyProtection="1">
      <alignment horizontal="left" vertical="center" wrapText="1"/>
      <protection locked="0"/>
    </xf>
    <xf numFmtId="44" fontId="4" fillId="0" borderId="1" xfId="1" applyNumberFormat="1" applyFont="1" applyFill="1" applyBorder="1" applyAlignment="1" applyProtection="1">
      <alignment vertical="center" wrapText="1"/>
      <protection locked="0"/>
    </xf>
    <xf numFmtId="0" fontId="4" fillId="0" borderId="1" xfId="5" applyFont="1" applyBorder="1" applyAlignment="1">
      <alignment horizontal="center" vertical="center" wrapText="1"/>
    </xf>
    <xf numFmtId="0" fontId="4" fillId="0" borderId="1" xfId="5" applyFont="1" applyBorder="1" applyAlignment="1">
      <alignment horizontal="left" vertical="center" wrapText="1"/>
    </xf>
    <xf numFmtId="3" fontId="4" fillId="0" borderId="1" xfId="5" applyNumberFormat="1" applyFont="1" applyBorder="1" applyAlignment="1">
      <alignment horizontal="center" vertical="center" wrapText="1"/>
    </xf>
    <xf numFmtId="1" fontId="5" fillId="0" borderId="1" xfId="0" quotePrefix="1" applyNumberFormat="1" applyFont="1" applyBorder="1" applyAlignment="1">
      <alignment horizontal="center" vertical="center"/>
    </xf>
    <xf numFmtId="0" fontId="5" fillId="0" borderId="1" xfId="5" applyFont="1" applyBorder="1" applyAlignment="1">
      <alignment horizontal="left" vertical="center" wrapText="1"/>
    </xf>
    <xf numFmtId="3" fontId="5" fillId="0" borderId="1" xfId="5" applyNumberFormat="1" applyFont="1" applyBorder="1" applyAlignment="1">
      <alignment horizontal="center" vertical="center"/>
    </xf>
    <xf numFmtId="0" fontId="5" fillId="4" borderId="1" xfId="5" applyFont="1" applyFill="1" applyBorder="1" applyAlignment="1">
      <alignment horizontal="left" vertical="center" wrapText="1"/>
    </xf>
    <xf numFmtId="1" fontId="5" fillId="4" borderId="1" xfId="0" quotePrefix="1" applyNumberFormat="1" applyFont="1" applyFill="1" applyBorder="1" applyAlignment="1">
      <alignment horizontal="center" vertical="center"/>
    </xf>
    <xf numFmtId="3" fontId="5" fillId="0" borderId="1" xfId="0" applyNumberFormat="1" applyFont="1" applyBorder="1" applyAlignment="1" applyProtection="1">
      <alignment horizontal="center" vertical="center"/>
      <protection locked="0"/>
    </xf>
    <xf numFmtId="0" fontId="5" fillId="4" borderId="1" xfId="0" applyFont="1" applyFill="1" applyBorder="1" applyAlignment="1">
      <alignment horizontal="left" vertical="center" wrapText="1"/>
    </xf>
    <xf numFmtId="0" fontId="4" fillId="4" borderId="1" xfId="0" applyFont="1" applyFill="1" applyBorder="1" applyAlignment="1">
      <alignment horizontal="center" vertical="center"/>
    </xf>
    <xf numFmtId="44" fontId="4" fillId="4" borderId="1" xfId="1" applyNumberFormat="1" applyFont="1" applyFill="1" applyBorder="1" applyAlignment="1">
      <alignment vertical="center"/>
    </xf>
    <xf numFmtId="44" fontId="5" fillId="4" borderId="1" xfId="1" applyNumberFormat="1" applyFont="1" applyFill="1" applyBorder="1" applyAlignment="1" applyProtection="1">
      <alignment vertical="center"/>
      <protection locked="0"/>
    </xf>
    <xf numFmtId="44" fontId="5" fillId="3" borderId="1" xfId="1" applyNumberFormat="1" applyFont="1" applyFill="1" applyBorder="1" applyAlignment="1">
      <alignment vertical="center"/>
    </xf>
    <xf numFmtId="3" fontId="4" fillId="4" borderId="1" xfId="0" applyNumberFormat="1" applyFont="1" applyFill="1" applyBorder="1" applyAlignment="1">
      <alignment horizontal="center" vertical="center"/>
    </xf>
    <xf numFmtId="0" fontId="4" fillId="4" borderId="1" xfId="0" applyFont="1" applyFill="1" applyBorder="1" applyAlignment="1">
      <alignment horizontal="left" vertical="center" wrapText="1"/>
    </xf>
    <xf numFmtId="2" fontId="4" fillId="0" borderId="1" xfId="4" applyNumberFormat="1" applyFont="1" applyBorder="1" applyAlignment="1">
      <alignment horizontal="left" vertical="center" wrapText="1"/>
    </xf>
    <xf numFmtId="0" fontId="14" fillId="0" borderId="1" xfId="4" applyFont="1" applyBorder="1" applyAlignment="1">
      <alignment horizontal="center" vertical="center" wrapText="1"/>
    </xf>
    <xf numFmtId="0" fontId="14" fillId="0" borderId="1" xfId="5" applyFont="1" applyBorder="1" applyAlignment="1">
      <alignment horizontal="left" vertical="center" wrapText="1"/>
    </xf>
    <xf numFmtId="0" fontId="14" fillId="0" borderId="1" xfId="5" applyFont="1" applyBorder="1" applyAlignment="1">
      <alignment horizontal="center" vertical="center" wrapText="1"/>
    </xf>
    <xf numFmtId="167" fontId="14" fillId="0" borderId="1" xfId="5" applyNumberFormat="1" applyFont="1" applyBorder="1" applyAlignment="1">
      <alignment horizontal="center" vertical="center" wrapText="1"/>
    </xf>
    <xf numFmtId="44" fontId="5" fillId="0" borderId="1" xfId="5" applyNumberFormat="1" applyFont="1" applyBorder="1" applyAlignment="1">
      <alignment vertical="center" wrapText="1"/>
    </xf>
    <xf numFmtId="0" fontId="14" fillId="0" borderId="1" xfId="4" applyFont="1" applyBorder="1" applyAlignment="1" applyProtection="1">
      <alignment horizontal="justify" vertical="center" wrapText="1"/>
      <protection locked="0"/>
    </xf>
    <xf numFmtId="3" fontId="5" fillId="0" borderId="1" xfId="5" applyNumberFormat="1" applyFont="1" applyBorder="1" applyAlignment="1">
      <alignment horizontal="center" vertical="center" wrapText="1"/>
    </xf>
    <xf numFmtId="0" fontId="5" fillId="0" borderId="1" xfId="5" applyFont="1" applyBorder="1" applyAlignment="1">
      <alignment horizontal="center" vertical="center" wrapText="1"/>
    </xf>
    <xf numFmtId="169" fontId="10" fillId="0" borderId="1" xfId="1" applyNumberFormat="1" applyFont="1" applyFill="1" applyBorder="1" applyAlignment="1">
      <alignment horizontal="center" vertical="center"/>
    </xf>
    <xf numFmtId="1" fontId="17" fillId="0" borderId="1" xfId="0" applyNumberFormat="1" applyFont="1" applyBorder="1" applyAlignment="1">
      <alignment horizontal="left" vertical="center" wrapText="1" shrinkToFit="1"/>
    </xf>
    <xf numFmtId="169" fontId="4" fillId="0" borderId="1" xfId="1" applyNumberFormat="1" applyFont="1" applyFill="1" applyBorder="1" applyAlignment="1">
      <alignment horizontal="left" vertical="center" wrapText="1"/>
    </xf>
    <xf numFmtId="44" fontId="4" fillId="0" borderId="1" xfId="0" applyNumberFormat="1" applyFont="1" applyBorder="1"/>
    <xf numFmtId="0" fontId="5" fillId="0" borderId="1" xfId="0" applyFont="1" applyBorder="1" applyAlignment="1" applyProtection="1">
      <alignment horizontal="center" vertical="center" wrapText="1"/>
      <protection locked="0"/>
    </xf>
    <xf numFmtId="0" fontId="18" fillId="0" borderId="1" xfId="3" applyFont="1" applyFill="1" applyBorder="1" applyAlignment="1">
      <alignment horizontal="center" vertical="center" wrapText="1"/>
    </xf>
    <xf numFmtId="0" fontId="13" fillId="0" borderId="1" xfId="0" applyFont="1" applyBorder="1" applyAlignment="1">
      <alignment vertical="center"/>
    </xf>
    <xf numFmtId="0" fontId="12" fillId="0" borderId="1" xfId="0" applyFont="1" applyBorder="1" applyAlignment="1">
      <alignment vertical="top"/>
    </xf>
    <xf numFmtId="0" fontId="12" fillId="0" borderId="1" xfId="0" applyFont="1" applyBorder="1" applyAlignment="1">
      <alignment horizontal="justify" vertical="center" wrapText="1"/>
    </xf>
    <xf numFmtId="0" fontId="12" fillId="0" borderId="1" xfId="0" applyFont="1" applyBorder="1" applyAlignment="1">
      <alignment wrapText="1"/>
    </xf>
    <xf numFmtId="0" fontId="12" fillId="0" borderId="1" xfId="0" applyFont="1" applyBorder="1" applyAlignment="1">
      <alignment horizontal="center" vertical="top" wrapText="1"/>
    </xf>
    <xf numFmtId="169" fontId="13" fillId="0" borderId="1" xfId="1" applyNumberFormat="1" applyFont="1" applyFill="1" applyBorder="1" applyAlignment="1">
      <alignment horizontal="center" vertical="center" wrapText="1"/>
    </xf>
    <xf numFmtId="14" fontId="13" fillId="0" borderId="1" xfId="0" applyNumberFormat="1" applyFont="1" applyBorder="1" applyAlignment="1">
      <alignment horizontal="left" vertical="center" wrapText="1"/>
    </xf>
    <xf numFmtId="0" fontId="0" fillId="0" borderId="1" xfId="0" applyBorder="1" applyAlignment="1">
      <alignment horizontal="left" vertical="center" wrapText="1"/>
    </xf>
    <xf numFmtId="44" fontId="0" fillId="0" borderId="1" xfId="2" applyFont="1" applyFill="1" applyBorder="1"/>
    <xf numFmtId="49" fontId="12" fillId="0" borderId="1" xfId="0" applyNumberFormat="1" applyFont="1" applyBorder="1" applyAlignment="1">
      <alignment vertical="top" wrapText="1"/>
    </xf>
    <xf numFmtId="0" fontId="19" fillId="0" borderId="1" xfId="0" applyFont="1" applyBorder="1" applyAlignment="1">
      <alignment vertical="top" wrapText="1"/>
    </xf>
    <xf numFmtId="14" fontId="21" fillId="0" borderId="1" xfId="0" applyNumberFormat="1" applyFont="1" applyBorder="1" applyAlignment="1">
      <alignment horizontal="center" vertical="center"/>
    </xf>
    <xf numFmtId="2" fontId="12" fillId="0" borderId="1" xfId="0" applyNumberFormat="1" applyFont="1" applyBorder="1" applyAlignment="1">
      <alignment vertical="top" wrapText="1"/>
    </xf>
    <xf numFmtId="0" fontId="13" fillId="0" borderId="1" xfId="0" applyFont="1" applyBorder="1" applyAlignment="1">
      <alignment vertical="top" wrapText="1"/>
    </xf>
    <xf numFmtId="44" fontId="13" fillId="0" borderId="1" xfId="1" applyNumberFormat="1" applyFont="1" applyFill="1" applyBorder="1" applyAlignment="1">
      <alignment vertical="center" wrapText="1"/>
    </xf>
    <xf numFmtId="44" fontId="13" fillId="0" borderId="1" xfId="0" applyNumberFormat="1" applyFont="1" applyBorder="1" applyAlignment="1">
      <alignment vertical="center" wrapText="1"/>
    </xf>
    <xf numFmtId="0" fontId="22" fillId="0" borderId="1" xfId="0" applyFont="1" applyBorder="1" applyAlignment="1">
      <alignment horizontal="justify" vertical="center" wrapText="1"/>
    </xf>
    <xf numFmtId="169" fontId="13" fillId="0" borderId="1" xfId="1" applyNumberFormat="1" applyFont="1" applyFill="1" applyBorder="1" applyAlignment="1">
      <alignment vertical="center" wrapText="1"/>
    </xf>
    <xf numFmtId="0" fontId="4" fillId="0" borderId="1" xfId="0" applyFont="1" applyBorder="1" applyAlignment="1">
      <alignment horizontal="left"/>
    </xf>
    <xf numFmtId="44" fontId="4" fillId="0" borderId="1" xfId="2" applyFont="1" applyFill="1" applyBorder="1" applyAlignment="1">
      <alignment horizontal="center" vertical="center"/>
    </xf>
    <xf numFmtId="164" fontId="4" fillId="0" borderId="0" xfId="0" applyNumberFormat="1" applyFont="1" applyAlignment="1">
      <alignment horizontal="center" vertical="center"/>
    </xf>
    <xf numFmtId="0" fontId="4" fillId="0" borderId="0" xfId="0" applyFont="1" applyAlignment="1">
      <alignment horizontal="left" vertical="center"/>
    </xf>
    <xf numFmtId="0" fontId="4" fillId="0" borderId="0" xfId="0" applyFont="1" applyAlignment="1">
      <alignment horizontal="left"/>
    </xf>
    <xf numFmtId="3" fontId="4" fillId="0" borderId="0" xfId="0" applyNumberFormat="1" applyFont="1" applyAlignment="1">
      <alignment horizontal="center" vertical="center"/>
    </xf>
    <xf numFmtId="44" fontId="4" fillId="0" borderId="0" xfId="2" applyFont="1" applyAlignment="1">
      <alignment horizontal="center" vertical="center"/>
    </xf>
    <xf numFmtId="0" fontId="3" fillId="6" borderId="1" xfId="0" applyFont="1" applyFill="1" applyBorder="1" applyAlignment="1">
      <alignment horizontal="center" vertical="center" wrapText="1"/>
    </xf>
    <xf numFmtId="0" fontId="3" fillId="6" borderId="1" xfId="0" applyFont="1" applyFill="1" applyBorder="1" applyAlignment="1">
      <alignment horizontal="center" vertical="center"/>
    </xf>
    <xf numFmtId="49" fontId="3" fillId="6" borderId="1" xfId="0" applyNumberFormat="1" applyFont="1" applyFill="1" applyBorder="1" applyAlignment="1">
      <alignment horizontal="center" vertical="center" wrapText="1"/>
    </xf>
    <xf numFmtId="1" fontId="3" fillId="6" borderId="1" xfId="0" applyNumberFormat="1" applyFont="1" applyFill="1" applyBorder="1" applyAlignment="1">
      <alignment horizontal="center" vertical="center" wrapText="1"/>
    </xf>
    <xf numFmtId="3" fontId="3" fillId="6" borderId="1" xfId="0" applyNumberFormat="1" applyFont="1" applyFill="1" applyBorder="1" applyAlignment="1">
      <alignment horizontal="center" vertical="center" wrapText="1"/>
    </xf>
    <xf numFmtId="44" fontId="3" fillId="6" borderId="1" xfId="2" applyFont="1" applyFill="1" applyBorder="1" applyAlignment="1">
      <alignment horizontal="center" vertical="center" wrapText="1"/>
    </xf>
    <xf numFmtId="14" fontId="4" fillId="0" borderId="1" xfId="0" applyNumberFormat="1" applyFont="1" applyBorder="1" applyAlignment="1">
      <alignment horizontal="center" vertical="center"/>
    </xf>
    <xf numFmtId="14" fontId="5" fillId="0" borderId="1" xfId="0" quotePrefix="1" applyNumberFormat="1" applyFont="1" applyBorder="1" applyAlignment="1">
      <alignment horizontal="center" vertical="center" wrapText="1"/>
    </xf>
    <xf numFmtId="14" fontId="5" fillId="0" borderId="1" xfId="0" applyNumberFormat="1" applyFont="1" applyBorder="1" applyAlignment="1">
      <alignment horizontal="center" vertical="center"/>
    </xf>
    <xf numFmtId="14" fontId="4" fillId="0" borderId="1" xfId="4" applyNumberFormat="1" applyFont="1" applyBorder="1" applyAlignment="1">
      <alignment horizontal="center" vertical="center" wrapText="1"/>
    </xf>
    <xf numFmtId="14" fontId="4" fillId="0" borderId="1" xfId="0" applyNumberFormat="1" applyFont="1" applyBorder="1" applyAlignment="1">
      <alignment horizontal="center" vertical="center" wrapText="1"/>
    </xf>
    <xf numFmtId="14" fontId="6" fillId="0" borderId="1" xfId="0" applyNumberFormat="1" applyFont="1" applyBorder="1" applyAlignment="1">
      <alignment horizontal="center" vertical="center"/>
    </xf>
    <xf numFmtId="14" fontId="5" fillId="0" borderId="1" xfId="0" quotePrefix="1" applyNumberFormat="1" applyFont="1" applyBorder="1" applyAlignment="1">
      <alignment horizontal="center" vertical="center"/>
    </xf>
    <xf numFmtId="14" fontId="4" fillId="0" borderId="1" xfId="0" quotePrefix="1" applyNumberFormat="1" applyFont="1" applyBorder="1" applyAlignment="1">
      <alignment horizontal="center" vertical="center" wrapText="1"/>
    </xf>
    <xf numFmtId="14" fontId="6" fillId="0" borderId="1" xfId="0" applyNumberFormat="1" applyFont="1" applyBorder="1" applyAlignment="1">
      <alignment horizontal="center" vertical="center" wrapText="1"/>
    </xf>
    <xf numFmtId="14" fontId="9" fillId="0" borderId="1" xfId="0" applyNumberFormat="1" applyFont="1" applyBorder="1" applyAlignment="1">
      <alignment horizontal="center" vertical="center"/>
    </xf>
    <xf numFmtId="14" fontId="5" fillId="5" borderId="1" xfId="0" applyNumberFormat="1" applyFont="1" applyFill="1" applyBorder="1" applyAlignment="1">
      <alignment horizontal="center" vertical="center"/>
    </xf>
    <xf numFmtId="14" fontId="6" fillId="5" borderId="1" xfId="0" applyNumberFormat="1" applyFont="1" applyFill="1" applyBorder="1" applyAlignment="1">
      <alignment horizontal="center" vertical="center"/>
    </xf>
    <xf numFmtId="14" fontId="12" fillId="0" borderId="1" xfId="0" applyNumberFormat="1" applyFont="1" applyBorder="1" applyAlignment="1">
      <alignment horizontal="center" wrapText="1"/>
    </xf>
    <xf numFmtId="14" fontId="9" fillId="0" borderId="1" xfId="0" applyNumberFormat="1" applyFont="1" applyBorder="1" applyAlignment="1">
      <alignment horizontal="center" vertical="center" wrapText="1"/>
    </xf>
    <xf numFmtId="14" fontId="10" fillId="0" borderId="1" xfId="0" applyNumberFormat="1" applyFont="1" applyBorder="1" applyAlignment="1">
      <alignment horizontal="center" vertical="center"/>
    </xf>
    <xf numFmtId="14" fontId="5" fillId="4" borderId="1" xfId="0" applyNumberFormat="1" applyFont="1" applyFill="1" applyBorder="1" applyAlignment="1">
      <alignment horizontal="center" vertical="center"/>
    </xf>
    <xf numFmtId="14" fontId="5" fillId="4" borderId="1" xfId="0" quotePrefix="1" applyNumberFormat="1" applyFont="1" applyFill="1" applyBorder="1" applyAlignment="1" applyProtection="1">
      <alignment horizontal="center" vertical="center"/>
      <protection locked="0"/>
    </xf>
    <xf numFmtId="14" fontId="5" fillId="0" borderId="1" xfId="4" applyNumberFormat="1" applyFont="1" applyBorder="1" applyAlignment="1">
      <alignment horizontal="center" vertical="center" wrapText="1"/>
    </xf>
    <xf numFmtId="14" fontId="4" fillId="0" borderId="1" xfId="5" applyNumberFormat="1" applyFont="1" applyBorder="1" applyAlignment="1">
      <alignment horizontal="center" vertical="center" wrapText="1"/>
    </xf>
    <xf numFmtId="14" fontId="5" fillId="0" borderId="1" xfId="5" applyNumberFormat="1" applyFont="1" applyBorder="1" applyAlignment="1">
      <alignment horizontal="center" vertical="center"/>
    </xf>
    <xf numFmtId="14" fontId="4" fillId="4" borderId="1" xfId="0" applyNumberFormat="1" applyFont="1" applyFill="1" applyBorder="1" applyAlignment="1">
      <alignment horizontal="center" vertical="center"/>
    </xf>
    <xf numFmtId="14" fontId="14" fillId="0" borderId="1" xfId="5" applyNumberFormat="1" applyFont="1" applyBorder="1" applyAlignment="1">
      <alignment horizontal="center" vertical="center" wrapText="1"/>
    </xf>
    <xf numFmtId="14" fontId="5" fillId="0" borderId="1" xfId="5" applyNumberFormat="1" applyFont="1" applyBorder="1" applyAlignment="1">
      <alignment horizontal="center" vertical="center" wrapText="1"/>
    </xf>
    <xf numFmtId="169" fontId="5" fillId="0" borderId="1" xfId="1" applyNumberFormat="1" applyFont="1" applyBorder="1" applyAlignment="1">
      <alignment horizontal="center" vertical="center"/>
    </xf>
    <xf numFmtId="169" fontId="5" fillId="0" borderId="1" xfId="1" applyNumberFormat="1" applyFont="1" applyBorder="1" applyAlignment="1">
      <alignment horizontal="center" vertical="center" wrapText="1"/>
    </xf>
    <xf numFmtId="169" fontId="4" fillId="0" borderId="1" xfId="1" applyNumberFormat="1" applyFont="1" applyFill="1" applyBorder="1" applyAlignment="1">
      <alignment horizontal="center" vertical="center" wrapText="1"/>
    </xf>
    <xf numFmtId="169" fontId="4" fillId="0" borderId="1" xfId="1" applyNumberFormat="1" applyFont="1" applyBorder="1" applyAlignment="1">
      <alignment horizontal="center" vertical="center" wrapText="1"/>
    </xf>
    <xf numFmtId="169" fontId="6" fillId="0" borderId="1" xfId="1" applyNumberFormat="1" applyFont="1" applyBorder="1" applyAlignment="1">
      <alignment horizontal="center" vertical="center"/>
    </xf>
    <xf numFmtId="169" fontId="4" fillId="0" borderId="1" xfId="1" applyNumberFormat="1" applyFont="1" applyBorder="1" applyAlignment="1">
      <alignment horizontal="center" vertical="center"/>
    </xf>
    <xf numFmtId="169" fontId="5" fillId="3" borderId="1" xfId="1" applyNumberFormat="1" applyFont="1" applyFill="1" applyBorder="1" applyAlignment="1">
      <alignment horizontal="center" vertical="center"/>
    </xf>
    <xf numFmtId="169" fontId="6" fillId="0" borderId="1" xfId="1" applyNumberFormat="1" applyFont="1" applyBorder="1" applyAlignment="1">
      <alignment horizontal="center" vertical="center" wrapText="1"/>
    </xf>
    <xf numFmtId="169" fontId="9" fillId="0" borderId="1" xfId="1" applyNumberFormat="1" applyFont="1" applyBorder="1" applyAlignment="1">
      <alignment horizontal="center" vertical="center"/>
    </xf>
    <xf numFmtId="169" fontId="5" fillId="5" borderId="1" xfId="1" applyNumberFormat="1" applyFont="1" applyFill="1" applyBorder="1" applyAlignment="1">
      <alignment horizontal="center" vertical="center"/>
    </xf>
    <xf numFmtId="169" fontId="3" fillId="5" borderId="1" xfId="1" applyNumberFormat="1" applyFont="1" applyFill="1" applyBorder="1" applyAlignment="1">
      <alignment horizontal="center" vertical="center"/>
    </xf>
    <xf numFmtId="169" fontId="6" fillId="5" borderId="1" xfId="1" applyNumberFormat="1" applyFont="1" applyFill="1" applyBorder="1" applyAlignment="1">
      <alignment horizontal="center" vertical="center"/>
    </xf>
    <xf numFmtId="169" fontId="13" fillId="0" borderId="1" xfId="1" applyNumberFormat="1" applyFont="1" applyBorder="1" applyAlignment="1">
      <alignment horizontal="center" vertical="center" wrapText="1"/>
    </xf>
    <xf numFmtId="169" fontId="5" fillId="4" borderId="1" xfId="1" applyNumberFormat="1" applyFont="1" applyFill="1" applyBorder="1" applyAlignment="1" applyProtection="1">
      <alignment horizontal="center" vertical="center"/>
      <protection locked="0"/>
    </xf>
    <xf numFmtId="169" fontId="5" fillId="4" borderId="1" xfId="1" applyNumberFormat="1" applyFont="1" applyFill="1" applyBorder="1" applyAlignment="1">
      <alignment horizontal="center" vertical="center"/>
    </xf>
    <xf numFmtId="169" fontId="5" fillId="0" borderId="1" xfId="1" quotePrefix="1" applyNumberFormat="1" applyFont="1" applyBorder="1" applyAlignment="1">
      <alignment horizontal="center" vertical="center" wrapText="1"/>
    </xf>
    <xf numFmtId="169" fontId="4" fillId="0" borderId="1" xfId="1" applyNumberFormat="1" applyFont="1" applyBorder="1" applyAlignment="1" applyProtection="1">
      <alignment horizontal="center" vertical="center" wrapText="1"/>
      <protection locked="0"/>
    </xf>
    <xf numFmtId="169" fontId="4" fillId="0" borderId="1" xfId="1" quotePrefix="1" applyNumberFormat="1" applyFont="1" applyBorder="1" applyAlignment="1">
      <alignment horizontal="center" vertical="center" wrapText="1"/>
    </xf>
    <xf numFmtId="169" fontId="5" fillId="0" borderId="1" xfId="1" applyNumberFormat="1" applyFont="1" applyBorder="1" applyAlignment="1" applyProtection="1">
      <alignment horizontal="center" vertical="center"/>
      <protection locked="0"/>
    </xf>
    <xf numFmtId="169" fontId="4" fillId="4" borderId="1" xfId="1" applyNumberFormat="1" applyFont="1" applyFill="1" applyBorder="1" applyAlignment="1">
      <alignment horizontal="center" vertical="center"/>
    </xf>
    <xf numFmtId="169" fontId="14" fillId="0" borderId="1" xfId="1" applyNumberFormat="1" applyFont="1" applyFill="1" applyBorder="1" applyAlignment="1">
      <alignment horizontal="center" vertical="center" wrapText="1"/>
    </xf>
    <xf numFmtId="169" fontId="10" fillId="0" borderId="1" xfId="1" applyNumberFormat="1" applyFont="1" applyBorder="1" applyAlignment="1">
      <alignment horizontal="center" vertical="center"/>
    </xf>
    <xf numFmtId="169" fontId="9" fillId="0" borderId="1" xfId="1" applyNumberFormat="1" applyFont="1" applyFill="1" applyBorder="1" applyAlignment="1">
      <alignment horizontal="center" vertical="center"/>
    </xf>
    <xf numFmtId="169" fontId="13" fillId="0" borderId="1" xfId="1" applyNumberFormat="1" applyFont="1" applyBorder="1" applyAlignment="1">
      <alignment vertical="center" wrapText="1"/>
    </xf>
    <xf numFmtId="3" fontId="0" fillId="0" borderId="0" xfId="0" applyNumberFormat="1"/>
    <xf numFmtId="0" fontId="0" fillId="0" borderId="0" xfId="0" applyAlignment="1">
      <alignment vertical="center"/>
    </xf>
  </cellXfs>
  <cellStyles count="9">
    <cellStyle name="Hipervínculo" xfId="3" builtinId="8"/>
    <cellStyle name="Millares" xfId="1" builtinId="3"/>
    <cellStyle name="Millares 2" xfId="6" xr:uid="{00000000-0005-0000-0000-000002000000}"/>
    <cellStyle name="Moneda" xfId="2" builtinId="4"/>
    <cellStyle name="Normal" xfId="0" builtinId="0"/>
    <cellStyle name="Normal 2" xfId="4" xr:uid="{00000000-0005-0000-0000-000005000000}"/>
    <cellStyle name="Normal 5" xfId="8" xr:uid="{00000000-0005-0000-0000-000006000000}"/>
    <cellStyle name="Normal 7" xfId="5" xr:uid="{00000000-0005-0000-0000-000007000000}"/>
    <cellStyle name="Normal 8" xfId="7"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jessica.nolasco/Downloads/Bases%20de%20Impactos/Impactos%202008/Base_2008_CENACOM.xls" TargetMode="External"/><Relationship Id="rId1" Type="http://schemas.openxmlformats.org/officeDocument/2006/relationships/externalLinkPath" Target="/Users/jessica.nolasco/Downloads/Bases%20de%20Impactos/Impactos%202008/Base_2008_CENACO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cios"/>
      <sheetName val="Hoja1"/>
      <sheetName val="General"/>
      <sheetName val="Cuadro resumen"/>
      <sheetName val="Muertes Hidros"/>
      <sheetName val="Daños 1999-2008"/>
      <sheetName val="Historico hidros 2002-2008"/>
      <sheetName val="Resumen Hidros"/>
      <sheetName val="Lluvias inu y ct"/>
      <sheetName val="Hidro-Lluvias, inund. y ciclons"/>
      <sheetName val="Hidro-Sequías"/>
      <sheetName val="Grafico BT"/>
      <sheetName val="BT Edo"/>
      <sheetName val="Hidro- Bajas temperaturas"/>
      <sheetName val="Hidro-Otros"/>
      <sheetName val="Geológicos"/>
      <sheetName val="Resumen Quimicos"/>
      <sheetName val="Quim-Incendios Forestales"/>
      <sheetName val="Quim-Incendendios urbanos"/>
      <sheetName val="Quím-Explosiones"/>
      <sheetName val="Quím-Derrames"/>
      <sheetName val="Quím-Fugas"/>
      <sheetName val="Sociorganiza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6">
          <cell r="T66" t="str">
            <v>FONDEN</v>
          </cell>
        </row>
        <row r="115">
          <cell r="G115" t="str">
            <v>varios municipios</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elsoldesanluis.com.mx/policiaca/mueren-ahogados-en-santa-maria-del-rio-5212793.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970"/>
  <sheetViews>
    <sheetView tabSelected="1" topLeftCell="J1" zoomScale="82" workbookViewId="0">
      <selection activeCell="W2" sqref="W2"/>
    </sheetView>
  </sheetViews>
  <sheetFormatPr baseColWidth="10" defaultRowHeight="14.4" x14ac:dyDescent="0.3"/>
  <cols>
    <col min="1" max="1" width="11.5546875" style="199" bestFit="1" customWidth="1"/>
    <col min="2" max="4" width="13.44140625" style="199" customWidth="1"/>
    <col min="5" max="5" width="11.5546875" style="5" bestFit="1" customWidth="1"/>
    <col min="6" max="6" width="22.33203125" style="5" customWidth="1"/>
    <col min="7" max="7" width="17.109375" style="200" customWidth="1"/>
    <col min="8" max="8" width="19" style="201" customWidth="1"/>
    <col min="9" max="9" width="27.88671875" style="201" customWidth="1"/>
    <col min="10" max="10" width="39.5546875" style="201" customWidth="1"/>
    <col min="11" max="11" width="25" style="5" customWidth="1"/>
    <col min="12" max="12" width="11.44140625" style="5"/>
    <col min="13" max="13" width="11.5546875" style="202" bestFit="1" customWidth="1"/>
    <col min="14" max="14" width="11" style="202" customWidth="1"/>
    <col min="15" max="15" width="10.88671875" style="202" customWidth="1"/>
    <col min="16" max="16" width="11" style="202" customWidth="1"/>
    <col min="17" max="17" width="18.77734375" style="202" bestFit="1" customWidth="1"/>
    <col min="18" max="18" width="11.33203125" style="203" customWidth="1"/>
    <col min="19" max="19" width="19.88671875" style="5" customWidth="1"/>
    <col min="22" max="22" width="15.5546875" bestFit="1" customWidth="1"/>
    <col min="23" max="23" width="18.5546875" bestFit="1" customWidth="1"/>
  </cols>
  <sheetData>
    <row r="1" spans="1:23" s="5" customFormat="1" ht="48" x14ac:dyDescent="0.3">
      <c r="A1" s="1" t="s">
        <v>0</v>
      </c>
      <c r="B1" s="1" t="s">
        <v>1</v>
      </c>
      <c r="C1" s="1" t="s">
        <v>6262</v>
      </c>
      <c r="D1" s="1" t="s">
        <v>6263</v>
      </c>
      <c r="E1" s="204" t="s">
        <v>2</v>
      </c>
      <c r="F1" s="205" t="s">
        <v>3</v>
      </c>
      <c r="G1" s="205" t="s">
        <v>4</v>
      </c>
      <c r="H1" s="206" t="s">
        <v>5</v>
      </c>
      <c r="I1" s="3" t="s">
        <v>6</v>
      </c>
      <c r="J1" s="4" t="s">
        <v>7</v>
      </c>
      <c r="K1" s="207" t="s">
        <v>8</v>
      </c>
      <c r="L1" s="204" t="s">
        <v>9</v>
      </c>
      <c r="M1" s="208" t="s">
        <v>10</v>
      </c>
      <c r="N1" s="208" t="s">
        <v>11</v>
      </c>
      <c r="O1" s="208" t="s">
        <v>12</v>
      </c>
      <c r="P1" s="208" t="s">
        <v>13</v>
      </c>
      <c r="Q1" s="208" t="s">
        <v>14</v>
      </c>
      <c r="R1" s="209" t="s">
        <v>15</v>
      </c>
      <c r="S1" s="2" t="s">
        <v>16</v>
      </c>
      <c r="T1" s="5" t="s">
        <v>6264</v>
      </c>
      <c r="U1" s="5" t="s">
        <v>6265</v>
      </c>
      <c r="V1" s="258" t="s">
        <v>6266</v>
      </c>
      <c r="W1" s="5" t="s">
        <v>6267</v>
      </c>
    </row>
    <row r="2" spans="1:23" ht="91.2" x14ac:dyDescent="0.3">
      <c r="A2" s="210">
        <v>36878</v>
      </c>
      <c r="B2" s="212">
        <v>36878</v>
      </c>
      <c r="C2" s="6">
        <v>12</v>
      </c>
      <c r="D2" s="6">
        <v>1</v>
      </c>
      <c r="E2" s="6">
        <v>2000</v>
      </c>
      <c r="F2" s="7" t="s">
        <v>17</v>
      </c>
      <c r="G2" s="8" t="s">
        <v>6259</v>
      </c>
      <c r="H2" s="9" t="s">
        <v>18</v>
      </c>
      <c r="I2" s="10" t="s">
        <v>19</v>
      </c>
      <c r="J2" s="11" t="s">
        <v>20</v>
      </c>
      <c r="K2" s="12">
        <v>0</v>
      </c>
      <c r="L2" s="233">
        <v>41000</v>
      </c>
      <c r="M2" s="13">
        <v>0</v>
      </c>
      <c r="N2" s="13">
        <v>0</v>
      </c>
      <c r="O2" s="13">
        <v>0</v>
      </c>
      <c r="P2" s="13">
        <v>0</v>
      </c>
      <c r="Q2" s="13">
        <v>0</v>
      </c>
      <c r="R2" s="14">
        <v>115.8</v>
      </c>
      <c r="S2" s="6" t="s">
        <v>21</v>
      </c>
      <c r="T2" s="257">
        <f>SUM(K2:L2)</f>
        <v>41000</v>
      </c>
      <c r="U2" s="257">
        <f>SUM(M2:P2)</f>
        <v>0</v>
      </c>
      <c r="V2">
        <v>2</v>
      </c>
      <c r="W2">
        <v>0</v>
      </c>
    </row>
    <row r="3" spans="1:23" ht="102.6" x14ac:dyDescent="0.3">
      <c r="A3" s="210">
        <v>36678</v>
      </c>
      <c r="B3" s="212">
        <v>36678</v>
      </c>
      <c r="C3" s="6">
        <v>6</v>
      </c>
      <c r="D3" s="6">
        <v>1</v>
      </c>
      <c r="E3" s="6">
        <v>2000</v>
      </c>
      <c r="F3" s="15" t="s">
        <v>22</v>
      </c>
      <c r="G3" s="16" t="s">
        <v>23</v>
      </c>
      <c r="H3" s="9" t="s">
        <v>24</v>
      </c>
      <c r="I3" s="17" t="s">
        <v>25</v>
      </c>
      <c r="J3" s="11" t="s">
        <v>26</v>
      </c>
      <c r="K3" s="12">
        <v>0</v>
      </c>
      <c r="L3" s="233">
        <v>0</v>
      </c>
      <c r="M3" s="13">
        <v>0</v>
      </c>
      <c r="N3" s="13">
        <v>0</v>
      </c>
      <c r="O3" s="13">
        <v>0</v>
      </c>
      <c r="P3" s="13">
        <v>0</v>
      </c>
      <c r="Q3" s="13">
        <v>0</v>
      </c>
      <c r="R3" s="14">
        <v>25.1</v>
      </c>
      <c r="S3" s="6" t="s">
        <v>21</v>
      </c>
      <c r="T3" s="257">
        <f t="shared" ref="T3:T66" si="0">SUM(K3:L3)</f>
        <v>0</v>
      </c>
      <c r="U3" s="257">
        <f t="shared" ref="U3:U66" si="1">SUM(M3:P3)</f>
        <v>0</v>
      </c>
      <c r="V3">
        <v>0</v>
      </c>
      <c r="W3">
        <v>0</v>
      </c>
    </row>
    <row r="4" spans="1:23" ht="45.6" x14ac:dyDescent="0.3">
      <c r="A4" s="210">
        <v>36785</v>
      </c>
      <c r="B4" s="212">
        <v>36786</v>
      </c>
      <c r="C4" s="6">
        <v>9</v>
      </c>
      <c r="D4" s="6">
        <v>2</v>
      </c>
      <c r="E4" s="6">
        <v>2000</v>
      </c>
      <c r="F4" s="15" t="s">
        <v>22</v>
      </c>
      <c r="G4" s="16" t="s">
        <v>6254</v>
      </c>
      <c r="H4" s="9" t="s">
        <v>28</v>
      </c>
      <c r="I4" s="17" t="s">
        <v>29</v>
      </c>
      <c r="J4" s="11" t="s">
        <v>30</v>
      </c>
      <c r="K4" s="12">
        <v>0</v>
      </c>
      <c r="L4" s="233">
        <v>0</v>
      </c>
      <c r="M4" s="13">
        <v>0</v>
      </c>
      <c r="N4" s="13">
        <v>0</v>
      </c>
      <c r="O4" s="13">
        <v>0</v>
      </c>
      <c r="P4" s="13">
        <v>0</v>
      </c>
      <c r="Q4" s="13">
        <v>0</v>
      </c>
      <c r="R4" s="14">
        <v>7.2430000000000003</v>
      </c>
      <c r="S4" s="6" t="s">
        <v>21</v>
      </c>
      <c r="T4" s="257">
        <f t="shared" si="0"/>
        <v>0</v>
      </c>
      <c r="U4" s="257">
        <f t="shared" si="1"/>
        <v>0</v>
      </c>
      <c r="V4">
        <v>0</v>
      </c>
      <c r="W4">
        <v>0</v>
      </c>
    </row>
    <row r="5" spans="1:23" ht="57" x14ac:dyDescent="0.3">
      <c r="A5" s="210">
        <v>36799</v>
      </c>
      <c r="B5" s="212">
        <v>36801</v>
      </c>
      <c r="C5" s="6">
        <v>9</v>
      </c>
      <c r="D5" s="6">
        <v>3</v>
      </c>
      <c r="E5" s="6">
        <v>2000</v>
      </c>
      <c r="F5" s="15" t="s">
        <v>22</v>
      </c>
      <c r="G5" s="16" t="s">
        <v>6254</v>
      </c>
      <c r="H5" s="9" t="s">
        <v>31</v>
      </c>
      <c r="I5" s="17" t="s">
        <v>25</v>
      </c>
      <c r="J5" s="11" t="s">
        <v>32</v>
      </c>
      <c r="K5" s="12">
        <v>0</v>
      </c>
      <c r="L5" s="233">
        <v>0</v>
      </c>
      <c r="M5" s="13">
        <v>0</v>
      </c>
      <c r="N5" s="13">
        <v>0</v>
      </c>
      <c r="O5" s="13">
        <v>0</v>
      </c>
      <c r="P5" s="13">
        <v>0</v>
      </c>
      <c r="Q5" s="13">
        <v>0</v>
      </c>
      <c r="R5" s="14">
        <v>25.56</v>
      </c>
      <c r="S5" s="6" t="s">
        <v>21</v>
      </c>
      <c r="T5" s="257">
        <f t="shared" si="0"/>
        <v>0</v>
      </c>
      <c r="U5" s="257">
        <f t="shared" si="1"/>
        <v>0</v>
      </c>
      <c r="V5">
        <v>0</v>
      </c>
      <c r="W5">
        <v>0</v>
      </c>
    </row>
    <row r="6" spans="1:23" x14ac:dyDescent="0.3">
      <c r="A6" s="210">
        <v>36529</v>
      </c>
      <c r="B6" s="212">
        <v>36529</v>
      </c>
      <c r="C6" s="6">
        <v>1</v>
      </c>
      <c r="D6" s="6">
        <v>1</v>
      </c>
      <c r="E6" s="6">
        <v>2000</v>
      </c>
      <c r="F6" s="15" t="s">
        <v>22</v>
      </c>
      <c r="G6" s="16" t="s">
        <v>6254</v>
      </c>
      <c r="H6" s="9" t="s">
        <v>31</v>
      </c>
      <c r="I6" s="17" t="s">
        <v>25</v>
      </c>
      <c r="J6" s="11" t="s">
        <v>33</v>
      </c>
      <c r="K6" s="12">
        <v>0</v>
      </c>
      <c r="L6" s="233">
        <v>0</v>
      </c>
      <c r="M6" s="13">
        <v>0</v>
      </c>
      <c r="N6" s="13">
        <v>0</v>
      </c>
      <c r="O6" s="13">
        <v>0</v>
      </c>
      <c r="P6" s="13">
        <v>0</v>
      </c>
      <c r="Q6" s="13">
        <v>0</v>
      </c>
      <c r="R6" s="14">
        <v>38.152999999999999</v>
      </c>
      <c r="S6" s="6" t="s">
        <v>21</v>
      </c>
      <c r="T6" s="257">
        <f t="shared" si="0"/>
        <v>0</v>
      </c>
      <c r="U6" s="257">
        <f t="shared" si="1"/>
        <v>0</v>
      </c>
      <c r="V6">
        <v>0</v>
      </c>
      <c r="W6">
        <v>0</v>
      </c>
    </row>
    <row r="7" spans="1:23" ht="102.6" x14ac:dyDescent="0.3">
      <c r="A7" s="211">
        <v>36647</v>
      </c>
      <c r="B7" s="211">
        <v>36981</v>
      </c>
      <c r="C7" s="6">
        <v>5</v>
      </c>
      <c r="D7" s="6">
        <v>335</v>
      </c>
      <c r="E7" s="6">
        <v>2000</v>
      </c>
      <c r="F7" s="15" t="s">
        <v>22</v>
      </c>
      <c r="G7" s="16" t="s">
        <v>23</v>
      </c>
      <c r="H7" s="9" t="s">
        <v>34</v>
      </c>
      <c r="I7" s="17" t="s">
        <v>25</v>
      </c>
      <c r="J7" s="11" t="s">
        <v>35</v>
      </c>
      <c r="K7" s="12">
        <v>0</v>
      </c>
      <c r="L7" s="233">
        <v>0</v>
      </c>
      <c r="M7" s="13">
        <v>0</v>
      </c>
      <c r="N7" s="13">
        <v>0</v>
      </c>
      <c r="O7" s="13">
        <v>0</v>
      </c>
      <c r="P7" s="13">
        <v>0</v>
      </c>
      <c r="Q7" s="13">
        <v>0</v>
      </c>
      <c r="R7" s="14">
        <v>120</v>
      </c>
      <c r="S7" s="6" t="s">
        <v>21</v>
      </c>
      <c r="T7" s="257">
        <f t="shared" si="0"/>
        <v>0</v>
      </c>
      <c r="U7" s="257">
        <f t="shared" si="1"/>
        <v>0</v>
      </c>
      <c r="V7">
        <v>0</v>
      </c>
      <c r="W7">
        <v>0</v>
      </c>
    </row>
    <row r="8" spans="1:23" ht="57" x14ac:dyDescent="0.3">
      <c r="A8" s="129">
        <v>36861</v>
      </c>
      <c r="B8" s="129">
        <v>36891</v>
      </c>
      <c r="C8" s="6">
        <v>12</v>
      </c>
      <c r="D8" s="6">
        <v>31</v>
      </c>
      <c r="E8" s="6">
        <v>2000</v>
      </c>
      <c r="F8" s="15" t="s">
        <v>22</v>
      </c>
      <c r="G8" s="18" t="s">
        <v>6255</v>
      </c>
      <c r="H8" s="9" t="s">
        <v>34</v>
      </c>
      <c r="I8" s="17" t="s">
        <v>25</v>
      </c>
      <c r="J8" s="11" t="s">
        <v>36</v>
      </c>
      <c r="K8" s="12">
        <v>70</v>
      </c>
      <c r="L8" s="233">
        <v>0</v>
      </c>
      <c r="M8" s="13">
        <v>0</v>
      </c>
      <c r="N8" s="13">
        <v>0</v>
      </c>
      <c r="O8" s="13">
        <v>0</v>
      </c>
      <c r="P8" s="13">
        <v>0</v>
      </c>
      <c r="Q8" s="13">
        <v>0</v>
      </c>
      <c r="R8" s="14">
        <v>0</v>
      </c>
      <c r="S8" s="6" t="s">
        <v>21</v>
      </c>
      <c r="T8" s="257">
        <f t="shared" si="0"/>
        <v>70</v>
      </c>
      <c r="U8" s="257">
        <f t="shared" si="1"/>
        <v>0</v>
      </c>
      <c r="V8">
        <v>1</v>
      </c>
      <c r="W8">
        <v>0</v>
      </c>
    </row>
    <row r="9" spans="1:23" x14ac:dyDescent="0.3">
      <c r="A9" s="211">
        <v>36695</v>
      </c>
      <c r="B9" s="211">
        <v>36695</v>
      </c>
      <c r="C9" s="6">
        <v>6</v>
      </c>
      <c r="D9" s="6">
        <v>1</v>
      </c>
      <c r="E9" s="6">
        <v>2000</v>
      </c>
      <c r="F9" s="15" t="s">
        <v>22</v>
      </c>
      <c r="G9" s="16" t="s">
        <v>6254</v>
      </c>
      <c r="H9" s="9" t="s">
        <v>37</v>
      </c>
      <c r="I9" s="17" t="s">
        <v>25</v>
      </c>
      <c r="J9" s="11" t="s">
        <v>33</v>
      </c>
      <c r="K9" s="12">
        <v>0</v>
      </c>
      <c r="L9" s="233">
        <v>0</v>
      </c>
      <c r="M9" s="13">
        <v>0</v>
      </c>
      <c r="N9" s="13">
        <v>0</v>
      </c>
      <c r="O9" s="13">
        <v>0</v>
      </c>
      <c r="P9" s="13">
        <v>0</v>
      </c>
      <c r="Q9" s="13">
        <v>0</v>
      </c>
      <c r="R9" s="14">
        <v>55.988999999999997</v>
      </c>
      <c r="S9" s="6" t="s">
        <v>21</v>
      </c>
      <c r="T9" s="257">
        <f t="shared" si="0"/>
        <v>0</v>
      </c>
      <c r="U9" s="257">
        <f t="shared" si="1"/>
        <v>0</v>
      </c>
      <c r="V9">
        <v>0</v>
      </c>
      <c r="W9">
        <v>0</v>
      </c>
    </row>
    <row r="10" spans="1:23" x14ac:dyDescent="0.3">
      <c r="A10" s="211">
        <v>36793</v>
      </c>
      <c r="B10" s="211">
        <v>36793</v>
      </c>
      <c r="C10" s="6">
        <v>9</v>
      </c>
      <c r="D10" s="6">
        <v>1</v>
      </c>
      <c r="E10" s="6">
        <v>2000</v>
      </c>
      <c r="F10" s="15" t="s">
        <v>22</v>
      </c>
      <c r="G10" s="16" t="s">
        <v>6254</v>
      </c>
      <c r="H10" s="9" t="s">
        <v>37</v>
      </c>
      <c r="I10" s="17" t="s">
        <v>25</v>
      </c>
      <c r="J10" s="11" t="s">
        <v>33</v>
      </c>
      <c r="K10" s="12">
        <v>0</v>
      </c>
      <c r="L10" s="233">
        <v>0</v>
      </c>
      <c r="M10" s="13">
        <v>0</v>
      </c>
      <c r="N10" s="13">
        <v>0</v>
      </c>
      <c r="O10" s="13">
        <v>0</v>
      </c>
      <c r="P10" s="13">
        <v>0</v>
      </c>
      <c r="Q10" s="13">
        <v>0</v>
      </c>
      <c r="R10" s="14">
        <v>47.536000000000001</v>
      </c>
      <c r="S10" s="6" t="s">
        <v>21</v>
      </c>
      <c r="T10" s="257">
        <f t="shared" si="0"/>
        <v>0</v>
      </c>
      <c r="U10" s="257">
        <f t="shared" si="1"/>
        <v>0</v>
      </c>
      <c r="V10">
        <v>0</v>
      </c>
      <c r="W10">
        <v>0</v>
      </c>
    </row>
    <row r="11" spans="1:23" ht="102.6" x14ac:dyDescent="0.3">
      <c r="A11" s="211">
        <v>36678</v>
      </c>
      <c r="B11" s="211">
        <v>36678</v>
      </c>
      <c r="C11" s="6">
        <v>6</v>
      </c>
      <c r="D11" s="6">
        <v>1</v>
      </c>
      <c r="E11" s="6">
        <v>2000</v>
      </c>
      <c r="F11" s="15" t="s">
        <v>22</v>
      </c>
      <c r="G11" s="16" t="s">
        <v>23</v>
      </c>
      <c r="H11" s="9" t="s">
        <v>37</v>
      </c>
      <c r="I11" s="17" t="s">
        <v>25</v>
      </c>
      <c r="J11" s="11" t="s">
        <v>38</v>
      </c>
      <c r="K11" s="12">
        <v>0</v>
      </c>
      <c r="L11" s="233">
        <v>0</v>
      </c>
      <c r="M11" s="13">
        <v>0</v>
      </c>
      <c r="N11" s="13">
        <v>0</v>
      </c>
      <c r="O11" s="13">
        <v>0</v>
      </c>
      <c r="P11" s="13">
        <v>0</v>
      </c>
      <c r="Q11" s="13">
        <v>0</v>
      </c>
      <c r="R11" s="14">
        <v>62</v>
      </c>
      <c r="S11" s="6" t="s">
        <v>21</v>
      </c>
      <c r="T11" s="257">
        <f t="shared" si="0"/>
        <v>0</v>
      </c>
      <c r="U11" s="257">
        <f t="shared" si="1"/>
        <v>0</v>
      </c>
      <c r="V11">
        <v>0</v>
      </c>
      <c r="W11">
        <v>0</v>
      </c>
    </row>
    <row r="12" spans="1:23" ht="45.6" x14ac:dyDescent="0.3">
      <c r="A12" s="211">
        <v>36789</v>
      </c>
      <c r="B12" s="211">
        <v>36791</v>
      </c>
      <c r="C12" s="6">
        <v>9</v>
      </c>
      <c r="D12" s="6">
        <v>3</v>
      </c>
      <c r="E12" s="6">
        <v>2000</v>
      </c>
      <c r="F12" s="15" t="s">
        <v>22</v>
      </c>
      <c r="G12" s="16" t="s">
        <v>6254</v>
      </c>
      <c r="H12" s="9" t="s">
        <v>39</v>
      </c>
      <c r="I12" s="17" t="s">
        <v>25</v>
      </c>
      <c r="J12" s="11" t="s">
        <v>40</v>
      </c>
      <c r="K12" s="12">
        <v>0</v>
      </c>
      <c r="L12" s="233">
        <v>0</v>
      </c>
      <c r="M12" s="13">
        <v>0</v>
      </c>
      <c r="N12" s="13">
        <v>0</v>
      </c>
      <c r="O12" s="13">
        <v>0</v>
      </c>
      <c r="P12" s="13">
        <v>0</v>
      </c>
      <c r="Q12" s="13">
        <v>0</v>
      </c>
      <c r="R12" s="14">
        <v>16.199000000000002</v>
      </c>
      <c r="S12" s="6" t="s">
        <v>21</v>
      </c>
      <c r="T12" s="257">
        <f t="shared" si="0"/>
        <v>0</v>
      </c>
      <c r="U12" s="257">
        <f t="shared" si="1"/>
        <v>0</v>
      </c>
      <c r="V12">
        <v>0</v>
      </c>
      <c r="W12">
        <v>0</v>
      </c>
    </row>
    <row r="13" spans="1:23" x14ac:dyDescent="0.3">
      <c r="A13" s="211">
        <v>36793</v>
      </c>
      <c r="B13" s="211">
        <v>36793</v>
      </c>
      <c r="C13" s="6">
        <v>9</v>
      </c>
      <c r="D13" s="6">
        <v>1</v>
      </c>
      <c r="E13" s="6">
        <v>2000</v>
      </c>
      <c r="F13" s="15" t="s">
        <v>22</v>
      </c>
      <c r="G13" s="16" t="s">
        <v>6254</v>
      </c>
      <c r="H13" s="9" t="s">
        <v>41</v>
      </c>
      <c r="I13" s="17" t="s">
        <v>25</v>
      </c>
      <c r="J13" s="11" t="s">
        <v>33</v>
      </c>
      <c r="K13" s="12">
        <v>0</v>
      </c>
      <c r="L13" s="233">
        <v>0</v>
      </c>
      <c r="M13" s="13">
        <v>0</v>
      </c>
      <c r="N13" s="13">
        <v>0</v>
      </c>
      <c r="O13" s="13">
        <v>0</v>
      </c>
      <c r="P13" s="13">
        <v>0</v>
      </c>
      <c r="Q13" s="13">
        <v>0</v>
      </c>
      <c r="R13" s="14">
        <v>7.734</v>
      </c>
      <c r="S13" s="6" t="s">
        <v>21</v>
      </c>
      <c r="T13" s="257">
        <f t="shared" si="0"/>
        <v>0</v>
      </c>
      <c r="U13" s="257">
        <f t="shared" si="1"/>
        <v>0</v>
      </c>
      <c r="V13">
        <v>0</v>
      </c>
      <c r="W13">
        <v>0</v>
      </c>
    </row>
    <row r="14" spans="1:23" ht="102.6" x14ac:dyDescent="0.3">
      <c r="A14" s="211">
        <v>36661</v>
      </c>
      <c r="B14" s="211">
        <v>36661</v>
      </c>
      <c r="C14" s="6">
        <v>5</v>
      </c>
      <c r="D14" s="6">
        <v>1</v>
      </c>
      <c r="E14" s="6">
        <v>2000</v>
      </c>
      <c r="F14" s="15" t="s">
        <v>22</v>
      </c>
      <c r="G14" s="16" t="s">
        <v>23</v>
      </c>
      <c r="H14" s="9" t="s">
        <v>41</v>
      </c>
      <c r="I14" s="17" t="s">
        <v>25</v>
      </c>
      <c r="J14" s="11" t="s">
        <v>42</v>
      </c>
      <c r="K14" s="12">
        <v>0</v>
      </c>
      <c r="L14" s="233">
        <v>0</v>
      </c>
      <c r="M14" s="13">
        <v>0</v>
      </c>
      <c r="N14" s="13">
        <v>0</v>
      </c>
      <c r="O14" s="13">
        <v>0</v>
      </c>
      <c r="P14" s="13">
        <v>0</v>
      </c>
      <c r="Q14" s="13">
        <v>0</v>
      </c>
      <c r="R14" s="14">
        <v>45</v>
      </c>
      <c r="S14" s="6" t="s">
        <v>21</v>
      </c>
      <c r="T14" s="257">
        <f t="shared" si="0"/>
        <v>0</v>
      </c>
      <c r="U14" s="257">
        <f t="shared" si="1"/>
        <v>0</v>
      </c>
      <c r="V14">
        <v>0</v>
      </c>
      <c r="W14">
        <v>0</v>
      </c>
    </row>
    <row r="15" spans="1:23" ht="68.400000000000006" x14ac:dyDescent="0.3">
      <c r="A15" s="211">
        <v>36677</v>
      </c>
      <c r="B15" s="211">
        <v>36677</v>
      </c>
      <c r="C15" s="6">
        <v>5</v>
      </c>
      <c r="D15" s="6">
        <v>1</v>
      </c>
      <c r="E15" s="6">
        <v>2000</v>
      </c>
      <c r="F15" s="15" t="s">
        <v>22</v>
      </c>
      <c r="G15" s="16" t="s">
        <v>6256</v>
      </c>
      <c r="H15" s="9" t="s">
        <v>43</v>
      </c>
      <c r="I15" s="10" t="s">
        <v>44</v>
      </c>
      <c r="J15" s="11" t="s">
        <v>45</v>
      </c>
      <c r="K15" s="12">
        <v>0</v>
      </c>
      <c r="L15" s="233">
        <v>2005</v>
      </c>
      <c r="M15" s="13">
        <v>0</v>
      </c>
      <c r="N15" s="13">
        <v>0</v>
      </c>
      <c r="O15" s="13">
        <v>0</v>
      </c>
      <c r="P15" s="13">
        <v>0</v>
      </c>
      <c r="Q15" s="13">
        <v>0</v>
      </c>
      <c r="R15" s="14">
        <v>179.92699999999999</v>
      </c>
      <c r="S15" s="6" t="s">
        <v>21</v>
      </c>
      <c r="T15" s="257">
        <f t="shared" si="0"/>
        <v>2005</v>
      </c>
      <c r="U15" s="257">
        <f t="shared" si="1"/>
        <v>0</v>
      </c>
      <c r="V15">
        <v>1</v>
      </c>
      <c r="W15">
        <v>0</v>
      </c>
    </row>
    <row r="16" spans="1:23" ht="102.6" x14ac:dyDescent="0.3">
      <c r="A16" s="211">
        <v>36678</v>
      </c>
      <c r="B16" s="211">
        <v>36678</v>
      </c>
      <c r="C16" s="6">
        <v>6</v>
      </c>
      <c r="D16" s="6">
        <v>1</v>
      </c>
      <c r="E16" s="6">
        <v>2000</v>
      </c>
      <c r="F16" s="15" t="s">
        <v>22</v>
      </c>
      <c r="G16" s="16" t="s">
        <v>23</v>
      </c>
      <c r="H16" s="9" t="s">
        <v>46</v>
      </c>
      <c r="I16" s="17" t="s">
        <v>25</v>
      </c>
      <c r="J16" s="11" t="s">
        <v>47</v>
      </c>
      <c r="K16" s="12">
        <v>0</v>
      </c>
      <c r="L16" s="233">
        <v>0</v>
      </c>
      <c r="M16" s="13">
        <v>0</v>
      </c>
      <c r="N16" s="13">
        <v>0</v>
      </c>
      <c r="O16" s="13">
        <v>0</v>
      </c>
      <c r="P16" s="13">
        <v>0</v>
      </c>
      <c r="Q16" s="13">
        <v>0</v>
      </c>
      <c r="R16" s="14">
        <v>73.989999999999995</v>
      </c>
      <c r="S16" s="6" t="s">
        <v>21</v>
      </c>
      <c r="T16" s="257">
        <f t="shared" si="0"/>
        <v>0</v>
      </c>
      <c r="U16" s="257">
        <f t="shared" si="1"/>
        <v>0</v>
      </c>
      <c r="V16">
        <v>0</v>
      </c>
      <c r="W16">
        <v>0</v>
      </c>
    </row>
    <row r="17" spans="1:23" ht="57" x14ac:dyDescent="0.3">
      <c r="A17" s="211">
        <v>41531</v>
      </c>
      <c r="B17" s="211">
        <v>41533</v>
      </c>
      <c r="C17" s="6">
        <v>9</v>
      </c>
      <c r="D17" s="6">
        <v>3</v>
      </c>
      <c r="E17" s="19">
        <v>2013</v>
      </c>
      <c r="F17" s="15" t="s">
        <v>22</v>
      </c>
      <c r="G17" s="16" t="s">
        <v>6254</v>
      </c>
      <c r="H17" s="9" t="s">
        <v>48</v>
      </c>
      <c r="I17" s="20" t="s">
        <v>49</v>
      </c>
      <c r="J17" s="21" t="s">
        <v>50</v>
      </c>
      <c r="K17" s="22">
        <v>105</v>
      </c>
      <c r="L17" s="234">
        <v>281263</v>
      </c>
      <c r="M17" s="23">
        <v>10497</v>
      </c>
      <c r="N17" s="23">
        <v>510</v>
      </c>
      <c r="O17" s="23">
        <v>35</v>
      </c>
      <c r="P17" s="23">
        <v>12378</v>
      </c>
      <c r="Q17" s="23">
        <v>55781.1</v>
      </c>
      <c r="R17" s="24">
        <v>23441.4</v>
      </c>
      <c r="S17" s="25" t="s">
        <v>21</v>
      </c>
      <c r="T17" s="257">
        <f t="shared" si="0"/>
        <v>281368</v>
      </c>
      <c r="U17" s="257">
        <f t="shared" si="1"/>
        <v>23420</v>
      </c>
      <c r="V17">
        <v>3</v>
      </c>
      <c r="W17">
        <v>3</v>
      </c>
    </row>
    <row r="18" spans="1:23" x14ac:dyDescent="0.3">
      <c r="A18" s="129">
        <v>36788</v>
      </c>
      <c r="B18" s="129">
        <v>36791</v>
      </c>
      <c r="C18" s="6">
        <v>9</v>
      </c>
      <c r="D18" s="6">
        <v>4</v>
      </c>
      <c r="E18" s="6">
        <v>2000</v>
      </c>
      <c r="F18" s="15" t="s">
        <v>22</v>
      </c>
      <c r="G18" s="16" t="s">
        <v>6254</v>
      </c>
      <c r="H18" s="9" t="s">
        <v>52</v>
      </c>
      <c r="I18" s="17" t="s">
        <v>25</v>
      </c>
      <c r="J18" s="11" t="s">
        <v>33</v>
      </c>
      <c r="K18" s="12">
        <v>0</v>
      </c>
      <c r="L18" s="233">
        <v>0</v>
      </c>
      <c r="M18" s="13">
        <v>0</v>
      </c>
      <c r="N18" s="13">
        <v>0</v>
      </c>
      <c r="O18" s="13">
        <v>0</v>
      </c>
      <c r="P18" s="13">
        <v>0</v>
      </c>
      <c r="Q18" s="13">
        <v>0</v>
      </c>
      <c r="R18" s="14">
        <v>11.670999999999999</v>
      </c>
      <c r="S18" s="6" t="s">
        <v>21</v>
      </c>
      <c r="T18" s="257">
        <f t="shared" si="0"/>
        <v>0</v>
      </c>
      <c r="U18" s="257">
        <f t="shared" si="1"/>
        <v>0</v>
      </c>
      <c r="V18">
        <v>0</v>
      </c>
      <c r="W18">
        <v>0</v>
      </c>
    </row>
    <row r="19" spans="1:23" x14ac:dyDescent="0.3">
      <c r="A19" s="211">
        <v>36789</v>
      </c>
      <c r="B19" s="211">
        <v>36789</v>
      </c>
      <c r="C19" s="6">
        <v>9</v>
      </c>
      <c r="D19" s="6">
        <v>1</v>
      </c>
      <c r="E19" s="6">
        <v>2000</v>
      </c>
      <c r="F19" s="15" t="s">
        <v>22</v>
      </c>
      <c r="G19" s="16" t="s">
        <v>6254</v>
      </c>
      <c r="H19" s="9" t="s">
        <v>52</v>
      </c>
      <c r="I19" s="17" t="s">
        <v>25</v>
      </c>
      <c r="J19" s="11" t="s">
        <v>53</v>
      </c>
      <c r="K19" s="12">
        <v>0</v>
      </c>
      <c r="L19" s="233">
        <v>0</v>
      </c>
      <c r="M19" s="13">
        <v>0</v>
      </c>
      <c r="N19" s="13">
        <v>0</v>
      </c>
      <c r="O19" s="13">
        <v>0</v>
      </c>
      <c r="P19" s="13">
        <v>0</v>
      </c>
      <c r="Q19" s="13">
        <v>0</v>
      </c>
      <c r="R19" s="14">
        <v>60.869</v>
      </c>
      <c r="S19" s="6" t="s">
        <v>21</v>
      </c>
      <c r="T19" s="257">
        <f t="shared" si="0"/>
        <v>0</v>
      </c>
      <c r="U19" s="257">
        <f t="shared" si="1"/>
        <v>0</v>
      </c>
      <c r="V19">
        <v>0</v>
      </c>
      <c r="W19">
        <v>0</v>
      </c>
    </row>
    <row r="20" spans="1:23" ht="102.6" x14ac:dyDescent="0.3">
      <c r="A20" s="211">
        <v>36867</v>
      </c>
      <c r="B20" s="211">
        <v>36867</v>
      </c>
      <c r="C20" s="6">
        <v>12</v>
      </c>
      <c r="D20" s="6">
        <v>1</v>
      </c>
      <c r="E20" s="6">
        <v>2000</v>
      </c>
      <c r="F20" s="15" t="s">
        <v>22</v>
      </c>
      <c r="G20" s="16" t="s">
        <v>23</v>
      </c>
      <c r="H20" s="9" t="s">
        <v>52</v>
      </c>
      <c r="I20" s="17" t="s">
        <v>25</v>
      </c>
      <c r="J20" s="11" t="s">
        <v>54</v>
      </c>
      <c r="K20" s="12">
        <v>0</v>
      </c>
      <c r="L20" s="233">
        <v>0</v>
      </c>
      <c r="M20" s="13">
        <v>0</v>
      </c>
      <c r="N20" s="13">
        <v>0</v>
      </c>
      <c r="O20" s="13">
        <v>0</v>
      </c>
      <c r="P20" s="13">
        <v>0</v>
      </c>
      <c r="Q20" s="13">
        <v>0</v>
      </c>
      <c r="R20" s="14">
        <v>9.32</v>
      </c>
      <c r="S20" s="6" t="s">
        <v>21</v>
      </c>
      <c r="T20" s="257">
        <f t="shared" si="0"/>
        <v>0</v>
      </c>
      <c r="U20" s="257">
        <f t="shared" si="1"/>
        <v>0</v>
      </c>
      <c r="V20">
        <v>0</v>
      </c>
      <c r="W20">
        <v>0</v>
      </c>
    </row>
    <row r="21" spans="1:23" x14ac:dyDescent="0.3">
      <c r="A21" s="211">
        <v>36789</v>
      </c>
      <c r="B21" s="211">
        <v>36789</v>
      </c>
      <c r="C21" s="6">
        <v>9</v>
      </c>
      <c r="D21" s="6">
        <v>1</v>
      </c>
      <c r="E21" s="6">
        <v>2000</v>
      </c>
      <c r="F21" s="15" t="s">
        <v>22</v>
      </c>
      <c r="G21" s="16" t="s">
        <v>6254</v>
      </c>
      <c r="H21" s="9" t="s">
        <v>56</v>
      </c>
      <c r="I21" s="17" t="s">
        <v>25</v>
      </c>
      <c r="J21" s="11" t="s">
        <v>53</v>
      </c>
      <c r="K21" s="12">
        <v>0</v>
      </c>
      <c r="L21" s="233">
        <v>0</v>
      </c>
      <c r="M21" s="13">
        <v>0</v>
      </c>
      <c r="N21" s="13">
        <v>0</v>
      </c>
      <c r="O21" s="13">
        <v>0</v>
      </c>
      <c r="P21" s="13">
        <v>0</v>
      </c>
      <c r="Q21" s="13">
        <v>0</v>
      </c>
      <c r="R21" s="14">
        <v>47.774999999999999</v>
      </c>
      <c r="S21" s="6" t="s">
        <v>21</v>
      </c>
      <c r="T21" s="257">
        <f t="shared" si="0"/>
        <v>0</v>
      </c>
      <c r="U21" s="257">
        <f t="shared" si="1"/>
        <v>0</v>
      </c>
      <c r="V21">
        <v>0</v>
      </c>
      <c r="W21">
        <v>0</v>
      </c>
    </row>
    <row r="22" spans="1:23" ht="102.6" x14ac:dyDescent="0.3">
      <c r="A22" s="211">
        <v>36805</v>
      </c>
      <c r="B22" s="211">
        <v>36806</v>
      </c>
      <c r="C22" s="6">
        <v>10</v>
      </c>
      <c r="D22" s="6">
        <v>2</v>
      </c>
      <c r="E22" s="6">
        <v>2000</v>
      </c>
      <c r="F22" s="15" t="s">
        <v>22</v>
      </c>
      <c r="G22" s="16" t="s">
        <v>6254</v>
      </c>
      <c r="H22" s="9" t="s">
        <v>57</v>
      </c>
      <c r="I22" s="10" t="s">
        <v>58</v>
      </c>
      <c r="J22" s="11" t="s">
        <v>59</v>
      </c>
      <c r="K22" s="12">
        <v>0</v>
      </c>
      <c r="L22" s="233">
        <v>5130</v>
      </c>
      <c r="M22" s="13">
        <v>460</v>
      </c>
      <c r="N22" s="13">
        <v>0</v>
      </c>
      <c r="O22" s="13">
        <v>0</v>
      </c>
      <c r="P22" s="13">
        <v>0</v>
      </c>
      <c r="Q22" s="13">
        <v>0</v>
      </c>
      <c r="R22" s="14">
        <v>115.6</v>
      </c>
      <c r="S22" s="6" t="s">
        <v>21</v>
      </c>
      <c r="T22" s="257">
        <f t="shared" si="0"/>
        <v>5130</v>
      </c>
      <c r="U22" s="257">
        <f t="shared" si="1"/>
        <v>460</v>
      </c>
      <c r="V22">
        <v>1</v>
      </c>
      <c r="W22">
        <v>1</v>
      </c>
    </row>
    <row r="23" spans="1:23" ht="102.6" x14ac:dyDescent="0.3">
      <c r="A23" s="211">
        <v>36678</v>
      </c>
      <c r="B23" s="211">
        <v>36678</v>
      </c>
      <c r="C23" s="6">
        <v>6</v>
      </c>
      <c r="D23" s="6">
        <v>1</v>
      </c>
      <c r="E23" s="6">
        <v>2000</v>
      </c>
      <c r="F23" s="15" t="s">
        <v>22</v>
      </c>
      <c r="G23" s="16" t="s">
        <v>23</v>
      </c>
      <c r="H23" s="9" t="s">
        <v>57</v>
      </c>
      <c r="I23" s="17" t="s">
        <v>25</v>
      </c>
      <c r="J23" s="11" t="s">
        <v>60</v>
      </c>
      <c r="K23" s="12">
        <v>0</v>
      </c>
      <c r="L23" s="233">
        <v>0</v>
      </c>
      <c r="M23" s="13">
        <v>0</v>
      </c>
      <c r="N23" s="13">
        <v>0</v>
      </c>
      <c r="O23" s="13">
        <v>0</v>
      </c>
      <c r="P23" s="13">
        <v>0</v>
      </c>
      <c r="Q23" s="13">
        <v>0</v>
      </c>
      <c r="R23" s="14">
        <v>51.82</v>
      </c>
      <c r="S23" s="6" t="s">
        <v>21</v>
      </c>
      <c r="T23" s="257">
        <f t="shared" si="0"/>
        <v>0</v>
      </c>
      <c r="U23" s="257">
        <f t="shared" si="1"/>
        <v>0</v>
      </c>
      <c r="V23">
        <v>0</v>
      </c>
      <c r="W23">
        <v>0</v>
      </c>
    </row>
    <row r="24" spans="1:23" ht="57" x14ac:dyDescent="0.3">
      <c r="A24" s="211">
        <v>36836</v>
      </c>
      <c r="B24" s="211">
        <v>36838</v>
      </c>
      <c r="C24" s="6">
        <v>11</v>
      </c>
      <c r="D24" s="6">
        <v>3</v>
      </c>
      <c r="E24" s="6">
        <v>2000</v>
      </c>
      <c r="F24" s="15" t="s">
        <v>22</v>
      </c>
      <c r="G24" s="16" t="s">
        <v>6254</v>
      </c>
      <c r="H24" s="9" t="s">
        <v>61</v>
      </c>
      <c r="I24" s="10" t="s">
        <v>62</v>
      </c>
      <c r="J24" s="11" t="s">
        <v>63</v>
      </c>
      <c r="K24" s="12">
        <v>0</v>
      </c>
      <c r="L24" s="233">
        <v>0</v>
      </c>
      <c r="M24" s="13">
        <v>0</v>
      </c>
      <c r="N24" s="13">
        <v>0</v>
      </c>
      <c r="O24" s="13">
        <v>0</v>
      </c>
      <c r="P24" s="13">
        <v>0</v>
      </c>
      <c r="Q24" s="13">
        <v>0</v>
      </c>
      <c r="R24" s="14">
        <v>0.14000000000000001</v>
      </c>
      <c r="S24" s="6" t="s">
        <v>21</v>
      </c>
      <c r="T24" s="257">
        <f t="shared" si="0"/>
        <v>0</v>
      </c>
      <c r="U24" s="257">
        <f t="shared" si="1"/>
        <v>0</v>
      </c>
      <c r="V24">
        <v>0</v>
      </c>
      <c r="W24">
        <v>0</v>
      </c>
    </row>
    <row r="25" spans="1:23" ht="45.6" x14ac:dyDescent="0.3">
      <c r="A25" s="211">
        <v>36861</v>
      </c>
      <c r="B25" s="211"/>
      <c r="C25" s="6">
        <v>12</v>
      </c>
      <c r="D25" s="6">
        <v>1</v>
      </c>
      <c r="E25" s="6">
        <v>2000</v>
      </c>
      <c r="F25" s="15" t="s">
        <v>22</v>
      </c>
      <c r="G25" s="18" t="s">
        <v>6255</v>
      </c>
      <c r="H25" s="9" t="s">
        <v>64</v>
      </c>
      <c r="I25" s="17" t="s">
        <v>25</v>
      </c>
      <c r="J25" s="11" t="s">
        <v>65</v>
      </c>
      <c r="K25" s="12">
        <v>0</v>
      </c>
      <c r="L25" s="233">
        <v>0</v>
      </c>
      <c r="M25" s="13">
        <v>0</v>
      </c>
      <c r="N25" s="13">
        <v>0</v>
      </c>
      <c r="O25" s="13">
        <v>0</v>
      </c>
      <c r="P25" s="13">
        <v>0</v>
      </c>
      <c r="Q25" s="13">
        <v>0</v>
      </c>
      <c r="R25" s="14">
        <v>9.8000000000000007</v>
      </c>
      <c r="S25" s="6" t="s">
        <v>21</v>
      </c>
      <c r="T25" s="257">
        <f t="shared" si="0"/>
        <v>0</v>
      </c>
      <c r="U25" s="257">
        <f t="shared" si="1"/>
        <v>0</v>
      </c>
      <c r="V25">
        <v>0</v>
      </c>
      <c r="W25">
        <v>0</v>
      </c>
    </row>
    <row r="26" spans="1:23" ht="102.6" x14ac:dyDescent="0.3">
      <c r="A26" s="211">
        <v>36647</v>
      </c>
      <c r="B26" s="211">
        <v>37072</v>
      </c>
      <c r="C26" s="6">
        <v>5</v>
      </c>
      <c r="D26" s="6">
        <v>426</v>
      </c>
      <c r="E26" s="6">
        <v>2000</v>
      </c>
      <c r="F26" s="15" t="s">
        <v>22</v>
      </c>
      <c r="G26" s="16" t="s">
        <v>23</v>
      </c>
      <c r="H26" s="9" t="s">
        <v>66</v>
      </c>
      <c r="I26" s="17" t="s">
        <v>67</v>
      </c>
      <c r="J26" s="11" t="s">
        <v>68</v>
      </c>
      <c r="K26" s="12">
        <v>0</v>
      </c>
      <c r="L26" s="233">
        <v>0</v>
      </c>
      <c r="M26" s="13">
        <v>0</v>
      </c>
      <c r="N26" s="13">
        <v>0</v>
      </c>
      <c r="O26" s="13">
        <v>0</v>
      </c>
      <c r="P26" s="13">
        <v>0</v>
      </c>
      <c r="Q26" s="13">
        <v>0</v>
      </c>
      <c r="R26" s="14">
        <v>14.19</v>
      </c>
      <c r="S26" s="6" t="s">
        <v>21</v>
      </c>
      <c r="T26" s="257">
        <f t="shared" si="0"/>
        <v>0</v>
      </c>
      <c r="U26" s="257">
        <f t="shared" si="1"/>
        <v>0</v>
      </c>
      <c r="V26">
        <v>0</v>
      </c>
      <c r="W26">
        <v>0</v>
      </c>
    </row>
    <row r="27" spans="1:23" ht="57" x14ac:dyDescent="0.3">
      <c r="A27" s="211">
        <v>36799</v>
      </c>
      <c r="B27" s="211">
        <v>36799</v>
      </c>
      <c r="C27" s="6">
        <v>9</v>
      </c>
      <c r="D27" s="6">
        <v>1</v>
      </c>
      <c r="E27" s="6">
        <v>2000</v>
      </c>
      <c r="F27" s="15" t="s">
        <v>22</v>
      </c>
      <c r="G27" s="16" t="s">
        <v>6254</v>
      </c>
      <c r="H27" s="9" t="s">
        <v>69</v>
      </c>
      <c r="I27" s="17" t="s">
        <v>25</v>
      </c>
      <c r="J27" s="11" t="s">
        <v>32</v>
      </c>
      <c r="K27" s="12">
        <v>0</v>
      </c>
      <c r="L27" s="233">
        <v>0</v>
      </c>
      <c r="M27" s="13">
        <v>0</v>
      </c>
      <c r="N27" s="13">
        <v>0</v>
      </c>
      <c r="O27" s="13">
        <v>0</v>
      </c>
      <c r="P27" s="13">
        <v>0</v>
      </c>
      <c r="Q27" s="13">
        <v>0</v>
      </c>
      <c r="R27" s="14">
        <v>42.482999999999997</v>
      </c>
      <c r="S27" s="6" t="s">
        <v>21</v>
      </c>
      <c r="T27" s="257">
        <f t="shared" si="0"/>
        <v>0</v>
      </c>
      <c r="U27" s="257">
        <f t="shared" si="1"/>
        <v>0</v>
      </c>
      <c r="V27">
        <v>0</v>
      </c>
      <c r="W27">
        <v>0</v>
      </c>
    </row>
    <row r="28" spans="1:23" ht="102.6" x14ac:dyDescent="0.3">
      <c r="A28" s="211">
        <v>36647</v>
      </c>
      <c r="B28" s="211">
        <v>36981</v>
      </c>
      <c r="C28" s="6">
        <v>5</v>
      </c>
      <c r="D28" s="6">
        <v>335</v>
      </c>
      <c r="E28" s="6">
        <v>2000</v>
      </c>
      <c r="F28" s="15" t="s">
        <v>22</v>
      </c>
      <c r="G28" s="16" t="s">
        <v>23</v>
      </c>
      <c r="H28" s="9" t="s">
        <v>70</v>
      </c>
      <c r="I28" s="17" t="s">
        <v>25</v>
      </c>
      <c r="J28" s="11" t="s">
        <v>71</v>
      </c>
      <c r="K28" s="12">
        <v>0</v>
      </c>
      <c r="L28" s="233">
        <v>0</v>
      </c>
      <c r="M28" s="13">
        <v>0</v>
      </c>
      <c r="N28" s="13">
        <v>0</v>
      </c>
      <c r="O28" s="13">
        <v>0</v>
      </c>
      <c r="P28" s="13">
        <v>0</v>
      </c>
      <c r="Q28" s="13">
        <v>0</v>
      </c>
      <c r="R28" s="14">
        <v>16.28</v>
      </c>
      <c r="S28" s="6" t="s">
        <v>21</v>
      </c>
      <c r="T28" s="257">
        <f t="shared" si="0"/>
        <v>0</v>
      </c>
      <c r="U28" s="257">
        <f t="shared" si="1"/>
        <v>0</v>
      </c>
      <c r="V28">
        <v>0</v>
      </c>
      <c r="W28">
        <v>0</v>
      </c>
    </row>
    <row r="29" spans="1:23" ht="102.6" x14ac:dyDescent="0.3">
      <c r="A29" s="211">
        <v>36678</v>
      </c>
      <c r="B29" s="211">
        <v>36678</v>
      </c>
      <c r="C29" s="6">
        <v>6</v>
      </c>
      <c r="D29" s="6">
        <v>1</v>
      </c>
      <c r="E29" s="6">
        <v>2000</v>
      </c>
      <c r="F29" s="15" t="s">
        <v>22</v>
      </c>
      <c r="G29" s="16" t="s">
        <v>23</v>
      </c>
      <c r="H29" s="9" t="s">
        <v>72</v>
      </c>
      <c r="I29" s="17" t="s">
        <v>25</v>
      </c>
      <c r="J29" s="11" t="s">
        <v>73</v>
      </c>
      <c r="K29" s="12">
        <v>0</v>
      </c>
      <c r="L29" s="233">
        <v>0</v>
      </c>
      <c r="M29" s="13">
        <v>0</v>
      </c>
      <c r="N29" s="13">
        <v>0</v>
      </c>
      <c r="O29" s="13">
        <v>0</v>
      </c>
      <c r="P29" s="13">
        <v>0</v>
      </c>
      <c r="Q29" s="13">
        <v>0</v>
      </c>
      <c r="R29" s="14">
        <v>53.44</v>
      </c>
      <c r="S29" s="6" t="s">
        <v>21</v>
      </c>
      <c r="T29" s="257">
        <f t="shared" si="0"/>
        <v>0</v>
      </c>
      <c r="U29" s="257">
        <f t="shared" si="1"/>
        <v>0</v>
      </c>
      <c r="V29">
        <v>0</v>
      </c>
      <c r="W29">
        <v>0</v>
      </c>
    </row>
    <row r="30" spans="1:23" ht="102.6" x14ac:dyDescent="0.3">
      <c r="A30" s="211">
        <v>36820</v>
      </c>
      <c r="B30" s="211">
        <v>36821</v>
      </c>
      <c r="C30" s="6">
        <v>10</v>
      </c>
      <c r="D30" s="6">
        <v>2</v>
      </c>
      <c r="E30" s="6">
        <v>2000</v>
      </c>
      <c r="F30" s="15" t="s">
        <v>22</v>
      </c>
      <c r="G30" s="18" t="s">
        <v>6256</v>
      </c>
      <c r="H30" s="9" t="s">
        <v>74</v>
      </c>
      <c r="I30" s="17" t="s">
        <v>75</v>
      </c>
      <c r="J30" s="11" t="s">
        <v>76</v>
      </c>
      <c r="K30" s="12">
        <v>0</v>
      </c>
      <c r="L30" s="233">
        <v>2320</v>
      </c>
      <c r="M30" s="13">
        <v>464</v>
      </c>
      <c r="N30" s="13">
        <v>0</v>
      </c>
      <c r="O30" s="13">
        <v>0</v>
      </c>
      <c r="P30" s="13">
        <v>0</v>
      </c>
      <c r="Q30" s="13">
        <v>1250</v>
      </c>
      <c r="R30" s="14">
        <v>64.436000000000007</v>
      </c>
      <c r="S30" s="6" t="s">
        <v>21</v>
      </c>
      <c r="T30" s="257">
        <f t="shared" si="0"/>
        <v>2320</v>
      </c>
      <c r="U30" s="257">
        <f t="shared" si="1"/>
        <v>464</v>
      </c>
      <c r="V30">
        <v>1</v>
      </c>
      <c r="W30">
        <v>1</v>
      </c>
    </row>
    <row r="31" spans="1:23" ht="102.6" x14ac:dyDescent="0.3">
      <c r="A31" s="211">
        <v>36661</v>
      </c>
      <c r="B31" s="211">
        <v>36661</v>
      </c>
      <c r="C31" s="6">
        <v>5</v>
      </c>
      <c r="D31" s="6">
        <v>1</v>
      </c>
      <c r="E31" s="6">
        <v>2000</v>
      </c>
      <c r="F31" s="15" t="s">
        <v>22</v>
      </c>
      <c r="G31" s="16" t="s">
        <v>23</v>
      </c>
      <c r="H31" s="9" t="s">
        <v>74</v>
      </c>
      <c r="I31" s="17" t="s">
        <v>25</v>
      </c>
      <c r="J31" s="11" t="s">
        <v>77</v>
      </c>
      <c r="K31" s="12">
        <v>0</v>
      </c>
      <c r="L31" s="233">
        <v>0</v>
      </c>
      <c r="M31" s="13">
        <v>0</v>
      </c>
      <c r="N31" s="13">
        <v>0</v>
      </c>
      <c r="O31" s="13">
        <v>0</v>
      </c>
      <c r="P31" s="13">
        <v>0</v>
      </c>
      <c r="Q31" s="13">
        <v>0</v>
      </c>
      <c r="R31" s="14">
        <v>56.07</v>
      </c>
      <c r="S31" s="6" t="s">
        <v>21</v>
      </c>
      <c r="T31" s="257">
        <f t="shared" si="0"/>
        <v>0</v>
      </c>
      <c r="U31" s="257">
        <f t="shared" si="1"/>
        <v>0</v>
      </c>
      <c r="V31">
        <v>0</v>
      </c>
      <c r="W31">
        <v>0</v>
      </c>
    </row>
    <row r="32" spans="1:23" ht="45.6" x14ac:dyDescent="0.3">
      <c r="A32" s="211">
        <v>36753</v>
      </c>
      <c r="B32" s="211">
        <v>36755</v>
      </c>
      <c r="C32" s="6">
        <v>8</v>
      </c>
      <c r="D32" s="6">
        <v>3</v>
      </c>
      <c r="E32" s="6">
        <v>2000</v>
      </c>
      <c r="F32" s="15" t="s">
        <v>22</v>
      </c>
      <c r="G32" s="16" t="s">
        <v>6254</v>
      </c>
      <c r="H32" s="9" t="s">
        <v>78</v>
      </c>
      <c r="I32" s="10" t="s">
        <v>79</v>
      </c>
      <c r="J32" s="11" t="s">
        <v>80</v>
      </c>
      <c r="K32" s="12">
        <v>0</v>
      </c>
      <c r="L32" s="233">
        <v>0</v>
      </c>
      <c r="M32" s="13">
        <v>0</v>
      </c>
      <c r="N32" s="13">
        <v>0</v>
      </c>
      <c r="O32" s="13">
        <v>0</v>
      </c>
      <c r="P32" s="13">
        <v>0</v>
      </c>
      <c r="Q32" s="13">
        <v>0</v>
      </c>
      <c r="R32" s="14">
        <v>0.254</v>
      </c>
      <c r="S32" s="6" t="s">
        <v>21</v>
      </c>
      <c r="T32" s="257">
        <f t="shared" si="0"/>
        <v>0</v>
      </c>
      <c r="U32" s="257">
        <f t="shared" si="1"/>
        <v>0</v>
      </c>
      <c r="V32">
        <v>0</v>
      </c>
      <c r="W32">
        <v>0</v>
      </c>
    </row>
    <row r="33" spans="1:23" ht="68.400000000000006" x14ac:dyDescent="0.3">
      <c r="A33" s="211">
        <v>36802</v>
      </c>
      <c r="B33" s="211">
        <v>36804</v>
      </c>
      <c r="C33" s="6">
        <v>10</v>
      </c>
      <c r="D33" s="6">
        <v>3</v>
      </c>
      <c r="E33" s="6">
        <v>2000</v>
      </c>
      <c r="F33" s="15" t="s">
        <v>22</v>
      </c>
      <c r="G33" s="16" t="s">
        <v>6254</v>
      </c>
      <c r="H33" s="9" t="s">
        <v>81</v>
      </c>
      <c r="I33" s="10" t="s">
        <v>82</v>
      </c>
      <c r="J33" s="11" t="s">
        <v>83</v>
      </c>
      <c r="K33" s="12">
        <v>0</v>
      </c>
      <c r="L33" s="233">
        <v>0</v>
      </c>
      <c r="M33" s="13">
        <v>30</v>
      </c>
      <c r="N33" s="13">
        <v>1</v>
      </c>
      <c r="O33" s="13">
        <v>0</v>
      </c>
      <c r="P33" s="13">
        <v>0</v>
      </c>
      <c r="Q33" s="13">
        <v>0</v>
      </c>
      <c r="R33" s="14">
        <v>117.85</v>
      </c>
      <c r="S33" s="6" t="s">
        <v>21</v>
      </c>
      <c r="T33" s="257">
        <f t="shared" si="0"/>
        <v>0</v>
      </c>
      <c r="U33" s="257">
        <f t="shared" si="1"/>
        <v>31</v>
      </c>
      <c r="V33">
        <v>0</v>
      </c>
      <c r="W33">
        <v>1</v>
      </c>
    </row>
    <row r="34" spans="1:23" ht="45.6" x14ac:dyDescent="0.3">
      <c r="A34" s="211">
        <v>36861</v>
      </c>
      <c r="B34" s="211">
        <v>36891</v>
      </c>
      <c r="C34" s="6">
        <v>12</v>
      </c>
      <c r="D34" s="6">
        <v>31</v>
      </c>
      <c r="E34" s="6">
        <v>2000</v>
      </c>
      <c r="F34" s="15" t="s">
        <v>22</v>
      </c>
      <c r="G34" s="18" t="s">
        <v>6255</v>
      </c>
      <c r="H34" s="9" t="s">
        <v>84</v>
      </c>
      <c r="I34" s="17" t="s">
        <v>25</v>
      </c>
      <c r="J34" s="11" t="s">
        <v>85</v>
      </c>
      <c r="K34" s="12">
        <v>0</v>
      </c>
      <c r="L34" s="233">
        <v>0</v>
      </c>
      <c r="M34" s="13">
        <v>0</v>
      </c>
      <c r="N34" s="13">
        <v>0</v>
      </c>
      <c r="O34" s="13">
        <v>0</v>
      </c>
      <c r="P34" s="13">
        <v>0</v>
      </c>
      <c r="Q34" s="13">
        <v>0</v>
      </c>
      <c r="R34" s="14">
        <v>4.7699999999999996</v>
      </c>
      <c r="S34" s="6" t="s">
        <v>21</v>
      </c>
      <c r="T34" s="257">
        <f t="shared" si="0"/>
        <v>0</v>
      </c>
      <c r="U34" s="257">
        <f t="shared" si="1"/>
        <v>0</v>
      </c>
      <c r="V34">
        <v>0</v>
      </c>
      <c r="W34">
        <v>0</v>
      </c>
    </row>
    <row r="35" spans="1:23" ht="22.8" x14ac:dyDescent="0.3">
      <c r="A35" s="129">
        <v>36526</v>
      </c>
      <c r="B35" s="212">
        <v>36891</v>
      </c>
      <c r="C35" s="6">
        <v>1</v>
      </c>
      <c r="D35" s="6">
        <v>366</v>
      </c>
      <c r="E35" s="6">
        <v>2000</v>
      </c>
      <c r="F35" s="15" t="s">
        <v>22</v>
      </c>
      <c r="G35" s="16" t="s">
        <v>6254</v>
      </c>
      <c r="H35" s="9" t="s">
        <v>86</v>
      </c>
      <c r="I35" s="17" t="s">
        <v>25</v>
      </c>
      <c r="J35" s="11" t="s">
        <v>87</v>
      </c>
      <c r="K35" s="12">
        <v>0</v>
      </c>
      <c r="L35" s="233">
        <v>0</v>
      </c>
      <c r="M35" s="13">
        <v>0</v>
      </c>
      <c r="N35" s="13">
        <v>0</v>
      </c>
      <c r="O35" s="13">
        <v>0</v>
      </c>
      <c r="P35" s="13">
        <v>0</v>
      </c>
      <c r="Q35" s="13">
        <v>0</v>
      </c>
      <c r="R35" s="14">
        <v>530.29999999999995</v>
      </c>
      <c r="S35" s="6" t="s">
        <v>21</v>
      </c>
      <c r="T35" s="257">
        <f t="shared" si="0"/>
        <v>0</v>
      </c>
      <c r="U35" s="257">
        <f t="shared" si="1"/>
        <v>0</v>
      </c>
      <c r="V35">
        <v>0</v>
      </c>
      <c r="W35">
        <v>0</v>
      </c>
    </row>
    <row r="36" spans="1:23" ht="102.6" x14ac:dyDescent="0.3">
      <c r="A36" s="211">
        <v>36678</v>
      </c>
      <c r="B36" s="211">
        <v>36678</v>
      </c>
      <c r="C36" s="6">
        <v>6</v>
      </c>
      <c r="D36" s="6">
        <v>1</v>
      </c>
      <c r="E36" s="6">
        <v>2000</v>
      </c>
      <c r="F36" s="15" t="s">
        <v>22</v>
      </c>
      <c r="G36" s="16" t="s">
        <v>23</v>
      </c>
      <c r="H36" s="9" t="s">
        <v>88</v>
      </c>
      <c r="I36" s="17" t="s">
        <v>25</v>
      </c>
      <c r="J36" s="11" t="s">
        <v>89</v>
      </c>
      <c r="K36" s="12">
        <v>0</v>
      </c>
      <c r="L36" s="233">
        <v>0</v>
      </c>
      <c r="M36" s="13">
        <v>0</v>
      </c>
      <c r="N36" s="13">
        <v>0</v>
      </c>
      <c r="O36" s="13">
        <v>0</v>
      </c>
      <c r="P36" s="13">
        <v>0</v>
      </c>
      <c r="Q36" s="13">
        <v>0</v>
      </c>
      <c r="R36" s="14">
        <v>42.27</v>
      </c>
      <c r="S36" s="6" t="s">
        <v>21</v>
      </c>
      <c r="T36" s="257">
        <f t="shared" si="0"/>
        <v>0</v>
      </c>
      <c r="U36" s="257">
        <f t="shared" si="1"/>
        <v>0</v>
      </c>
      <c r="V36">
        <v>0</v>
      </c>
      <c r="W36">
        <v>0</v>
      </c>
    </row>
    <row r="37" spans="1:23" ht="45.6" x14ac:dyDescent="0.3">
      <c r="A37" s="212">
        <v>36923</v>
      </c>
      <c r="B37" s="212">
        <v>36923</v>
      </c>
      <c r="C37" s="6">
        <v>2</v>
      </c>
      <c r="D37" s="6">
        <v>1</v>
      </c>
      <c r="E37" s="6">
        <v>2001</v>
      </c>
      <c r="F37" s="15" t="s">
        <v>22</v>
      </c>
      <c r="G37" s="16" t="s">
        <v>23</v>
      </c>
      <c r="H37" s="9" t="s">
        <v>70</v>
      </c>
      <c r="I37" s="17" t="s">
        <v>25</v>
      </c>
      <c r="J37" s="11" t="s">
        <v>90</v>
      </c>
      <c r="K37" s="12">
        <v>0</v>
      </c>
      <c r="L37" s="233">
        <v>0</v>
      </c>
      <c r="M37" s="13">
        <v>0</v>
      </c>
      <c r="N37" s="13">
        <v>0</v>
      </c>
      <c r="O37" s="13">
        <v>0</v>
      </c>
      <c r="P37" s="13">
        <v>0</v>
      </c>
      <c r="Q37" s="13">
        <v>0</v>
      </c>
      <c r="R37" s="26">
        <v>44.3</v>
      </c>
      <c r="S37" s="6" t="s">
        <v>21</v>
      </c>
      <c r="T37" s="257">
        <f t="shared" si="0"/>
        <v>0</v>
      </c>
      <c r="U37" s="257">
        <f t="shared" si="1"/>
        <v>0</v>
      </c>
      <c r="V37">
        <v>0</v>
      </c>
      <c r="W37">
        <v>0</v>
      </c>
    </row>
    <row r="38" spans="1:23" ht="45.6" x14ac:dyDescent="0.3">
      <c r="A38" s="211">
        <v>37005</v>
      </c>
      <c r="B38" s="211">
        <v>37005</v>
      </c>
      <c r="C38" s="6">
        <v>4</v>
      </c>
      <c r="D38" s="6">
        <v>1</v>
      </c>
      <c r="E38" s="6">
        <v>2001</v>
      </c>
      <c r="F38" s="15" t="s">
        <v>22</v>
      </c>
      <c r="G38" s="16" t="s">
        <v>23</v>
      </c>
      <c r="H38" s="9" t="s">
        <v>34</v>
      </c>
      <c r="I38" s="17" t="s">
        <v>25</v>
      </c>
      <c r="J38" s="11" t="s">
        <v>91</v>
      </c>
      <c r="K38" s="12">
        <v>0</v>
      </c>
      <c r="L38" s="233">
        <v>0</v>
      </c>
      <c r="M38" s="13">
        <v>0</v>
      </c>
      <c r="N38" s="13">
        <v>0</v>
      </c>
      <c r="O38" s="13">
        <v>0</v>
      </c>
      <c r="P38" s="13">
        <v>0</v>
      </c>
      <c r="Q38" s="13">
        <v>0</v>
      </c>
      <c r="R38" s="26">
        <v>185.9</v>
      </c>
      <c r="S38" s="6" t="s">
        <v>21</v>
      </c>
      <c r="T38" s="257">
        <f t="shared" si="0"/>
        <v>0</v>
      </c>
      <c r="U38" s="257">
        <f t="shared" si="1"/>
        <v>0</v>
      </c>
      <c r="V38">
        <v>0</v>
      </c>
      <c r="W38">
        <v>0</v>
      </c>
    </row>
    <row r="39" spans="1:23" ht="45.6" x14ac:dyDescent="0.3">
      <c r="A39" s="211">
        <v>37078</v>
      </c>
      <c r="B39" s="211">
        <v>37078</v>
      </c>
      <c r="C39" s="6">
        <v>7</v>
      </c>
      <c r="D39" s="6">
        <v>1</v>
      </c>
      <c r="E39" s="6">
        <v>2001</v>
      </c>
      <c r="F39" s="15" t="s">
        <v>22</v>
      </c>
      <c r="G39" s="16" t="s">
        <v>23</v>
      </c>
      <c r="H39" s="9" t="s">
        <v>66</v>
      </c>
      <c r="I39" s="17" t="s">
        <v>25</v>
      </c>
      <c r="J39" s="11" t="s">
        <v>92</v>
      </c>
      <c r="K39" s="12">
        <v>0</v>
      </c>
      <c r="L39" s="233">
        <v>0</v>
      </c>
      <c r="M39" s="13">
        <v>0</v>
      </c>
      <c r="N39" s="13">
        <v>0</v>
      </c>
      <c r="O39" s="13">
        <v>0</v>
      </c>
      <c r="P39" s="13">
        <v>0</v>
      </c>
      <c r="Q39" s="13">
        <v>0</v>
      </c>
      <c r="R39" s="26">
        <v>4.8</v>
      </c>
      <c r="S39" s="6" t="s">
        <v>21</v>
      </c>
      <c r="T39" s="257">
        <f t="shared" si="0"/>
        <v>0</v>
      </c>
      <c r="U39" s="257">
        <f t="shared" si="1"/>
        <v>0</v>
      </c>
      <c r="V39">
        <v>0</v>
      </c>
      <c r="W39">
        <v>0</v>
      </c>
    </row>
    <row r="40" spans="1:23" ht="79.8" x14ac:dyDescent="0.3">
      <c r="A40" s="213">
        <v>42615</v>
      </c>
      <c r="B40" s="213">
        <v>42617</v>
      </c>
      <c r="C40" s="6">
        <v>9</v>
      </c>
      <c r="D40" s="6">
        <v>3</v>
      </c>
      <c r="E40" s="27">
        <v>2016</v>
      </c>
      <c r="F40" s="15" t="s">
        <v>22</v>
      </c>
      <c r="G40" s="28" t="s">
        <v>6256</v>
      </c>
      <c r="H40" s="9" t="s">
        <v>48</v>
      </c>
      <c r="I40" s="29" t="s">
        <v>93</v>
      </c>
      <c r="J40" s="30" t="s">
        <v>94</v>
      </c>
      <c r="K40" s="27">
        <v>0</v>
      </c>
      <c r="L40" s="235" t="s">
        <v>95</v>
      </c>
      <c r="M40" s="27">
        <v>0</v>
      </c>
      <c r="N40" s="27">
        <v>0</v>
      </c>
      <c r="O40" s="27">
        <v>0</v>
      </c>
      <c r="P40" s="27">
        <v>0</v>
      </c>
      <c r="Q40" s="31">
        <v>0</v>
      </c>
      <c r="R40" s="32">
        <f>75.93+1795.239</f>
        <v>1871.1690000000001</v>
      </c>
      <c r="S40" s="27" t="s">
        <v>96</v>
      </c>
      <c r="T40" s="257">
        <f t="shared" si="0"/>
        <v>0</v>
      </c>
      <c r="U40" s="257">
        <f t="shared" si="1"/>
        <v>0</v>
      </c>
      <c r="V40">
        <v>0</v>
      </c>
      <c r="W40">
        <v>0</v>
      </c>
    </row>
    <row r="41" spans="1:23" ht="102.6" x14ac:dyDescent="0.3">
      <c r="A41" s="211">
        <v>37155</v>
      </c>
      <c r="B41" s="211">
        <v>37164</v>
      </c>
      <c r="C41" s="6">
        <v>9</v>
      </c>
      <c r="D41" s="6">
        <v>10</v>
      </c>
      <c r="E41" s="6">
        <v>2001</v>
      </c>
      <c r="F41" s="15" t="s">
        <v>22</v>
      </c>
      <c r="G41" s="18" t="s">
        <v>6256</v>
      </c>
      <c r="H41" s="9" t="s">
        <v>97</v>
      </c>
      <c r="I41" s="17" t="s">
        <v>25</v>
      </c>
      <c r="J41" s="11" t="s">
        <v>98</v>
      </c>
      <c r="K41" s="12">
        <v>95</v>
      </c>
      <c r="L41" s="233">
        <v>126954</v>
      </c>
      <c r="M41" s="13">
        <v>14102</v>
      </c>
      <c r="N41" s="13">
        <v>18</v>
      </c>
      <c r="O41" s="13">
        <v>0</v>
      </c>
      <c r="P41" s="13">
        <v>0</v>
      </c>
      <c r="Q41" s="13">
        <v>10000</v>
      </c>
      <c r="R41" s="26">
        <v>396.9</v>
      </c>
      <c r="S41" s="6" t="s">
        <v>21</v>
      </c>
      <c r="T41" s="257">
        <f t="shared" si="0"/>
        <v>127049</v>
      </c>
      <c r="U41" s="257">
        <f t="shared" si="1"/>
        <v>14120</v>
      </c>
      <c r="V41">
        <v>3</v>
      </c>
      <c r="W41">
        <v>3</v>
      </c>
    </row>
    <row r="42" spans="1:23" ht="114" x14ac:dyDescent="0.3">
      <c r="A42" s="212">
        <v>37161</v>
      </c>
      <c r="B42" s="212">
        <v>37163</v>
      </c>
      <c r="C42" s="6">
        <v>9</v>
      </c>
      <c r="D42" s="6">
        <v>3</v>
      </c>
      <c r="E42" s="6">
        <v>2001</v>
      </c>
      <c r="F42" s="15" t="s">
        <v>22</v>
      </c>
      <c r="G42" s="16" t="s">
        <v>6254</v>
      </c>
      <c r="H42" s="9" t="s">
        <v>74</v>
      </c>
      <c r="I42" s="10" t="s">
        <v>99</v>
      </c>
      <c r="J42" s="11" t="s">
        <v>100</v>
      </c>
      <c r="K42" s="12">
        <v>7</v>
      </c>
      <c r="L42" s="233">
        <v>16365</v>
      </c>
      <c r="M42" s="13">
        <v>15344</v>
      </c>
      <c r="N42" s="13">
        <v>135</v>
      </c>
      <c r="O42" s="13">
        <v>67</v>
      </c>
      <c r="P42" s="13">
        <v>0</v>
      </c>
      <c r="Q42" s="13">
        <v>0</v>
      </c>
      <c r="R42" s="26">
        <v>905.15</v>
      </c>
      <c r="S42" s="6" t="s">
        <v>21</v>
      </c>
      <c r="T42" s="257">
        <f t="shared" si="0"/>
        <v>16372</v>
      </c>
      <c r="U42" s="257">
        <f t="shared" si="1"/>
        <v>15546</v>
      </c>
      <c r="V42">
        <v>2</v>
      </c>
      <c r="W42">
        <v>3</v>
      </c>
    </row>
    <row r="43" spans="1:23" ht="79.8" x14ac:dyDescent="0.3">
      <c r="A43" s="211">
        <v>37160</v>
      </c>
      <c r="B43" s="211">
        <v>37164</v>
      </c>
      <c r="C43" s="6">
        <v>9</v>
      </c>
      <c r="D43" s="6">
        <v>5</v>
      </c>
      <c r="E43" s="6">
        <v>2001</v>
      </c>
      <c r="F43" s="15" t="s">
        <v>22</v>
      </c>
      <c r="G43" s="16" t="s">
        <v>6254</v>
      </c>
      <c r="H43" s="9" t="s">
        <v>28</v>
      </c>
      <c r="I43" s="10" t="s">
        <v>101</v>
      </c>
      <c r="J43" s="11" t="s">
        <v>102</v>
      </c>
      <c r="K43" s="12">
        <v>2</v>
      </c>
      <c r="L43" s="233">
        <v>6000</v>
      </c>
      <c r="M43" s="13">
        <v>3529</v>
      </c>
      <c r="N43" s="13">
        <v>138</v>
      </c>
      <c r="O43" s="13">
        <v>3</v>
      </c>
      <c r="P43" s="13">
        <v>10</v>
      </c>
      <c r="Q43" s="13">
        <v>1451</v>
      </c>
      <c r="R43" s="26">
        <v>850.15</v>
      </c>
      <c r="S43" s="6" t="s">
        <v>21</v>
      </c>
      <c r="T43" s="257">
        <f t="shared" si="0"/>
        <v>6002</v>
      </c>
      <c r="U43" s="257">
        <f t="shared" si="1"/>
        <v>3680</v>
      </c>
      <c r="V43">
        <v>1</v>
      </c>
      <c r="W43">
        <v>2</v>
      </c>
    </row>
    <row r="44" spans="1:23" ht="45.6" x14ac:dyDescent="0.3">
      <c r="A44" s="211">
        <v>37171</v>
      </c>
      <c r="B44" s="211">
        <v>37171</v>
      </c>
      <c r="C44" s="6">
        <v>10</v>
      </c>
      <c r="D44" s="6">
        <v>1</v>
      </c>
      <c r="E44" s="6">
        <v>2001</v>
      </c>
      <c r="F44" s="15" t="s">
        <v>22</v>
      </c>
      <c r="G44" s="16" t="s">
        <v>6254</v>
      </c>
      <c r="H44" s="9" t="s">
        <v>61</v>
      </c>
      <c r="I44" s="17" t="s">
        <v>25</v>
      </c>
      <c r="J44" s="11" t="s">
        <v>103</v>
      </c>
      <c r="K44" s="12">
        <v>23</v>
      </c>
      <c r="L44" s="233">
        <v>2100</v>
      </c>
      <c r="M44" s="13">
        <v>884</v>
      </c>
      <c r="N44" s="13">
        <v>2</v>
      </c>
      <c r="O44" s="13">
        <v>0</v>
      </c>
      <c r="P44" s="13">
        <v>0</v>
      </c>
      <c r="Q44" s="13">
        <v>240</v>
      </c>
      <c r="R44" s="26">
        <v>10.6</v>
      </c>
      <c r="S44" s="6" t="s">
        <v>21</v>
      </c>
      <c r="T44" s="257">
        <f t="shared" si="0"/>
        <v>2123</v>
      </c>
      <c r="U44" s="257">
        <f t="shared" si="1"/>
        <v>886</v>
      </c>
      <c r="V44">
        <v>1</v>
      </c>
      <c r="W44">
        <v>1</v>
      </c>
    </row>
    <row r="45" spans="1:23" ht="45.6" x14ac:dyDescent="0.3">
      <c r="A45" s="211">
        <v>37172</v>
      </c>
      <c r="B45" s="211">
        <v>37172</v>
      </c>
      <c r="C45" s="6">
        <v>10</v>
      </c>
      <c r="D45" s="6">
        <v>1</v>
      </c>
      <c r="E45" s="6">
        <v>2001</v>
      </c>
      <c r="F45" s="15" t="s">
        <v>22</v>
      </c>
      <c r="G45" s="16" t="s">
        <v>6254</v>
      </c>
      <c r="H45" s="9" t="s">
        <v>69</v>
      </c>
      <c r="I45" s="17" t="s">
        <v>25</v>
      </c>
      <c r="J45" s="11" t="s">
        <v>104</v>
      </c>
      <c r="K45" s="12">
        <v>0</v>
      </c>
      <c r="L45" s="233">
        <v>2500</v>
      </c>
      <c r="M45" s="13">
        <v>0</v>
      </c>
      <c r="N45" s="13">
        <v>0</v>
      </c>
      <c r="O45" s="13">
        <v>0</v>
      </c>
      <c r="P45" s="13">
        <v>0</v>
      </c>
      <c r="Q45" s="13">
        <v>0</v>
      </c>
      <c r="R45" s="26">
        <v>0</v>
      </c>
      <c r="S45" s="6" t="s">
        <v>21</v>
      </c>
      <c r="T45" s="257">
        <f t="shared" si="0"/>
        <v>2500</v>
      </c>
      <c r="U45" s="257">
        <f t="shared" si="1"/>
        <v>0</v>
      </c>
      <c r="V45">
        <v>1</v>
      </c>
      <c r="W45">
        <v>0</v>
      </c>
    </row>
    <row r="46" spans="1:23" ht="57" x14ac:dyDescent="0.3">
      <c r="A46" s="211">
        <v>37173</v>
      </c>
      <c r="B46" s="211">
        <v>37173</v>
      </c>
      <c r="C46" s="6">
        <v>10</v>
      </c>
      <c r="D46" s="6">
        <v>1</v>
      </c>
      <c r="E46" s="6">
        <v>2001</v>
      </c>
      <c r="F46" s="15" t="s">
        <v>22</v>
      </c>
      <c r="G46" s="16" t="s">
        <v>6254</v>
      </c>
      <c r="H46" s="9" t="s">
        <v>24</v>
      </c>
      <c r="I46" s="17" t="s">
        <v>25</v>
      </c>
      <c r="J46" s="11" t="s">
        <v>105</v>
      </c>
      <c r="K46" s="12">
        <v>0</v>
      </c>
      <c r="L46" s="233">
        <v>0</v>
      </c>
      <c r="M46" s="13">
        <v>0</v>
      </c>
      <c r="N46" s="13">
        <v>0</v>
      </c>
      <c r="O46" s="13">
        <v>0</v>
      </c>
      <c r="P46" s="13">
        <v>0</v>
      </c>
      <c r="Q46" s="13">
        <v>112000</v>
      </c>
      <c r="R46" s="26">
        <v>13.4</v>
      </c>
      <c r="S46" s="6" t="s">
        <v>21</v>
      </c>
      <c r="T46" s="257">
        <f t="shared" si="0"/>
        <v>0</v>
      </c>
      <c r="U46" s="257">
        <f t="shared" si="1"/>
        <v>0</v>
      </c>
      <c r="V46">
        <v>0</v>
      </c>
      <c r="W46">
        <v>0</v>
      </c>
    </row>
    <row r="47" spans="1:23" ht="68.400000000000006" x14ac:dyDescent="0.3">
      <c r="A47" s="211">
        <v>37174</v>
      </c>
      <c r="B47" s="211">
        <v>37174</v>
      </c>
      <c r="C47" s="6">
        <v>10</v>
      </c>
      <c r="D47" s="6">
        <v>1</v>
      </c>
      <c r="E47" s="6">
        <v>2001</v>
      </c>
      <c r="F47" s="15" t="s">
        <v>22</v>
      </c>
      <c r="G47" s="16" t="s">
        <v>6254</v>
      </c>
      <c r="H47" s="9" t="s">
        <v>34</v>
      </c>
      <c r="I47" s="17" t="s">
        <v>25</v>
      </c>
      <c r="J47" s="11" t="s">
        <v>106</v>
      </c>
      <c r="K47" s="12">
        <v>0</v>
      </c>
      <c r="L47" s="233">
        <v>0</v>
      </c>
      <c r="M47" s="13">
        <v>0</v>
      </c>
      <c r="N47" s="13">
        <v>0</v>
      </c>
      <c r="O47" s="13">
        <v>0</v>
      </c>
      <c r="P47" s="13">
        <v>0</v>
      </c>
      <c r="Q47" s="13">
        <v>0</v>
      </c>
      <c r="R47" s="26">
        <v>185</v>
      </c>
      <c r="S47" s="6" t="s">
        <v>21</v>
      </c>
      <c r="T47" s="257">
        <f t="shared" si="0"/>
        <v>0</v>
      </c>
      <c r="U47" s="257">
        <f t="shared" si="1"/>
        <v>0</v>
      </c>
      <c r="V47">
        <v>0</v>
      </c>
      <c r="W47">
        <v>0</v>
      </c>
    </row>
    <row r="48" spans="1:23" ht="34.200000000000003" x14ac:dyDescent="0.3">
      <c r="A48" s="212">
        <v>36892</v>
      </c>
      <c r="B48" s="212">
        <v>37256</v>
      </c>
      <c r="C48" s="6">
        <v>1</v>
      </c>
      <c r="D48" s="6">
        <v>365</v>
      </c>
      <c r="E48" s="6">
        <v>2001</v>
      </c>
      <c r="F48" s="15" t="s">
        <v>22</v>
      </c>
      <c r="G48" s="18" t="s">
        <v>6255</v>
      </c>
      <c r="H48" s="9" t="s">
        <v>107</v>
      </c>
      <c r="I48" s="17" t="s">
        <v>25</v>
      </c>
      <c r="J48" s="11" t="s">
        <v>108</v>
      </c>
      <c r="K48" s="12">
        <v>36</v>
      </c>
      <c r="L48" s="233">
        <v>836</v>
      </c>
      <c r="M48" s="13">
        <v>0</v>
      </c>
      <c r="N48" s="13">
        <v>0</v>
      </c>
      <c r="O48" s="13">
        <v>0</v>
      </c>
      <c r="P48" s="13">
        <v>0</v>
      </c>
      <c r="Q48" s="13">
        <v>0</v>
      </c>
      <c r="R48" s="26">
        <v>0</v>
      </c>
      <c r="S48" s="6" t="s">
        <v>21</v>
      </c>
      <c r="T48" s="257">
        <f t="shared" si="0"/>
        <v>872</v>
      </c>
      <c r="U48" s="257">
        <f t="shared" si="1"/>
        <v>0</v>
      </c>
      <c r="V48">
        <v>1</v>
      </c>
      <c r="W48">
        <v>0</v>
      </c>
    </row>
    <row r="49" spans="1:23" ht="91.2" x14ac:dyDescent="0.3">
      <c r="A49" s="214">
        <v>42997</v>
      </c>
      <c r="B49" s="214">
        <v>42997</v>
      </c>
      <c r="C49" s="6">
        <v>9</v>
      </c>
      <c r="D49" s="6">
        <v>1</v>
      </c>
      <c r="E49" s="33">
        <v>2017</v>
      </c>
      <c r="F49" s="7" t="s">
        <v>17</v>
      </c>
      <c r="G49" s="16" t="s">
        <v>6260</v>
      </c>
      <c r="H49" s="9" t="s">
        <v>48</v>
      </c>
      <c r="I49" s="34" t="s">
        <v>109</v>
      </c>
      <c r="J49" s="34" t="s">
        <v>110</v>
      </c>
      <c r="K49" s="33">
        <v>6</v>
      </c>
      <c r="L49" s="236">
        <v>535053</v>
      </c>
      <c r="M49" s="35">
        <v>3928</v>
      </c>
      <c r="N49" s="35">
        <v>217</v>
      </c>
      <c r="O49" s="35">
        <v>19</v>
      </c>
      <c r="P49" s="35">
        <v>0</v>
      </c>
      <c r="Q49" s="35">
        <v>0</v>
      </c>
      <c r="R49" s="36">
        <v>1839.50614</v>
      </c>
      <c r="S49" s="7" t="s">
        <v>111</v>
      </c>
      <c r="T49" s="257">
        <f t="shared" si="0"/>
        <v>535059</v>
      </c>
      <c r="U49" s="257">
        <f t="shared" si="1"/>
        <v>4164</v>
      </c>
      <c r="V49">
        <v>4</v>
      </c>
      <c r="W49">
        <v>2</v>
      </c>
    </row>
    <row r="50" spans="1:23" ht="24" x14ac:dyDescent="0.3">
      <c r="A50" s="212">
        <v>37301</v>
      </c>
      <c r="B50" s="212">
        <v>37301</v>
      </c>
      <c r="C50" s="6">
        <v>2</v>
      </c>
      <c r="D50" s="6">
        <v>1</v>
      </c>
      <c r="E50" s="6">
        <v>2002</v>
      </c>
      <c r="F50" s="15" t="s">
        <v>22</v>
      </c>
      <c r="G50" s="18" t="s">
        <v>6256</v>
      </c>
      <c r="H50" s="9" t="s">
        <v>112</v>
      </c>
      <c r="I50" s="34" t="s">
        <v>113</v>
      </c>
      <c r="J50" s="39" t="s">
        <v>114</v>
      </c>
      <c r="K50" s="13">
        <v>0</v>
      </c>
      <c r="L50" s="233">
        <v>0</v>
      </c>
      <c r="M50" s="13">
        <v>300</v>
      </c>
      <c r="N50" s="13">
        <v>0</v>
      </c>
      <c r="O50" s="13">
        <v>0</v>
      </c>
      <c r="P50" s="13">
        <v>0</v>
      </c>
      <c r="Q50" s="13">
        <v>0</v>
      </c>
      <c r="R50" s="26">
        <v>0</v>
      </c>
      <c r="S50" s="7" t="s">
        <v>115</v>
      </c>
      <c r="T50" s="257">
        <f t="shared" si="0"/>
        <v>0</v>
      </c>
      <c r="U50" s="257">
        <f t="shared" si="1"/>
        <v>300</v>
      </c>
      <c r="V50">
        <v>0</v>
      </c>
      <c r="W50">
        <v>1</v>
      </c>
    </row>
    <row r="51" spans="1:23" ht="35.4" x14ac:dyDescent="0.3">
      <c r="A51" s="212">
        <v>37301</v>
      </c>
      <c r="B51" s="212">
        <v>37301</v>
      </c>
      <c r="C51" s="6">
        <v>2</v>
      </c>
      <c r="D51" s="6">
        <v>1</v>
      </c>
      <c r="E51" s="6">
        <v>2002</v>
      </c>
      <c r="F51" s="15" t="s">
        <v>22</v>
      </c>
      <c r="G51" s="18" t="s">
        <v>6256</v>
      </c>
      <c r="H51" s="9" t="s">
        <v>72</v>
      </c>
      <c r="I51" s="34" t="s">
        <v>116</v>
      </c>
      <c r="J51" s="39" t="s">
        <v>117</v>
      </c>
      <c r="K51" s="13">
        <v>0</v>
      </c>
      <c r="L51" s="233">
        <v>0</v>
      </c>
      <c r="M51" s="13">
        <v>0</v>
      </c>
      <c r="N51" s="13">
        <v>0</v>
      </c>
      <c r="O51" s="13">
        <v>0</v>
      </c>
      <c r="P51" s="13">
        <v>0</v>
      </c>
      <c r="Q51" s="13">
        <v>20000</v>
      </c>
      <c r="R51" s="26">
        <v>69.2</v>
      </c>
      <c r="S51" s="7" t="s">
        <v>115</v>
      </c>
      <c r="T51" s="257">
        <f t="shared" si="0"/>
        <v>0</v>
      </c>
      <c r="U51" s="257">
        <f t="shared" si="1"/>
        <v>0</v>
      </c>
      <c r="V51">
        <v>0</v>
      </c>
      <c r="W51">
        <v>0</v>
      </c>
    </row>
    <row r="52" spans="1:23" ht="46.8" x14ac:dyDescent="0.3">
      <c r="A52" s="212">
        <v>37336</v>
      </c>
      <c r="B52" s="212">
        <v>37336</v>
      </c>
      <c r="C52" s="6">
        <v>3</v>
      </c>
      <c r="D52" s="6">
        <v>1</v>
      </c>
      <c r="E52" s="6">
        <v>2002</v>
      </c>
      <c r="F52" s="15" t="s">
        <v>22</v>
      </c>
      <c r="G52" s="18" t="s">
        <v>6256</v>
      </c>
      <c r="H52" s="9" t="s">
        <v>118</v>
      </c>
      <c r="I52" s="34" t="s">
        <v>119</v>
      </c>
      <c r="J52" s="39" t="s">
        <v>120</v>
      </c>
      <c r="K52" s="13">
        <v>0</v>
      </c>
      <c r="L52" s="233">
        <v>0</v>
      </c>
      <c r="M52" s="13">
        <v>40</v>
      </c>
      <c r="N52" s="13">
        <v>0</v>
      </c>
      <c r="O52" s="13">
        <v>0</v>
      </c>
      <c r="P52" s="13">
        <v>0</v>
      </c>
      <c r="Q52" s="13">
        <v>0</v>
      </c>
      <c r="R52" s="26">
        <v>0</v>
      </c>
      <c r="S52" s="7" t="s">
        <v>115</v>
      </c>
      <c r="T52" s="257">
        <f t="shared" si="0"/>
        <v>0</v>
      </c>
      <c r="U52" s="257">
        <f t="shared" si="1"/>
        <v>40</v>
      </c>
      <c r="V52">
        <v>0</v>
      </c>
      <c r="W52">
        <v>1</v>
      </c>
    </row>
    <row r="53" spans="1:23" ht="46.8" x14ac:dyDescent="0.3">
      <c r="A53" s="212">
        <v>37358</v>
      </c>
      <c r="B53" s="212">
        <v>37358</v>
      </c>
      <c r="C53" s="6">
        <v>4</v>
      </c>
      <c r="D53" s="6">
        <v>1</v>
      </c>
      <c r="E53" s="6">
        <v>2002</v>
      </c>
      <c r="F53" s="15" t="s">
        <v>22</v>
      </c>
      <c r="G53" s="18" t="s">
        <v>6256</v>
      </c>
      <c r="H53" s="9" t="s">
        <v>121</v>
      </c>
      <c r="I53" s="34" t="s">
        <v>122</v>
      </c>
      <c r="J53" s="39" t="s">
        <v>123</v>
      </c>
      <c r="K53" s="13">
        <v>1</v>
      </c>
      <c r="L53" s="233">
        <v>8</v>
      </c>
      <c r="M53" s="13">
        <v>0</v>
      </c>
      <c r="N53" s="13">
        <v>0</v>
      </c>
      <c r="O53" s="13">
        <v>0</v>
      </c>
      <c r="P53" s="13">
        <v>0</v>
      </c>
      <c r="Q53" s="13">
        <v>0</v>
      </c>
      <c r="R53" s="26">
        <v>0</v>
      </c>
      <c r="S53" s="7" t="s">
        <v>115</v>
      </c>
      <c r="T53" s="257">
        <f t="shared" si="0"/>
        <v>9</v>
      </c>
      <c r="U53" s="257">
        <f t="shared" si="1"/>
        <v>0</v>
      </c>
      <c r="V53">
        <v>1</v>
      </c>
      <c r="W53">
        <v>0</v>
      </c>
    </row>
    <row r="54" spans="1:23" x14ac:dyDescent="0.3">
      <c r="A54" s="212">
        <v>37410</v>
      </c>
      <c r="B54" s="212">
        <v>37410</v>
      </c>
      <c r="C54" s="6">
        <v>6</v>
      </c>
      <c r="D54" s="6">
        <v>1</v>
      </c>
      <c r="E54" s="6">
        <v>2002</v>
      </c>
      <c r="F54" s="15" t="s">
        <v>22</v>
      </c>
      <c r="G54" s="18" t="s">
        <v>6256</v>
      </c>
      <c r="H54" s="9" t="s">
        <v>124</v>
      </c>
      <c r="I54" s="34" t="s">
        <v>95</v>
      </c>
      <c r="J54" s="39" t="s">
        <v>125</v>
      </c>
      <c r="K54" s="13">
        <v>0</v>
      </c>
      <c r="L54" s="233">
        <v>40</v>
      </c>
      <c r="M54" s="13">
        <v>8</v>
      </c>
      <c r="N54" s="13">
        <v>0</v>
      </c>
      <c r="O54" s="13">
        <v>0</v>
      </c>
      <c r="P54" s="13">
        <v>0</v>
      </c>
      <c r="Q54" s="13">
        <v>72</v>
      </c>
      <c r="R54" s="26">
        <f>0.4+(72*0.0025)</f>
        <v>0.58000000000000007</v>
      </c>
      <c r="S54" s="7" t="s">
        <v>115</v>
      </c>
      <c r="T54" s="257">
        <f t="shared" si="0"/>
        <v>40</v>
      </c>
      <c r="U54" s="257">
        <f t="shared" si="1"/>
        <v>8</v>
      </c>
      <c r="V54">
        <v>1</v>
      </c>
      <c r="W54">
        <v>1</v>
      </c>
    </row>
    <row r="55" spans="1:23" x14ac:dyDescent="0.3">
      <c r="A55" s="212">
        <v>37416</v>
      </c>
      <c r="B55" s="212">
        <v>37416</v>
      </c>
      <c r="C55" s="6">
        <v>6</v>
      </c>
      <c r="D55" s="6">
        <v>1</v>
      </c>
      <c r="E55" s="6">
        <v>2002</v>
      </c>
      <c r="F55" s="15" t="s">
        <v>22</v>
      </c>
      <c r="G55" s="18" t="s">
        <v>6256</v>
      </c>
      <c r="H55" s="9" t="s">
        <v>52</v>
      </c>
      <c r="I55" s="34" t="s">
        <v>126</v>
      </c>
      <c r="J55" s="39" t="s">
        <v>127</v>
      </c>
      <c r="K55" s="13">
        <v>0</v>
      </c>
      <c r="L55" s="233">
        <v>0</v>
      </c>
      <c r="M55" s="13">
        <v>0</v>
      </c>
      <c r="N55" s="13">
        <v>0</v>
      </c>
      <c r="O55" s="13">
        <v>0</v>
      </c>
      <c r="P55" s="13">
        <v>0</v>
      </c>
      <c r="Q55" s="13">
        <v>0</v>
      </c>
      <c r="R55" s="26">
        <v>0</v>
      </c>
      <c r="S55" s="7" t="s">
        <v>115</v>
      </c>
      <c r="T55" s="257">
        <f t="shared" si="0"/>
        <v>0</v>
      </c>
      <c r="U55" s="257">
        <f t="shared" si="1"/>
        <v>0</v>
      </c>
      <c r="V55">
        <v>0</v>
      </c>
      <c r="W55">
        <v>0</v>
      </c>
    </row>
    <row r="56" spans="1:23" ht="24" x14ac:dyDescent="0.3">
      <c r="A56" s="212">
        <v>37416</v>
      </c>
      <c r="B56" s="212">
        <v>37416</v>
      </c>
      <c r="C56" s="6">
        <v>6</v>
      </c>
      <c r="D56" s="6">
        <v>1</v>
      </c>
      <c r="E56" s="6">
        <v>2002</v>
      </c>
      <c r="F56" s="15" t="s">
        <v>22</v>
      </c>
      <c r="G56" s="18" t="s">
        <v>6256</v>
      </c>
      <c r="H56" s="9" t="s">
        <v>78</v>
      </c>
      <c r="I56" s="34" t="s">
        <v>126</v>
      </c>
      <c r="J56" s="39" t="s">
        <v>128</v>
      </c>
      <c r="K56" s="13">
        <v>0</v>
      </c>
      <c r="L56" s="233">
        <v>0</v>
      </c>
      <c r="M56" s="13">
        <v>300</v>
      </c>
      <c r="N56" s="13">
        <v>0</v>
      </c>
      <c r="O56" s="13">
        <v>0</v>
      </c>
      <c r="P56" s="13">
        <v>0</v>
      </c>
      <c r="Q56" s="13">
        <v>0</v>
      </c>
      <c r="R56" s="26">
        <v>0</v>
      </c>
      <c r="S56" s="7" t="s">
        <v>115</v>
      </c>
      <c r="T56" s="257">
        <f t="shared" si="0"/>
        <v>0</v>
      </c>
      <c r="U56" s="257">
        <f t="shared" si="1"/>
        <v>300</v>
      </c>
      <c r="V56">
        <v>0</v>
      </c>
      <c r="W56">
        <v>1</v>
      </c>
    </row>
    <row r="57" spans="1:23" ht="182.4" x14ac:dyDescent="0.3">
      <c r="A57" s="214">
        <v>43737</v>
      </c>
      <c r="B57" s="214">
        <v>43739</v>
      </c>
      <c r="C57" s="6">
        <v>9</v>
      </c>
      <c r="D57" s="6">
        <v>3</v>
      </c>
      <c r="E57" s="19">
        <v>2019</v>
      </c>
      <c r="F57" s="15" t="s">
        <v>22</v>
      </c>
      <c r="G57" s="16" t="s">
        <v>6254</v>
      </c>
      <c r="H57" s="9" t="s">
        <v>48</v>
      </c>
      <c r="I57" s="34" t="s">
        <v>129</v>
      </c>
      <c r="J57" s="34" t="s">
        <v>130</v>
      </c>
      <c r="K57" s="40">
        <v>0</v>
      </c>
      <c r="L57" s="235">
        <v>616</v>
      </c>
      <c r="M57" s="35">
        <v>2850</v>
      </c>
      <c r="N57" s="35">
        <v>23</v>
      </c>
      <c r="O57" s="35">
        <v>1</v>
      </c>
      <c r="P57" s="35">
        <v>0</v>
      </c>
      <c r="Q57" s="41">
        <v>0</v>
      </c>
      <c r="R57" s="42">
        <v>790.90784155079996</v>
      </c>
      <c r="S57" s="33" t="s">
        <v>131</v>
      </c>
      <c r="T57" s="257">
        <f t="shared" si="0"/>
        <v>616</v>
      </c>
      <c r="U57" s="257">
        <f t="shared" si="1"/>
        <v>2874</v>
      </c>
      <c r="V57">
        <v>1</v>
      </c>
      <c r="W57">
        <v>2</v>
      </c>
    </row>
    <row r="58" spans="1:23" ht="46.8" x14ac:dyDescent="0.3">
      <c r="A58" s="212">
        <v>37418</v>
      </c>
      <c r="B58" s="212">
        <v>37418</v>
      </c>
      <c r="C58" s="6">
        <v>6</v>
      </c>
      <c r="D58" s="6">
        <v>1</v>
      </c>
      <c r="E58" s="6">
        <v>2002</v>
      </c>
      <c r="F58" s="15" t="s">
        <v>22</v>
      </c>
      <c r="G58" s="18" t="s">
        <v>6256</v>
      </c>
      <c r="H58" s="9" t="s">
        <v>43</v>
      </c>
      <c r="I58" s="34" t="s">
        <v>132</v>
      </c>
      <c r="J58" s="39" t="s">
        <v>133</v>
      </c>
      <c r="K58" s="13">
        <v>0</v>
      </c>
      <c r="L58" s="233">
        <v>0</v>
      </c>
      <c r="M58" s="13">
        <v>12</v>
      </c>
      <c r="N58" s="13">
        <v>0</v>
      </c>
      <c r="O58" s="13">
        <v>0</v>
      </c>
      <c r="P58" s="13">
        <v>0</v>
      </c>
      <c r="Q58" s="13">
        <v>0</v>
      </c>
      <c r="R58" s="26">
        <v>1.65</v>
      </c>
      <c r="S58" s="7" t="s">
        <v>115</v>
      </c>
      <c r="T58" s="257">
        <f t="shared" si="0"/>
        <v>0</v>
      </c>
      <c r="U58" s="257">
        <f t="shared" si="1"/>
        <v>12</v>
      </c>
      <c r="V58">
        <v>0</v>
      </c>
      <c r="W58">
        <v>1</v>
      </c>
    </row>
    <row r="59" spans="1:23" x14ac:dyDescent="0.3">
      <c r="A59" s="212">
        <v>37418</v>
      </c>
      <c r="B59" s="212">
        <v>37418</v>
      </c>
      <c r="C59" s="6">
        <v>6</v>
      </c>
      <c r="D59" s="6">
        <v>1</v>
      </c>
      <c r="E59" s="6">
        <v>2002</v>
      </c>
      <c r="F59" s="15" t="s">
        <v>22</v>
      </c>
      <c r="G59" s="18" t="s">
        <v>6256</v>
      </c>
      <c r="H59" s="9" t="s">
        <v>31</v>
      </c>
      <c r="I59" s="34" t="s">
        <v>95</v>
      </c>
      <c r="J59" s="39" t="s">
        <v>125</v>
      </c>
      <c r="K59" s="13">
        <v>0</v>
      </c>
      <c r="L59" s="233">
        <v>16</v>
      </c>
      <c r="M59" s="13">
        <v>4</v>
      </c>
      <c r="N59" s="13">
        <v>0</v>
      </c>
      <c r="O59" s="13">
        <v>0</v>
      </c>
      <c r="P59" s="13">
        <v>0</v>
      </c>
      <c r="Q59" s="13">
        <v>0</v>
      </c>
      <c r="R59" s="26">
        <v>0</v>
      </c>
      <c r="S59" s="7" t="s">
        <v>115</v>
      </c>
      <c r="T59" s="257">
        <f t="shared" si="0"/>
        <v>16</v>
      </c>
      <c r="U59" s="257">
        <f t="shared" si="1"/>
        <v>4</v>
      </c>
      <c r="V59">
        <v>1</v>
      </c>
      <c r="W59">
        <v>1</v>
      </c>
    </row>
    <row r="60" spans="1:23" ht="58.2" x14ac:dyDescent="0.3">
      <c r="A60" s="212">
        <v>37418</v>
      </c>
      <c r="B60" s="212">
        <v>37418</v>
      </c>
      <c r="C60" s="6">
        <v>6</v>
      </c>
      <c r="D60" s="6">
        <v>1</v>
      </c>
      <c r="E60" s="6">
        <v>2002</v>
      </c>
      <c r="F60" s="15" t="s">
        <v>22</v>
      </c>
      <c r="G60" s="18" t="s">
        <v>6256</v>
      </c>
      <c r="H60" s="9" t="s">
        <v>88</v>
      </c>
      <c r="I60" s="34" t="s">
        <v>95</v>
      </c>
      <c r="J60" s="39" t="s">
        <v>134</v>
      </c>
      <c r="K60" s="13">
        <v>0</v>
      </c>
      <c r="L60" s="233">
        <v>0</v>
      </c>
      <c r="M60" s="13">
        <v>22</v>
      </c>
      <c r="N60" s="13">
        <v>0</v>
      </c>
      <c r="O60" s="13">
        <v>0</v>
      </c>
      <c r="P60" s="13">
        <v>0</v>
      </c>
      <c r="Q60" s="13">
        <v>0</v>
      </c>
      <c r="R60" s="26">
        <v>1.1499999999999999</v>
      </c>
      <c r="S60" s="7" t="s">
        <v>115</v>
      </c>
      <c r="T60" s="257">
        <f t="shared" si="0"/>
        <v>0</v>
      </c>
      <c r="U60" s="257">
        <f t="shared" si="1"/>
        <v>22</v>
      </c>
      <c r="V60">
        <v>0</v>
      </c>
      <c r="W60">
        <v>1</v>
      </c>
    </row>
    <row r="61" spans="1:23" x14ac:dyDescent="0.3">
      <c r="A61" s="212">
        <v>37419</v>
      </c>
      <c r="B61" s="212">
        <v>37419</v>
      </c>
      <c r="C61" s="6">
        <v>6</v>
      </c>
      <c r="D61" s="6">
        <v>1</v>
      </c>
      <c r="E61" s="6">
        <v>2002</v>
      </c>
      <c r="F61" s="15" t="s">
        <v>22</v>
      </c>
      <c r="G61" s="18" t="s">
        <v>6256</v>
      </c>
      <c r="H61" s="9" t="s">
        <v>46</v>
      </c>
      <c r="I61" s="34" t="s">
        <v>95</v>
      </c>
      <c r="J61" s="39" t="s">
        <v>125</v>
      </c>
      <c r="K61" s="13">
        <v>0</v>
      </c>
      <c r="L61" s="233">
        <v>150</v>
      </c>
      <c r="M61" s="13">
        <v>30</v>
      </c>
      <c r="N61" s="13">
        <v>0</v>
      </c>
      <c r="O61" s="13">
        <v>0</v>
      </c>
      <c r="P61" s="13">
        <v>0</v>
      </c>
      <c r="Q61" s="13">
        <v>0</v>
      </c>
      <c r="R61" s="26">
        <v>1.5</v>
      </c>
      <c r="S61" s="7" t="s">
        <v>115</v>
      </c>
      <c r="T61" s="257">
        <f t="shared" si="0"/>
        <v>150</v>
      </c>
      <c r="U61" s="257">
        <f t="shared" si="1"/>
        <v>30</v>
      </c>
      <c r="V61">
        <v>1</v>
      </c>
      <c r="W61">
        <v>1</v>
      </c>
    </row>
    <row r="62" spans="1:23" ht="46.8" x14ac:dyDescent="0.3">
      <c r="A62" s="212">
        <v>37419</v>
      </c>
      <c r="B62" s="212">
        <v>37419</v>
      </c>
      <c r="C62" s="6">
        <v>6</v>
      </c>
      <c r="D62" s="6">
        <v>1</v>
      </c>
      <c r="E62" s="6">
        <v>2002</v>
      </c>
      <c r="F62" s="15" t="s">
        <v>22</v>
      </c>
      <c r="G62" s="18" t="s">
        <v>6256</v>
      </c>
      <c r="H62" s="9" t="s">
        <v>52</v>
      </c>
      <c r="I62" s="34" t="s">
        <v>126</v>
      </c>
      <c r="J62" s="39" t="s">
        <v>135</v>
      </c>
      <c r="K62" s="13">
        <v>0</v>
      </c>
      <c r="L62" s="233">
        <v>70</v>
      </c>
      <c r="M62" s="13">
        <v>14</v>
      </c>
      <c r="N62" s="13">
        <v>0</v>
      </c>
      <c r="O62" s="13">
        <v>0</v>
      </c>
      <c r="P62" s="13">
        <v>0</v>
      </c>
      <c r="Q62" s="13">
        <v>0</v>
      </c>
      <c r="R62" s="26">
        <v>0.14000000000000001</v>
      </c>
      <c r="S62" s="7" t="s">
        <v>115</v>
      </c>
      <c r="T62" s="257">
        <f t="shared" si="0"/>
        <v>70</v>
      </c>
      <c r="U62" s="257">
        <f t="shared" si="1"/>
        <v>14</v>
      </c>
      <c r="V62">
        <v>1</v>
      </c>
      <c r="W62">
        <v>1</v>
      </c>
    </row>
    <row r="63" spans="1:23" x14ac:dyDescent="0.3">
      <c r="A63" s="212">
        <v>37419</v>
      </c>
      <c r="B63" s="212">
        <v>37419</v>
      </c>
      <c r="C63" s="6">
        <v>6</v>
      </c>
      <c r="D63" s="6">
        <v>1</v>
      </c>
      <c r="E63" s="6">
        <v>2002</v>
      </c>
      <c r="F63" s="15" t="s">
        <v>22</v>
      </c>
      <c r="G63" s="18" t="s">
        <v>6256</v>
      </c>
      <c r="H63" s="9" t="s">
        <v>124</v>
      </c>
      <c r="I63" s="34" t="s">
        <v>95</v>
      </c>
      <c r="J63" s="39" t="s">
        <v>125</v>
      </c>
      <c r="K63" s="13">
        <v>0</v>
      </c>
      <c r="L63" s="233">
        <v>75</v>
      </c>
      <c r="M63" s="13">
        <v>15</v>
      </c>
      <c r="N63" s="13">
        <v>0</v>
      </c>
      <c r="O63" s="13">
        <v>0</v>
      </c>
      <c r="P63" s="13">
        <v>0</v>
      </c>
      <c r="Q63" s="13">
        <v>0</v>
      </c>
      <c r="R63" s="26">
        <v>0.75</v>
      </c>
      <c r="S63" s="7" t="s">
        <v>115</v>
      </c>
      <c r="T63" s="257">
        <f t="shared" si="0"/>
        <v>75</v>
      </c>
      <c r="U63" s="257">
        <f t="shared" si="1"/>
        <v>15</v>
      </c>
      <c r="V63">
        <v>1</v>
      </c>
      <c r="W63">
        <v>1</v>
      </c>
    </row>
    <row r="64" spans="1:23" ht="195" x14ac:dyDescent="0.3">
      <c r="A64" s="212">
        <v>37419</v>
      </c>
      <c r="B64" s="212">
        <v>37419</v>
      </c>
      <c r="C64" s="6">
        <v>6</v>
      </c>
      <c r="D64" s="6">
        <v>1</v>
      </c>
      <c r="E64" s="6">
        <v>2002</v>
      </c>
      <c r="F64" s="15" t="s">
        <v>22</v>
      </c>
      <c r="G64" s="18" t="s">
        <v>6256</v>
      </c>
      <c r="H64" s="9" t="s">
        <v>88</v>
      </c>
      <c r="I64" s="34" t="s">
        <v>136</v>
      </c>
      <c r="J64" s="39" t="s">
        <v>137</v>
      </c>
      <c r="K64" s="13">
        <v>0</v>
      </c>
      <c r="L64" s="233">
        <v>10000</v>
      </c>
      <c r="M64" s="13">
        <v>404</v>
      </c>
      <c r="N64" s="13">
        <v>1</v>
      </c>
      <c r="O64" s="13">
        <v>0</v>
      </c>
      <c r="P64" s="13">
        <v>0</v>
      </c>
      <c r="Q64" s="13">
        <v>0</v>
      </c>
      <c r="R64" s="26">
        <v>5.5</v>
      </c>
      <c r="S64" s="7" t="s">
        <v>115</v>
      </c>
      <c r="T64" s="257">
        <f t="shared" si="0"/>
        <v>10000</v>
      </c>
      <c r="U64" s="257">
        <f t="shared" si="1"/>
        <v>405</v>
      </c>
      <c r="V64">
        <v>1</v>
      </c>
      <c r="W64">
        <v>1</v>
      </c>
    </row>
    <row r="65" spans="1:23" ht="24" x14ac:dyDescent="0.3">
      <c r="A65" s="212">
        <v>37420</v>
      </c>
      <c r="B65" s="212">
        <v>37420</v>
      </c>
      <c r="C65" s="6">
        <v>6</v>
      </c>
      <c r="D65" s="6">
        <v>1</v>
      </c>
      <c r="E65" s="6">
        <v>2002</v>
      </c>
      <c r="F65" s="15" t="s">
        <v>22</v>
      </c>
      <c r="G65" s="18" t="s">
        <v>6256</v>
      </c>
      <c r="H65" s="9" t="s">
        <v>31</v>
      </c>
      <c r="I65" s="34" t="s">
        <v>138</v>
      </c>
      <c r="J65" s="39" t="s">
        <v>139</v>
      </c>
      <c r="K65" s="13">
        <v>2</v>
      </c>
      <c r="L65" s="233">
        <v>2</v>
      </c>
      <c r="M65" s="13">
        <v>0</v>
      </c>
      <c r="N65" s="13">
        <v>0</v>
      </c>
      <c r="O65" s="13">
        <v>0</v>
      </c>
      <c r="P65" s="13">
        <v>0</v>
      </c>
      <c r="Q65" s="13">
        <v>0</v>
      </c>
      <c r="R65" s="26">
        <v>0</v>
      </c>
      <c r="S65" s="7" t="s">
        <v>115</v>
      </c>
      <c r="T65" s="257">
        <f t="shared" si="0"/>
        <v>4</v>
      </c>
      <c r="U65" s="257">
        <f t="shared" si="1"/>
        <v>0</v>
      </c>
      <c r="V65">
        <v>1</v>
      </c>
      <c r="W65">
        <v>0</v>
      </c>
    </row>
    <row r="66" spans="1:23" x14ac:dyDescent="0.3">
      <c r="A66" s="212">
        <v>37421</v>
      </c>
      <c r="B66" s="212">
        <v>37421</v>
      </c>
      <c r="C66" s="6">
        <v>6</v>
      </c>
      <c r="D66" s="6">
        <v>1</v>
      </c>
      <c r="E66" s="6">
        <v>2002</v>
      </c>
      <c r="F66" s="15" t="s">
        <v>22</v>
      </c>
      <c r="G66" s="18" t="s">
        <v>6256</v>
      </c>
      <c r="H66" s="9" t="s">
        <v>88</v>
      </c>
      <c r="I66" s="34" t="s">
        <v>95</v>
      </c>
      <c r="J66" s="39" t="s">
        <v>140</v>
      </c>
      <c r="K66" s="37">
        <v>1</v>
      </c>
      <c r="L66" s="233">
        <v>0</v>
      </c>
      <c r="M66" s="13">
        <v>0</v>
      </c>
      <c r="N66" s="13">
        <v>0</v>
      </c>
      <c r="O66" s="13">
        <v>0</v>
      </c>
      <c r="P66" s="13">
        <v>0</v>
      </c>
      <c r="Q66" s="13">
        <v>0</v>
      </c>
      <c r="R66" s="26">
        <v>0</v>
      </c>
      <c r="S66" s="7" t="s">
        <v>115</v>
      </c>
      <c r="T66" s="257">
        <f t="shared" si="0"/>
        <v>1</v>
      </c>
      <c r="U66" s="257">
        <f t="shared" si="1"/>
        <v>0</v>
      </c>
      <c r="V66">
        <v>1</v>
      </c>
      <c r="W66">
        <v>0</v>
      </c>
    </row>
    <row r="67" spans="1:23" ht="46.8" x14ac:dyDescent="0.3">
      <c r="A67" s="212">
        <v>37422</v>
      </c>
      <c r="B67" s="212">
        <v>37422</v>
      </c>
      <c r="C67" s="6">
        <v>6</v>
      </c>
      <c r="D67" s="6">
        <v>1</v>
      </c>
      <c r="E67" s="6">
        <v>2002</v>
      </c>
      <c r="F67" s="15" t="s">
        <v>22</v>
      </c>
      <c r="G67" s="18" t="s">
        <v>6256</v>
      </c>
      <c r="H67" s="9" t="s">
        <v>88</v>
      </c>
      <c r="I67" s="34" t="s">
        <v>141</v>
      </c>
      <c r="J67" s="39" t="s">
        <v>142</v>
      </c>
      <c r="K67" s="13">
        <v>0</v>
      </c>
      <c r="L67" s="233">
        <v>500</v>
      </c>
      <c r="M67" s="13">
        <v>0</v>
      </c>
      <c r="N67" s="13">
        <v>0</v>
      </c>
      <c r="O67" s="13">
        <v>0</v>
      </c>
      <c r="P67" s="13">
        <v>0</v>
      </c>
      <c r="Q67" s="13">
        <v>0</v>
      </c>
      <c r="R67" s="26">
        <v>0</v>
      </c>
      <c r="S67" s="7" t="s">
        <v>115</v>
      </c>
      <c r="T67" s="257">
        <f t="shared" ref="T67:T130" si="2">SUM(K67:L67)</f>
        <v>500</v>
      </c>
      <c r="U67" s="257">
        <f t="shared" ref="U67:U130" si="3">SUM(M67:P67)</f>
        <v>0</v>
      </c>
      <c r="V67">
        <v>1</v>
      </c>
      <c r="W67">
        <v>0</v>
      </c>
    </row>
    <row r="68" spans="1:23" ht="24" x14ac:dyDescent="0.3">
      <c r="A68" s="212">
        <v>37422</v>
      </c>
      <c r="B68" s="212">
        <v>37422</v>
      </c>
      <c r="C68" s="6">
        <v>6</v>
      </c>
      <c r="D68" s="6">
        <v>1</v>
      </c>
      <c r="E68" s="6">
        <v>2002</v>
      </c>
      <c r="F68" s="15" t="s">
        <v>22</v>
      </c>
      <c r="G68" s="18" t="s">
        <v>6256</v>
      </c>
      <c r="H68" s="9" t="s">
        <v>112</v>
      </c>
      <c r="I68" s="34" t="s">
        <v>143</v>
      </c>
      <c r="J68" s="39" t="s">
        <v>144</v>
      </c>
      <c r="K68" s="13">
        <v>0</v>
      </c>
      <c r="L68" s="233">
        <v>100</v>
      </c>
      <c r="M68" s="13">
        <v>19</v>
      </c>
      <c r="N68" s="13">
        <v>0</v>
      </c>
      <c r="O68" s="13">
        <v>0</v>
      </c>
      <c r="P68" s="13">
        <v>0</v>
      </c>
      <c r="Q68" s="13">
        <v>0</v>
      </c>
      <c r="R68" s="26">
        <v>0.95</v>
      </c>
      <c r="S68" s="7" t="s">
        <v>115</v>
      </c>
      <c r="T68" s="257">
        <f t="shared" si="2"/>
        <v>100</v>
      </c>
      <c r="U68" s="257">
        <f t="shared" si="3"/>
        <v>19</v>
      </c>
      <c r="V68">
        <v>1</v>
      </c>
      <c r="W68">
        <v>1</v>
      </c>
    </row>
    <row r="69" spans="1:23" x14ac:dyDescent="0.3">
      <c r="A69" s="212">
        <v>37422</v>
      </c>
      <c r="B69" s="212">
        <v>37422</v>
      </c>
      <c r="C69" s="6">
        <v>6</v>
      </c>
      <c r="D69" s="6">
        <v>1</v>
      </c>
      <c r="E69" s="6">
        <v>2002</v>
      </c>
      <c r="F69" s="15" t="s">
        <v>22</v>
      </c>
      <c r="G69" s="18" t="s">
        <v>6256</v>
      </c>
      <c r="H69" s="9" t="s">
        <v>52</v>
      </c>
      <c r="I69" s="34" t="s">
        <v>95</v>
      </c>
      <c r="J69" s="39" t="s">
        <v>145</v>
      </c>
      <c r="K69" s="13">
        <v>0</v>
      </c>
      <c r="L69" s="233">
        <v>120</v>
      </c>
      <c r="M69" s="13">
        <v>15</v>
      </c>
      <c r="N69" s="13">
        <v>0</v>
      </c>
      <c r="O69" s="13">
        <v>0</v>
      </c>
      <c r="P69" s="13">
        <v>0</v>
      </c>
      <c r="Q69" s="13">
        <v>0</v>
      </c>
      <c r="R69" s="26">
        <v>0</v>
      </c>
      <c r="S69" s="7" t="s">
        <v>115</v>
      </c>
      <c r="T69" s="257">
        <f t="shared" si="2"/>
        <v>120</v>
      </c>
      <c r="U69" s="257">
        <f t="shared" si="3"/>
        <v>15</v>
      </c>
      <c r="V69">
        <v>1</v>
      </c>
      <c r="W69">
        <v>1</v>
      </c>
    </row>
    <row r="70" spans="1:23" ht="45.6" x14ac:dyDescent="0.3">
      <c r="A70" s="211">
        <v>40988</v>
      </c>
      <c r="B70" s="211">
        <v>40988</v>
      </c>
      <c r="C70" s="6">
        <v>3</v>
      </c>
      <c r="D70" s="6">
        <v>1</v>
      </c>
      <c r="E70" s="19">
        <v>2012</v>
      </c>
      <c r="F70" s="7" t="s">
        <v>17</v>
      </c>
      <c r="G70" s="16" t="s">
        <v>6260</v>
      </c>
      <c r="H70" s="9" t="s">
        <v>48</v>
      </c>
      <c r="I70" s="20" t="s">
        <v>146</v>
      </c>
      <c r="J70" s="21" t="s">
        <v>147</v>
      </c>
      <c r="K70" s="43">
        <v>2</v>
      </c>
      <c r="L70" s="234">
        <v>118000</v>
      </c>
      <c r="M70" s="23">
        <v>20511</v>
      </c>
      <c r="N70" s="23">
        <v>184</v>
      </c>
      <c r="O70" s="23">
        <v>10</v>
      </c>
      <c r="P70" s="23">
        <v>0</v>
      </c>
      <c r="Q70" s="23">
        <v>0</v>
      </c>
      <c r="R70" s="24">
        <v>733</v>
      </c>
      <c r="S70" s="25" t="s">
        <v>21</v>
      </c>
      <c r="T70" s="257">
        <f t="shared" si="2"/>
        <v>118002</v>
      </c>
      <c r="U70" s="257">
        <f t="shared" si="3"/>
        <v>20705</v>
      </c>
      <c r="V70">
        <v>3</v>
      </c>
      <c r="W70">
        <v>3</v>
      </c>
    </row>
    <row r="71" spans="1:23" ht="46.8" x14ac:dyDescent="0.3">
      <c r="A71" s="212">
        <v>37424</v>
      </c>
      <c r="B71" s="212">
        <v>37424</v>
      </c>
      <c r="C71" s="6">
        <v>6</v>
      </c>
      <c r="D71" s="6">
        <v>1</v>
      </c>
      <c r="E71" s="6">
        <v>2002</v>
      </c>
      <c r="F71" s="15" t="s">
        <v>22</v>
      </c>
      <c r="G71" s="18" t="s">
        <v>6256</v>
      </c>
      <c r="H71" s="9" t="s">
        <v>31</v>
      </c>
      <c r="I71" s="34" t="s">
        <v>95</v>
      </c>
      <c r="J71" s="39" t="s">
        <v>148</v>
      </c>
      <c r="K71" s="13">
        <v>0</v>
      </c>
      <c r="L71" s="233">
        <f>(118+138)*1</f>
        <v>256</v>
      </c>
      <c r="M71" s="13">
        <v>188</v>
      </c>
      <c r="N71" s="13">
        <v>0</v>
      </c>
      <c r="O71" s="13">
        <v>0</v>
      </c>
      <c r="P71" s="13">
        <v>0</v>
      </c>
      <c r="Q71" s="13">
        <v>0</v>
      </c>
      <c r="R71" s="26">
        <v>7.88</v>
      </c>
      <c r="S71" s="7" t="s">
        <v>149</v>
      </c>
      <c r="T71" s="257">
        <f t="shared" si="2"/>
        <v>256</v>
      </c>
      <c r="U71" s="257">
        <f t="shared" si="3"/>
        <v>188</v>
      </c>
      <c r="V71">
        <v>1</v>
      </c>
      <c r="W71">
        <v>1</v>
      </c>
    </row>
    <row r="72" spans="1:23" x14ac:dyDescent="0.3">
      <c r="A72" s="212">
        <v>37424</v>
      </c>
      <c r="B72" s="212">
        <v>37424</v>
      </c>
      <c r="C72" s="6">
        <v>6</v>
      </c>
      <c r="D72" s="6">
        <v>1</v>
      </c>
      <c r="E72" s="6">
        <v>2002</v>
      </c>
      <c r="F72" s="15" t="s">
        <v>22</v>
      </c>
      <c r="G72" s="18" t="s">
        <v>6256</v>
      </c>
      <c r="H72" s="9" t="s">
        <v>88</v>
      </c>
      <c r="I72" s="34" t="s">
        <v>95</v>
      </c>
      <c r="J72" s="39" t="s">
        <v>150</v>
      </c>
      <c r="K72" s="13">
        <v>1</v>
      </c>
      <c r="L72" s="233">
        <v>0</v>
      </c>
      <c r="M72" s="13">
        <v>0</v>
      </c>
      <c r="N72" s="13">
        <v>0</v>
      </c>
      <c r="O72" s="13">
        <v>0</v>
      </c>
      <c r="P72" s="13">
        <v>0</v>
      </c>
      <c r="Q72" s="13">
        <v>0</v>
      </c>
      <c r="R72" s="26">
        <v>0</v>
      </c>
      <c r="S72" s="7" t="s">
        <v>115</v>
      </c>
      <c r="T72" s="257">
        <f t="shared" si="2"/>
        <v>1</v>
      </c>
      <c r="U72" s="257">
        <f t="shared" si="3"/>
        <v>0</v>
      </c>
      <c r="V72">
        <v>1</v>
      </c>
      <c r="W72">
        <v>0</v>
      </c>
    </row>
    <row r="73" spans="1:23" ht="35.4" x14ac:dyDescent="0.3">
      <c r="A73" s="212">
        <v>37427</v>
      </c>
      <c r="B73" s="212">
        <v>37427</v>
      </c>
      <c r="C73" s="6">
        <v>6</v>
      </c>
      <c r="D73" s="6">
        <v>1</v>
      </c>
      <c r="E73" s="6">
        <v>2002</v>
      </c>
      <c r="F73" s="15" t="s">
        <v>22</v>
      </c>
      <c r="G73" s="18" t="s">
        <v>6256</v>
      </c>
      <c r="H73" s="9" t="s">
        <v>69</v>
      </c>
      <c r="I73" s="34" t="s">
        <v>95</v>
      </c>
      <c r="J73" s="39" t="s">
        <v>151</v>
      </c>
      <c r="K73" s="13">
        <v>0</v>
      </c>
      <c r="L73" s="233">
        <v>100</v>
      </c>
      <c r="M73" s="13">
        <v>0</v>
      </c>
      <c r="N73" s="13">
        <v>0</v>
      </c>
      <c r="O73" s="13">
        <v>0</v>
      </c>
      <c r="P73" s="13">
        <v>0</v>
      </c>
      <c r="Q73" s="13">
        <v>0</v>
      </c>
      <c r="R73" s="26">
        <v>0</v>
      </c>
      <c r="S73" s="7" t="s">
        <v>115</v>
      </c>
      <c r="T73" s="257">
        <f t="shared" si="2"/>
        <v>100</v>
      </c>
      <c r="U73" s="257">
        <f t="shared" si="3"/>
        <v>0</v>
      </c>
      <c r="V73">
        <v>1</v>
      </c>
      <c r="W73">
        <v>0</v>
      </c>
    </row>
    <row r="74" spans="1:23" ht="24" x14ac:dyDescent="0.3">
      <c r="A74" s="212">
        <v>37427</v>
      </c>
      <c r="B74" s="212">
        <v>37427</v>
      </c>
      <c r="C74" s="6">
        <v>6</v>
      </c>
      <c r="D74" s="6">
        <v>1</v>
      </c>
      <c r="E74" s="6">
        <v>2002</v>
      </c>
      <c r="F74" s="15" t="s">
        <v>22</v>
      </c>
      <c r="G74" s="18" t="s">
        <v>6256</v>
      </c>
      <c r="H74" s="9" t="s">
        <v>31</v>
      </c>
      <c r="I74" s="34" t="s">
        <v>95</v>
      </c>
      <c r="J74" s="39" t="s">
        <v>152</v>
      </c>
      <c r="K74" s="13">
        <v>0</v>
      </c>
      <c r="L74" s="233">
        <f>(64*5)*1</f>
        <v>320</v>
      </c>
      <c r="M74" s="13">
        <v>64</v>
      </c>
      <c r="N74" s="13">
        <v>0</v>
      </c>
      <c r="O74" s="13">
        <v>0</v>
      </c>
      <c r="P74" s="13">
        <v>0</v>
      </c>
      <c r="Q74" s="13">
        <v>0</v>
      </c>
      <c r="R74" s="26">
        <f>(64*0.01)</f>
        <v>0.64</v>
      </c>
      <c r="S74" s="7" t="s">
        <v>115</v>
      </c>
      <c r="T74" s="257">
        <f t="shared" si="2"/>
        <v>320</v>
      </c>
      <c r="U74" s="257">
        <f t="shared" si="3"/>
        <v>64</v>
      </c>
      <c r="V74">
        <v>1</v>
      </c>
      <c r="W74">
        <v>1</v>
      </c>
    </row>
    <row r="75" spans="1:23" ht="24" x14ac:dyDescent="0.3">
      <c r="A75" s="212">
        <v>37427</v>
      </c>
      <c r="B75" s="212">
        <v>37427</v>
      </c>
      <c r="C75" s="6">
        <v>6</v>
      </c>
      <c r="D75" s="6">
        <v>1</v>
      </c>
      <c r="E75" s="6">
        <v>2002</v>
      </c>
      <c r="F75" s="15" t="s">
        <v>22</v>
      </c>
      <c r="G75" s="18" t="s">
        <v>6256</v>
      </c>
      <c r="H75" s="9" t="s">
        <v>34</v>
      </c>
      <c r="I75" s="34" t="s">
        <v>95</v>
      </c>
      <c r="J75" s="39" t="s">
        <v>153</v>
      </c>
      <c r="K75" s="13">
        <v>3</v>
      </c>
      <c r="L75" s="233">
        <v>87</v>
      </c>
      <c r="M75" s="13">
        <v>6</v>
      </c>
      <c r="N75" s="13">
        <v>0</v>
      </c>
      <c r="O75" s="13">
        <v>0</v>
      </c>
      <c r="P75" s="13">
        <v>0</v>
      </c>
      <c r="Q75" s="13">
        <v>0</v>
      </c>
      <c r="R75" s="26">
        <f>(1*0.04)+(5*0.01)</f>
        <v>0.09</v>
      </c>
      <c r="S75" s="7" t="s">
        <v>115</v>
      </c>
      <c r="T75" s="257">
        <f t="shared" si="2"/>
        <v>90</v>
      </c>
      <c r="U75" s="257">
        <f t="shared" si="3"/>
        <v>6</v>
      </c>
      <c r="V75">
        <v>1</v>
      </c>
      <c r="W75">
        <v>1</v>
      </c>
    </row>
    <row r="76" spans="1:23" ht="35.4" x14ac:dyDescent="0.3">
      <c r="A76" s="212">
        <v>37427</v>
      </c>
      <c r="B76" s="212">
        <v>37427</v>
      </c>
      <c r="C76" s="6">
        <v>6</v>
      </c>
      <c r="D76" s="6">
        <v>1</v>
      </c>
      <c r="E76" s="6">
        <v>2002</v>
      </c>
      <c r="F76" s="15" t="s">
        <v>22</v>
      </c>
      <c r="G76" s="18" t="s">
        <v>6256</v>
      </c>
      <c r="H76" s="9" t="s">
        <v>70</v>
      </c>
      <c r="I76" s="34" t="s">
        <v>154</v>
      </c>
      <c r="J76" s="39" t="s">
        <v>155</v>
      </c>
      <c r="K76" s="13">
        <v>0</v>
      </c>
      <c r="L76" s="233">
        <v>81</v>
      </c>
      <c r="M76" s="13">
        <v>0</v>
      </c>
      <c r="N76" s="13">
        <v>0</v>
      </c>
      <c r="O76" s="13">
        <v>0</v>
      </c>
      <c r="P76" s="13">
        <v>0</v>
      </c>
      <c r="Q76" s="13">
        <v>0</v>
      </c>
      <c r="R76" s="26">
        <v>0</v>
      </c>
      <c r="S76" s="7" t="s">
        <v>115</v>
      </c>
      <c r="T76" s="257">
        <f t="shared" si="2"/>
        <v>81</v>
      </c>
      <c r="U76" s="257">
        <f t="shared" si="3"/>
        <v>0</v>
      </c>
      <c r="V76">
        <v>1</v>
      </c>
      <c r="W76">
        <v>0</v>
      </c>
    </row>
    <row r="77" spans="1:23" ht="171" x14ac:dyDescent="0.3">
      <c r="A77" s="214">
        <v>42993</v>
      </c>
      <c r="B77" s="214">
        <v>42993</v>
      </c>
      <c r="C77" s="6">
        <v>9</v>
      </c>
      <c r="D77" s="6">
        <v>1</v>
      </c>
      <c r="E77" s="33">
        <v>2017</v>
      </c>
      <c r="F77" s="15" t="s">
        <v>22</v>
      </c>
      <c r="G77" s="16" t="s">
        <v>6254</v>
      </c>
      <c r="H77" s="9" t="s">
        <v>48</v>
      </c>
      <c r="I77" s="34" t="s">
        <v>156</v>
      </c>
      <c r="J77" s="34" t="s">
        <v>157</v>
      </c>
      <c r="K77" s="33">
        <v>1</v>
      </c>
      <c r="L77" s="236">
        <v>1996</v>
      </c>
      <c r="M77" s="35">
        <v>439</v>
      </c>
      <c r="N77" s="35">
        <v>5</v>
      </c>
      <c r="O77" s="35">
        <v>0</v>
      </c>
      <c r="P77" s="35">
        <v>0</v>
      </c>
      <c r="Q77" s="35">
        <v>0</v>
      </c>
      <c r="R77" s="36">
        <v>671.7</v>
      </c>
      <c r="S77" s="7" t="s">
        <v>158</v>
      </c>
      <c r="T77" s="257">
        <f t="shared" si="2"/>
        <v>1997</v>
      </c>
      <c r="U77" s="257">
        <f t="shared" si="3"/>
        <v>444</v>
      </c>
      <c r="V77">
        <v>1</v>
      </c>
      <c r="W77">
        <v>1</v>
      </c>
    </row>
    <row r="78" spans="1:23" ht="35.4" x14ac:dyDescent="0.3">
      <c r="A78" s="212">
        <v>37428</v>
      </c>
      <c r="B78" s="212">
        <v>37428</v>
      </c>
      <c r="C78" s="6">
        <v>6</v>
      </c>
      <c r="D78" s="6">
        <v>1</v>
      </c>
      <c r="E78" s="6">
        <v>2002</v>
      </c>
      <c r="F78" s="15" t="s">
        <v>22</v>
      </c>
      <c r="G78" s="18" t="s">
        <v>6256</v>
      </c>
      <c r="H78" s="9" t="s">
        <v>112</v>
      </c>
      <c r="I78" s="34" t="s">
        <v>159</v>
      </c>
      <c r="J78" s="39" t="s">
        <v>160</v>
      </c>
      <c r="K78" s="13">
        <v>0</v>
      </c>
      <c r="L78" s="233">
        <v>1000</v>
      </c>
      <c r="M78" s="13">
        <v>200</v>
      </c>
      <c r="N78" s="13">
        <v>0</v>
      </c>
      <c r="O78" s="13">
        <v>0</v>
      </c>
      <c r="P78" s="13">
        <v>0</v>
      </c>
      <c r="Q78" s="13">
        <v>0</v>
      </c>
      <c r="R78" s="26">
        <f>(200*0.01)+(1*0)</f>
        <v>2</v>
      </c>
      <c r="S78" s="7" t="s">
        <v>115</v>
      </c>
      <c r="T78" s="257">
        <f t="shared" si="2"/>
        <v>1000</v>
      </c>
      <c r="U78" s="257">
        <f t="shared" si="3"/>
        <v>200</v>
      </c>
      <c r="V78">
        <v>1</v>
      </c>
      <c r="W78">
        <v>1</v>
      </c>
    </row>
    <row r="79" spans="1:23" ht="24" x14ac:dyDescent="0.3">
      <c r="A79" s="212">
        <v>37429</v>
      </c>
      <c r="B79" s="212">
        <v>37429</v>
      </c>
      <c r="C79" s="6">
        <v>6</v>
      </c>
      <c r="D79" s="6">
        <v>1</v>
      </c>
      <c r="E79" s="6">
        <v>2002</v>
      </c>
      <c r="F79" s="15" t="s">
        <v>22</v>
      </c>
      <c r="G79" s="18" t="s">
        <v>6256</v>
      </c>
      <c r="H79" s="9" t="s">
        <v>34</v>
      </c>
      <c r="I79" s="34" t="s">
        <v>161</v>
      </c>
      <c r="J79" s="39" t="s">
        <v>162</v>
      </c>
      <c r="K79" s="6">
        <v>3</v>
      </c>
      <c r="L79" s="233">
        <v>0</v>
      </c>
      <c r="M79" s="13">
        <v>0</v>
      </c>
      <c r="N79" s="13">
        <v>0</v>
      </c>
      <c r="O79" s="13">
        <v>0</v>
      </c>
      <c r="P79" s="13">
        <v>0</v>
      </c>
      <c r="Q79" s="13">
        <v>0</v>
      </c>
      <c r="R79" s="26">
        <v>0</v>
      </c>
      <c r="S79" s="7" t="s">
        <v>115</v>
      </c>
      <c r="T79" s="257">
        <f t="shared" si="2"/>
        <v>3</v>
      </c>
      <c r="U79" s="257">
        <f t="shared" si="3"/>
        <v>0</v>
      </c>
      <c r="V79">
        <v>1</v>
      </c>
      <c r="W79">
        <v>0</v>
      </c>
    </row>
    <row r="80" spans="1:23" ht="46.8" x14ac:dyDescent="0.3">
      <c r="A80" s="212">
        <v>37430</v>
      </c>
      <c r="B80" s="212">
        <v>37430</v>
      </c>
      <c r="C80" s="6">
        <v>6</v>
      </c>
      <c r="D80" s="6">
        <v>1</v>
      </c>
      <c r="E80" s="6">
        <v>2002</v>
      </c>
      <c r="F80" s="15" t="s">
        <v>22</v>
      </c>
      <c r="G80" s="18" t="s">
        <v>6256</v>
      </c>
      <c r="H80" s="9" t="s">
        <v>69</v>
      </c>
      <c r="I80" s="34" t="s">
        <v>95</v>
      </c>
      <c r="J80" s="39" t="s">
        <v>163</v>
      </c>
      <c r="K80" s="13">
        <v>0</v>
      </c>
      <c r="L80" s="233">
        <v>0</v>
      </c>
      <c r="M80" s="13">
        <v>0</v>
      </c>
      <c r="N80" s="13">
        <v>0</v>
      </c>
      <c r="O80" s="13">
        <v>0</v>
      </c>
      <c r="P80" s="13">
        <v>0</v>
      </c>
      <c r="Q80" s="13">
        <v>0</v>
      </c>
      <c r="R80" s="26">
        <v>1.36</v>
      </c>
      <c r="S80" s="7" t="s">
        <v>115</v>
      </c>
      <c r="T80" s="257">
        <f t="shared" si="2"/>
        <v>0</v>
      </c>
      <c r="U80" s="257">
        <f t="shared" si="3"/>
        <v>0</v>
      </c>
      <c r="V80">
        <v>0</v>
      </c>
      <c r="W80">
        <v>0</v>
      </c>
    </row>
    <row r="81" spans="1:23" ht="81" x14ac:dyDescent="0.3">
      <c r="A81" s="212">
        <v>37432</v>
      </c>
      <c r="B81" s="212">
        <v>37432</v>
      </c>
      <c r="C81" s="6">
        <v>6</v>
      </c>
      <c r="D81" s="6">
        <v>1</v>
      </c>
      <c r="E81" s="6">
        <v>2002</v>
      </c>
      <c r="F81" s="15" t="s">
        <v>22</v>
      </c>
      <c r="G81" s="18" t="s">
        <v>6256</v>
      </c>
      <c r="H81" s="9" t="s">
        <v>84</v>
      </c>
      <c r="I81" s="34" t="s">
        <v>95</v>
      </c>
      <c r="J81" s="39" t="s">
        <v>164</v>
      </c>
      <c r="K81" s="13">
        <v>0</v>
      </c>
      <c r="L81" s="233">
        <v>115</v>
      </c>
      <c r="M81" s="13">
        <v>60</v>
      </c>
      <c r="N81" s="13">
        <v>0</v>
      </c>
      <c r="O81" s="13">
        <v>0</v>
      </c>
      <c r="P81" s="13">
        <v>0</v>
      </c>
      <c r="Q81" s="13">
        <v>0</v>
      </c>
      <c r="R81" s="26">
        <v>11.74</v>
      </c>
      <c r="S81" s="7" t="s">
        <v>115</v>
      </c>
      <c r="T81" s="257">
        <f t="shared" si="2"/>
        <v>115</v>
      </c>
      <c r="U81" s="257">
        <f t="shared" si="3"/>
        <v>60</v>
      </c>
      <c r="V81">
        <v>1</v>
      </c>
      <c r="W81">
        <v>1</v>
      </c>
    </row>
    <row r="82" spans="1:23" ht="24" x14ac:dyDescent="0.3">
      <c r="A82" s="212">
        <v>37432</v>
      </c>
      <c r="B82" s="212">
        <v>37432</v>
      </c>
      <c r="C82" s="6">
        <v>6</v>
      </c>
      <c r="D82" s="6">
        <v>1</v>
      </c>
      <c r="E82" s="6">
        <v>2002</v>
      </c>
      <c r="F82" s="15" t="s">
        <v>22</v>
      </c>
      <c r="G82" s="18" t="s">
        <v>6256</v>
      </c>
      <c r="H82" s="9" t="s">
        <v>64</v>
      </c>
      <c r="I82" s="34" t="s">
        <v>95</v>
      </c>
      <c r="J82" s="39" t="s">
        <v>165</v>
      </c>
      <c r="K82" s="13">
        <v>0</v>
      </c>
      <c r="L82" s="233">
        <v>0</v>
      </c>
      <c r="M82" s="13">
        <v>24</v>
      </c>
      <c r="N82" s="13">
        <v>0</v>
      </c>
      <c r="O82" s="13">
        <v>0</v>
      </c>
      <c r="P82" s="13">
        <v>0</v>
      </c>
      <c r="Q82" s="13">
        <v>0</v>
      </c>
      <c r="R82" s="26">
        <v>1.2</v>
      </c>
      <c r="S82" s="7" t="s">
        <v>115</v>
      </c>
      <c r="T82" s="257">
        <f t="shared" si="2"/>
        <v>0</v>
      </c>
      <c r="U82" s="257">
        <f t="shared" si="3"/>
        <v>24</v>
      </c>
      <c r="V82">
        <v>0</v>
      </c>
      <c r="W82">
        <v>1</v>
      </c>
    </row>
    <row r="83" spans="1:23" x14ac:dyDescent="0.3">
      <c r="A83" s="212">
        <v>37433</v>
      </c>
      <c r="B83" s="212">
        <v>37433</v>
      </c>
      <c r="C83" s="6">
        <v>6</v>
      </c>
      <c r="D83" s="6">
        <v>1</v>
      </c>
      <c r="E83" s="6">
        <v>2002</v>
      </c>
      <c r="F83" s="15" t="s">
        <v>22</v>
      </c>
      <c r="G83" s="18" t="s">
        <v>6256</v>
      </c>
      <c r="H83" s="9" t="s">
        <v>61</v>
      </c>
      <c r="I83" s="34" t="s">
        <v>166</v>
      </c>
      <c r="J83" s="39" t="s">
        <v>167</v>
      </c>
      <c r="K83" s="13">
        <v>1</v>
      </c>
      <c r="L83" s="233">
        <v>0</v>
      </c>
      <c r="M83" s="13">
        <v>0</v>
      </c>
      <c r="N83" s="13">
        <v>0</v>
      </c>
      <c r="O83" s="13">
        <v>0</v>
      </c>
      <c r="P83" s="13">
        <v>0</v>
      </c>
      <c r="Q83" s="13">
        <v>0</v>
      </c>
      <c r="R83" s="26">
        <v>0</v>
      </c>
      <c r="S83" s="7" t="s">
        <v>115</v>
      </c>
      <c r="T83" s="257">
        <f t="shared" si="2"/>
        <v>1</v>
      </c>
      <c r="U83" s="257">
        <f t="shared" si="3"/>
        <v>0</v>
      </c>
      <c r="V83">
        <v>1</v>
      </c>
      <c r="W83">
        <v>0</v>
      </c>
    </row>
    <row r="84" spans="1:23" ht="35.4" x14ac:dyDescent="0.3">
      <c r="A84" s="212">
        <v>37434</v>
      </c>
      <c r="B84" s="212">
        <v>37434</v>
      </c>
      <c r="C84" s="6">
        <v>6</v>
      </c>
      <c r="D84" s="6">
        <v>1</v>
      </c>
      <c r="E84" s="6">
        <v>2002</v>
      </c>
      <c r="F84" s="15" t="s">
        <v>22</v>
      </c>
      <c r="G84" s="18" t="s">
        <v>6256</v>
      </c>
      <c r="H84" s="9" t="s">
        <v>52</v>
      </c>
      <c r="I84" s="34" t="s">
        <v>126</v>
      </c>
      <c r="J84" s="39" t="s">
        <v>168</v>
      </c>
      <c r="K84" s="13">
        <v>0</v>
      </c>
      <c r="L84" s="233">
        <v>150</v>
      </c>
      <c r="M84" s="13">
        <v>30</v>
      </c>
      <c r="N84" s="13">
        <v>0</v>
      </c>
      <c r="O84" s="13">
        <v>0</v>
      </c>
      <c r="P84" s="13">
        <v>0</v>
      </c>
      <c r="Q84" s="13">
        <v>0</v>
      </c>
      <c r="R84" s="26">
        <f>30*0.05</f>
        <v>1.5</v>
      </c>
      <c r="S84" s="7" t="s">
        <v>115</v>
      </c>
      <c r="T84" s="257">
        <f t="shared" si="2"/>
        <v>150</v>
      </c>
      <c r="U84" s="257">
        <f t="shared" si="3"/>
        <v>30</v>
      </c>
      <c r="V84">
        <v>1</v>
      </c>
      <c r="W84">
        <v>1</v>
      </c>
    </row>
    <row r="85" spans="1:23" ht="35.4" x14ac:dyDescent="0.3">
      <c r="A85" s="212">
        <v>37434</v>
      </c>
      <c r="B85" s="212">
        <v>37434</v>
      </c>
      <c r="C85" s="6">
        <v>6</v>
      </c>
      <c r="D85" s="6">
        <v>1</v>
      </c>
      <c r="E85" s="6">
        <v>2002</v>
      </c>
      <c r="F85" s="15" t="s">
        <v>22</v>
      </c>
      <c r="G85" s="18" t="s">
        <v>6256</v>
      </c>
      <c r="H85" s="9" t="s">
        <v>84</v>
      </c>
      <c r="I85" s="34" t="s">
        <v>95</v>
      </c>
      <c r="J85" s="39" t="s">
        <v>169</v>
      </c>
      <c r="K85" s="13">
        <v>0</v>
      </c>
      <c r="L85" s="233">
        <v>25</v>
      </c>
      <c r="M85" s="13">
        <v>7</v>
      </c>
      <c r="N85" s="13">
        <v>0</v>
      </c>
      <c r="O85" s="13">
        <v>0</v>
      </c>
      <c r="P85" s="13">
        <v>0</v>
      </c>
      <c r="Q85" s="13">
        <v>0</v>
      </c>
      <c r="R85" s="26">
        <f>(7*0.01)+(1*0)+(1*0)</f>
        <v>7.0000000000000007E-2</v>
      </c>
      <c r="S85" s="7" t="s">
        <v>115</v>
      </c>
      <c r="T85" s="257">
        <f t="shared" si="2"/>
        <v>25</v>
      </c>
      <c r="U85" s="257">
        <f t="shared" si="3"/>
        <v>7</v>
      </c>
      <c r="V85">
        <v>1</v>
      </c>
      <c r="W85">
        <v>1</v>
      </c>
    </row>
    <row r="86" spans="1:23" ht="69.599999999999994" x14ac:dyDescent="0.3">
      <c r="A86" s="212">
        <v>37434</v>
      </c>
      <c r="B86" s="212">
        <v>37434</v>
      </c>
      <c r="C86" s="6">
        <v>6</v>
      </c>
      <c r="D86" s="6">
        <v>1</v>
      </c>
      <c r="E86" s="6">
        <v>2002</v>
      </c>
      <c r="F86" s="15" t="s">
        <v>22</v>
      </c>
      <c r="G86" s="18" t="s">
        <v>6256</v>
      </c>
      <c r="H86" s="9" t="s">
        <v>118</v>
      </c>
      <c r="I86" s="34" t="s">
        <v>170</v>
      </c>
      <c r="J86" s="39" t="s">
        <v>171</v>
      </c>
      <c r="K86" s="13">
        <v>0</v>
      </c>
      <c r="L86" s="233">
        <v>0</v>
      </c>
      <c r="M86" s="13">
        <v>0</v>
      </c>
      <c r="N86" s="13">
        <v>0</v>
      </c>
      <c r="O86" s="13">
        <v>0</v>
      </c>
      <c r="P86" s="13">
        <v>0</v>
      </c>
      <c r="Q86" s="13">
        <v>0</v>
      </c>
      <c r="R86" s="26">
        <v>0</v>
      </c>
      <c r="S86" s="7" t="s">
        <v>115</v>
      </c>
      <c r="T86" s="257">
        <f t="shared" si="2"/>
        <v>0</v>
      </c>
      <c r="U86" s="257">
        <f t="shared" si="3"/>
        <v>0</v>
      </c>
      <c r="V86">
        <v>0</v>
      </c>
      <c r="W86">
        <v>0</v>
      </c>
    </row>
    <row r="87" spans="1:23" ht="35.4" x14ac:dyDescent="0.3">
      <c r="A87" s="212">
        <v>37434</v>
      </c>
      <c r="B87" s="212">
        <v>37434</v>
      </c>
      <c r="C87" s="6">
        <v>6</v>
      </c>
      <c r="D87" s="6">
        <v>1</v>
      </c>
      <c r="E87" s="6">
        <v>2002</v>
      </c>
      <c r="F87" s="15" t="s">
        <v>22</v>
      </c>
      <c r="G87" s="18" t="s">
        <v>6256</v>
      </c>
      <c r="H87" s="9" t="s">
        <v>31</v>
      </c>
      <c r="I87" s="34" t="s">
        <v>95</v>
      </c>
      <c r="J87" s="39" t="s">
        <v>172</v>
      </c>
      <c r="K87" s="13">
        <v>0</v>
      </c>
      <c r="L87" s="233">
        <v>800</v>
      </c>
      <c r="M87" s="13">
        <v>171</v>
      </c>
      <c r="N87" s="13">
        <v>0</v>
      </c>
      <c r="O87" s="13">
        <v>0</v>
      </c>
      <c r="P87" s="13">
        <v>0</v>
      </c>
      <c r="Q87" s="13">
        <v>0</v>
      </c>
      <c r="R87" s="26">
        <f>171*0.05</f>
        <v>8.5500000000000007</v>
      </c>
      <c r="S87" s="7" t="s">
        <v>173</v>
      </c>
      <c r="T87" s="257">
        <f t="shared" si="2"/>
        <v>800</v>
      </c>
      <c r="U87" s="257">
        <f t="shared" si="3"/>
        <v>171</v>
      </c>
      <c r="V87">
        <v>1</v>
      </c>
      <c r="W87">
        <v>1</v>
      </c>
    </row>
    <row r="88" spans="1:23" x14ac:dyDescent="0.3">
      <c r="A88" s="212">
        <v>37434</v>
      </c>
      <c r="B88" s="212">
        <v>37434</v>
      </c>
      <c r="C88" s="6">
        <v>6</v>
      </c>
      <c r="D88" s="6">
        <v>1</v>
      </c>
      <c r="E88" s="6">
        <v>2002</v>
      </c>
      <c r="F88" s="15" t="s">
        <v>22</v>
      </c>
      <c r="G88" s="18" t="s">
        <v>6256</v>
      </c>
      <c r="H88" s="9" t="s">
        <v>64</v>
      </c>
      <c r="I88" s="34" t="s">
        <v>95</v>
      </c>
      <c r="J88" s="39" t="s">
        <v>125</v>
      </c>
      <c r="K88" s="13">
        <v>0</v>
      </c>
      <c r="L88" s="233">
        <v>29</v>
      </c>
      <c r="M88" s="13">
        <v>0</v>
      </c>
      <c r="N88" s="13">
        <v>0</v>
      </c>
      <c r="O88" s="13">
        <v>0</v>
      </c>
      <c r="P88" s="13">
        <v>0</v>
      </c>
      <c r="Q88" s="13">
        <v>0</v>
      </c>
      <c r="R88" s="26">
        <v>0</v>
      </c>
      <c r="S88" s="7" t="s">
        <v>115</v>
      </c>
      <c r="T88" s="257">
        <f t="shared" si="2"/>
        <v>29</v>
      </c>
      <c r="U88" s="257">
        <f t="shared" si="3"/>
        <v>0</v>
      </c>
      <c r="V88">
        <v>1</v>
      </c>
      <c r="W88">
        <v>0</v>
      </c>
    </row>
    <row r="89" spans="1:23" ht="24" x14ac:dyDescent="0.3">
      <c r="A89" s="212">
        <v>37434</v>
      </c>
      <c r="B89" s="212">
        <v>37434</v>
      </c>
      <c r="C89" s="6">
        <v>6</v>
      </c>
      <c r="D89" s="6">
        <v>1</v>
      </c>
      <c r="E89" s="6">
        <v>2002</v>
      </c>
      <c r="F89" s="15" t="s">
        <v>22</v>
      </c>
      <c r="G89" s="18" t="s">
        <v>6256</v>
      </c>
      <c r="H89" s="9" t="s">
        <v>174</v>
      </c>
      <c r="I89" s="34" t="s">
        <v>95</v>
      </c>
      <c r="J89" s="39" t="s">
        <v>175</v>
      </c>
      <c r="K89" s="13">
        <v>0</v>
      </c>
      <c r="L89" s="233">
        <f>(30*4)*1</f>
        <v>120</v>
      </c>
      <c r="M89" s="13">
        <v>30</v>
      </c>
      <c r="N89" s="13">
        <v>0</v>
      </c>
      <c r="O89" s="13">
        <v>0</v>
      </c>
      <c r="P89" s="13">
        <v>0</v>
      </c>
      <c r="Q89" s="13">
        <v>0</v>
      </c>
      <c r="R89" s="26">
        <v>0.3</v>
      </c>
      <c r="S89" s="7" t="s">
        <v>115</v>
      </c>
      <c r="T89" s="257">
        <f t="shared" si="2"/>
        <v>120</v>
      </c>
      <c r="U89" s="257">
        <f t="shared" si="3"/>
        <v>30</v>
      </c>
      <c r="V89">
        <v>1</v>
      </c>
      <c r="W89">
        <v>1</v>
      </c>
    </row>
    <row r="90" spans="1:23" x14ac:dyDescent="0.3">
      <c r="A90" s="212">
        <v>37434</v>
      </c>
      <c r="B90" s="212">
        <v>37434</v>
      </c>
      <c r="C90" s="6">
        <v>6</v>
      </c>
      <c r="D90" s="6">
        <v>1</v>
      </c>
      <c r="E90" s="6">
        <v>2002</v>
      </c>
      <c r="F90" s="15" t="s">
        <v>22</v>
      </c>
      <c r="G90" s="18" t="s">
        <v>6256</v>
      </c>
      <c r="H90" s="9" t="s">
        <v>124</v>
      </c>
      <c r="I90" s="34" t="s">
        <v>95</v>
      </c>
      <c r="J90" s="39" t="s">
        <v>176</v>
      </c>
      <c r="K90" s="13">
        <v>0</v>
      </c>
      <c r="L90" s="233">
        <v>1500</v>
      </c>
      <c r="M90" s="13">
        <v>0</v>
      </c>
      <c r="N90" s="13">
        <v>0</v>
      </c>
      <c r="O90" s="13">
        <v>0</v>
      </c>
      <c r="P90" s="13">
        <v>0</v>
      </c>
      <c r="Q90" s="13">
        <v>2000</v>
      </c>
      <c r="R90" s="26">
        <v>0.04</v>
      </c>
      <c r="S90" s="7" t="s">
        <v>115</v>
      </c>
      <c r="T90" s="257">
        <f t="shared" si="2"/>
        <v>1500</v>
      </c>
      <c r="U90" s="257">
        <f t="shared" si="3"/>
        <v>0</v>
      </c>
      <c r="V90">
        <v>1</v>
      </c>
      <c r="W90">
        <v>0</v>
      </c>
    </row>
    <row r="91" spans="1:23" x14ac:dyDescent="0.3">
      <c r="A91" s="212">
        <v>37435</v>
      </c>
      <c r="B91" s="212">
        <v>37435</v>
      </c>
      <c r="C91" s="6">
        <v>6</v>
      </c>
      <c r="D91" s="6">
        <v>1</v>
      </c>
      <c r="E91" s="6">
        <v>2002</v>
      </c>
      <c r="F91" s="15" t="s">
        <v>22</v>
      </c>
      <c r="G91" s="18" t="s">
        <v>6256</v>
      </c>
      <c r="H91" s="9" t="s">
        <v>31</v>
      </c>
      <c r="I91" s="34" t="s">
        <v>95</v>
      </c>
      <c r="J91" s="39" t="s">
        <v>125</v>
      </c>
      <c r="K91" s="13">
        <v>0</v>
      </c>
      <c r="L91" s="233">
        <v>800</v>
      </c>
      <c r="M91" s="13">
        <v>171</v>
      </c>
      <c r="N91" s="13">
        <v>0</v>
      </c>
      <c r="O91" s="13">
        <v>0</v>
      </c>
      <c r="P91" s="13">
        <v>0</v>
      </c>
      <c r="Q91" s="13">
        <v>0</v>
      </c>
      <c r="R91" s="26">
        <f>M91*0.05</f>
        <v>8.5500000000000007</v>
      </c>
      <c r="S91" s="7" t="s">
        <v>115</v>
      </c>
      <c r="T91" s="257">
        <f t="shared" si="2"/>
        <v>800</v>
      </c>
      <c r="U91" s="257">
        <f t="shared" si="3"/>
        <v>171</v>
      </c>
      <c r="V91">
        <v>1</v>
      </c>
      <c r="W91">
        <v>1</v>
      </c>
    </row>
    <row r="92" spans="1:23" x14ac:dyDescent="0.3">
      <c r="A92" s="212">
        <v>37435</v>
      </c>
      <c r="B92" s="212">
        <v>37435</v>
      </c>
      <c r="C92" s="6">
        <v>6</v>
      </c>
      <c r="D92" s="6">
        <v>1</v>
      </c>
      <c r="E92" s="6">
        <v>2002</v>
      </c>
      <c r="F92" s="15" t="s">
        <v>22</v>
      </c>
      <c r="G92" s="18" t="s">
        <v>6256</v>
      </c>
      <c r="H92" s="9" t="s">
        <v>78</v>
      </c>
      <c r="I92" s="34" t="s">
        <v>95</v>
      </c>
      <c r="J92" s="39" t="s">
        <v>125</v>
      </c>
      <c r="K92" s="13">
        <v>0</v>
      </c>
      <c r="L92" s="233">
        <v>0</v>
      </c>
      <c r="M92" s="13">
        <v>22</v>
      </c>
      <c r="N92" s="13">
        <v>0</v>
      </c>
      <c r="O92" s="13">
        <v>0</v>
      </c>
      <c r="P92" s="13">
        <v>0</v>
      </c>
      <c r="Q92" s="13">
        <v>0</v>
      </c>
      <c r="R92" s="26">
        <v>0</v>
      </c>
      <c r="S92" s="7" t="s">
        <v>115</v>
      </c>
      <c r="T92" s="257">
        <f t="shared" si="2"/>
        <v>0</v>
      </c>
      <c r="U92" s="257">
        <f t="shared" si="3"/>
        <v>22</v>
      </c>
      <c r="V92">
        <v>0</v>
      </c>
      <c r="W92">
        <v>1</v>
      </c>
    </row>
    <row r="93" spans="1:23" x14ac:dyDescent="0.3">
      <c r="A93" s="212">
        <v>37435</v>
      </c>
      <c r="B93" s="212">
        <v>37435</v>
      </c>
      <c r="C93" s="6">
        <v>6</v>
      </c>
      <c r="D93" s="6">
        <v>1</v>
      </c>
      <c r="E93" s="6">
        <v>2002</v>
      </c>
      <c r="F93" s="15" t="s">
        <v>22</v>
      </c>
      <c r="G93" s="18" t="s">
        <v>6256</v>
      </c>
      <c r="H93" s="9" t="s">
        <v>174</v>
      </c>
      <c r="I93" s="34" t="s">
        <v>95</v>
      </c>
      <c r="J93" s="39"/>
      <c r="K93" s="13">
        <v>0</v>
      </c>
      <c r="L93" s="233">
        <v>5000</v>
      </c>
      <c r="M93" s="13">
        <v>0</v>
      </c>
      <c r="N93" s="13">
        <v>0</v>
      </c>
      <c r="O93" s="13">
        <v>0</v>
      </c>
      <c r="P93" s="13">
        <v>0</v>
      </c>
      <c r="Q93" s="13">
        <v>0</v>
      </c>
      <c r="R93" s="26">
        <v>0</v>
      </c>
      <c r="S93" s="7" t="s">
        <v>115</v>
      </c>
      <c r="T93" s="257">
        <f t="shared" si="2"/>
        <v>5000</v>
      </c>
      <c r="U93" s="257">
        <f t="shared" si="3"/>
        <v>0</v>
      </c>
      <c r="V93">
        <v>1</v>
      </c>
      <c r="W93">
        <v>0</v>
      </c>
    </row>
    <row r="94" spans="1:23" ht="58.2" x14ac:dyDescent="0.3">
      <c r="A94" s="212">
        <v>37435</v>
      </c>
      <c r="B94" s="212">
        <v>37435</v>
      </c>
      <c r="C94" s="6">
        <v>6</v>
      </c>
      <c r="D94" s="6">
        <v>1</v>
      </c>
      <c r="E94" s="6">
        <v>2002</v>
      </c>
      <c r="F94" s="15" t="s">
        <v>22</v>
      </c>
      <c r="G94" s="18" t="s">
        <v>6256</v>
      </c>
      <c r="H94" s="9" t="s">
        <v>84</v>
      </c>
      <c r="I94" s="34" t="s">
        <v>95</v>
      </c>
      <c r="J94" s="39" t="s">
        <v>177</v>
      </c>
      <c r="K94" s="6">
        <v>1</v>
      </c>
      <c r="L94" s="233">
        <v>300</v>
      </c>
      <c r="M94" s="13">
        <v>100</v>
      </c>
      <c r="N94" s="13">
        <v>0</v>
      </c>
      <c r="O94" s="13">
        <v>0</v>
      </c>
      <c r="P94" s="13">
        <v>0</v>
      </c>
      <c r="Q94" s="13">
        <v>1000</v>
      </c>
      <c r="R94" s="26">
        <v>0.04</v>
      </c>
      <c r="S94" s="7" t="s">
        <v>115</v>
      </c>
      <c r="T94" s="257">
        <f t="shared" si="2"/>
        <v>301</v>
      </c>
      <c r="U94" s="257">
        <f t="shared" si="3"/>
        <v>100</v>
      </c>
      <c r="V94">
        <v>1</v>
      </c>
      <c r="W94">
        <v>1</v>
      </c>
    </row>
    <row r="95" spans="1:23" ht="138" x14ac:dyDescent="0.3">
      <c r="A95" s="212">
        <v>37435</v>
      </c>
      <c r="B95" s="212">
        <v>37435</v>
      </c>
      <c r="C95" s="6">
        <v>6</v>
      </c>
      <c r="D95" s="6">
        <v>1</v>
      </c>
      <c r="E95" s="6">
        <v>2002</v>
      </c>
      <c r="F95" s="15" t="s">
        <v>22</v>
      </c>
      <c r="G95" s="18" t="s">
        <v>6256</v>
      </c>
      <c r="H95" s="9" t="s">
        <v>57</v>
      </c>
      <c r="I95" s="34" t="s">
        <v>178</v>
      </c>
      <c r="J95" s="39" t="s">
        <v>179</v>
      </c>
      <c r="K95" s="13">
        <v>0</v>
      </c>
      <c r="L95" s="233">
        <v>3500000</v>
      </c>
      <c r="M95" s="13">
        <v>0</v>
      </c>
      <c r="N95" s="13">
        <v>0</v>
      </c>
      <c r="O95" s="13">
        <v>0</v>
      </c>
      <c r="P95" s="13">
        <v>0</v>
      </c>
      <c r="Q95" s="13">
        <v>0</v>
      </c>
      <c r="R95" s="26">
        <v>50</v>
      </c>
      <c r="S95" s="7" t="s">
        <v>115</v>
      </c>
      <c r="T95" s="257">
        <f t="shared" si="2"/>
        <v>3500000</v>
      </c>
      <c r="U95" s="257">
        <f t="shared" si="3"/>
        <v>0</v>
      </c>
      <c r="V95">
        <v>5</v>
      </c>
      <c r="W95">
        <v>0</v>
      </c>
    </row>
    <row r="96" spans="1:23" ht="35.4" x14ac:dyDescent="0.3">
      <c r="A96" s="212">
        <v>37437</v>
      </c>
      <c r="B96" s="212">
        <v>37437</v>
      </c>
      <c r="C96" s="6">
        <v>6</v>
      </c>
      <c r="D96" s="6">
        <v>1</v>
      </c>
      <c r="E96" s="6">
        <v>2002</v>
      </c>
      <c r="F96" s="15" t="s">
        <v>22</v>
      </c>
      <c r="G96" s="18" t="s">
        <v>6256</v>
      </c>
      <c r="H96" s="9" t="s">
        <v>46</v>
      </c>
      <c r="I96" s="34" t="s">
        <v>95</v>
      </c>
      <c r="J96" s="39" t="s">
        <v>180</v>
      </c>
      <c r="K96" s="13">
        <v>0</v>
      </c>
      <c r="L96" s="233">
        <v>0</v>
      </c>
      <c r="M96" s="13">
        <v>0</v>
      </c>
      <c r="N96" s="13">
        <v>0</v>
      </c>
      <c r="O96" s="13">
        <v>0</v>
      </c>
      <c r="P96" s="13">
        <v>0</v>
      </c>
      <c r="Q96" s="13">
        <v>0</v>
      </c>
      <c r="R96" s="26">
        <f>1*3.29</f>
        <v>3.29</v>
      </c>
      <c r="S96" s="7" t="s">
        <v>115</v>
      </c>
      <c r="T96" s="257">
        <f t="shared" si="2"/>
        <v>0</v>
      </c>
      <c r="U96" s="257">
        <f t="shared" si="3"/>
        <v>0</v>
      </c>
      <c r="V96">
        <v>0</v>
      </c>
      <c r="W96">
        <v>0</v>
      </c>
    </row>
    <row r="97" spans="1:23" ht="24" x14ac:dyDescent="0.3">
      <c r="A97" s="212">
        <v>37437</v>
      </c>
      <c r="B97" s="212">
        <v>37437</v>
      </c>
      <c r="C97" s="6">
        <v>6</v>
      </c>
      <c r="D97" s="6">
        <v>1</v>
      </c>
      <c r="E97" s="6">
        <v>2002</v>
      </c>
      <c r="F97" s="15" t="s">
        <v>22</v>
      </c>
      <c r="G97" s="18" t="s">
        <v>6256</v>
      </c>
      <c r="H97" s="9" t="s">
        <v>24</v>
      </c>
      <c r="I97" s="34" t="s">
        <v>95</v>
      </c>
      <c r="J97" s="39" t="s">
        <v>181</v>
      </c>
      <c r="K97" s="13">
        <v>0</v>
      </c>
      <c r="L97" s="233">
        <v>7</v>
      </c>
      <c r="M97" s="13">
        <v>8</v>
      </c>
      <c r="N97" s="13">
        <v>0</v>
      </c>
      <c r="O97" s="13">
        <v>0</v>
      </c>
      <c r="P97" s="13">
        <v>0</v>
      </c>
      <c r="Q97" s="13">
        <v>0</v>
      </c>
      <c r="R97" s="26">
        <v>0.4</v>
      </c>
      <c r="S97" s="7" t="s">
        <v>115</v>
      </c>
      <c r="T97" s="257">
        <f t="shared" si="2"/>
        <v>7</v>
      </c>
      <c r="U97" s="257">
        <f t="shared" si="3"/>
        <v>8</v>
      </c>
      <c r="V97">
        <v>1</v>
      </c>
      <c r="W97">
        <v>1</v>
      </c>
    </row>
    <row r="98" spans="1:23" ht="69.599999999999994" x14ac:dyDescent="0.3">
      <c r="A98" s="212">
        <v>37437</v>
      </c>
      <c r="B98" s="212">
        <v>37437</v>
      </c>
      <c r="C98" s="6">
        <v>6</v>
      </c>
      <c r="D98" s="6">
        <v>1</v>
      </c>
      <c r="E98" s="6">
        <v>2002</v>
      </c>
      <c r="F98" s="15" t="s">
        <v>22</v>
      </c>
      <c r="G98" s="18" t="s">
        <v>6256</v>
      </c>
      <c r="H98" s="9" t="s">
        <v>46</v>
      </c>
      <c r="I98" s="34" t="s">
        <v>182</v>
      </c>
      <c r="J98" s="39" t="s">
        <v>183</v>
      </c>
      <c r="K98" s="13">
        <v>0</v>
      </c>
      <c r="L98" s="233">
        <v>0</v>
      </c>
      <c r="M98" s="13">
        <v>0</v>
      </c>
      <c r="N98" s="13">
        <v>0</v>
      </c>
      <c r="O98" s="13">
        <v>0</v>
      </c>
      <c r="P98" s="13">
        <v>0</v>
      </c>
      <c r="Q98" s="13">
        <v>0</v>
      </c>
      <c r="R98" s="26">
        <v>0.98</v>
      </c>
      <c r="S98" s="7" t="s">
        <v>115</v>
      </c>
      <c r="T98" s="257">
        <f t="shared" si="2"/>
        <v>0</v>
      </c>
      <c r="U98" s="257">
        <f t="shared" si="3"/>
        <v>0</v>
      </c>
      <c r="V98">
        <v>0</v>
      </c>
      <c r="W98">
        <v>0</v>
      </c>
    </row>
    <row r="99" spans="1:23" ht="35.4" x14ac:dyDescent="0.3">
      <c r="A99" s="212">
        <v>37437</v>
      </c>
      <c r="B99" s="212">
        <v>37437</v>
      </c>
      <c r="C99" s="6">
        <v>6</v>
      </c>
      <c r="D99" s="6">
        <v>1</v>
      </c>
      <c r="E99" s="6">
        <v>2002</v>
      </c>
      <c r="F99" s="15" t="s">
        <v>22</v>
      </c>
      <c r="G99" s="18" t="s">
        <v>6256</v>
      </c>
      <c r="H99" s="9" t="s">
        <v>70</v>
      </c>
      <c r="I99" s="34" t="s">
        <v>184</v>
      </c>
      <c r="J99" s="39" t="s">
        <v>185</v>
      </c>
      <c r="K99" s="13">
        <v>0</v>
      </c>
      <c r="L99" s="233">
        <v>0</v>
      </c>
      <c r="M99" s="13">
        <v>16</v>
      </c>
      <c r="N99" s="13">
        <v>0</v>
      </c>
      <c r="O99" s="13">
        <v>0</v>
      </c>
      <c r="P99" s="13">
        <v>0</v>
      </c>
      <c r="Q99" s="13">
        <v>0</v>
      </c>
      <c r="R99" s="26">
        <v>0</v>
      </c>
      <c r="S99" s="7" t="s">
        <v>115</v>
      </c>
      <c r="T99" s="257">
        <f t="shared" si="2"/>
        <v>0</v>
      </c>
      <c r="U99" s="257">
        <f t="shared" si="3"/>
        <v>16</v>
      </c>
      <c r="V99">
        <v>0</v>
      </c>
      <c r="W99">
        <v>1</v>
      </c>
    </row>
    <row r="100" spans="1:23" ht="160.80000000000001" x14ac:dyDescent="0.3">
      <c r="A100" s="215">
        <v>37484</v>
      </c>
      <c r="B100" s="215">
        <v>37484</v>
      </c>
      <c r="C100" s="6">
        <v>8</v>
      </c>
      <c r="D100" s="6">
        <v>1</v>
      </c>
      <c r="E100" s="6">
        <v>2002</v>
      </c>
      <c r="F100" s="15" t="s">
        <v>22</v>
      </c>
      <c r="G100" s="18" t="s">
        <v>6256</v>
      </c>
      <c r="H100" s="9" t="s">
        <v>70</v>
      </c>
      <c r="I100" s="34" t="s">
        <v>95</v>
      </c>
      <c r="J100" s="39" t="s">
        <v>186</v>
      </c>
      <c r="K100" s="44">
        <v>9</v>
      </c>
      <c r="L100" s="237">
        <v>2250</v>
      </c>
      <c r="M100" s="44">
        <v>1388</v>
      </c>
      <c r="N100" s="44">
        <v>0</v>
      </c>
      <c r="O100" s="13">
        <v>0</v>
      </c>
      <c r="P100" s="13">
        <v>0</v>
      </c>
      <c r="Q100" s="44">
        <v>144.5</v>
      </c>
      <c r="R100" s="45">
        <v>9.1999999999999993</v>
      </c>
      <c r="S100" s="7" t="s">
        <v>173</v>
      </c>
      <c r="T100" s="257">
        <f t="shared" si="2"/>
        <v>2259</v>
      </c>
      <c r="U100" s="257">
        <f t="shared" si="3"/>
        <v>1388</v>
      </c>
      <c r="V100">
        <v>1</v>
      </c>
      <c r="W100">
        <v>2</v>
      </c>
    </row>
    <row r="101" spans="1:23" ht="69.599999999999994" x14ac:dyDescent="0.3">
      <c r="A101" s="215">
        <v>37484</v>
      </c>
      <c r="B101" s="215">
        <v>37484</v>
      </c>
      <c r="C101" s="6">
        <v>8</v>
      </c>
      <c r="D101" s="6">
        <v>1</v>
      </c>
      <c r="E101" s="6">
        <v>2002</v>
      </c>
      <c r="F101" s="15" t="s">
        <v>22</v>
      </c>
      <c r="G101" s="18" t="s">
        <v>6256</v>
      </c>
      <c r="H101" s="9" t="s">
        <v>88</v>
      </c>
      <c r="I101" s="34" t="s">
        <v>187</v>
      </c>
      <c r="J101" s="39" t="s">
        <v>188</v>
      </c>
      <c r="K101" s="44">
        <v>3</v>
      </c>
      <c r="L101" s="237">
        <v>50000</v>
      </c>
      <c r="M101" s="44">
        <v>590</v>
      </c>
      <c r="N101" s="44">
        <v>3</v>
      </c>
      <c r="O101" s="13">
        <v>0</v>
      </c>
      <c r="P101" s="44">
        <v>56</v>
      </c>
      <c r="Q101" s="44">
        <v>13000</v>
      </c>
      <c r="R101" s="45">
        <v>188.4</v>
      </c>
      <c r="S101" s="7" t="s">
        <v>173</v>
      </c>
      <c r="T101" s="257">
        <f t="shared" si="2"/>
        <v>50003</v>
      </c>
      <c r="U101" s="257">
        <f t="shared" si="3"/>
        <v>649</v>
      </c>
      <c r="V101">
        <v>2</v>
      </c>
      <c r="W101">
        <v>1</v>
      </c>
    </row>
    <row r="102" spans="1:23" ht="81" x14ac:dyDescent="0.3">
      <c r="A102" s="215">
        <v>37484</v>
      </c>
      <c r="B102" s="215">
        <v>37484</v>
      </c>
      <c r="C102" s="6">
        <v>8</v>
      </c>
      <c r="D102" s="6">
        <v>1</v>
      </c>
      <c r="E102" s="6">
        <v>2002</v>
      </c>
      <c r="F102" s="15" t="s">
        <v>22</v>
      </c>
      <c r="G102" s="18" t="s">
        <v>6256</v>
      </c>
      <c r="H102" s="9" t="s">
        <v>41</v>
      </c>
      <c r="I102" s="34" t="s">
        <v>95</v>
      </c>
      <c r="J102" s="39" t="s">
        <v>189</v>
      </c>
      <c r="K102" s="13">
        <v>0</v>
      </c>
      <c r="L102" s="237">
        <v>10000</v>
      </c>
      <c r="M102" s="44">
        <v>2000</v>
      </c>
      <c r="N102" s="44">
        <v>0</v>
      </c>
      <c r="O102" s="13">
        <v>0</v>
      </c>
      <c r="P102" s="44">
        <v>0</v>
      </c>
      <c r="Q102" s="44">
        <v>0</v>
      </c>
      <c r="R102" s="45">
        <v>10</v>
      </c>
      <c r="S102" s="7" t="s">
        <v>115</v>
      </c>
      <c r="T102" s="257">
        <f t="shared" si="2"/>
        <v>10000</v>
      </c>
      <c r="U102" s="257">
        <f t="shared" si="3"/>
        <v>2000</v>
      </c>
      <c r="V102">
        <v>1</v>
      </c>
      <c r="W102">
        <v>2</v>
      </c>
    </row>
    <row r="103" spans="1:23" ht="46.8" x14ac:dyDescent="0.3">
      <c r="A103" s="215">
        <v>37487</v>
      </c>
      <c r="B103" s="215">
        <v>37487</v>
      </c>
      <c r="C103" s="6">
        <v>8</v>
      </c>
      <c r="D103" s="6">
        <v>1</v>
      </c>
      <c r="E103" s="6">
        <v>2002</v>
      </c>
      <c r="F103" s="15" t="s">
        <v>22</v>
      </c>
      <c r="G103" s="18" t="s">
        <v>6256</v>
      </c>
      <c r="H103" s="9" t="s">
        <v>121</v>
      </c>
      <c r="I103" s="34" t="s">
        <v>190</v>
      </c>
      <c r="J103" s="39" t="s">
        <v>191</v>
      </c>
      <c r="K103" s="44">
        <v>0</v>
      </c>
      <c r="L103" s="237">
        <v>60</v>
      </c>
      <c r="M103" s="44">
        <v>12</v>
      </c>
      <c r="N103" s="44">
        <v>0</v>
      </c>
      <c r="O103" s="13">
        <v>0</v>
      </c>
      <c r="P103" s="44">
        <v>0</v>
      </c>
      <c r="Q103" s="44">
        <v>0</v>
      </c>
      <c r="R103" s="45">
        <v>0.06</v>
      </c>
      <c r="S103" s="7" t="s">
        <v>115</v>
      </c>
      <c r="T103" s="257">
        <f t="shared" si="2"/>
        <v>60</v>
      </c>
      <c r="U103" s="257">
        <f t="shared" si="3"/>
        <v>12</v>
      </c>
      <c r="V103">
        <v>1</v>
      </c>
      <c r="W103">
        <v>1</v>
      </c>
    </row>
    <row r="104" spans="1:23" ht="69.599999999999994" x14ac:dyDescent="0.3">
      <c r="A104" s="215">
        <v>37494</v>
      </c>
      <c r="B104" s="215">
        <v>37494</v>
      </c>
      <c r="C104" s="6">
        <v>8</v>
      </c>
      <c r="D104" s="6">
        <v>1</v>
      </c>
      <c r="E104" s="6">
        <v>2002</v>
      </c>
      <c r="F104" s="15" t="s">
        <v>22</v>
      </c>
      <c r="G104" s="18" t="s">
        <v>6256</v>
      </c>
      <c r="H104" s="9" t="s">
        <v>41</v>
      </c>
      <c r="I104" s="34" t="s">
        <v>192</v>
      </c>
      <c r="J104" s="39" t="s">
        <v>193</v>
      </c>
      <c r="K104" s="44">
        <v>0</v>
      </c>
      <c r="L104" s="237">
        <v>20000</v>
      </c>
      <c r="M104" s="44">
        <v>4000</v>
      </c>
      <c r="N104" s="44">
        <v>0</v>
      </c>
      <c r="O104" s="13">
        <v>0</v>
      </c>
      <c r="P104" s="44">
        <v>0</v>
      </c>
      <c r="Q104" s="44">
        <v>8000</v>
      </c>
      <c r="R104" s="45">
        <v>10</v>
      </c>
      <c r="S104" s="7" t="s">
        <v>115</v>
      </c>
      <c r="T104" s="257">
        <f t="shared" si="2"/>
        <v>20000</v>
      </c>
      <c r="U104" s="257">
        <f t="shared" si="3"/>
        <v>4000</v>
      </c>
      <c r="V104">
        <v>2</v>
      </c>
      <c r="W104">
        <v>2</v>
      </c>
    </row>
    <row r="105" spans="1:23" ht="69.599999999999994" x14ac:dyDescent="0.3">
      <c r="A105" s="215">
        <v>37499</v>
      </c>
      <c r="B105" s="215">
        <v>37499</v>
      </c>
      <c r="C105" s="6">
        <v>8</v>
      </c>
      <c r="D105" s="6">
        <v>1</v>
      </c>
      <c r="E105" s="6">
        <v>2002</v>
      </c>
      <c r="F105" s="15" t="s">
        <v>22</v>
      </c>
      <c r="G105" s="18" t="s">
        <v>6256</v>
      </c>
      <c r="H105" s="9" t="s">
        <v>52</v>
      </c>
      <c r="I105" s="34" t="s">
        <v>194</v>
      </c>
      <c r="J105" s="39" t="s">
        <v>195</v>
      </c>
      <c r="K105" s="44">
        <v>0</v>
      </c>
      <c r="L105" s="233">
        <v>0</v>
      </c>
      <c r="M105" s="13">
        <v>0</v>
      </c>
      <c r="N105" s="44">
        <v>0</v>
      </c>
      <c r="O105" s="13">
        <v>0</v>
      </c>
      <c r="P105" s="44">
        <v>0</v>
      </c>
      <c r="Q105" s="44">
        <v>0</v>
      </c>
      <c r="R105" s="45">
        <v>0</v>
      </c>
      <c r="S105" s="7" t="s">
        <v>115</v>
      </c>
      <c r="T105" s="257">
        <f t="shared" si="2"/>
        <v>0</v>
      </c>
      <c r="U105" s="257">
        <f t="shared" si="3"/>
        <v>0</v>
      </c>
      <c r="V105">
        <v>0</v>
      </c>
      <c r="W105">
        <v>0</v>
      </c>
    </row>
    <row r="106" spans="1:23" ht="24" x14ac:dyDescent="0.3">
      <c r="A106" s="215">
        <v>37500</v>
      </c>
      <c r="B106" s="215">
        <v>37500</v>
      </c>
      <c r="C106" s="6">
        <v>9</v>
      </c>
      <c r="D106" s="6">
        <v>1</v>
      </c>
      <c r="E106" s="6">
        <v>2002</v>
      </c>
      <c r="F106" s="15" t="s">
        <v>22</v>
      </c>
      <c r="G106" s="18" t="s">
        <v>6256</v>
      </c>
      <c r="H106" s="9" t="s">
        <v>31</v>
      </c>
      <c r="I106" s="34" t="s">
        <v>196</v>
      </c>
      <c r="J106" s="39" t="s">
        <v>197</v>
      </c>
      <c r="K106" s="44">
        <v>0</v>
      </c>
      <c r="L106" s="237">
        <v>1000</v>
      </c>
      <c r="M106" s="44">
        <v>200</v>
      </c>
      <c r="N106" s="44">
        <v>0</v>
      </c>
      <c r="O106" s="13">
        <v>0</v>
      </c>
      <c r="P106" s="44">
        <v>0</v>
      </c>
      <c r="Q106" s="44">
        <v>0</v>
      </c>
      <c r="R106" s="45">
        <v>0.5</v>
      </c>
      <c r="S106" s="7" t="s">
        <v>115</v>
      </c>
      <c r="T106" s="257">
        <f t="shared" si="2"/>
        <v>1000</v>
      </c>
      <c r="U106" s="257">
        <f t="shared" si="3"/>
        <v>200</v>
      </c>
      <c r="V106">
        <v>1</v>
      </c>
      <c r="W106">
        <v>1</v>
      </c>
    </row>
    <row r="107" spans="1:23" ht="69.599999999999994" x14ac:dyDescent="0.3">
      <c r="A107" s="215">
        <v>37501</v>
      </c>
      <c r="B107" s="215">
        <v>37501</v>
      </c>
      <c r="C107" s="6">
        <v>9</v>
      </c>
      <c r="D107" s="6">
        <v>1</v>
      </c>
      <c r="E107" s="6">
        <v>2002</v>
      </c>
      <c r="F107" s="15" t="s">
        <v>22</v>
      </c>
      <c r="G107" s="18" t="s">
        <v>6256</v>
      </c>
      <c r="H107" s="9" t="s">
        <v>74</v>
      </c>
      <c r="I107" s="34" t="s">
        <v>198</v>
      </c>
      <c r="J107" s="39" t="s">
        <v>199</v>
      </c>
      <c r="K107" s="44">
        <v>0</v>
      </c>
      <c r="L107" s="237">
        <v>10</v>
      </c>
      <c r="M107" s="44">
        <v>2</v>
      </c>
      <c r="N107" s="44">
        <v>0</v>
      </c>
      <c r="O107" s="13">
        <v>0</v>
      </c>
      <c r="P107" s="44">
        <v>0</v>
      </c>
      <c r="Q107" s="44">
        <v>0</v>
      </c>
      <c r="R107" s="45">
        <v>0.08</v>
      </c>
      <c r="S107" s="7" t="s">
        <v>115</v>
      </c>
      <c r="T107" s="257">
        <f t="shared" si="2"/>
        <v>10</v>
      </c>
      <c r="U107" s="257">
        <f t="shared" si="3"/>
        <v>2</v>
      </c>
      <c r="V107">
        <v>1</v>
      </c>
      <c r="W107">
        <v>1</v>
      </c>
    </row>
    <row r="108" spans="1:23" ht="46.8" x14ac:dyDescent="0.3">
      <c r="A108" s="215">
        <v>37504</v>
      </c>
      <c r="B108" s="215">
        <v>37504</v>
      </c>
      <c r="C108" s="6">
        <v>9</v>
      </c>
      <c r="D108" s="6">
        <v>1</v>
      </c>
      <c r="E108" s="6">
        <v>2002</v>
      </c>
      <c r="F108" s="15" t="s">
        <v>22</v>
      </c>
      <c r="G108" s="18" t="s">
        <v>6256</v>
      </c>
      <c r="H108" s="9" t="s">
        <v>24</v>
      </c>
      <c r="I108" s="34" t="s">
        <v>95</v>
      </c>
      <c r="J108" s="39" t="s">
        <v>200</v>
      </c>
      <c r="K108" s="44">
        <v>0</v>
      </c>
      <c r="L108" s="233">
        <v>0</v>
      </c>
      <c r="M108" s="13">
        <v>0</v>
      </c>
      <c r="N108" s="44">
        <v>0</v>
      </c>
      <c r="O108" s="13">
        <v>0</v>
      </c>
      <c r="P108" s="44">
        <v>0</v>
      </c>
      <c r="Q108" s="44">
        <v>0</v>
      </c>
      <c r="R108" s="45">
        <v>0</v>
      </c>
      <c r="S108" s="7" t="s">
        <v>115</v>
      </c>
      <c r="T108" s="257">
        <f t="shared" si="2"/>
        <v>0</v>
      </c>
      <c r="U108" s="257">
        <f t="shared" si="3"/>
        <v>0</v>
      </c>
      <c r="V108">
        <v>0</v>
      </c>
      <c r="W108">
        <v>0</v>
      </c>
    </row>
    <row r="109" spans="1:23" ht="58.2" x14ac:dyDescent="0.3">
      <c r="A109" s="215">
        <v>37504</v>
      </c>
      <c r="B109" s="215">
        <v>37504</v>
      </c>
      <c r="C109" s="6">
        <v>9</v>
      </c>
      <c r="D109" s="6">
        <v>1</v>
      </c>
      <c r="E109" s="6">
        <v>2002</v>
      </c>
      <c r="F109" s="15" t="s">
        <v>22</v>
      </c>
      <c r="G109" s="18" t="s">
        <v>6256</v>
      </c>
      <c r="H109" s="9" t="s">
        <v>61</v>
      </c>
      <c r="I109" s="34" t="s">
        <v>201</v>
      </c>
      <c r="J109" s="39" t="s">
        <v>202</v>
      </c>
      <c r="K109" s="44">
        <v>0</v>
      </c>
      <c r="L109" s="237">
        <v>20</v>
      </c>
      <c r="M109" s="44">
        <v>4</v>
      </c>
      <c r="N109" s="44">
        <v>1</v>
      </c>
      <c r="O109" s="13">
        <v>0</v>
      </c>
      <c r="P109" s="44">
        <v>0</v>
      </c>
      <c r="Q109" s="44">
        <v>0</v>
      </c>
      <c r="R109" s="45">
        <v>0.03</v>
      </c>
      <c r="S109" s="7" t="s">
        <v>115</v>
      </c>
      <c r="T109" s="257">
        <f t="shared" si="2"/>
        <v>20</v>
      </c>
      <c r="U109" s="257">
        <f t="shared" si="3"/>
        <v>5</v>
      </c>
      <c r="V109">
        <v>1</v>
      </c>
      <c r="W109">
        <v>1</v>
      </c>
    </row>
    <row r="110" spans="1:23" ht="126.6" x14ac:dyDescent="0.3">
      <c r="A110" s="215">
        <v>37505</v>
      </c>
      <c r="B110" s="215">
        <v>37505</v>
      </c>
      <c r="C110" s="6">
        <v>9</v>
      </c>
      <c r="D110" s="6">
        <v>1</v>
      </c>
      <c r="E110" s="6">
        <v>2002</v>
      </c>
      <c r="F110" s="15" t="s">
        <v>22</v>
      </c>
      <c r="G110" s="18" t="s">
        <v>6256</v>
      </c>
      <c r="H110" s="9" t="s">
        <v>24</v>
      </c>
      <c r="I110" s="34" t="s">
        <v>95</v>
      </c>
      <c r="J110" s="39" t="s">
        <v>203</v>
      </c>
      <c r="K110" s="44">
        <v>0</v>
      </c>
      <c r="L110" s="237">
        <v>2000</v>
      </c>
      <c r="M110" s="44">
        <v>400</v>
      </c>
      <c r="N110" s="44">
        <v>0</v>
      </c>
      <c r="O110" s="13">
        <v>0</v>
      </c>
      <c r="P110" s="44">
        <v>0</v>
      </c>
      <c r="Q110" s="44">
        <v>0</v>
      </c>
      <c r="R110" s="45">
        <v>2.5</v>
      </c>
      <c r="S110" s="7" t="s">
        <v>115</v>
      </c>
      <c r="T110" s="257">
        <f t="shared" si="2"/>
        <v>2000</v>
      </c>
      <c r="U110" s="257">
        <f t="shared" si="3"/>
        <v>400</v>
      </c>
      <c r="V110">
        <v>1</v>
      </c>
      <c r="W110">
        <v>1</v>
      </c>
    </row>
    <row r="111" spans="1:23" ht="46.8" x14ac:dyDescent="0.3">
      <c r="A111" s="215">
        <v>37505</v>
      </c>
      <c r="B111" s="215">
        <v>37505</v>
      </c>
      <c r="C111" s="6">
        <v>9</v>
      </c>
      <c r="D111" s="6">
        <v>1</v>
      </c>
      <c r="E111" s="6">
        <v>2002</v>
      </c>
      <c r="F111" s="15" t="s">
        <v>22</v>
      </c>
      <c r="G111" s="18" t="s">
        <v>6256</v>
      </c>
      <c r="H111" s="9" t="s">
        <v>121</v>
      </c>
      <c r="I111" s="34" t="s">
        <v>204</v>
      </c>
      <c r="J111" s="39" t="s">
        <v>205</v>
      </c>
      <c r="K111" s="44">
        <v>0</v>
      </c>
      <c r="L111" s="237">
        <v>25</v>
      </c>
      <c r="M111" s="44">
        <v>5</v>
      </c>
      <c r="N111" s="44">
        <v>0</v>
      </c>
      <c r="O111" s="13">
        <v>0</v>
      </c>
      <c r="P111" s="44">
        <v>0</v>
      </c>
      <c r="Q111" s="44">
        <v>0</v>
      </c>
      <c r="R111" s="45">
        <v>0.05</v>
      </c>
      <c r="S111" s="7" t="s">
        <v>115</v>
      </c>
      <c r="T111" s="257">
        <f t="shared" si="2"/>
        <v>25</v>
      </c>
      <c r="U111" s="257">
        <f t="shared" si="3"/>
        <v>5</v>
      </c>
      <c r="V111">
        <v>1</v>
      </c>
      <c r="W111">
        <v>1</v>
      </c>
    </row>
    <row r="112" spans="1:23" ht="81" x14ac:dyDescent="0.3">
      <c r="A112" s="215">
        <v>37507</v>
      </c>
      <c r="B112" s="215">
        <v>37507</v>
      </c>
      <c r="C112" s="6">
        <v>9</v>
      </c>
      <c r="D112" s="6">
        <v>1</v>
      </c>
      <c r="E112" s="6">
        <v>2002</v>
      </c>
      <c r="F112" s="15" t="s">
        <v>22</v>
      </c>
      <c r="G112" s="18" t="s">
        <v>6256</v>
      </c>
      <c r="H112" s="9" t="s">
        <v>78</v>
      </c>
      <c r="I112" s="34" t="s">
        <v>206</v>
      </c>
      <c r="J112" s="39" t="s">
        <v>207</v>
      </c>
      <c r="K112" s="44">
        <v>0</v>
      </c>
      <c r="L112" s="233">
        <v>0</v>
      </c>
      <c r="M112" s="13">
        <v>0</v>
      </c>
      <c r="N112" s="44">
        <v>0</v>
      </c>
      <c r="O112" s="13">
        <v>0</v>
      </c>
      <c r="P112" s="44">
        <v>0</v>
      </c>
      <c r="Q112" s="44">
        <v>0</v>
      </c>
      <c r="R112" s="45">
        <v>0</v>
      </c>
      <c r="S112" s="7" t="s">
        <v>115</v>
      </c>
      <c r="T112" s="257">
        <f t="shared" si="2"/>
        <v>0</v>
      </c>
      <c r="U112" s="257">
        <f t="shared" si="3"/>
        <v>0</v>
      </c>
      <c r="V112">
        <v>0</v>
      </c>
      <c r="W112">
        <v>0</v>
      </c>
    </row>
    <row r="113" spans="1:23" ht="115.2" x14ac:dyDescent="0.3">
      <c r="A113" s="215">
        <v>37508</v>
      </c>
      <c r="B113" s="215">
        <v>37508</v>
      </c>
      <c r="C113" s="6">
        <v>9</v>
      </c>
      <c r="D113" s="6">
        <v>1</v>
      </c>
      <c r="E113" s="6">
        <v>2002</v>
      </c>
      <c r="F113" s="15" t="s">
        <v>22</v>
      </c>
      <c r="G113" s="18" t="s">
        <v>6256</v>
      </c>
      <c r="H113" s="9" t="s">
        <v>64</v>
      </c>
      <c r="I113" s="34" t="s">
        <v>208</v>
      </c>
      <c r="J113" s="39" t="s">
        <v>209</v>
      </c>
      <c r="K113" s="44">
        <v>0</v>
      </c>
      <c r="L113" s="237">
        <v>700</v>
      </c>
      <c r="M113" s="44">
        <v>50</v>
      </c>
      <c r="N113" s="44">
        <v>0</v>
      </c>
      <c r="O113" s="13">
        <v>0</v>
      </c>
      <c r="P113" s="44">
        <v>0</v>
      </c>
      <c r="Q113" s="44">
        <v>0</v>
      </c>
      <c r="R113" s="45">
        <f>50*2500/1000000</f>
        <v>0.125</v>
      </c>
      <c r="S113" s="7" t="s">
        <v>115</v>
      </c>
      <c r="T113" s="257">
        <f t="shared" si="2"/>
        <v>700</v>
      </c>
      <c r="U113" s="257">
        <f t="shared" si="3"/>
        <v>50</v>
      </c>
      <c r="V113">
        <v>1</v>
      </c>
      <c r="W113">
        <v>1</v>
      </c>
    </row>
    <row r="114" spans="1:23" ht="69.599999999999994" x14ac:dyDescent="0.3">
      <c r="A114" s="215">
        <v>37508</v>
      </c>
      <c r="B114" s="215">
        <v>37508</v>
      </c>
      <c r="C114" s="6">
        <v>9</v>
      </c>
      <c r="D114" s="6">
        <v>1</v>
      </c>
      <c r="E114" s="6">
        <v>2002</v>
      </c>
      <c r="F114" s="15" t="s">
        <v>22</v>
      </c>
      <c r="G114" s="18" t="s">
        <v>6256</v>
      </c>
      <c r="H114" s="9" t="s">
        <v>46</v>
      </c>
      <c r="I114" s="34" t="s">
        <v>95</v>
      </c>
      <c r="J114" s="39" t="s">
        <v>210</v>
      </c>
      <c r="K114" s="44">
        <v>0</v>
      </c>
      <c r="L114" s="233">
        <v>0</v>
      </c>
      <c r="M114" s="13">
        <v>0</v>
      </c>
      <c r="N114" s="44">
        <v>0</v>
      </c>
      <c r="O114" s="13">
        <v>0</v>
      </c>
      <c r="P114" s="44">
        <v>0</v>
      </c>
      <c r="Q114" s="44">
        <v>0</v>
      </c>
      <c r="R114" s="45">
        <v>0</v>
      </c>
      <c r="S114" s="7" t="s">
        <v>115</v>
      </c>
      <c r="T114" s="257">
        <f t="shared" si="2"/>
        <v>0</v>
      </c>
      <c r="U114" s="257">
        <f t="shared" si="3"/>
        <v>0</v>
      </c>
      <c r="V114">
        <v>0</v>
      </c>
      <c r="W114">
        <v>0</v>
      </c>
    </row>
    <row r="115" spans="1:23" ht="69.599999999999994" x14ac:dyDescent="0.3">
      <c r="A115" s="215">
        <v>37508</v>
      </c>
      <c r="B115" s="215">
        <v>37508</v>
      </c>
      <c r="C115" s="6">
        <v>9</v>
      </c>
      <c r="D115" s="6">
        <v>1</v>
      </c>
      <c r="E115" s="6">
        <v>2002</v>
      </c>
      <c r="F115" s="15" t="s">
        <v>22</v>
      </c>
      <c r="G115" s="18" t="s">
        <v>6256</v>
      </c>
      <c r="H115" s="9" t="s">
        <v>28</v>
      </c>
      <c r="I115" s="34" t="s">
        <v>211</v>
      </c>
      <c r="J115" s="39" t="s">
        <v>212</v>
      </c>
      <c r="K115" s="44">
        <v>0</v>
      </c>
      <c r="L115" s="237">
        <v>200</v>
      </c>
      <c r="M115" s="44">
        <v>50</v>
      </c>
      <c r="N115" s="44">
        <v>0</v>
      </c>
      <c r="O115" s="13">
        <v>0</v>
      </c>
      <c r="P115" s="44">
        <v>0</v>
      </c>
      <c r="Q115" s="44">
        <v>0</v>
      </c>
      <c r="R115" s="45">
        <f>50*2500/1000000</f>
        <v>0.125</v>
      </c>
      <c r="S115" s="7" t="s">
        <v>115</v>
      </c>
      <c r="T115" s="257">
        <f t="shared" si="2"/>
        <v>200</v>
      </c>
      <c r="U115" s="257">
        <f t="shared" si="3"/>
        <v>50</v>
      </c>
      <c r="V115">
        <v>1</v>
      </c>
      <c r="W115">
        <v>1</v>
      </c>
    </row>
    <row r="116" spans="1:23" ht="183.6" x14ac:dyDescent="0.3">
      <c r="A116" s="215">
        <v>37508</v>
      </c>
      <c r="B116" s="215">
        <v>37508</v>
      </c>
      <c r="C116" s="6">
        <v>9</v>
      </c>
      <c r="D116" s="6">
        <v>1</v>
      </c>
      <c r="E116" s="6">
        <v>2002</v>
      </c>
      <c r="F116" s="15" t="s">
        <v>22</v>
      </c>
      <c r="G116" s="18" t="s">
        <v>6256</v>
      </c>
      <c r="H116" s="9" t="s">
        <v>78</v>
      </c>
      <c r="I116" s="34" t="s">
        <v>213</v>
      </c>
      <c r="J116" s="39" t="s">
        <v>214</v>
      </c>
      <c r="K116" s="44">
        <v>0</v>
      </c>
      <c r="L116" s="237">
        <v>50</v>
      </c>
      <c r="M116" s="13">
        <v>0</v>
      </c>
      <c r="N116" s="44">
        <v>1</v>
      </c>
      <c r="O116" s="13">
        <v>0</v>
      </c>
      <c r="P116" s="44">
        <v>0</v>
      </c>
      <c r="Q116" s="44">
        <v>0</v>
      </c>
      <c r="R116" s="45">
        <v>0.05</v>
      </c>
      <c r="S116" s="7" t="s">
        <v>115</v>
      </c>
      <c r="T116" s="257">
        <f t="shared" si="2"/>
        <v>50</v>
      </c>
      <c r="U116" s="257">
        <f t="shared" si="3"/>
        <v>1</v>
      </c>
      <c r="V116">
        <v>1</v>
      </c>
      <c r="W116">
        <v>1</v>
      </c>
    </row>
    <row r="117" spans="1:23" ht="46.8" x14ac:dyDescent="0.3">
      <c r="A117" s="215">
        <v>37508</v>
      </c>
      <c r="B117" s="215">
        <v>37508</v>
      </c>
      <c r="C117" s="6">
        <v>9</v>
      </c>
      <c r="D117" s="6">
        <v>1</v>
      </c>
      <c r="E117" s="6">
        <v>2002</v>
      </c>
      <c r="F117" s="15" t="s">
        <v>22</v>
      </c>
      <c r="G117" s="18" t="s">
        <v>6256</v>
      </c>
      <c r="H117" s="9" t="s">
        <v>31</v>
      </c>
      <c r="I117" s="34" t="s">
        <v>196</v>
      </c>
      <c r="J117" s="39" t="s">
        <v>215</v>
      </c>
      <c r="K117" s="44">
        <v>0</v>
      </c>
      <c r="L117" s="237">
        <f>(M117*5)*1</f>
        <v>355</v>
      </c>
      <c r="M117" s="44">
        <v>71</v>
      </c>
      <c r="N117" s="44">
        <v>0</v>
      </c>
      <c r="O117" s="13">
        <v>0</v>
      </c>
      <c r="P117" s="44">
        <v>0</v>
      </c>
      <c r="Q117" s="44">
        <v>0</v>
      </c>
      <c r="R117" s="45">
        <v>0.17749999999999999</v>
      </c>
      <c r="S117" s="7" t="s">
        <v>115</v>
      </c>
      <c r="T117" s="257">
        <f t="shared" si="2"/>
        <v>355</v>
      </c>
      <c r="U117" s="257">
        <f t="shared" si="3"/>
        <v>71</v>
      </c>
      <c r="V117">
        <v>1</v>
      </c>
      <c r="W117">
        <v>1</v>
      </c>
    </row>
    <row r="118" spans="1:23" ht="69.599999999999994" x14ac:dyDescent="0.3">
      <c r="A118" s="215">
        <v>37508</v>
      </c>
      <c r="B118" s="215">
        <v>37508</v>
      </c>
      <c r="C118" s="6">
        <v>9</v>
      </c>
      <c r="D118" s="6">
        <v>1</v>
      </c>
      <c r="E118" s="6">
        <v>2002</v>
      </c>
      <c r="F118" s="15" t="s">
        <v>22</v>
      </c>
      <c r="G118" s="18" t="s">
        <v>6256</v>
      </c>
      <c r="H118" s="9" t="s">
        <v>56</v>
      </c>
      <c r="I118" s="34" t="s">
        <v>95</v>
      </c>
      <c r="J118" s="39" t="s">
        <v>216</v>
      </c>
      <c r="K118" s="44">
        <v>0</v>
      </c>
      <c r="L118" s="233">
        <v>0</v>
      </c>
      <c r="M118" s="13">
        <v>0</v>
      </c>
      <c r="N118" s="44">
        <v>0</v>
      </c>
      <c r="O118" s="13">
        <v>0</v>
      </c>
      <c r="P118" s="44">
        <v>0</v>
      </c>
      <c r="Q118" s="44">
        <v>0</v>
      </c>
      <c r="R118" s="45">
        <v>0</v>
      </c>
      <c r="S118" s="7" t="s">
        <v>115</v>
      </c>
      <c r="T118" s="257">
        <f t="shared" si="2"/>
        <v>0</v>
      </c>
      <c r="U118" s="257">
        <f t="shared" si="3"/>
        <v>0</v>
      </c>
      <c r="V118">
        <v>0</v>
      </c>
      <c r="W118">
        <v>0</v>
      </c>
    </row>
    <row r="119" spans="1:23" ht="35.4" x14ac:dyDescent="0.3">
      <c r="A119" s="215">
        <v>37509</v>
      </c>
      <c r="B119" s="215">
        <v>37509</v>
      </c>
      <c r="C119" s="6">
        <v>9</v>
      </c>
      <c r="D119" s="6">
        <v>1</v>
      </c>
      <c r="E119" s="6">
        <v>2002</v>
      </c>
      <c r="F119" s="15" t="s">
        <v>22</v>
      </c>
      <c r="G119" s="18" t="s">
        <v>6256</v>
      </c>
      <c r="H119" s="9" t="s">
        <v>46</v>
      </c>
      <c r="I119" s="34" t="s">
        <v>95</v>
      </c>
      <c r="J119" s="39" t="s">
        <v>217</v>
      </c>
      <c r="K119" s="44">
        <v>0</v>
      </c>
      <c r="L119" s="237">
        <v>150</v>
      </c>
      <c r="M119" s="44">
        <v>30</v>
      </c>
      <c r="N119" s="44">
        <v>0</v>
      </c>
      <c r="O119" s="13">
        <v>0</v>
      </c>
      <c r="P119" s="44">
        <v>0</v>
      </c>
      <c r="Q119" s="44">
        <v>0</v>
      </c>
      <c r="R119" s="45">
        <v>7.4999999999999997E-2</v>
      </c>
      <c r="S119" s="7" t="s">
        <v>115</v>
      </c>
      <c r="T119" s="257">
        <f t="shared" si="2"/>
        <v>150</v>
      </c>
      <c r="U119" s="257">
        <f t="shared" si="3"/>
        <v>30</v>
      </c>
      <c r="V119">
        <v>1</v>
      </c>
      <c r="W119">
        <v>1</v>
      </c>
    </row>
    <row r="120" spans="1:23" ht="126.6" x14ac:dyDescent="0.3">
      <c r="A120" s="215">
        <v>37510</v>
      </c>
      <c r="B120" s="215">
        <v>37510</v>
      </c>
      <c r="C120" s="6">
        <v>9</v>
      </c>
      <c r="D120" s="6">
        <v>1</v>
      </c>
      <c r="E120" s="6">
        <v>2002</v>
      </c>
      <c r="F120" s="15" t="s">
        <v>22</v>
      </c>
      <c r="G120" s="18" t="s">
        <v>6256</v>
      </c>
      <c r="H120" s="9" t="s">
        <v>57</v>
      </c>
      <c r="I120" s="34" t="s">
        <v>95</v>
      </c>
      <c r="J120" s="39" t="s">
        <v>218</v>
      </c>
      <c r="K120" s="44">
        <v>0</v>
      </c>
      <c r="L120" s="237">
        <v>4000</v>
      </c>
      <c r="M120" s="13">
        <v>0</v>
      </c>
      <c r="N120" s="44">
        <v>0</v>
      </c>
      <c r="O120" s="13">
        <v>0</v>
      </c>
      <c r="P120" s="44">
        <v>0</v>
      </c>
      <c r="Q120" s="44">
        <v>0</v>
      </c>
      <c r="R120" s="45">
        <v>0</v>
      </c>
      <c r="S120" s="7" t="s">
        <v>115</v>
      </c>
      <c r="T120" s="257">
        <f t="shared" si="2"/>
        <v>4000</v>
      </c>
      <c r="U120" s="257">
        <f t="shared" si="3"/>
        <v>0</v>
      </c>
      <c r="V120">
        <v>1</v>
      </c>
      <c r="W120">
        <v>0</v>
      </c>
    </row>
    <row r="121" spans="1:23" ht="126.6" x14ac:dyDescent="0.3">
      <c r="A121" s="215">
        <v>37510</v>
      </c>
      <c r="B121" s="215">
        <v>37510</v>
      </c>
      <c r="C121" s="6">
        <v>9</v>
      </c>
      <c r="D121" s="6">
        <v>1</v>
      </c>
      <c r="E121" s="6">
        <v>2002</v>
      </c>
      <c r="F121" s="15" t="s">
        <v>22</v>
      </c>
      <c r="G121" s="18" t="s">
        <v>6256</v>
      </c>
      <c r="H121" s="9" t="s">
        <v>78</v>
      </c>
      <c r="I121" s="34" t="s">
        <v>219</v>
      </c>
      <c r="J121" s="39" t="s">
        <v>220</v>
      </c>
      <c r="K121" s="44">
        <v>5</v>
      </c>
      <c r="L121" s="237">
        <v>620</v>
      </c>
      <c r="M121" s="44">
        <v>300</v>
      </c>
      <c r="N121" s="44">
        <v>0</v>
      </c>
      <c r="O121" s="13">
        <v>0</v>
      </c>
      <c r="P121" s="44">
        <v>0</v>
      </c>
      <c r="Q121" s="44">
        <v>0</v>
      </c>
      <c r="R121" s="45">
        <v>8.3000000000000007</v>
      </c>
      <c r="S121" s="7" t="s">
        <v>115</v>
      </c>
      <c r="T121" s="257">
        <f t="shared" si="2"/>
        <v>625</v>
      </c>
      <c r="U121" s="257">
        <f t="shared" si="3"/>
        <v>300</v>
      </c>
      <c r="V121">
        <v>1</v>
      </c>
      <c r="W121">
        <v>1</v>
      </c>
    </row>
    <row r="122" spans="1:23" ht="46.8" x14ac:dyDescent="0.3">
      <c r="A122" s="215">
        <v>37510</v>
      </c>
      <c r="B122" s="215">
        <v>37510</v>
      </c>
      <c r="C122" s="6">
        <v>9</v>
      </c>
      <c r="D122" s="6">
        <v>1</v>
      </c>
      <c r="E122" s="6">
        <v>2002</v>
      </c>
      <c r="F122" s="15" t="s">
        <v>22</v>
      </c>
      <c r="G122" s="18" t="s">
        <v>6256</v>
      </c>
      <c r="H122" s="9" t="s">
        <v>72</v>
      </c>
      <c r="I122" s="34" t="s">
        <v>221</v>
      </c>
      <c r="J122" s="39" t="s">
        <v>222</v>
      </c>
      <c r="K122" s="44">
        <v>0</v>
      </c>
      <c r="L122" s="237">
        <v>350</v>
      </c>
      <c r="M122" s="44">
        <v>70</v>
      </c>
      <c r="N122" s="44">
        <v>0</v>
      </c>
      <c r="O122" s="13">
        <v>0</v>
      </c>
      <c r="P122" s="44">
        <v>0</v>
      </c>
      <c r="Q122" s="44">
        <v>0</v>
      </c>
      <c r="R122" s="45">
        <v>0.17499999999999999</v>
      </c>
      <c r="S122" s="7" t="s">
        <v>115</v>
      </c>
      <c r="T122" s="257">
        <f t="shared" si="2"/>
        <v>350</v>
      </c>
      <c r="U122" s="257">
        <f t="shared" si="3"/>
        <v>70</v>
      </c>
      <c r="V122">
        <v>1</v>
      </c>
      <c r="W122">
        <v>1</v>
      </c>
    </row>
    <row r="123" spans="1:23" ht="160.80000000000001" x14ac:dyDescent="0.3">
      <c r="A123" s="215">
        <v>37510</v>
      </c>
      <c r="B123" s="215">
        <v>37510</v>
      </c>
      <c r="C123" s="6">
        <v>9</v>
      </c>
      <c r="D123" s="6">
        <v>1</v>
      </c>
      <c r="E123" s="6">
        <v>2002</v>
      </c>
      <c r="F123" s="15" t="s">
        <v>22</v>
      </c>
      <c r="G123" s="18" t="s">
        <v>6256</v>
      </c>
      <c r="H123" s="9" t="s">
        <v>37</v>
      </c>
      <c r="I123" s="34" t="s">
        <v>223</v>
      </c>
      <c r="J123" s="39" t="s">
        <v>224</v>
      </c>
      <c r="K123" s="44">
        <v>1</v>
      </c>
      <c r="L123" s="233">
        <v>0</v>
      </c>
      <c r="M123" s="13">
        <v>0</v>
      </c>
      <c r="N123" s="44">
        <v>0</v>
      </c>
      <c r="O123" s="13">
        <v>0</v>
      </c>
      <c r="P123" s="44">
        <v>0</v>
      </c>
      <c r="Q123" s="44">
        <v>0</v>
      </c>
      <c r="R123" s="45">
        <v>0.08</v>
      </c>
      <c r="S123" s="7" t="s">
        <v>115</v>
      </c>
      <c r="T123" s="257">
        <f t="shared" si="2"/>
        <v>1</v>
      </c>
      <c r="U123" s="257">
        <f t="shared" si="3"/>
        <v>0</v>
      </c>
      <c r="V123">
        <v>1</v>
      </c>
      <c r="W123">
        <v>0</v>
      </c>
    </row>
    <row r="124" spans="1:23" ht="24" x14ac:dyDescent="0.3">
      <c r="A124" s="215">
        <v>37511</v>
      </c>
      <c r="B124" s="215">
        <v>37511</v>
      </c>
      <c r="C124" s="6">
        <v>9</v>
      </c>
      <c r="D124" s="6">
        <v>1</v>
      </c>
      <c r="E124" s="6">
        <v>2002</v>
      </c>
      <c r="F124" s="15" t="s">
        <v>22</v>
      </c>
      <c r="G124" s="18" t="s">
        <v>6256</v>
      </c>
      <c r="H124" s="9" t="s">
        <v>84</v>
      </c>
      <c r="I124" s="34" t="s">
        <v>225</v>
      </c>
      <c r="J124" s="39" t="s">
        <v>226</v>
      </c>
      <c r="K124" s="44">
        <v>0</v>
      </c>
      <c r="L124" s="237">
        <v>90</v>
      </c>
      <c r="M124" s="44">
        <v>18</v>
      </c>
      <c r="N124" s="44">
        <v>0</v>
      </c>
      <c r="O124" s="13">
        <v>0</v>
      </c>
      <c r="P124" s="44">
        <v>0</v>
      </c>
      <c r="Q124" s="44">
        <v>0</v>
      </c>
      <c r="R124" s="45">
        <v>4.4999999999999998E-2</v>
      </c>
      <c r="S124" s="7" t="s">
        <v>115</v>
      </c>
      <c r="T124" s="257">
        <f t="shared" si="2"/>
        <v>90</v>
      </c>
      <c r="U124" s="257">
        <f t="shared" si="3"/>
        <v>18</v>
      </c>
      <c r="V124">
        <v>1</v>
      </c>
      <c r="W124">
        <v>1</v>
      </c>
    </row>
    <row r="125" spans="1:23" ht="24" x14ac:dyDescent="0.3">
      <c r="A125" s="215">
        <v>37511</v>
      </c>
      <c r="B125" s="215">
        <v>37511</v>
      </c>
      <c r="C125" s="6">
        <v>9</v>
      </c>
      <c r="D125" s="6">
        <v>1</v>
      </c>
      <c r="E125" s="6">
        <v>2002</v>
      </c>
      <c r="F125" s="15" t="s">
        <v>22</v>
      </c>
      <c r="G125" s="18" t="s">
        <v>6256</v>
      </c>
      <c r="H125" s="9" t="s">
        <v>121</v>
      </c>
      <c r="I125" s="34" t="s">
        <v>227</v>
      </c>
      <c r="J125" s="39" t="s">
        <v>228</v>
      </c>
      <c r="K125" s="44">
        <v>0</v>
      </c>
      <c r="L125" s="237">
        <v>800</v>
      </c>
      <c r="M125" s="44">
        <v>160</v>
      </c>
      <c r="N125" s="44">
        <v>0</v>
      </c>
      <c r="O125" s="13">
        <v>0</v>
      </c>
      <c r="P125" s="44">
        <v>0</v>
      </c>
      <c r="Q125" s="44">
        <v>0</v>
      </c>
      <c r="R125" s="45">
        <f>M125*2500/1000000</f>
        <v>0.4</v>
      </c>
      <c r="S125" s="7" t="s">
        <v>115</v>
      </c>
      <c r="T125" s="257">
        <f t="shared" si="2"/>
        <v>800</v>
      </c>
      <c r="U125" s="257">
        <f t="shared" si="3"/>
        <v>160</v>
      </c>
      <c r="V125">
        <v>1</v>
      </c>
      <c r="W125">
        <v>1</v>
      </c>
    </row>
    <row r="126" spans="1:23" ht="138" x14ac:dyDescent="0.3">
      <c r="A126" s="215">
        <v>37511</v>
      </c>
      <c r="B126" s="215">
        <v>37511</v>
      </c>
      <c r="C126" s="6">
        <v>9</v>
      </c>
      <c r="D126" s="6">
        <v>1</v>
      </c>
      <c r="E126" s="6">
        <v>2002</v>
      </c>
      <c r="F126" s="15" t="s">
        <v>22</v>
      </c>
      <c r="G126" s="18" t="s">
        <v>6256</v>
      </c>
      <c r="H126" s="9" t="s">
        <v>43</v>
      </c>
      <c r="I126" s="34" t="s">
        <v>95</v>
      </c>
      <c r="J126" s="39" t="s">
        <v>229</v>
      </c>
      <c r="K126" s="44">
        <v>0</v>
      </c>
      <c r="L126" s="237">
        <v>2500</v>
      </c>
      <c r="M126" s="44">
        <v>500</v>
      </c>
      <c r="N126" s="44">
        <v>0</v>
      </c>
      <c r="O126" s="13">
        <v>0</v>
      </c>
      <c r="P126" s="44">
        <v>0</v>
      </c>
      <c r="Q126" s="44">
        <v>0</v>
      </c>
      <c r="R126" s="45">
        <f>500*1250/1000000</f>
        <v>0.625</v>
      </c>
      <c r="S126" s="7" t="s">
        <v>115</v>
      </c>
      <c r="T126" s="257">
        <f t="shared" si="2"/>
        <v>2500</v>
      </c>
      <c r="U126" s="257">
        <f t="shared" si="3"/>
        <v>500</v>
      </c>
      <c r="V126">
        <v>1</v>
      </c>
      <c r="W126">
        <v>1</v>
      </c>
    </row>
    <row r="127" spans="1:23" ht="92.4" x14ac:dyDescent="0.3">
      <c r="A127" s="215">
        <v>37511</v>
      </c>
      <c r="B127" s="215">
        <v>37511</v>
      </c>
      <c r="C127" s="6">
        <v>9</v>
      </c>
      <c r="D127" s="6">
        <v>1</v>
      </c>
      <c r="E127" s="6">
        <v>2002</v>
      </c>
      <c r="F127" s="15" t="s">
        <v>22</v>
      </c>
      <c r="G127" s="18" t="s">
        <v>6256</v>
      </c>
      <c r="H127" s="9" t="s">
        <v>66</v>
      </c>
      <c r="I127" s="34" t="s">
        <v>95</v>
      </c>
      <c r="J127" s="39" t="s">
        <v>230</v>
      </c>
      <c r="K127" s="44">
        <v>1</v>
      </c>
      <c r="L127" s="233">
        <v>0</v>
      </c>
      <c r="M127" s="13">
        <v>0</v>
      </c>
      <c r="N127" s="44">
        <v>0</v>
      </c>
      <c r="O127" s="13">
        <v>0</v>
      </c>
      <c r="P127" s="44">
        <v>0</v>
      </c>
      <c r="Q127" s="44">
        <v>0</v>
      </c>
      <c r="R127" s="45">
        <v>0</v>
      </c>
      <c r="S127" s="7" t="s">
        <v>115</v>
      </c>
      <c r="T127" s="257">
        <f t="shared" si="2"/>
        <v>1</v>
      </c>
      <c r="U127" s="257">
        <f t="shared" si="3"/>
        <v>0</v>
      </c>
      <c r="V127">
        <v>1</v>
      </c>
      <c r="W127">
        <v>0</v>
      </c>
    </row>
    <row r="128" spans="1:23" ht="149.4" x14ac:dyDescent="0.3">
      <c r="A128" s="215">
        <v>37511</v>
      </c>
      <c r="B128" s="215">
        <v>37511</v>
      </c>
      <c r="C128" s="6">
        <v>9</v>
      </c>
      <c r="D128" s="6">
        <v>1</v>
      </c>
      <c r="E128" s="6">
        <v>2002</v>
      </c>
      <c r="F128" s="15" t="s">
        <v>22</v>
      </c>
      <c r="G128" s="18" t="s">
        <v>6256</v>
      </c>
      <c r="H128" s="9" t="s">
        <v>64</v>
      </c>
      <c r="I128" s="34" t="s">
        <v>231</v>
      </c>
      <c r="J128" s="39" t="s">
        <v>232</v>
      </c>
      <c r="K128" s="44">
        <v>0</v>
      </c>
      <c r="L128" s="237">
        <v>150</v>
      </c>
      <c r="M128" s="44">
        <v>30</v>
      </c>
      <c r="N128" s="44">
        <v>0</v>
      </c>
      <c r="O128" s="13">
        <v>0</v>
      </c>
      <c r="P128" s="44">
        <v>0</v>
      </c>
      <c r="Q128" s="44">
        <v>0</v>
      </c>
      <c r="R128" s="45">
        <v>7.4999999999999997E-2</v>
      </c>
      <c r="S128" s="7" t="s">
        <v>115</v>
      </c>
      <c r="T128" s="257">
        <f t="shared" si="2"/>
        <v>150</v>
      </c>
      <c r="U128" s="257">
        <f t="shared" si="3"/>
        <v>30</v>
      </c>
      <c r="V128">
        <v>1</v>
      </c>
      <c r="W128">
        <v>1</v>
      </c>
    </row>
    <row r="129" spans="1:23" ht="149.4" x14ac:dyDescent="0.3">
      <c r="A129" s="215">
        <v>37511</v>
      </c>
      <c r="B129" s="215">
        <v>37511</v>
      </c>
      <c r="C129" s="6">
        <v>9</v>
      </c>
      <c r="D129" s="6">
        <v>1</v>
      </c>
      <c r="E129" s="6">
        <v>2002</v>
      </c>
      <c r="F129" s="15" t="s">
        <v>22</v>
      </c>
      <c r="G129" s="18" t="s">
        <v>6256</v>
      </c>
      <c r="H129" s="9" t="s">
        <v>64</v>
      </c>
      <c r="I129" s="34" t="s">
        <v>233</v>
      </c>
      <c r="J129" s="39" t="s">
        <v>234</v>
      </c>
      <c r="K129" s="44">
        <v>0</v>
      </c>
      <c r="L129" s="237">
        <v>1000</v>
      </c>
      <c r="M129" s="44">
        <v>225</v>
      </c>
      <c r="N129" s="44">
        <v>0</v>
      </c>
      <c r="O129" s="13">
        <v>0</v>
      </c>
      <c r="P129" s="44">
        <v>0</v>
      </c>
      <c r="Q129" s="44">
        <v>0</v>
      </c>
      <c r="R129" s="45">
        <v>0.28125</v>
      </c>
      <c r="S129" s="7" t="s">
        <v>115</v>
      </c>
      <c r="T129" s="257">
        <f t="shared" si="2"/>
        <v>1000</v>
      </c>
      <c r="U129" s="257">
        <f t="shared" si="3"/>
        <v>225</v>
      </c>
      <c r="V129">
        <v>1</v>
      </c>
      <c r="W129">
        <v>1</v>
      </c>
    </row>
    <row r="130" spans="1:23" ht="45.6" x14ac:dyDescent="0.3">
      <c r="A130" s="214">
        <v>44067</v>
      </c>
      <c r="B130" s="214">
        <v>44070</v>
      </c>
      <c r="C130" s="6">
        <v>8</v>
      </c>
      <c r="D130" s="6">
        <v>4</v>
      </c>
      <c r="E130" s="33">
        <v>2020</v>
      </c>
      <c r="F130" s="15" t="s">
        <v>22</v>
      </c>
      <c r="G130" s="16" t="s">
        <v>6254</v>
      </c>
      <c r="H130" s="9" t="s">
        <v>48</v>
      </c>
      <c r="I130" s="34" t="s">
        <v>235</v>
      </c>
      <c r="J130" s="34" t="s">
        <v>236</v>
      </c>
      <c r="K130" s="33">
        <v>1</v>
      </c>
      <c r="L130" s="235">
        <v>9901</v>
      </c>
      <c r="M130" s="35">
        <v>2094</v>
      </c>
      <c r="N130" s="35">
        <v>0</v>
      </c>
      <c r="O130" s="35">
        <v>1</v>
      </c>
      <c r="P130" s="35">
        <v>0</v>
      </c>
      <c r="Q130" s="41">
        <v>0</v>
      </c>
      <c r="R130" s="42">
        <v>634.21647595399997</v>
      </c>
      <c r="S130" s="33" t="s">
        <v>131</v>
      </c>
      <c r="T130" s="257">
        <f t="shared" si="2"/>
        <v>9902</v>
      </c>
      <c r="U130" s="257">
        <f t="shared" si="3"/>
        <v>2095</v>
      </c>
      <c r="V130">
        <v>1</v>
      </c>
      <c r="W130">
        <v>2</v>
      </c>
    </row>
    <row r="131" spans="1:23" ht="58.2" x14ac:dyDescent="0.3">
      <c r="A131" s="215">
        <v>37513</v>
      </c>
      <c r="B131" s="215">
        <v>37513</v>
      </c>
      <c r="C131" s="6">
        <v>9</v>
      </c>
      <c r="D131" s="6">
        <v>1</v>
      </c>
      <c r="E131" s="6">
        <v>2002</v>
      </c>
      <c r="F131" s="15" t="s">
        <v>22</v>
      </c>
      <c r="G131" s="18" t="s">
        <v>6256</v>
      </c>
      <c r="H131" s="9" t="s">
        <v>64</v>
      </c>
      <c r="I131" s="34" t="s">
        <v>237</v>
      </c>
      <c r="J131" s="39" t="s">
        <v>238</v>
      </c>
      <c r="K131" s="44">
        <v>0</v>
      </c>
      <c r="L131" s="233">
        <v>0</v>
      </c>
      <c r="M131" s="44">
        <v>10</v>
      </c>
      <c r="N131" s="44">
        <v>0</v>
      </c>
      <c r="O131" s="13">
        <v>0</v>
      </c>
      <c r="P131" s="44">
        <v>0</v>
      </c>
      <c r="Q131" s="44">
        <v>0</v>
      </c>
      <c r="R131" s="45">
        <v>0</v>
      </c>
      <c r="S131" s="7" t="s">
        <v>115</v>
      </c>
      <c r="T131" s="257">
        <f t="shared" ref="T131:T194" si="4">SUM(K131:L131)</f>
        <v>0</v>
      </c>
      <c r="U131" s="257">
        <f t="shared" ref="U131:U194" si="5">SUM(M131:P131)</f>
        <v>10</v>
      </c>
      <c r="V131">
        <v>0</v>
      </c>
      <c r="W131">
        <v>1</v>
      </c>
    </row>
    <row r="132" spans="1:23" ht="46.8" x14ac:dyDescent="0.3">
      <c r="A132" s="215">
        <v>37513</v>
      </c>
      <c r="B132" s="215">
        <v>37513</v>
      </c>
      <c r="C132" s="6">
        <v>9</v>
      </c>
      <c r="D132" s="6">
        <v>1</v>
      </c>
      <c r="E132" s="6">
        <v>2002</v>
      </c>
      <c r="F132" s="15" t="s">
        <v>22</v>
      </c>
      <c r="G132" s="18" t="s">
        <v>6256</v>
      </c>
      <c r="H132" s="9" t="s">
        <v>118</v>
      </c>
      <c r="I132" s="34" t="s">
        <v>170</v>
      </c>
      <c r="J132" s="39" t="s">
        <v>239</v>
      </c>
      <c r="K132" s="44">
        <v>0</v>
      </c>
      <c r="L132" s="233">
        <v>0</v>
      </c>
      <c r="M132" s="44">
        <v>600</v>
      </c>
      <c r="N132" s="44">
        <v>0</v>
      </c>
      <c r="O132" s="13">
        <v>0</v>
      </c>
      <c r="P132" s="44">
        <v>0</v>
      </c>
      <c r="Q132" s="44">
        <v>0</v>
      </c>
      <c r="R132" s="45">
        <f>M132*500/1000000</f>
        <v>0.3</v>
      </c>
      <c r="S132" s="7" t="s">
        <v>115</v>
      </c>
      <c r="T132" s="257">
        <f t="shared" si="4"/>
        <v>0</v>
      </c>
      <c r="U132" s="257">
        <f t="shared" si="5"/>
        <v>600</v>
      </c>
      <c r="V132">
        <v>0</v>
      </c>
      <c r="W132">
        <v>1</v>
      </c>
    </row>
    <row r="133" spans="1:23" ht="229.2" x14ac:dyDescent="0.3">
      <c r="A133" s="215">
        <v>37513</v>
      </c>
      <c r="B133" s="215">
        <v>37513</v>
      </c>
      <c r="C133" s="6">
        <v>9</v>
      </c>
      <c r="D133" s="6">
        <v>1</v>
      </c>
      <c r="E133" s="6">
        <v>2002</v>
      </c>
      <c r="F133" s="15" t="s">
        <v>22</v>
      </c>
      <c r="G133" s="18" t="s">
        <v>6256</v>
      </c>
      <c r="H133" s="9" t="s">
        <v>121</v>
      </c>
      <c r="I133" s="34" t="s">
        <v>95</v>
      </c>
      <c r="J133" s="39" t="s">
        <v>240</v>
      </c>
      <c r="K133" s="44">
        <v>0</v>
      </c>
      <c r="L133" s="233">
        <v>0</v>
      </c>
      <c r="M133" s="44">
        <v>10</v>
      </c>
      <c r="N133" s="44">
        <v>0</v>
      </c>
      <c r="O133" s="13">
        <v>0</v>
      </c>
      <c r="P133" s="44">
        <v>0</v>
      </c>
      <c r="Q133" s="44">
        <v>0</v>
      </c>
      <c r="R133" s="45">
        <v>3.5000000000000003E-2</v>
      </c>
      <c r="S133" s="7" t="s">
        <v>115</v>
      </c>
      <c r="T133" s="257">
        <f t="shared" si="4"/>
        <v>0</v>
      </c>
      <c r="U133" s="257">
        <f t="shared" si="5"/>
        <v>10</v>
      </c>
      <c r="V133">
        <v>0</v>
      </c>
      <c r="W133">
        <v>1</v>
      </c>
    </row>
    <row r="134" spans="1:23" ht="35.4" x14ac:dyDescent="0.3">
      <c r="A134" s="215">
        <v>37514</v>
      </c>
      <c r="B134" s="215">
        <v>37514</v>
      </c>
      <c r="C134" s="6">
        <v>9</v>
      </c>
      <c r="D134" s="6">
        <v>1</v>
      </c>
      <c r="E134" s="6">
        <v>2002</v>
      </c>
      <c r="F134" s="15" t="s">
        <v>22</v>
      </c>
      <c r="G134" s="18" t="s">
        <v>6256</v>
      </c>
      <c r="H134" s="9" t="s">
        <v>64</v>
      </c>
      <c r="I134" s="34" t="s">
        <v>95</v>
      </c>
      <c r="J134" s="39" t="s">
        <v>241</v>
      </c>
      <c r="K134" s="44">
        <v>0</v>
      </c>
      <c r="L134" s="237">
        <v>107</v>
      </c>
      <c r="M134" s="44">
        <v>29</v>
      </c>
      <c r="N134" s="44">
        <v>0</v>
      </c>
      <c r="O134" s="13">
        <v>0</v>
      </c>
      <c r="P134" s="44">
        <v>0</v>
      </c>
      <c r="Q134" s="44">
        <v>0</v>
      </c>
      <c r="R134" s="45">
        <v>7.2499999999999995E-2</v>
      </c>
      <c r="S134" s="7" t="s">
        <v>115</v>
      </c>
      <c r="T134" s="257">
        <f t="shared" si="4"/>
        <v>107</v>
      </c>
      <c r="U134" s="257">
        <f t="shared" si="5"/>
        <v>29</v>
      </c>
      <c r="V134">
        <v>1</v>
      </c>
      <c r="W134">
        <v>1</v>
      </c>
    </row>
    <row r="135" spans="1:23" ht="58.2" x14ac:dyDescent="0.3">
      <c r="A135" s="215">
        <v>37514</v>
      </c>
      <c r="B135" s="215">
        <v>37514</v>
      </c>
      <c r="C135" s="6">
        <v>9</v>
      </c>
      <c r="D135" s="6">
        <v>1</v>
      </c>
      <c r="E135" s="6">
        <v>2002</v>
      </c>
      <c r="F135" s="15" t="s">
        <v>22</v>
      </c>
      <c r="G135" s="18" t="s">
        <v>6256</v>
      </c>
      <c r="H135" s="9" t="s">
        <v>64</v>
      </c>
      <c r="I135" s="34" t="s">
        <v>242</v>
      </c>
      <c r="J135" s="39" t="s">
        <v>243</v>
      </c>
      <c r="K135" s="44">
        <v>0</v>
      </c>
      <c r="L135" s="237">
        <v>465</v>
      </c>
      <c r="M135" s="44">
        <v>93</v>
      </c>
      <c r="N135" s="44">
        <v>0</v>
      </c>
      <c r="O135" s="13">
        <v>0</v>
      </c>
      <c r="P135" s="44">
        <v>0</v>
      </c>
      <c r="Q135" s="44">
        <v>0</v>
      </c>
      <c r="R135" s="45">
        <v>0.38250000000000001</v>
      </c>
      <c r="S135" s="7" t="s">
        <v>115</v>
      </c>
      <c r="T135" s="257">
        <f t="shared" si="4"/>
        <v>465</v>
      </c>
      <c r="U135" s="257">
        <f t="shared" si="5"/>
        <v>93</v>
      </c>
      <c r="V135">
        <v>1</v>
      </c>
      <c r="W135">
        <v>1</v>
      </c>
    </row>
    <row r="136" spans="1:23" ht="58.2" x14ac:dyDescent="0.3">
      <c r="A136" s="215">
        <v>37515</v>
      </c>
      <c r="B136" s="215">
        <v>37515</v>
      </c>
      <c r="C136" s="6">
        <v>9</v>
      </c>
      <c r="D136" s="6">
        <v>1</v>
      </c>
      <c r="E136" s="6">
        <v>2002</v>
      </c>
      <c r="F136" s="15" t="s">
        <v>22</v>
      </c>
      <c r="G136" s="18" t="s">
        <v>6256</v>
      </c>
      <c r="H136" s="9" t="s">
        <v>43</v>
      </c>
      <c r="I136" s="34" t="s">
        <v>244</v>
      </c>
      <c r="J136" s="39" t="s">
        <v>245</v>
      </c>
      <c r="K136" s="44">
        <v>0</v>
      </c>
      <c r="L136" s="237">
        <v>900</v>
      </c>
      <c r="M136" s="44">
        <v>180</v>
      </c>
      <c r="N136" s="44">
        <v>0</v>
      </c>
      <c r="O136" s="13">
        <v>0</v>
      </c>
      <c r="P136" s="44">
        <v>0</v>
      </c>
      <c r="Q136" s="44">
        <v>0</v>
      </c>
      <c r="R136" s="45">
        <f>180*500/1000000</f>
        <v>0.09</v>
      </c>
      <c r="S136" s="7" t="s">
        <v>115</v>
      </c>
      <c r="T136" s="257">
        <f t="shared" si="4"/>
        <v>900</v>
      </c>
      <c r="U136" s="257">
        <f t="shared" si="5"/>
        <v>180</v>
      </c>
      <c r="V136">
        <v>1</v>
      </c>
      <c r="W136">
        <v>1</v>
      </c>
    </row>
    <row r="137" spans="1:23" ht="240.6" x14ac:dyDescent="0.3">
      <c r="A137" s="215">
        <v>37515</v>
      </c>
      <c r="B137" s="215">
        <v>37515</v>
      </c>
      <c r="C137" s="6">
        <v>9</v>
      </c>
      <c r="D137" s="6">
        <v>1</v>
      </c>
      <c r="E137" s="6">
        <v>2002</v>
      </c>
      <c r="F137" s="15" t="s">
        <v>22</v>
      </c>
      <c r="G137" s="18" t="s">
        <v>6256</v>
      </c>
      <c r="H137" s="9" t="s">
        <v>57</v>
      </c>
      <c r="I137" s="34" t="s">
        <v>95</v>
      </c>
      <c r="J137" s="39" t="s">
        <v>246</v>
      </c>
      <c r="K137" s="44">
        <v>3</v>
      </c>
      <c r="L137" s="237">
        <v>2125</v>
      </c>
      <c r="M137" s="13">
        <v>0</v>
      </c>
      <c r="N137" s="44">
        <v>0</v>
      </c>
      <c r="O137" s="13">
        <v>0</v>
      </c>
      <c r="P137" s="44">
        <v>0</v>
      </c>
      <c r="Q137" s="44">
        <v>0</v>
      </c>
      <c r="R137" s="45">
        <v>0</v>
      </c>
      <c r="S137" s="7" t="s">
        <v>115</v>
      </c>
      <c r="T137" s="257">
        <f t="shared" si="4"/>
        <v>2128</v>
      </c>
      <c r="U137" s="257">
        <f t="shared" si="5"/>
        <v>0</v>
      </c>
      <c r="V137">
        <v>1</v>
      </c>
      <c r="W137">
        <v>0</v>
      </c>
    </row>
    <row r="138" spans="1:23" ht="46.8" x14ac:dyDescent="0.3">
      <c r="A138" s="215">
        <v>37515</v>
      </c>
      <c r="B138" s="215">
        <v>37515</v>
      </c>
      <c r="C138" s="6">
        <v>9</v>
      </c>
      <c r="D138" s="6">
        <v>1</v>
      </c>
      <c r="E138" s="6">
        <v>2002</v>
      </c>
      <c r="F138" s="15" t="s">
        <v>22</v>
      </c>
      <c r="G138" s="18" t="s">
        <v>6256</v>
      </c>
      <c r="H138" s="9" t="s">
        <v>66</v>
      </c>
      <c r="I138" s="34" t="s">
        <v>247</v>
      </c>
      <c r="J138" s="39" t="s">
        <v>248</v>
      </c>
      <c r="K138" s="44">
        <v>1</v>
      </c>
      <c r="L138" s="237">
        <v>90</v>
      </c>
      <c r="M138" s="44">
        <v>18</v>
      </c>
      <c r="N138" s="44">
        <v>0</v>
      </c>
      <c r="O138" s="13">
        <v>0</v>
      </c>
      <c r="P138" s="44">
        <v>0</v>
      </c>
      <c r="Q138" s="44">
        <v>0</v>
      </c>
      <c r="R138" s="45">
        <v>7.4999999999999997E-2</v>
      </c>
      <c r="S138" s="7" t="s">
        <v>115</v>
      </c>
      <c r="T138" s="257">
        <f t="shared" si="4"/>
        <v>91</v>
      </c>
      <c r="U138" s="257">
        <f t="shared" si="5"/>
        <v>18</v>
      </c>
      <c r="V138">
        <v>1</v>
      </c>
      <c r="W138">
        <v>1</v>
      </c>
    </row>
    <row r="139" spans="1:23" ht="35.4" x14ac:dyDescent="0.3">
      <c r="A139" s="215">
        <v>37515</v>
      </c>
      <c r="B139" s="215">
        <v>37515</v>
      </c>
      <c r="C139" s="6">
        <v>9</v>
      </c>
      <c r="D139" s="6">
        <v>1</v>
      </c>
      <c r="E139" s="6">
        <v>2002</v>
      </c>
      <c r="F139" s="15" t="s">
        <v>22</v>
      </c>
      <c r="G139" s="18" t="s">
        <v>6256</v>
      </c>
      <c r="H139" s="9" t="s">
        <v>88</v>
      </c>
      <c r="I139" s="34" t="s">
        <v>25</v>
      </c>
      <c r="J139" s="39" t="s">
        <v>249</v>
      </c>
      <c r="K139" s="44">
        <v>1</v>
      </c>
      <c r="L139" s="237">
        <v>150</v>
      </c>
      <c r="M139" s="44">
        <v>31</v>
      </c>
      <c r="N139" s="44">
        <v>0</v>
      </c>
      <c r="O139" s="13">
        <v>0</v>
      </c>
      <c r="P139" s="44">
        <v>0</v>
      </c>
      <c r="Q139" s="44">
        <v>0</v>
      </c>
      <c r="R139" s="45">
        <v>2.325E-2</v>
      </c>
      <c r="S139" s="7" t="s">
        <v>115</v>
      </c>
      <c r="T139" s="257">
        <f t="shared" si="4"/>
        <v>151</v>
      </c>
      <c r="U139" s="257">
        <f t="shared" si="5"/>
        <v>31</v>
      </c>
      <c r="V139">
        <v>1</v>
      </c>
      <c r="W139">
        <v>1</v>
      </c>
    </row>
    <row r="140" spans="1:23" ht="69.599999999999994" x14ac:dyDescent="0.3">
      <c r="A140" s="215">
        <v>37516</v>
      </c>
      <c r="B140" s="215">
        <v>37516</v>
      </c>
      <c r="C140" s="6">
        <v>9</v>
      </c>
      <c r="D140" s="6">
        <v>1</v>
      </c>
      <c r="E140" s="6">
        <v>2002</v>
      </c>
      <c r="F140" s="15" t="s">
        <v>22</v>
      </c>
      <c r="G140" s="18" t="s">
        <v>6256</v>
      </c>
      <c r="H140" s="9" t="s">
        <v>31</v>
      </c>
      <c r="I140" s="34" t="s">
        <v>250</v>
      </c>
      <c r="J140" s="39" t="s">
        <v>251</v>
      </c>
      <c r="K140" s="44">
        <v>0</v>
      </c>
      <c r="L140" s="237">
        <v>343</v>
      </c>
      <c r="M140" s="44">
        <v>100</v>
      </c>
      <c r="N140" s="44">
        <v>0</v>
      </c>
      <c r="O140" s="13">
        <v>0</v>
      </c>
      <c r="P140" s="44">
        <v>0</v>
      </c>
      <c r="Q140" s="44">
        <v>0</v>
      </c>
      <c r="R140" s="45">
        <v>1.9</v>
      </c>
      <c r="S140" s="7" t="s">
        <v>115</v>
      </c>
      <c r="T140" s="257">
        <f t="shared" si="4"/>
        <v>343</v>
      </c>
      <c r="U140" s="257">
        <f t="shared" si="5"/>
        <v>100</v>
      </c>
      <c r="V140">
        <v>1</v>
      </c>
      <c r="W140">
        <v>1</v>
      </c>
    </row>
    <row r="141" spans="1:23" ht="115.2" x14ac:dyDescent="0.3">
      <c r="A141" s="215">
        <v>37516</v>
      </c>
      <c r="B141" s="215">
        <v>37516</v>
      </c>
      <c r="C141" s="6">
        <v>9</v>
      </c>
      <c r="D141" s="6">
        <v>1</v>
      </c>
      <c r="E141" s="6">
        <v>2002</v>
      </c>
      <c r="F141" s="15" t="s">
        <v>22</v>
      </c>
      <c r="G141" s="18" t="s">
        <v>6256</v>
      </c>
      <c r="H141" s="9" t="s">
        <v>121</v>
      </c>
      <c r="I141" s="34" t="s">
        <v>25</v>
      </c>
      <c r="J141" s="39" t="s">
        <v>252</v>
      </c>
      <c r="K141" s="44">
        <v>0</v>
      </c>
      <c r="L141" s="237">
        <v>650</v>
      </c>
      <c r="M141" s="44">
        <v>23</v>
      </c>
      <c r="N141" s="44">
        <v>0</v>
      </c>
      <c r="O141" s="13">
        <v>0</v>
      </c>
      <c r="P141" s="44">
        <v>0</v>
      </c>
      <c r="Q141" s="44">
        <v>0</v>
      </c>
      <c r="R141" s="45">
        <f>M141*2500/1000000</f>
        <v>5.7500000000000002E-2</v>
      </c>
      <c r="S141" s="7" t="s">
        <v>115</v>
      </c>
      <c r="T141" s="257">
        <f t="shared" si="4"/>
        <v>650</v>
      </c>
      <c r="U141" s="257">
        <f t="shared" si="5"/>
        <v>23</v>
      </c>
      <c r="V141">
        <v>1</v>
      </c>
      <c r="W141">
        <v>1</v>
      </c>
    </row>
    <row r="142" spans="1:23" ht="115.2" x14ac:dyDescent="0.3">
      <c r="A142" s="215">
        <v>37516</v>
      </c>
      <c r="B142" s="215">
        <v>37516</v>
      </c>
      <c r="C142" s="6">
        <v>9</v>
      </c>
      <c r="D142" s="6">
        <v>1</v>
      </c>
      <c r="E142" s="6">
        <v>2002</v>
      </c>
      <c r="F142" s="15" t="s">
        <v>22</v>
      </c>
      <c r="G142" s="18" t="s">
        <v>6256</v>
      </c>
      <c r="H142" s="9" t="s">
        <v>43</v>
      </c>
      <c r="I142" s="34" t="s">
        <v>253</v>
      </c>
      <c r="J142" s="39" t="s">
        <v>254</v>
      </c>
      <c r="K142" s="44">
        <v>0</v>
      </c>
      <c r="L142" s="237">
        <v>500</v>
      </c>
      <c r="M142" s="44">
        <v>90</v>
      </c>
      <c r="N142" s="44">
        <v>0</v>
      </c>
      <c r="O142" s="13">
        <v>0</v>
      </c>
      <c r="P142" s="44">
        <v>0</v>
      </c>
      <c r="Q142" s="44">
        <v>0</v>
      </c>
      <c r="R142" s="45">
        <v>0.1125</v>
      </c>
      <c r="S142" s="7" t="s">
        <v>115</v>
      </c>
      <c r="T142" s="257">
        <f t="shared" si="4"/>
        <v>500</v>
      </c>
      <c r="U142" s="257">
        <f t="shared" si="5"/>
        <v>90</v>
      </c>
      <c r="V142">
        <v>1</v>
      </c>
      <c r="W142">
        <v>1</v>
      </c>
    </row>
    <row r="143" spans="1:23" ht="58.2" x14ac:dyDescent="0.3">
      <c r="A143" s="215">
        <v>37517</v>
      </c>
      <c r="B143" s="215">
        <v>37517</v>
      </c>
      <c r="C143" s="6">
        <v>9</v>
      </c>
      <c r="D143" s="6">
        <v>1</v>
      </c>
      <c r="E143" s="6">
        <v>2002</v>
      </c>
      <c r="F143" s="15" t="s">
        <v>22</v>
      </c>
      <c r="G143" s="18" t="s">
        <v>6256</v>
      </c>
      <c r="H143" s="9" t="s">
        <v>78</v>
      </c>
      <c r="I143" s="34" t="s">
        <v>255</v>
      </c>
      <c r="J143" s="39" t="s">
        <v>256</v>
      </c>
      <c r="K143" s="44">
        <v>3</v>
      </c>
      <c r="L143" s="233">
        <v>0</v>
      </c>
      <c r="M143" s="13">
        <v>0</v>
      </c>
      <c r="N143" s="44">
        <v>0</v>
      </c>
      <c r="O143" s="13">
        <v>0</v>
      </c>
      <c r="P143" s="44">
        <v>0</v>
      </c>
      <c r="Q143" s="44">
        <v>0</v>
      </c>
      <c r="R143" s="45">
        <v>3.2</v>
      </c>
      <c r="S143" s="7" t="s">
        <v>115</v>
      </c>
      <c r="T143" s="257">
        <f t="shared" si="4"/>
        <v>3</v>
      </c>
      <c r="U143" s="257">
        <f t="shared" si="5"/>
        <v>0</v>
      </c>
      <c r="V143">
        <v>1</v>
      </c>
      <c r="W143">
        <v>0</v>
      </c>
    </row>
    <row r="144" spans="1:23" ht="46.8" x14ac:dyDescent="0.3">
      <c r="A144" s="215">
        <v>37518</v>
      </c>
      <c r="B144" s="215">
        <v>37518</v>
      </c>
      <c r="C144" s="6">
        <v>9</v>
      </c>
      <c r="D144" s="6">
        <v>1</v>
      </c>
      <c r="E144" s="6">
        <v>2002</v>
      </c>
      <c r="F144" s="15" t="s">
        <v>22</v>
      </c>
      <c r="G144" s="18" t="s">
        <v>6256</v>
      </c>
      <c r="H144" s="9" t="s">
        <v>121</v>
      </c>
      <c r="I144" s="34" t="s">
        <v>257</v>
      </c>
      <c r="J144" s="39" t="s">
        <v>258</v>
      </c>
      <c r="K144" s="44">
        <v>0</v>
      </c>
      <c r="L144" s="237">
        <v>500</v>
      </c>
      <c r="M144" s="44">
        <v>100</v>
      </c>
      <c r="N144" s="44">
        <v>0</v>
      </c>
      <c r="O144" s="13">
        <v>0</v>
      </c>
      <c r="P144" s="44">
        <v>0</v>
      </c>
      <c r="Q144" s="44">
        <v>0</v>
      </c>
      <c r="R144" s="45">
        <v>0.25</v>
      </c>
      <c r="S144" s="7" t="s">
        <v>115</v>
      </c>
      <c r="T144" s="257">
        <f t="shared" si="4"/>
        <v>500</v>
      </c>
      <c r="U144" s="257">
        <f t="shared" si="5"/>
        <v>100</v>
      </c>
      <c r="V144">
        <v>1</v>
      </c>
      <c r="W144">
        <v>1</v>
      </c>
    </row>
    <row r="145" spans="1:23" ht="183.6" x14ac:dyDescent="0.3">
      <c r="A145" s="215">
        <v>37518</v>
      </c>
      <c r="B145" s="215">
        <v>37518</v>
      </c>
      <c r="C145" s="6">
        <v>9</v>
      </c>
      <c r="D145" s="6">
        <v>1</v>
      </c>
      <c r="E145" s="6">
        <v>2002</v>
      </c>
      <c r="F145" s="15" t="s">
        <v>22</v>
      </c>
      <c r="G145" s="18" t="s">
        <v>6256</v>
      </c>
      <c r="H145" s="9" t="s">
        <v>88</v>
      </c>
      <c r="I145" s="34" t="s">
        <v>259</v>
      </c>
      <c r="J145" s="39" t="s">
        <v>260</v>
      </c>
      <c r="K145" s="44">
        <v>1</v>
      </c>
      <c r="L145" s="237">
        <v>2000</v>
      </c>
      <c r="M145" s="44">
        <v>20</v>
      </c>
      <c r="N145" s="44">
        <v>0</v>
      </c>
      <c r="O145" s="13">
        <v>0</v>
      </c>
      <c r="P145" s="44">
        <v>0</v>
      </c>
      <c r="Q145" s="44">
        <v>0</v>
      </c>
      <c r="R145" s="45">
        <f>M145*2500/1000000</f>
        <v>0.05</v>
      </c>
      <c r="S145" s="7" t="s">
        <v>115</v>
      </c>
      <c r="T145" s="257">
        <f t="shared" si="4"/>
        <v>2001</v>
      </c>
      <c r="U145" s="257">
        <f t="shared" si="5"/>
        <v>20</v>
      </c>
      <c r="V145">
        <v>1</v>
      </c>
      <c r="W145">
        <v>1</v>
      </c>
    </row>
    <row r="146" spans="1:23" ht="58.2" x14ac:dyDescent="0.3">
      <c r="A146" s="215">
        <v>37518</v>
      </c>
      <c r="B146" s="215">
        <v>37518</v>
      </c>
      <c r="C146" s="6">
        <v>9</v>
      </c>
      <c r="D146" s="6">
        <v>1</v>
      </c>
      <c r="E146" s="6">
        <v>2002</v>
      </c>
      <c r="F146" s="15" t="s">
        <v>22</v>
      </c>
      <c r="G146" s="18" t="s">
        <v>6256</v>
      </c>
      <c r="H146" s="9" t="s">
        <v>72</v>
      </c>
      <c r="I146" s="34" t="s">
        <v>95</v>
      </c>
      <c r="J146" s="39" t="s">
        <v>261</v>
      </c>
      <c r="K146" s="44">
        <v>0</v>
      </c>
      <c r="L146" s="237">
        <v>75</v>
      </c>
      <c r="M146" s="13">
        <v>0</v>
      </c>
      <c r="N146" s="44">
        <v>0</v>
      </c>
      <c r="O146" s="13">
        <v>0</v>
      </c>
      <c r="P146" s="44">
        <v>0</v>
      </c>
      <c r="Q146" s="44">
        <v>0</v>
      </c>
      <c r="R146" s="45">
        <v>0</v>
      </c>
      <c r="S146" s="7" t="s">
        <v>115</v>
      </c>
      <c r="T146" s="257">
        <f t="shared" si="4"/>
        <v>75</v>
      </c>
      <c r="U146" s="257">
        <f t="shared" si="5"/>
        <v>0</v>
      </c>
      <c r="V146">
        <v>1</v>
      </c>
      <c r="W146">
        <v>0</v>
      </c>
    </row>
    <row r="147" spans="1:23" ht="103.8" x14ac:dyDescent="0.3">
      <c r="A147" s="215">
        <v>37519</v>
      </c>
      <c r="B147" s="215">
        <v>37519</v>
      </c>
      <c r="C147" s="6">
        <v>9</v>
      </c>
      <c r="D147" s="6">
        <v>1</v>
      </c>
      <c r="E147" s="6">
        <v>2002</v>
      </c>
      <c r="F147" s="15" t="s">
        <v>22</v>
      </c>
      <c r="G147" s="18" t="s">
        <v>6256</v>
      </c>
      <c r="H147" s="9" t="s">
        <v>124</v>
      </c>
      <c r="I147" s="34" t="s">
        <v>95</v>
      </c>
      <c r="J147" s="39" t="s">
        <v>262</v>
      </c>
      <c r="K147" s="44">
        <v>3</v>
      </c>
      <c r="L147" s="237">
        <v>1380000</v>
      </c>
      <c r="M147" s="44">
        <v>83500</v>
      </c>
      <c r="N147" s="44">
        <v>2631</v>
      </c>
      <c r="O147" s="44">
        <v>72</v>
      </c>
      <c r="P147" s="44">
        <v>0</v>
      </c>
      <c r="Q147" s="44">
        <v>0</v>
      </c>
      <c r="R147" s="45">
        <v>6535</v>
      </c>
      <c r="S147" s="7" t="s">
        <v>173</v>
      </c>
      <c r="T147" s="257">
        <f t="shared" si="4"/>
        <v>1380003</v>
      </c>
      <c r="U147" s="257">
        <f t="shared" si="5"/>
        <v>86203</v>
      </c>
      <c r="V147">
        <v>5</v>
      </c>
      <c r="W147">
        <v>4</v>
      </c>
    </row>
    <row r="148" spans="1:23" ht="92.4" x14ac:dyDescent="0.3">
      <c r="A148" s="215">
        <v>37521</v>
      </c>
      <c r="B148" s="215">
        <v>37521</v>
      </c>
      <c r="C148" s="6">
        <v>9</v>
      </c>
      <c r="D148" s="6">
        <v>1</v>
      </c>
      <c r="E148" s="6">
        <v>2002</v>
      </c>
      <c r="F148" s="15" t="s">
        <v>22</v>
      </c>
      <c r="G148" s="18" t="s">
        <v>6256</v>
      </c>
      <c r="H148" s="9" t="s">
        <v>112</v>
      </c>
      <c r="I148" s="34" t="s">
        <v>25</v>
      </c>
      <c r="J148" s="39" t="s">
        <v>263</v>
      </c>
      <c r="K148" s="46">
        <v>1</v>
      </c>
      <c r="L148" s="237">
        <v>309532</v>
      </c>
      <c r="M148" s="44">
        <v>6181</v>
      </c>
      <c r="N148" s="44">
        <v>454</v>
      </c>
      <c r="O148" s="44">
        <v>56</v>
      </c>
      <c r="P148" s="44">
        <v>0</v>
      </c>
      <c r="Q148" s="44">
        <v>0</v>
      </c>
      <c r="R148" s="45">
        <v>2342</v>
      </c>
      <c r="S148" s="7" t="s">
        <v>173</v>
      </c>
      <c r="T148" s="257">
        <f t="shared" si="4"/>
        <v>309533</v>
      </c>
      <c r="U148" s="257">
        <f t="shared" si="5"/>
        <v>6691</v>
      </c>
      <c r="V148">
        <v>3</v>
      </c>
      <c r="W148">
        <v>2</v>
      </c>
    </row>
    <row r="149" spans="1:23" ht="159.6" x14ac:dyDescent="0.3">
      <c r="A149" s="210">
        <v>41747</v>
      </c>
      <c r="B149" s="210">
        <v>41747</v>
      </c>
      <c r="C149" s="6">
        <v>4</v>
      </c>
      <c r="D149" s="6">
        <v>1</v>
      </c>
      <c r="E149" s="33">
        <v>2014</v>
      </c>
      <c r="F149" s="7" t="s">
        <v>17</v>
      </c>
      <c r="G149" s="16" t="s">
        <v>6260</v>
      </c>
      <c r="H149" s="9" t="s">
        <v>48</v>
      </c>
      <c r="I149" s="47" t="s">
        <v>264</v>
      </c>
      <c r="J149" s="48" t="s">
        <v>265</v>
      </c>
      <c r="K149" s="49">
        <v>0</v>
      </c>
      <c r="L149" s="238">
        <v>31570</v>
      </c>
      <c r="M149" s="35">
        <v>6314</v>
      </c>
      <c r="N149" s="35">
        <v>59</v>
      </c>
      <c r="O149" s="35">
        <v>8</v>
      </c>
      <c r="P149" s="35">
        <v>5</v>
      </c>
      <c r="Q149" s="35">
        <v>0</v>
      </c>
      <c r="R149" s="36">
        <v>602.70000000000005</v>
      </c>
      <c r="S149" s="50" t="s">
        <v>131</v>
      </c>
      <c r="T149" s="257">
        <f t="shared" si="4"/>
        <v>31570</v>
      </c>
      <c r="U149" s="257">
        <f t="shared" si="5"/>
        <v>6386</v>
      </c>
      <c r="V149">
        <v>2</v>
      </c>
      <c r="W149">
        <v>2</v>
      </c>
    </row>
    <row r="150" spans="1:23" ht="24" x14ac:dyDescent="0.3">
      <c r="A150" s="215">
        <v>37524</v>
      </c>
      <c r="B150" s="215">
        <v>37524</v>
      </c>
      <c r="C150" s="6">
        <v>9</v>
      </c>
      <c r="D150" s="6">
        <v>1</v>
      </c>
      <c r="E150" s="6">
        <v>2002</v>
      </c>
      <c r="F150" s="15" t="s">
        <v>22</v>
      </c>
      <c r="G150" s="18" t="s">
        <v>6256</v>
      </c>
      <c r="H150" s="9" t="s">
        <v>61</v>
      </c>
      <c r="I150" s="34" t="s">
        <v>266</v>
      </c>
      <c r="J150" s="39" t="s">
        <v>267</v>
      </c>
      <c r="K150" s="44">
        <v>0</v>
      </c>
      <c r="L150" s="237">
        <v>250</v>
      </c>
      <c r="M150" s="44">
        <v>51</v>
      </c>
      <c r="N150" s="44">
        <v>0</v>
      </c>
      <c r="O150" s="44">
        <v>0</v>
      </c>
      <c r="P150" s="44">
        <v>0</v>
      </c>
      <c r="Q150" s="44">
        <v>0</v>
      </c>
      <c r="R150" s="45">
        <v>0.1275</v>
      </c>
      <c r="S150" s="7" t="s">
        <v>115</v>
      </c>
      <c r="T150" s="257">
        <f t="shared" si="4"/>
        <v>250</v>
      </c>
      <c r="U150" s="257">
        <f t="shared" si="5"/>
        <v>51</v>
      </c>
      <c r="V150">
        <v>1</v>
      </c>
      <c r="W150">
        <v>1</v>
      </c>
    </row>
    <row r="151" spans="1:23" ht="35.4" x14ac:dyDescent="0.3">
      <c r="A151" s="215">
        <v>37536</v>
      </c>
      <c r="B151" s="215">
        <v>37536</v>
      </c>
      <c r="C151" s="6">
        <v>10</v>
      </c>
      <c r="D151" s="6">
        <v>1</v>
      </c>
      <c r="E151" s="6">
        <v>2002</v>
      </c>
      <c r="F151" s="15" t="s">
        <v>22</v>
      </c>
      <c r="G151" s="18" t="s">
        <v>6256</v>
      </c>
      <c r="H151" s="9" t="s">
        <v>37</v>
      </c>
      <c r="I151" s="34" t="s">
        <v>95</v>
      </c>
      <c r="J151" s="39" t="s">
        <v>268</v>
      </c>
      <c r="K151" s="44">
        <v>1</v>
      </c>
      <c r="L151" s="237">
        <v>1000</v>
      </c>
      <c r="M151" s="44">
        <v>1725</v>
      </c>
      <c r="N151" s="44">
        <v>0</v>
      </c>
      <c r="O151" s="44">
        <v>0</v>
      </c>
      <c r="P151" s="44">
        <v>0</v>
      </c>
      <c r="Q151" s="44">
        <v>0</v>
      </c>
      <c r="R151" s="45">
        <f>M151*750/1000000</f>
        <v>1.29375</v>
      </c>
      <c r="S151" s="7" t="s">
        <v>115</v>
      </c>
      <c r="T151" s="257">
        <f t="shared" si="4"/>
        <v>1001</v>
      </c>
      <c r="U151" s="257">
        <f t="shared" si="5"/>
        <v>1725</v>
      </c>
      <c r="V151">
        <v>1</v>
      </c>
      <c r="W151">
        <v>2</v>
      </c>
    </row>
    <row r="152" spans="1:23" ht="69.599999999999994" x14ac:dyDescent="0.3">
      <c r="A152" s="215">
        <v>37553</v>
      </c>
      <c r="B152" s="215">
        <v>37553</v>
      </c>
      <c r="C152" s="6">
        <v>10</v>
      </c>
      <c r="D152" s="6">
        <v>1</v>
      </c>
      <c r="E152" s="6">
        <v>2002</v>
      </c>
      <c r="F152" s="15" t="s">
        <v>22</v>
      </c>
      <c r="G152" s="18" t="s">
        <v>6256</v>
      </c>
      <c r="H152" s="9" t="s">
        <v>56</v>
      </c>
      <c r="I152" s="34" t="s">
        <v>269</v>
      </c>
      <c r="J152" s="39" t="s">
        <v>270</v>
      </c>
      <c r="K152" s="44">
        <v>2</v>
      </c>
      <c r="L152" s="237">
        <v>374500</v>
      </c>
      <c r="M152" s="44">
        <v>33347</v>
      </c>
      <c r="N152" s="44">
        <v>375</v>
      </c>
      <c r="O152" s="44">
        <v>96</v>
      </c>
      <c r="P152" s="44">
        <v>0</v>
      </c>
      <c r="Q152" s="44">
        <v>0</v>
      </c>
      <c r="R152" s="45">
        <v>915.2</v>
      </c>
      <c r="S152" s="7" t="s">
        <v>173</v>
      </c>
      <c r="T152" s="257">
        <f t="shared" si="4"/>
        <v>374502</v>
      </c>
      <c r="U152" s="257">
        <f t="shared" si="5"/>
        <v>33818</v>
      </c>
      <c r="V152">
        <v>3</v>
      </c>
      <c r="W152">
        <v>4</v>
      </c>
    </row>
    <row r="153" spans="1:23" ht="58.2" x14ac:dyDescent="0.3">
      <c r="A153" s="215">
        <v>37553</v>
      </c>
      <c r="B153" s="215">
        <v>37553</v>
      </c>
      <c r="C153" s="6">
        <v>10</v>
      </c>
      <c r="D153" s="6">
        <v>1</v>
      </c>
      <c r="E153" s="6">
        <v>2002</v>
      </c>
      <c r="F153" s="15" t="s">
        <v>22</v>
      </c>
      <c r="G153" s="18" t="s">
        <v>6256</v>
      </c>
      <c r="H153" s="9" t="s">
        <v>51</v>
      </c>
      <c r="I153" s="34" t="s">
        <v>271</v>
      </c>
      <c r="J153" s="39" t="s">
        <v>272</v>
      </c>
      <c r="K153" s="44">
        <v>0</v>
      </c>
      <c r="L153" s="237">
        <v>151452</v>
      </c>
      <c r="M153" s="44">
        <v>97</v>
      </c>
      <c r="N153" s="44">
        <v>1</v>
      </c>
      <c r="O153" s="44">
        <v>0</v>
      </c>
      <c r="P153" s="44">
        <v>220</v>
      </c>
      <c r="Q153" s="44">
        <v>0</v>
      </c>
      <c r="R153" s="45">
        <v>329.5</v>
      </c>
      <c r="S153" s="7" t="s">
        <v>173</v>
      </c>
      <c r="T153" s="257">
        <f t="shared" si="4"/>
        <v>151452</v>
      </c>
      <c r="U153" s="257">
        <f t="shared" si="5"/>
        <v>318</v>
      </c>
      <c r="V153">
        <v>3</v>
      </c>
      <c r="W153">
        <v>1</v>
      </c>
    </row>
    <row r="154" spans="1:23" ht="58.2" x14ac:dyDescent="0.3">
      <c r="A154" s="215">
        <v>37564</v>
      </c>
      <c r="B154" s="215">
        <v>37564</v>
      </c>
      <c r="C154" s="6">
        <v>11</v>
      </c>
      <c r="D154" s="6">
        <v>1</v>
      </c>
      <c r="E154" s="6">
        <v>2002</v>
      </c>
      <c r="F154" s="15" t="s">
        <v>22</v>
      </c>
      <c r="G154" s="18" t="s">
        <v>6256</v>
      </c>
      <c r="H154" s="9" t="s">
        <v>43</v>
      </c>
      <c r="I154" s="34" t="s">
        <v>95</v>
      </c>
      <c r="J154" s="39" t="s">
        <v>273</v>
      </c>
      <c r="K154" s="44">
        <v>1</v>
      </c>
      <c r="L154" s="233">
        <v>0</v>
      </c>
      <c r="M154" s="13">
        <v>0</v>
      </c>
      <c r="N154" s="44">
        <v>0</v>
      </c>
      <c r="O154" s="44">
        <v>0</v>
      </c>
      <c r="P154" s="44">
        <v>0</v>
      </c>
      <c r="Q154" s="44">
        <v>0</v>
      </c>
      <c r="R154" s="45">
        <v>3.5000000000000003E-2</v>
      </c>
      <c r="S154" s="7" t="s">
        <v>115</v>
      </c>
      <c r="T154" s="257">
        <f t="shared" si="4"/>
        <v>1</v>
      </c>
      <c r="U154" s="257">
        <f t="shared" si="5"/>
        <v>0</v>
      </c>
      <c r="V154">
        <v>1</v>
      </c>
      <c r="W154">
        <v>0</v>
      </c>
    </row>
    <row r="155" spans="1:23" ht="46.8" x14ac:dyDescent="0.3">
      <c r="A155" s="215">
        <v>37567</v>
      </c>
      <c r="B155" s="215">
        <v>37567</v>
      </c>
      <c r="C155" s="6">
        <v>11</v>
      </c>
      <c r="D155" s="6">
        <v>1</v>
      </c>
      <c r="E155" s="6">
        <v>2002</v>
      </c>
      <c r="F155" s="15" t="s">
        <v>22</v>
      </c>
      <c r="G155" s="18" t="s">
        <v>6256</v>
      </c>
      <c r="H155" s="9" t="s">
        <v>31</v>
      </c>
      <c r="I155" s="34" t="s">
        <v>274</v>
      </c>
      <c r="J155" s="39" t="s">
        <v>275</v>
      </c>
      <c r="K155" s="44">
        <v>0</v>
      </c>
      <c r="L155" s="237">
        <v>750</v>
      </c>
      <c r="M155" s="44">
        <v>222</v>
      </c>
      <c r="N155" s="44">
        <v>0</v>
      </c>
      <c r="O155" s="44">
        <v>0</v>
      </c>
      <c r="P155" s="44">
        <v>0</v>
      </c>
      <c r="Q155" s="44">
        <v>0</v>
      </c>
      <c r="R155" s="45">
        <f>M155*2500/1000000</f>
        <v>0.55500000000000005</v>
      </c>
      <c r="S155" s="7" t="s">
        <v>115</v>
      </c>
      <c r="T155" s="257">
        <f t="shared" si="4"/>
        <v>750</v>
      </c>
      <c r="U155" s="257">
        <f t="shared" si="5"/>
        <v>222</v>
      </c>
      <c r="V155">
        <v>1</v>
      </c>
      <c r="W155">
        <v>1</v>
      </c>
    </row>
    <row r="156" spans="1:23" ht="46.8" x14ac:dyDescent="0.3">
      <c r="A156" s="215">
        <v>37613</v>
      </c>
      <c r="B156" s="215">
        <v>37613</v>
      </c>
      <c r="C156" s="6">
        <v>12</v>
      </c>
      <c r="D156" s="6">
        <v>1</v>
      </c>
      <c r="E156" s="6">
        <v>2002</v>
      </c>
      <c r="F156" s="15" t="s">
        <v>22</v>
      </c>
      <c r="G156" s="18" t="s">
        <v>6256</v>
      </c>
      <c r="H156" s="9" t="s">
        <v>74</v>
      </c>
      <c r="I156" s="34" t="s">
        <v>95</v>
      </c>
      <c r="J156" s="39" t="s">
        <v>276</v>
      </c>
      <c r="K156" s="44">
        <v>0</v>
      </c>
      <c r="L156" s="237">
        <v>3750</v>
      </c>
      <c r="M156" s="13">
        <v>0</v>
      </c>
      <c r="N156" s="44">
        <v>0</v>
      </c>
      <c r="O156" s="44">
        <v>0</v>
      </c>
      <c r="P156" s="44">
        <v>0</v>
      </c>
      <c r="Q156" s="44">
        <v>0</v>
      </c>
      <c r="R156" s="45">
        <v>0</v>
      </c>
      <c r="S156" s="7" t="s">
        <v>115</v>
      </c>
      <c r="T156" s="257">
        <f t="shared" si="4"/>
        <v>3750</v>
      </c>
      <c r="U156" s="257">
        <f t="shared" si="5"/>
        <v>0</v>
      </c>
      <c r="V156">
        <v>1</v>
      </c>
      <c r="W156">
        <v>0</v>
      </c>
    </row>
    <row r="157" spans="1:23" ht="24" x14ac:dyDescent="0.3">
      <c r="A157" s="212">
        <v>37348</v>
      </c>
      <c r="B157" s="212">
        <v>37348</v>
      </c>
      <c r="C157" s="6">
        <v>4</v>
      </c>
      <c r="D157" s="6">
        <v>1</v>
      </c>
      <c r="E157" s="6">
        <v>2002</v>
      </c>
      <c r="F157" s="15" t="s">
        <v>22</v>
      </c>
      <c r="G157" s="16" t="s">
        <v>23</v>
      </c>
      <c r="H157" s="9" t="s">
        <v>74</v>
      </c>
      <c r="I157" s="34" t="s">
        <v>95</v>
      </c>
      <c r="J157" s="39" t="s">
        <v>277</v>
      </c>
      <c r="K157" s="44">
        <v>0</v>
      </c>
      <c r="L157" s="233">
        <v>0</v>
      </c>
      <c r="M157" s="13">
        <v>0</v>
      </c>
      <c r="N157" s="44">
        <v>0</v>
      </c>
      <c r="O157" s="44">
        <v>0</v>
      </c>
      <c r="P157" s="44">
        <v>0</v>
      </c>
      <c r="Q157" s="44">
        <v>0</v>
      </c>
      <c r="R157" s="26">
        <v>32</v>
      </c>
      <c r="S157" s="7" t="s">
        <v>115</v>
      </c>
      <c r="T157" s="257">
        <f t="shared" si="4"/>
        <v>0</v>
      </c>
      <c r="U157" s="257">
        <f t="shared" si="5"/>
        <v>0</v>
      </c>
      <c r="V157">
        <v>0</v>
      </c>
      <c r="W157">
        <v>0</v>
      </c>
    </row>
    <row r="158" spans="1:23" ht="24" x14ac:dyDescent="0.3">
      <c r="A158" s="212">
        <v>37370</v>
      </c>
      <c r="B158" s="212">
        <v>37370</v>
      </c>
      <c r="C158" s="6">
        <v>4</v>
      </c>
      <c r="D158" s="6">
        <v>1</v>
      </c>
      <c r="E158" s="6">
        <v>2002</v>
      </c>
      <c r="F158" s="15" t="s">
        <v>22</v>
      </c>
      <c r="G158" s="16" t="s">
        <v>23</v>
      </c>
      <c r="H158" s="9" t="s">
        <v>174</v>
      </c>
      <c r="I158" s="34" t="s">
        <v>95</v>
      </c>
      <c r="J158" s="39" t="s">
        <v>278</v>
      </c>
      <c r="K158" s="44">
        <v>0</v>
      </c>
      <c r="L158" s="233">
        <v>0</v>
      </c>
      <c r="M158" s="13">
        <v>0</v>
      </c>
      <c r="N158" s="44">
        <v>0</v>
      </c>
      <c r="O158" s="44">
        <v>0</v>
      </c>
      <c r="P158" s="44">
        <v>0</v>
      </c>
      <c r="Q158" s="44">
        <v>0</v>
      </c>
      <c r="R158" s="26">
        <v>110</v>
      </c>
      <c r="S158" s="7" t="s">
        <v>115</v>
      </c>
      <c r="T158" s="257">
        <f t="shared" si="4"/>
        <v>0</v>
      </c>
      <c r="U158" s="257">
        <f t="shared" si="5"/>
        <v>0</v>
      </c>
      <c r="V158">
        <v>0</v>
      </c>
      <c r="W158">
        <v>0</v>
      </c>
    </row>
    <row r="159" spans="1:23" ht="58.2" x14ac:dyDescent="0.3">
      <c r="A159" s="212">
        <v>37378</v>
      </c>
      <c r="B159" s="212">
        <v>37378</v>
      </c>
      <c r="C159" s="6">
        <v>5</v>
      </c>
      <c r="D159" s="6">
        <v>1</v>
      </c>
      <c r="E159" s="6">
        <v>2002</v>
      </c>
      <c r="F159" s="15" t="s">
        <v>22</v>
      </c>
      <c r="G159" s="16" t="s">
        <v>23</v>
      </c>
      <c r="H159" s="9" t="s">
        <v>84</v>
      </c>
      <c r="I159" s="34" t="s">
        <v>95</v>
      </c>
      <c r="J159" s="39" t="s">
        <v>279</v>
      </c>
      <c r="K159" s="44">
        <v>0</v>
      </c>
      <c r="L159" s="233">
        <v>0</v>
      </c>
      <c r="M159" s="13">
        <v>0</v>
      </c>
      <c r="N159" s="44">
        <v>0</v>
      </c>
      <c r="O159" s="44">
        <v>0</v>
      </c>
      <c r="P159" s="44">
        <v>0</v>
      </c>
      <c r="Q159" s="44">
        <v>0</v>
      </c>
      <c r="R159" s="26">
        <v>20</v>
      </c>
      <c r="S159" s="7" t="s">
        <v>115</v>
      </c>
      <c r="T159" s="257">
        <f t="shared" si="4"/>
        <v>0</v>
      </c>
      <c r="U159" s="257">
        <f t="shared" si="5"/>
        <v>0</v>
      </c>
      <c r="V159">
        <v>0</v>
      </c>
      <c r="W159">
        <v>0</v>
      </c>
    </row>
    <row r="160" spans="1:23" ht="24" x14ac:dyDescent="0.3">
      <c r="A160" s="212">
        <v>37380</v>
      </c>
      <c r="B160" s="212">
        <v>37380</v>
      </c>
      <c r="C160" s="6">
        <v>5</v>
      </c>
      <c r="D160" s="6">
        <v>1</v>
      </c>
      <c r="E160" s="6">
        <v>2002</v>
      </c>
      <c r="F160" s="15" t="s">
        <v>22</v>
      </c>
      <c r="G160" s="16" t="s">
        <v>23</v>
      </c>
      <c r="H160" s="9" t="s">
        <v>37</v>
      </c>
      <c r="I160" s="34" t="s">
        <v>95</v>
      </c>
      <c r="J160" s="39" t="s">
        <v>280</v>
      </c>
      <c r="K160" s="44">
        <v>0</v>
      </c>
      <c r="L160" s="233">
        <v>0</v>
      </c>
      <c r="M160" s="13">
        <v>0</v>
      </c>
      <c r="N160" s="44">
        <v>0</v>
      </c>
      <c r="O160" s="44">
        <v>0</v>
      </c>
      <c r="P160" s="44">
        <v>0</v>
      </c>
      <c r="Q160" s="44">
        <v>0</v>
      </c>
      <c r="R160" s="26">
        <v>5.5</v>
      </c>
      <c r="S160" s="7" t="s">
        <v>115</v>
      </c>
      <c r="T160" s="257">
        <f t="shared" si="4"/>
        <v>0</v>
      </c>
      <c r="U160" s="257">
        <f t="shared" si="5"/>
        <v>0</v>
      </c>
      <c r="V160">
        <v>0</v>
      </c>
      <c r="W160">
        <v>0</v>
      </c>
    </row>
    <row r="161" spans="1:23" x14ac:dyDescent="0.3">
      <c r="A161" s="212">
        <v>37408</v>
      </c>
      <c r="B161" s="212">
        <v>37408</v>
      </c>
      <c r="C161" s="6">
        <v>6</v>
      </c>
      <c r="D161" s="6">
        <v>1</v>
      </c>
      <c r="E161" s="6">
        <v>2002</v>
      </c>
      <c r="F161" s="15" t="s">
        <v>22</v>
      </c>
      <c r="G161" s="16" t="s">
        <v>23</v>
      </c>
      <c r="H161" s="9" t="s">
        <v>88</v>
      </c>
      <c r="I161" s="34" t="s">
        <v>95</v>
      </c>
      <c r="J161" s="39" t="s">
        <v>281</v>
      </c>
      <c r="K161" s="44">
        <v>0</v>
      </c>
      <c r="L161" s="233">
        <v>0</v>
      </c>
      <c r="M161" s="13">
        <v>0</v>
      </c>
      <c r="N161" s="44">
        <v>0</v>
      </c>
      <c r="O161" s="44">
        <v>0</v>
      </c>
      <c r="P161" s="44">
        <v>0</v>
      </c>
      <c r="Q161" s="44">
        <v>0</v>
      </c>
      <c r="R161" s="26">
        <v>100</v>
      </c>
      <c r="S161" s="7" t="s">
        <v>115</v>
      </c>
      <c r="T161" s="257">
        <f t="shared" si="4"/>
        <v>0</v>
      </c>
      <c r="U161" s="257">
        <f t="shared" si="5"/>
        <v>0</v>
      </c>
      <c r="V161">
        <v>0</v>
      </c>
      <c r="W161">
        <v>0</v>
      </c>
    </row>
    <row r="162" spans="1:23" x14ac:dyDescent="0.3">
      <c r="A162" s="212">
        <v>37414</v>
      </c>
      <c r="B162" s="212">
        <v>37414</v>
      </c>
      <c r="C162" s="6">
        <v>6</v>
      </c>
      <c r="D162" s="6">
        <v>1</v>
      </c>
      <c r="E162" s="6">
        <v>2002</v>
      </c>
      <c r="F162" s="15" t="s">
        <v>22</v>
      </c>
      <c r="G162" s="16" t="s">
        <v>23</v>
      </c>
      <c r="H162" s="9" t="s">
        <v>78</v>
      </c>
      <c r="I162" s="34" t="s">
        <v>95</v>
      </c>
      <c r="J162" s="39" t="s">
        <v>282</v>
      </c>
      <c r="K162" s="44">
        <v>0</v>
      </c>
      <c r="L162" s="233">
        <v>0</v>
      </c>
      <c r="M162" s="13">
        <v>0</v>
      </c>
      <c r="N162" s="44">
        <v>0</v>
      </c>
      <c r="O162" s="44">
        <v>0</v>
      </c>
      <c r="P162" s="44">
        <v>0</v>
      </c>
      <c r="Q162" s="44">
        <v>0</v>
      </c>
      <c r="R162" s="26">
        <v>1.8</v>
      </c>
      <c r="S162" s="7" t="s">
        <v>115</v>
      </c>
      <c r="T162" s="257">
        <f t="shared" si="4"/>
        <v>0</v>
      </c>
      <c r="U162" s="257">
        <f t="shared" si="5"/>
        <v>0</v>
      </c>
      <c r="V162">
        <v>0</v>
      </c>
      <c r="W162">
        <v>0</v>
      </c>
    </row>
    <row r="163" spans="1:23" x14ac:dyDescent="0.3">
      <c r="A163" s="212">
        <v>37412</v>
      </c>
      <c r="B163" s="212">
        <v>37412</v>
      </c>
      <c r="C163" s="6">
        <v>6</v>
      </c>
      <c r="D163" s="6">
        <v>1</v>
      </c>
      <c r="E163" s="6">
        <v>2002</v>
      </c>
      <c r="F163" s="15" t="s">
        <v>22</v>
      </c>
      <c r="G163" s="16" t="s">
        <v>23</v>
      </c>
      <c r="H163" s="9" t="s">
        <v>64</v>
      </c>
      <c r="I163" s="34" t="s">
        <v>25</v>
      </c>
      <c r="J163" s="39" t="s">
        <v>283</v>
      </c>
      <c r="K163" s="44">
        <v>0</v>
      </c>
      <c r="L163" s="233">
        <v>0</v>
      </c>
      <c r="M163" s="13">
        <v>0</v>
      </c>
      <c r="N163" s="44">
        <v>0</v>
      </c>
      <c r="O163" s="44">
        <v>0</v>
      </c>
      <c r="P163" s="44">
        <v>0</v>
      </c>
      <c r="Q163" s="44">
        <v>0</v>
      </c>
      <c r="R163" s="26">
        <v>12.7</v>
      </c>
      <c r="S163" s="7" t="s">
        <v>115</v>
      </c>
      <c r="T163" s="257">
        <f t="shared" si="4"/>
        <v>0</v>
      </c>
      <c r="U163" s="257">
        <f t="shared" si="5"/>
        <v>0</v>
      </c>
      <c r="V163">
        <v>0</v>
      </c>
      <c r="W163">
        <v>0</v>
      </c>
    </row>
    <row r="164" spans="1:23" x14ac:dyDescent="0.3">
      <c r="A164" s="212">
        <v>37412</v>
      </c>
      <c r="B164" s="212">
        <v>37412</v>
      </c>
      <c r="C164" s="6">
        <v>6</v>
      </c>
      <c r="D164" s="6">
        <v>1</v>
      </c>
      <c r="E164" s="6">
        <v>2002</v>
      </c>
      <c r="F164" s="15" t="s">
        <v>22</v>
      </c>
      <c r="G164" s="16" t="s">
        <v>23</v>
      </c>
      <c r="H164" s="9" t="s">
        <v>70</v>
      </c>
      <c r="I164" s="34" t="s">
        <v>95</v>
      </c>
      <c r="J164" s="39" t="s">
        <v>125</v>
      </c>
      <c r="K164" s="44">
        <v>0</v>
      </c>
      <c r="L164" s="233">
        <v>0</v>
      </c>
      <c r="M164" s="13">
        <v>0</v>
      </c>
      <c r="N164" s="44">
        <v>0</v>
      </c>
      <c r="O164" s="44">
        <v>0</v>
      </c>
      <c r="P164" s="44">
        <v>0</v>
      </c>
      <c r="Q164" s="44">
        <v>0</v>
      </c>
      <c r="R164" s="26">
        <v>12</v>
      </c>
      <c r="S164" s="7" t="s">
        <v>115</v>
      </c>
      <c r="T164" s="257">
        <f t="shared" si="4"/>
        <v>0</v>
      </c>
      <c r="U164" s="257">
        <f t="shared" si="5"/>
        <v>0</v>
      </c>
      <c r="V164">
        <v>0</v>
      </c>
      <c r="W164">
        <v>0</v>
      </c>
    </row>
    <row r="165" spans="1:23" ht="24" x14ac:dyDescent="0.3">
      <c r="A165" s="212">
        <v>37412</v>
      </c>
      <c r="B165" s="212">
        <v>37412</v>
      </c>
      <c r="C165" s="6">
        <v>6</v>
      </c>
      <c r="D165" s="6">
        <v>1</v>
      </c>
      <c r="E165" s="6">
        <v>2002</v>
      </c>
      <c r="F165" s="15" t="s">
        <v>22</v>
      </c>
      <c r="G165" s="16" t="s">
        <v>23</v>
      </c>
      <c r="H165" s="9" t="s">
        <v>72</v>
      </c>
      <c r="I165" s="34" t="s">
        <v>95</v>
      </c>
      <c r="J165" s="39" t="s">
        <v>284</v>
      </c>
      <c r="K165" s="44">
        <v>0</v>
      </c>
      <c r="L165" s="233">
        <v>52000</v>
      </c>
      <c r="M165" s="13">
        <v>0</v>
      </c>
      <c r="N165" s="44">
        <v>0</v>
      </c>
      <c r="O165" s="44">
        <v>0</v>
      </c>
      <c r="P165" s="44">
        <v>0</v>
      </c>
      <c r="Q165" s="44">
        <v>0</v>
      </c>
      <c r="R165" s="26">
        <v>65</v>
      </c>
      <c r="S165" s="7" t="s">
        <v>115</v>
      </c>
      <c r="T165" s="257">
        <f t="shared" si="4"/>
        <v>52000</v>
      </c>
      <c r="U165" s="257">
        <f t="shared" si="5"/>
        <v>0</v>
      </c>
      <c r="V165">
        <v>2</v>
      </c>
      <c r="W165">
        <v>0</v>
      </c>
    </row>
    <row r="166" spans="1:23" x14ac:dyDescent="0.3">
      <c r="A166" s="212">
        <v>37257</v>
      </c>
      <c r="B166" s="212">
        <v>37621</v>
      </c>
      <c r="C166" s="6">
        <v>1</v>
      </c>
      <c r="D166" s="6">
        <v>365</v>
      </c>
      <c r="E166" s="6">
        <v>2002</v>
      </c>
      <c r="F166" s="15" t="s">
        <v>22</v>
      </c>
      <c r="G166" s="18" t="s">
        <v>6255</v>
      </c>
      <c r="H166" s="9" t="s">
        <v>34</v>
      </c>
      <c r="I166" s="34" t="s">
        <v>25</v>
      </c>
      <c r="J166" s="39" t="s">
        <v>125</v>
      </c>
      <c r="K166" s="6">
        <v>8</v>
      </c>
      <c r="L166" s="233">
        <v>0</v>
      </c>
      <c r="M166" s="13">
        <v>0</v>
      </c>
      <c r="N166" s="44">
        <v>0</v>
      </c>
      <c r="O166" s="44">
        <v>0</v>
      </c>
      <c r="P166" s="44">
        <v>0</v>
      </c>
      <c r="Q166" s="44">
        <v>0</v>
      </c>
      <c r="R166" s="45">
        <v>0</v>
      </c>
      <c r="S166" s="7" t="s">
        <v>115</v>
      </c>
      <c r="T166" s="257">
        <f t="shared" si="4"/>
        <v>8</v>
      </c>
      <c r="U166" s="257">
        <f t="shared" si="5"/>
        <v>0</v>
      </c>
      <c r="V166">
        <v>1</v>
      </c>
      <c r="W166">
        <v>0</v>
      </c>
    </row>
    <row r="167" spans="1:23" x14ac:dyDescent="0.3">
      <c r="A167" s="212">
        <v>37257</v>
      </c>
      <c r="B167" s="212">
        <v>37621</v>
      </c>
      <c r="C167" s="6">
        <v>1</v>
      </c>
      <c r="D167" s="6">
        <v>365</v>
      </c>
      <c r="E167" s="6">
        <v>2002</v>
      </c>
      <c r="F167" s="15" t="s">
        <v>22</v>
      </c>
      <c r="G167" s="18" t="s">
        <v>6255</v>
      </c>
      <c r="H167" s="9" t="s">
        <v>37</v>
      </c>
      <c r="I167" s="34" t="s">
        <v>25</v>
      </c>
      <c r="J167" s="39" t="s">
        <v>125</v>
      </c>
      <c r="K167" s="6">
        <v>1</v>
      </c>
      <c r="L167" s="233">
        <v>0</v>
      </c>
      <c r="M167" s="13">
        <v>0</v>
      </c>
      <c r="N167" s="44">
        <v>0</v>
      </c>
      <c r="O167" s="44">
        <v>0</v>
      </c>
      <c r="P167" s="44">
        <v>0</v>
      </c>
      <c r="Q167" s="44">
        <v>0</v>
      </c>
      <c r="R167" s="45">
        <v>0</v>
      </c>
      <c r="S167" s="7" t="s">
        <v>115</v>
      </c>
      <c r="T167" s="257">
        <f t="shared" si="4"/>
        <v>1</v>
      </c>
      <c r="U167" s="257">
        <f t="shared" si="5"/>
        <v>0</v>
      </c>
      <c r="V167">
        <v>1</v>
      </c>
      <c r="W167">
        <v>0</v>
      </c>
    </row>
    <row r="168" spans="1:23" x14ac:dyDescent="0.3">
      <c r="A168" s="212">
        <v>37257</v>
      </c>
      <c r="B168" s="212">
        <v>37621</v>
      </c>
      <c r="C168" s="6">
        <v>1</v>
      </c>
      <c r="D168" s="6">
        <v>365</v>
      </c>
      <c r="E168" s="6">
        <v>2002</v>
      </c>
      <c r="F168" s="15" t="s">
        <v>22</v>
      </c>
      <c r="G168" s="18" t="s">
        <v>6255</v>
      </c>
      <c r="H168" s="9" t="s">
        <v>112</v>
      </c>
      <c r="I168" s="34" t="s">
        <v>25</v>
      </c>
      <c r="J168" s="39" t="s">
        <v>125</v>
      </c>
      <c r="K168" s="44">
        <v>0</v>
      </c>
      <c r="L168" s="233">
        <v>0</v>
      </c>
      <c r="M168" s="13">
        <v>0</v>
      </c>
      <c r="N168" s="44">
        <v>0</v>
      </c>
      <c r="O168" s="44">
        <v>0</v>
      </c>
      <c r="P168" s="44">
        <v>0</v>
      </c>
      <c r="Q168" s="44">
        <v>0</v>
      </c>
      <c r="R168" s="45">
        <v>0</v>
      </c>
      <c r="S168" s="7" t="s">
        <v>115</v>
      </c>
      <c r="T168" s="257">
        <f t="shared" si="4"/>
        <v>0</v>
      </c>
      <c r="U168" s="257">
        <f t="shared" si="5"/>
        <v>0</v>
      </c>
      <c r="V168">
        <v>0</v>
      </c>
      <c r="W168">
        <v>0</v>
      </c>
    </row>
    <row r="169" spans="1:23" x14ac:dyDescent="0.3">
      <c r="A169" s="212">
        <v>37257</v>
      </c>
      <c r="B169" s="212">
        <v>37621</v>
      </c>
      <c r="C169" s="6">
        <v>1</v>
      </c>
      <c r="D169" s="6">
        <v>365</v>
      </c>
      <c r="E169" s="6">
        <v>2002</v>
      </c>
      <c r="F169" s="15" t="s">
        <v>22</v>
      </c>
      <c r="G169" s="18" t="s">
        <v>6255</v>
      </c>
      <c r="H169" s="9" t="s">
        <v>78</v>
      </c>
      <c r="I169" s="34" t="s">
        <v>25</v>
      </c>
      <c r="J169" s="39" t="s">
        <v>125</v>
      </c>
      <c r="K169" s="6">
        <v>5</v>
      </c>
      <c r="L169" s="233">
        <v>0</v>
      </c>
      <c r="M169" s="13">
        <v>0</v>
      </c>
      <c r="N169" s="44">
        <v>0</v>
      </c>
      <c r="O169" s="44">
        <v>0</v>
      </c>
      <c r="P169" s="44">
        <v>0</v>
      </c>
      <c r="Q169" s="44">
        <v>0</v>
      </c>
      <c r="R169" s="45">
        <v>0</v>
      </c>
      <c r="S169" s="7" t="s">
        <v>115</v>
      </c>
      <c r="T169" s="257">
        <f t="shared" si="4"/>
        <v>5</v>
      </c>
      <c r="U169" s="257">
        <f t="shared" si="5"/>
        <v>0</v>
      </c>
      <c r="V169">
        <v>1</v>
      </c>
      <c r="W169">
        <v>0</v>
      </c>
    </row>
    <row r="170" spans="1:23" x14ac:dyDescent="0.3">
      <c r="A170" s="212">
        <v>37257</v>
      </c>
      <c r="B170" s="212">
        <v>37621</v>
      </c>
      <c r="C170" s="6">
        <v>1</v>
      </c>
      <c r="D170" s="6">
        <v>365</v>
      </c>
      <c r="E170" s="6">
        <v>2002</v>
      </c>
      <c r="F170" s="15" t="s">
        <v>22</v>
      </c>
      <c r="G170" s="18" t="s">
        <v>6255</v>
      </c>
      <c r="H170" s="9" t="s">
        <v>27</v>
      </c>
      <c r="I170" s="34" t="s">
        <v>25</v>
      </c>
      <c r="J170" s="39" t="s">
        <v>125</v>
      </c>
      <c r="K170" s="6">
        <v>14</v>
      </c>
      <c r="L170" s="233">
        <v>0</v>
      </c>
      <c r="M170" s="13">
        <v>0</v>
      </c>
      <c r="N170" s="44">
        <v>0</v>
      </c>
      <c r="O170" s="44">
        <v>0</v>
      </c>
      <c r="P170" s="44">
        <v>0</v>
      </c>
      <c r="Q170" s="44">
        <v>0</v>
      </c>
      <c r="R170" s="45">
        <v>0</v>
      </c>
      <c r="S170" s="7" t="s">
        <v>115</v>
      </c>
      <c r="T170" s="257">
        <f t="shared" si="4"/>
        <v>14</v>
      </c>
      <c r="U170" s="257">
        <f t="shared" si="5"/>
        <v>0</v>
      </c>
      <c r="V170">
        <v>1</v>
      </c>
      <c r="W170">
        <v>0</v>
      </c>
    </row>
    <row r="171" spans="1:23" x14ac:dyDescent="0.3">
      <c r="A171" s="212">
        <v>37257</v>
      </c>
      <c r="B171" s="212">
        <v>37621</v>
      </c>
      <c r="C171" s="6">
        <v>1</v>
      </c>
      <c r="D171" s="6">
        <v>365</v>
      </c>
      <c r="E171" s="6">
        <v>2002</v>
      </c>
      <c r="F171" s="15" t="s">
        <v>22</v>
      </c>
      <c r="G171" s="18" t="s">
        <v>6255</v>
      </c>
      <c r="H171" s="9" t="s">
        <v>174</v>
      </c>
      <c r="I171" s="34" t="s">
        <v>25</v>
      </c>
      <c r="J171" s="39" t="s">
        <v>125</v>
      </c>
      <c r="K171" s="6">
        <v>1</v>
      </c>
      <c r="L171" s="233">
        <v>0</v>
      </c>
      <c r="M171" s="13">
        <v>0</v>
      </c>
      <c r="N171" s="44">
        <v>0</v>
      </c>
      <c r="O171" s="44">
        <v>0</v>
      </c>
      <c r="P171" s="44">
        <v>0</v>
      </c>
      <c r="Q171" s="44">
        <v>0</v>
      </c>
      <c r="R171" s="45">
        <v>0</v>
      </c>
      <c r="S171" s="7" t="s">
        <v>115</v>
      </c>
      <c r="T171" s="257">
        <f t="shared" si="4"/>
        <v>1</v>
      </c>
      <c r="U171" s="257">
        <f t="shared" si="5"/>
        <v>0</v>
      </c>
      <c r="V171">
        <v>1</v>
      </c>
      <c r="W171">
        <v>0</v>
      </c>
    </row>
    <row r="172" spans="1:23" x14ac:dyDescent="0.3">
      <c r="A172" s="212">
        <v>37257</v>
      </c>
      <c r="B172" s="212">
        <v>37621</v>
      </c>
      <c r="C172" s="6">
        <v>1</v>
      </c>
      <c r="D172" s="6">
        <v>365</v>
      </c>
      <c r="E172" s="6">
        <v>2002</v>
      </c>
      <c r="F172" s="15" t="s">
        <v>22</v>
      </c>
      <c r="G172" s="18" t="s">
        <v>6255</v>
      </c>
      <c r="H172" s="9" t="s">
        <v>74</v>
      </c>
      <c r="I172" s="34" t="s">
        <v>25</v>
      </c>
      <c r="J172" s="39" t="s">
        <v>125</v>
      </c>
      <c r="K172" s="6">
        <v>1</v>
      </c>
      <c r="L172" s="233">
        <v>0</v>
      </c>
      <c r="M172" s="13">
        <v>0</v>
      </c>
      <c r="N172" s="44">
        <v>0</v>
      </c>
      <c r="O172" s="44">
        <v>0</v>
      </c>
      <c r="P172" s="44">
        <v>0</v>
      </c>
      <c r="Q172" s="44">
        <v>0</v>
      </c>
      <c r="R172" s="45">
        <v>0</v>
      </c>
      <c r="S172" s="7" t="s">
        <v>115</v>
      </c>
      <c r="T172" s="257">
        <f t="shared" si="4"/>
        <v>1</v>
      </c>
      <c r="U172" s="257">
        <f t="shared" si="5"/>
        <v>0</v>
      </c>
      <c r="V172">
        <v>1</v>
      </c>
      <c r="W172">
        <v>0</v>
      </c>
    </row>
    <row r="173" spans="1:23" x14ac:dyDescent="0.3">
      <c r="A173" s="212">
        <v>37257</v>
      </c>
      <c r="B173" s="212">
        <v>37621</v>
      </c>
      <c r="C173" s="6">
        <v>1</v>
      </c>
      <c r="D173" s="6">
        <v>365</v>
      </c>
      <c r="E173" s="6">
        <v>2002</v>
      </c>
      <c r="F173" s="15" t="s">
        <v>22</v>
      </c>
      <c r="G173" s="18" t="s">
        <v>6255</v>
      </c>
      <c r="H173" s="9" t="s">
        <v>52</v>
      </c>
      <c r="I173" s="34" t="s">
        <v>25</v>
      </c>
      <c r="J173" s="39" t="s">
        <v>125</v>
      </c>
      <c r="K173" s="13">
        <v>3</v>
      </c>
      <c r="L173" s="233">
        <v>50</v>
      </c>
      <c r="M173" s="13">
        <v>0</v>
      </c>
      <c r="N173" s="44">
        <v>0</v>
      </c>
      <c r="O173" s="44">
        <v>0</v>
      </c>
      <c r="P173" s="44">
        <v>0</v>
      </c>
      <c r="Q173" s="44">
        <v>0</v>
      </c>
      <c r="R173" s="45">
        <v>0</v>
      </c>
      <c r="S173" s="7" t="s">
        <v>115</v>
      </c>
      <c r="T173" s="257">
        <f t="shared" si="4"/>
        <v>53</v>
      </c>
      <c r="U173" s="257">
        <f t="shared" si="5"/>
        <v>0</v>
      </c>
      <c r="V173">
        <v>1</v>
      </c>
      <c r="W173">
        <v>0</v>
      </c>
    </row>
    <row r="174" spans="1:23" x14ac:dyDescent="0.3">
      <c r="A174" s="212">
        <v>37257</v>
      </c>
      <c r="B174" s="212">
        <v>37621</v>
      </c>
      <c r="C174" s="6">
        <v>1</v>
      </c>
      <c r="D174" s="6">
        <v>365</v>
      </c>
      <c r="E174" s="6">
        <v>2002</v>
      </c>
      <c r="F174" s="15" t="s">
        <v>22</v>
      </c>
      <c r="G174" s="18" t="s">
        <v>6255</v>
      </c>
      <c r="H174" s="9" t="s">
        <v>174</v>
      </c>
      <c r="I174" s="34" t="s">
        <v>25</v>
      </c>
      <c r="J174" s="39" t="s">
        <v>125</v>
      </c>
      <c r="K174" s="6">
        <v>1</v>
      </c>
      <c r="L174" s="233">
        <v>0</v>
      </c>
      <c r="M174" s="13">
        <v>0</v>
      </c>
      <c r="N174" s="44">
        <v>0</v>
      </c>
      <c r="O174" s="44">
        <v>0</v>
      </c>
      <c r="P174" s="44">
        <v>0</v>
      </c>
      <c r="Q174" s="44">
        <v>0</v>
      </c>
      <c r="R174" s="45">
        <v>0</v>
      </c>
      <c r="S174" s="7" t="s">
        <v>115</v>
      </c>
      <c r="T174" s="257">
        <f t="shared" si="4"/>
        <v>1</v>
      </c>
      <c r="U174" s="257">
        <f t="shared" si="5"/>
        <v>0</v>
      </c>
      <c r="V174">
        <v>1</v>
      </c>
      <c r="W174">
        <v>0</v>
      </c>
    </row>
    <row r="175" spans="1:23" x14ac:dyDescent="0.3">
      <c r="A175" s="212">
        <v>37257</v>
      </c>
      <c r="B175" s="212">
        <v>37621</v>
      </c>
      <c r="C175" s="6">
        <v>1</v>
      </c>
      <c r="D175" s="6">
        <v>365</v>
      </c>
      <c r="E175" s="6">
        <v>2002</v>
      </c>
      <c r="F175" s="15" t="s">
        <v>22</v>
      </c>
      <c r="G175" s="18" t="s">
        <v>6255</v>
      </c>
      <c r="H175" s="9" t="s">
        <v>43</v>
      </c>
      <c r="I175" s="34" t="s">
        <v>25</v>
      </c>
      <c r="J175" s="39" t="s">
        <v>125</v>
      </c>
      <c r="K175" s="44">
        <v>0</v>
      </c>
      <c r="L175" s="233">
        <v>0</v>
      </c>
      <c r="M175" s="13">
        <v>500</v>
      </c>
      <c r="N175" s="44">
        <v>0</v>
      </c>
      <c r="O175" s="44">
        <v>0</v>
      </c>
      <c r="P175" s="44">
        <v>0</v>
      </c>
      <c r="Q175" s="44">
        <v>0</v>
      </c>
      <c r="R175" s="26">
        <v>5</v>
      </c>
      <c r="S175" s="7" t="s">
        <v>115</v>
      </c>
      <c r="T175" s="257">
        <f t="shared" si="4"/>
        <v>0</v>
      </c>
      <c r="U175" s="257">
        <f t="shared" si="5"/>
        <v>500</v>
      </c>
      <c r="V175">
        <v>0</v>
      </c>
      <c r="W175">
        <v>1</v>
      </c>
    </row>
    <row r="176" spans="1:23" ht="69.599999999999994" x14ac:dyDescent="0.3">
      <c r="A176" s="212">
        <v>37257</v>
      </c>
      <c r="B176" s="212">
        <v>37621</v>
      </c>
      <c r="C176" s="6">
        <v>1</v>
      </c>
      <c r="D176" s="6">
        <v>365</v>
      </c>
      <c r="E176" s="6">
        <v>2002</v>
      </c>
      <c r="F176" s="15" t="s">
        <v>22</v>
      </c>
      <c r="G176" s="18" t="s">
        <v>6255</v>
      </c>
      <c r="H176" s="9" t="s">
        <v>52</v>
      </c>
      <c r="I176" s="34" t="s">
        <v>25</v>
      </c>
      <c r="J176" s="39" t="s">
        <v>285</v>
      </c>
      <c r="K176" s="13">
        <v>1</v>
      </c>
      <c r="L176" s="233">
        <v>0</v>
      </c>
      <c r="M176" s="13">
        <v>0</v>
      </c>
      <c r="N176" s="44">
        <v>0</v>
      </c>
      <c r="O176" s="44">
        <v>0</v>
      </c>
      <c r="P176" s="44">
        <v>0</v>
      </c>
      <c r="Q176" s="44">
        <v>0</v>
      </c>
      <c r="R176" s="26">
        <v>1.6</v>
      </c>
      <c r="S176" s="7" t="s">
        <v>115</v>
      </c>
      <c r="T176" s="257">
        <f t="shared" si="4"/>
        <v>1</v>
      </c>
      <c r="U176" s="257">
        <f t="shared" si="5"/>
        <v>0</v>
      </c>
      <c r="V176">
        <v>1</v>
      </c>
      <c r="W176">
        <v>0</v>
      </c>
    </row>
    <row r="177" spans="1:23" x14ac:dyDescent="0.3">
      <c r="A177" s="212">
        <v>37257</v>
      </c>
      <c r="B177" s="212">
        <v>37621</v>
      </c>
      <c r="C177" s="6">
        <v>1</v>
      </c>
      <c r="D177" s="6">
        <v>365</v>
      </c>
      <c r="E177" s="6">
        <v>2002</v>
      </c>
      <c r="F177" s="15" t="s">
        <v>22</v>
      </c>
      <c r="G177" s="18" t="s">
        <v>6255</v>
      </c>
      <c r="H177" s="9" t="s">
        <v>74</v>
      </c>
      <c r="I177" s="34" t="s">
        <v>25</v>
      </c>
      <c r="J177" s="39" t="s">
        <v>125</v>
      </c>
      <c r="K177" s="13">
        <v>1</v>
      </c>
      <c r="L177" s="233">
        <v>0</v>
      </c>
      <c r="M177" s="13">
        <v>0</v>
      </c>
      <c r="N177" s="44">
        <v>0</v>
      </c>
      <c r="O177" s="44">
        <v>0</v>
      </c>
      <c r="P177" s="44">
        <v>0</v>
      </c>
      <c r="Q177" s="44">
        <v>0</v>
      </c>
      <c r="R177" s="45">
        <v>0</v>
      </c>
      <c r="S177" s="7" t="s">
        <v>115</v>
      </c>
      <c r="T177" s="257">
        <f t="shared" si="4"/>
        <v>1</v>
      </c>
      <c r="U177" s="257">
        <f t="shared" si="5"/>
        <v>0</v>
      </c>
      <c r="V177">
        <v>1</v>
      </c>
      <c r="W177">
        <v>0</v>
      </c>
    </row>
    <row r="178" spans="1:23" x14ac:dyDescent="0.3">
      <c r="A178" s="212">
        <v>37257</v>
      </c>
      <c r="B178" s="212">
        <v>37621</v>
      </c>
      <c r="C178" s="6">
        <v>1</v>
      </c>
      <c r="D178" s="6">
        <v>365</v>
      </c>
      <c r="E178" s="6">
        <v>2002</v>
      </c>
      <c r="F178" s="15" t="s">
        <v>22</v>
      </c>
      <c r="G178" s="18" t="s">
        <v>6255</v>
      </c>
      <c r="H178" s="9" t="s">
        <v>43</v>
      </c>
      <c r="I178" s="34" t="s">
        <v>25</v>
      </c>
      <c r="J178" s="39" t="s">
        <v>125</v>
      </c>
      <c r="K178" s="13">
        <v>1</v>
      </c>
      <c r="L178" s="233">
        <v>0</v>
      </c>
      <c r="M178" s="13">
        <v>0</v>
      </c>
      <c r="N178" s="44">
        <v>0</v>
      </c>
      <c r="O178" s="44">
        <v>0</v>
      </c>
      <c r="P178" s="44">
        <v>0</v>
      </c>
      <c r="Q178" s="44">
        <v>0</v>
      </c>
      <c r="R178" s="45">
        <v>0</v>
      </c>
      <c r="S178" s="7" t="s">
        <v>115</v>
      </c>
      <c r="T178" s="257">
        <f t="shared" si="4"/>
        <v>1</v>
      </c>
      <c r="U178" s="257">
        <f t="shared" si="5"/>
        <v>0</v>
      </c>
      <c r="V178">
        <v>1</v>
      </c>
      <c r="W178">
        <v>0</v>
      </c>
    </row>
    <row r="179" spans="1:23" x14ac:dyDescent="0.3">
      <c r="A179" s="212">
        <v>37257</v>
      </c>
      <c r="B179" s="212">
        <v>37621</v>
      </c>
      <c r="C179" s="6">
        <v>1</v>
      </c>
      <c r="D179" s="6">
        <v>365</v>
      </c>
      <c r="E179" s="6">
        <v>2002</v>
      </c>
      <c r="F179" s="15" t="s">
        <v>22</v>
      </c>
      <c r="G179" s="18" t="s">
        <v>6255</v>
      </c>
      <c r="H179" s="9" t="s">
        <v>34</v>
      </c>
      <c r="I179" s="34" t="s">
        <v>25</v>
      </c>
      <c r="J179" s="39" t="s">
        <v>125</v>
      </c>
      <c r="K179" s="13">
        <v>16</v>
      </c>
      <c r="L179" s="233">
        <v>321</v>
      </c>
      <c r="M179" s="13">
        <v>0</v>
      </c>
      <c r="N179" s="44">
        <v>0</v>
      </c>
      <c r="O179" s="44">
        <v>0</v>
      </c>
      <c r="P179" s="44">
        <v>0</v>
      </c>
      <c r="Q179" s="44">
        <v>0</v>
      </c>
      <c r="R179" s="45">
        <v>0</v>
      </c>
      <c r="S179" s="7" t="s">
        <v>115</v>
      </c>
      <c r="T179" s="257">
        <f t="shared" si="4"/>
        <v>337</v>
      </c>
      <c r="U179" s="257">
        <f t="shared" si="5"/>
        <v>0</v>
      </c>
      <c r="V179">
        <v>1</v>
      </c>
      <c r="W179">
        <v>0</v>
      </c>
    </row>
    <row r="180" spans="1:23" x14ac:dyDescent="0.3">
      <c r="A180" s="212">
        <v>37257</v>
      </c>
      <c r="B180" s="212">
        <v>37621</v>
      </c>
      <c r="C180" s="6">
        <v>1</v>
      </c>
      <c r="D180" s="6">
        <v>365</v>
      </c>
      <c r="E180" s="6">
        <v>2002</v>
      </c>
      <c r="F180" s="15" t="s">
        <v>22</v>
      </c>
      <c r="G180" s="18" t="s">
        <v>6255</v>
      </c>
      <c r="H180" s="9" t="s">
        <v>43</v>
      </c>
      <c r="I180" s="34" t="s">
        <v>25</v>
      </c>
      <c r="J180" s="39" t="s">
        <v>125</v>
      </c>
      <c r="K180" s="13">
        <v>3</v>
      </c>
      <c r="L180" s="233">
        <v>0</v>
      </c>
      <c r="M180" s="13">
        <v>0</v>
      </c>
      <c r="N180" s="44">
        <v>0</v>
      </c>
      <c r="O180" s="44">
        <v>0</v>
      </c>
      <c r="P180" s="44">
        <v>0</v>
      </c>
      <c r="Q180" s="44">
        <v>0</v>
      </c>
      <c r="R180" s="45">
        <v>0</v>
      </c>
      <c r="S180" s="7" t="s">
        <v>115</v>
      </c>
      <c r="T180" s="257">
        <f t="shared" si="4"/>
        <v>3</v>
      </c>
      <c r="U180" s="257">
        <f t="shared" si="5"/>
        <v>0</v>
      </c>
      <c r="V180">
        <v>1</v>
      </c>
      <c r="W180">
        <v>0</v>
      </c>
    </row>
    <row r="181" spans="1:23" x14ac:dyDescent="0.3">
      <c r="A181" s="212">
        <v>37257</v>
      </c>
      <c r="B181" s="212">
        <v>37621</v>
      </c>
      <c r="C181" s="6">
        <v>1</v>
      </c>
      <c r="D181" s="6">
        <v>365</v>
      </c>
      <c r="E181" s="6">
        <v>2002</v>
      </c>
      <c r="F181" s="15" t="s">
        <v>22</v>
      </c>
      <c r="G181" s="18" t="s">
        <v>6255</v>
      </c>
      <c r="H181" s="9" t="s">
        <v>57</v>
      </c>
      <c r="I181" s="34" t="s">
        <v>25</v>
      </c>
      <c r="J181" s="39" t="s">
        <v>125</v>
      </c>
      <c r="K181" s="13">
        <v>1</v>
      </c>
      <c r="L181" s="233">
        <v>0</v>
      </c>
      <c r="M181" s="13">
        <v>0</v>
      </c>
      <c r="N181" s="44">
        <v>0</v>
      </c>
      <c r="O181" s="44">
        <v>0</v>
      </c>
      <c r="P181" s="44">
        <v>0</v>
      </c>
      <c r="Q181" s="44">
        <v>0</v>
      </c>
      <c r="R181" s="45">
        <v>0</v>
      </c>
      <c r="S181" s="7" t="s">
        <v>115</v>
      </c>
      <c r="T181" s="257">
        <f t="shared" si="4"/>
        <v>1</v>
      </c>
      <c r="U181" s="257">
        <f t="shared" si="5"/>
        <v>0</v>
      </c>
      <c r="V181">
        <v>1</v>
      </c>
      <c r="W181">
        <v>0</v>
      </c>
    </row>
    <row r="182" spans="1:23" x14ac:dyDescent="0.3">
      <c r="A182" s="212">
        <v>37257</v>
      </c>
      <c r="B182" s="212">
        <v>37621</v>
      </c>
      <c r="C182" s="6">
        <v>1</v>
      </c>
      <c r="D182" s="6">
        <v>365</v>
      </c>
      <c r="E182" s="6">
        <v>2002</v>
      </c>
      <c r="F182" s="15" t="s">
        <v>22</v>
      </c>
      <c r="G182" s="18" t="s">
        <v>6255</v>
      </c>
      <c r="H182" s="9" t="s">
        <v>88</v>
      </c>
      <c r="I182" s="34" t="s">
        <v>25</v>
      </c>
      <c r="J182" s="39" t="s">
        <v>125</v>
      </c>
      <c r="K182" s="44">
        <v>0</v>
      </c>
      <c r="L182" s="233">
        <v>2000</v>
      </c>
      <c r="M182" s="13">
        <v>4000</v>
      </c>
      <c r="N182" s="44">
        <v>0</v>
      </c>
      <c r="O182" s="44">
        <v>0</v>
      </c>
      <c r="P182" s="44">
        <v>0</v>
      </c>
      <c r="Q182" s="44">
        <v>0</v>
      </c>
      <c r="R182" s="26">
        <v>40.299999999999997</v>
      </c>
      <c r="S182" s="7" t="s">
        <v>115</v>
      </c>
      <c r="T182" s="257">
        <f t="shared" si="4"/>
        <v>2000</v>
      </c>
      <c r="U182" s="257">
        <f t="shared" si="5"/>
        <v>4000</v>
      </c>
      <c r="V182">
        <v>1</v>
      </c>
      <c r="W182">
        <v>2</v>
      </c>
    </row>
    <row r="183" spans="1:23" ht="35.4" x14ac:dyDescent="0.3">
      <c r="A183" s="212">
        <v>37257</v>
      </c>
      <c r="B183" s="212">
        <v>37621</v>
      </c>
      <c r="C183" s="6">
        <v>1</v>
      </c>
      <c r="D183" s="6">
        <v>365</v>
      </c>
      <c r="E183" s="6">
        <v>2002</v>
      </c>
      <c r="F183" s="15" t="s">
        <v>22</v>
      </c>
      <c r="G183" s="18" t="s">
        <v>6255</v>
      </c>
      <c r="H183" s="9" t="s">
        <v>24</v>
      </c>
      <c r="I183" s="34" t="s">
        <v>25</v>
      </c>
      <c r="J183" s="39" t="s">
        <v>286</v>
      </c>
      <c r="K183" s="44">
        <v>0</v>
      </c>
      <c r="L183" s="233">
        <v>0</v>
      </c>
      <c r="M183" s="13">
        <v>0</v>
      </c>
      <c r="N183" s="44">
        <v>0</v>
      </c>
      <c r="O183" s="44">
        <v>0</v>
      </c>
      <c r="P183" s="44">
        <v>0</v>
      </c>
      <c r="Q183" s="44">
        <v>0</v>
      </c>
      <c r="R183" s="45">
        <v>0</v>
      </c>
      <c r="S183" s="7" t="s">
        <v>115</v>
      </c>
      <c r="T183" s="257">
        <f t="shared" si="4"/>
        <v>0</v>
      </c>
      <c r="U183" s="257">
        <f t="shared" si="5"/>
        <v>0</v>
      </c>
      <c r="V183">
        <v>0</v>
      </c>
      <c r="W183">
        <v>0</v>
      </c>
    </row>
    <row r="184" spans="1:23" x14ac:dyDescent="0.3">
      <c r="A184" s="212">
        <v>37257</v>
      </c>
      <c r="B184" s="212">
        <v>37621</v>
      </c>
      <c r="C184" s="6">
        <v>1</v>
      </c>
      <c r="D184" s="6">
        <v>365</v>
      </c>
      <c r="E184" s="6">
        <v>2002</v>
      </c>
      <c r="F184" s="15" t="s">
        <v>22</v>
      </c>
      <c r="G184" s="18" t="s">
        <v>6255</v>
      </c>
      <c r="H184" s="9" t="s">
        <v>174</v>
      </c>
      <c r="I184" s="34" t="s">
        <v>25</v>
      </c>
      <c r="J184" s="39" t="s">
        <v>125</v>
      </c>
      <c r="K184" s="13">
        <v>1</v>
      </c>
      <c r="L184" s="233">
        <v>18000</v>
      </c>
      <c r="M184" s="13">
        <v>0</v>
      </c>
      <c r="N184" s="44">
        <v>0</v>
      </c>
      <c r="O184" s="44">
        <v>0</v>
      </c>
      <c r="P184" s="44">
        <v>0</v>
      </c>
      <c r="Q184" s="44">
        <v>0</v>
      </c>
      <c r="R184" s="45">
        <v>0</v>
      </c>
      <c r="S184" s="7" t="s">
        <v>115</v>
      </c>
      <c r="T184" s="257">
        <f t="shared" si="4"/>
        <v>18001</v>
      </c>
      <c r="U184" s="257">
        <f t="shared" si="5"/>
        <v>0</v>
      </c>
      <c r="V184">
        <v>2</v>
      </c>
      <c r="W184">
        <v>0</v>
      </c>
    </row>
    <row r="185" spans="1:23" x14ac:dyDescent="0.3">
      <c r="A185" s="212">
        <v>37257</v>
      </c>
      <c r="B185" s="212">
        <v>37621</v>
      </c>
      <c r="C185" s="6">
        <v>1</v>
      </c>
      <c r="D185" s="6">
        <v>365</v>
      </c>
      <c r="E185" s="6">
        <v>2002</v>
      </c>
      <c r="F185" s="15" t="s">
        <v>22</v>
      </c>
      <c r="G185" s="18" t="s">
        <v>6255</v>
      </c>
      <c r="H185" s="9" t="s">
        <v>34</v>
      </c>
      <c r="I185" s="34" t="s">
        <v>25</v>
      </c>
      <c r="J185" s="39" t="s">
        <v>125</v>
      </c>
      <c r="K185" s="13">
        <v>1</v>
      </c>
      <c r="L185" s="233">
        <v>0</v>
      </c>
      <c r="M185" s="13">
        <v>0</v>
      </c>
      <c r="N185" s="44">
        <v>0</v>
      </c>
      <c r="O185" s="44">
        <v>0</v>
      </c>
      <c r="P185" s="44">
        <v>0</v>
      </c>
      <c r="Q185" s="44">
        <v>0</v>
      </c>
      <c r="R185" s="45">
        <v>0</v>
      </c>
      <c r="S185" s="7" t="s">
        <v>115</v>
      </c>
      <c r="T185" s="257">
        <f t="shared" si="4"/>
        <v>1</v>
      </c>
      <c r="U185" s="257">
        <f t="shared" si="5"/>
        <v>0</v>
      </c>
      <c r="V185">
        <v>1</v>
      </c>
      <c r="W185">
        <v>0</v>
      </c>
    </row>
    <row r="186" spans="1:23" x14ac:dyDescent="0.3">
      <c r="A186" s="212">
        <v>37257</v>
      </c>
      <c r="B186" s="212">
        <v>37621</v>
      </c>
      <c r="C186" s="6">
        <v>1</v>
      </c>
      <c r="D186" s="6">
        <v>365</v>
      </c>
      <c r="E186" s="6">
        <v>2002</v>
      </c>
      <c r="F186" s="15" t="s">
        <v>22</v>
      </c>
      <c r="G186" s="18" t="s">
        <v>6255</v>
      </c>
      <c r="H186" s="9" t="s">
        <v>41</v>
      </c>
      <c r="I186" s="34" t="s">
        <v>25</v>
      </c>
      <c r="J186" s="39" t="s">
        <v>125</v>
      </c>
      <c r="K186" s="44">
        <v>0</v>
      </c>
      <c r="L186" s="233">
        <v>40000</v>
      </c>
      <c r="M186" s="13">
        <v>0</v>
      </c>
      <c r="N186" s="44">
        <v>0</v>
      </c>
      <c r="O186" s="44">
        <v>0</v>
      </c>
      <c r="P186" s="44">
        <v>0</v>
      </c>
      <c r="Q186" s="44">
        <v>0</v>
      </c>
      <c r="R186" s="45">
        <v>0</v>
      </c>
      <c r="S186" s="7" t="s">
        <v>115</v>
      </c>
      <c r="T186" s="257">
        <f t="shared" si="4"/>
        <v>40000</v>
      </c>
      <c r="U186" s="257">
        <f t="shared" si="5"/>
        <v>0</v>
      </c>
      <c r="V186">
        <v>2</v>
      </c>
      <c r="W186">
        <v>0</v>
      </c>
    </row>
    <row r="187" spans="1:23" x14ac:dyDescent="0.3">
      <c r="A187" s="212">
        <v>37257</v>
      </c>
      <c r="B187" s="212">
        <v>37621</v>
      </c>
      <c r="C187" s="6">
        <v>1</v>
      </c>
      <c r="D187" s="6">
        <v>365</v>
      </c>
      <c r="E187" s="6">
        <v>2002</v>
      </c>
      <c r="F187" s="15" t="s">
        <v>22</v>
      </c>
      <c r="G187" s="18" t="s">
        <v>6255</v>
      </c>
      <c r="H187" s="9" t="s">
        <v>37</v>
      </c>
      <c r="I187" s="34" t="s">
        <v>25</v>
      </c>
      <c r="J187" s="39" t="s">
        <v>125</v>
      </c>
      <c r="K187" s="13">
        <v>3</v>
      </c>
      <c r="L187" s="233">
        <v>0</v>
      </c>
      <c r="M187" s="13">
        <v>0</v>
      </c>
      <c r="N187" s="44">
        <v>0</v>
      </c>
      <c r="O187" s="44">
        <v>0</v>
      </c>
      <c r="P187" s="44">
        <v>0</v>
      </c>
      <c r="Q187" s="44">
        <v>0</v>
      </c>
      <c r="R187" s="45">
        <v>0</v>
      </c>
      <c r="S187" s="7" t="s">
        <v>115</v>
      </c>
      <c r="T187" s="257">
        <f t="shared" si="4"/>
        <v>3</v>
      </c>
      <c r="U187" s="257">
        <f t="shared" si="5"/>
        <v>0</v>
      </c>
      <c r="V187">
        <v>1</v>
      </c>
      <c r="W187">
        <v>0</v>
      </c>
    </row>
    <row r="188" spans="1:23" x14ac:dyDescent="0.3">
      <c r="A188" s="212">
        <v>37257</v>
      </c>
      <c r="B188" s="212">
        <v>37621</v>
      </c>
      <c r="C188" s="6">
        <v>1</v>
      </c>
      <c r="D188" s="6">
        <v>365</v>
      </c>
      <c r="E188" s="6">
        <v>2002</v>
      </c>
      <c r="F188" s="15" t="s">
        <v>22</v>
      </c>
      <c r="G188" s="18" t="s">
        <v>6255</v>
      </c>
      <c r="H188" s="9" t="s">
        <v>74</v>
      </c>
      <c r="I188" s="34" t="s">
        <v>25</v>
      </c>
      <c r="J188" s="39" t="s">
        <v>125</v>
      </c>
      <c r="K188" s="13">
        <v>2</v>
      </c>
      <c r="L188" s="233">
        <v>0</v>
      </c>
      <c r="M188" s="13">
        <v>0</v>
      </c>
      <c r="N188" s="44">
        <v>0</v>
      </c>
      <c r="O188" s="44">
        <v>0</v>
      </c>
      <c r="P188" s="44">
        <v>0</v>
      </c>
      <c r="Q188" s="44">
        <v>0</v>
      </c>
      <c r="R188" s="45">
        <v>0</v>
      </c>
      <c r="S188" s="7" t="s">
        <v>115</v>
      </c>
      <c r="T188" s="257">
        <f t="shared" si="4"/>
        <v>2</v>
      </c>
      <c r="U188" s="257">
        <f t="shared" si="5"/>
        <v>0</v>
      </c>
      <c r="V188">
        <v>1</v>
      </c>
      <c r="W188">
        <v>0</v>
      </c>
    </row>
    <row r="189" spans="1:23" ht="35.4" x14ac:dyDescent="0.3">
      <c r="A189" s="212">
        <v>37272</v>
      </c>
      <c r="B189" s="212">
        <v>37272</v>
      </c>
      <c r="C189" s="6">
        <v>1</v>
      </c>
      <c r="D189" s="6">
        <v>1</v>
      </c>
      <c r="E189" s="6">
        <v>2002</v>
      </c>
      <c r="F189" s="15" t="s">
        <v>22</v>
      </c>
      <c r="G189" s="9" t="s">
        <v>6257</v>
      </c>
      <c r="H189" s="9" t="s">
        <v>121</v>
      </c>
      <c r="I189" s="34" t="s">
        <v>95</v>
      </c>
      <c r="J189" s="39" t="s">
        <v>287</v>
      </c>
      <c r="K189" s="44">
        <v>0</v>
      </c>
      <c r="L189" s="233">
        <v>0</v>
      </c>
      <c r="M189" s="13">
        <v>0</v>
      </c>
      <c r="N189" s="44">
        <v>0</v>
      </c>
      <c r="O189" s="44">
        <v>0</v>
      </c>
      <c r="P189" s="44">
        <v>0</v>
      </c>
      <c r="Q189" s="44">
        <v>0</v>
      </c>
      <c r="R189" s="45">
        <v>0</v>
      </c>
      <c r="S189" s="7" t="s">
        <v>115</v>
      </c>
      <c r="T189" s="257">
        <f t="shared" si="4"/>
        <v>0</v>
      </c>
      <c r="U189" s="257">
        <f t="shared" si="5"/>
        <v>0</v>
      </c>
      <c r="V189">
        <v>0</v>
      </c>
      <c r="W189">
        <v>0</v>
      </c>
    </row>
    <row r="190" spans="1:23" x14ac:dyDescent="0.3">
      <c r="A190" s="212">
        <v>37299</v>
      </c>
      <c r="B190" s="212">
        <v>37299</v>
      </c>
      <c r="C190" s="6">
        <v>2</v>
      </c>
      <c r="D190" s="6">
        <v>1</v>
      </c>
      <c r="E190" s="6">
        <v>2002</v>
      </c>
      <c r="F190" s="15" t="s">
        <v>22</v>
      </c>
      <c r="G190" s="9" t="s">
        <v>6257</v>
      </c>
      <c r="H190" s="9" t="s">
        <v>27</v>
      </c>
      <c r="I190" s="34" t="s">
        <v>95</v>
      </c>
      <c r="J190" s="39" t="s">
        <v>288</v>
      </c>
      <c r="K190" s="13">
        <v>5</v>
      </c>
      <c r="L190" s="233">
        <v>0</v>
      </c>
      <c r="M190" s="13">
        <f>86+50</f>
        <v>136</v>
      </c>
      <c r="N190" s="44">
        <v>0</v>
      </c>
      <c r="O190" s="44">
        <v>0</v>
      </c>
      <c r="P190" s="44">
        <v>0</v>
      </c>
      <c r="Q190" s="44">
        <v>0</v>
      </c>
      <c r="R190" s="26">
        <v>1.6</v>
      </c>
      <c r="S190" s="7" t="s">
        <v>115</v>
      </c>
      <c r="T190" s="257">
        <f t="shared" si="4"/>
        <v>5</v>
      </c>
      <c r="U190" s="257">
        <f t="shared" si="5"/>
        <v>136</v>
      </c>
      <c r="V190">
        <v>1</v>
      </c>
      <c r="W190">
        <v>1</v>
      </c>
    </row>
    <row r="191" spans="1:23" x14ac:dyDescent="0.3">
      <c r="A191" s="212">
        <v>37385</v>
      </c>
      <c r="B191" s="212">
        <v>37385</v>
      </c>
      <c r="C191" s="6">
        <v>5</v>
      </c>
      <c r="D191" s="6">
        <v>1</v>
      </c>
      <c r="E191" s="6">
        <v>2002</v>
      </c>
      <c r="F191" s="15" t="s">
        <v>22</v>
      </c>
      <c r="G191" s="9" t="s">
        <v>6257</v>
      </c>
      <c r="H191" s="9" t="s">
        <v>31</v>
      </c>
      <c r="I191" s="34" t="s">
        <v>95</v>
      </c>
      <c r="J191" s="39" t="s">
        <v>125</v>
      </c>
      <c r="K191" s="44">
        <v>0</v>
      </c>
      <c r="L191" s="233">
        <v>0</v>
      </c>
      <c r="M191" s="13">
        <v>60</v>
      </c>
      <c r="N191" s="44">
        <v>0</v>
      </c>
      <c r="O191" s="44">
        <v>0</v>
      </c>
      <c r="P191" s="44">
        <v>0</v>
      </c>
      <c r="Q191" s="44">
        <v>0</v>
      </c>
      <c r="R191" s="26">
        <v>0.6</v>
      </c>
      <c r="S191" s="7" t="s">
        <v>115</v>
      </c>
      <c r="T191" s="257">
        <f t="shared" si="4"/>
        <v>0</v>
      </c>
      <c r="U191" s="257">
        <f t="shared" si="5"/>
        <v>60</v>
      </c>
      <c r="V191">
        <v>0</v>
      </c>
      <c r="W191">
        <v>1</v>
      </c>
    </row>
    <row r="192" spans="1:23" x14ac:dyDescent="0.3">
      <c r="A192" s="212">
        <v>37424</v>
      </c>
      <c r="B192" s="212">
        <v>37424</v>
      </c>
      <c r="C192" s="6">
        <v>6</v>
      </c>
      <c r="D192" s="6">
        <v>1</v>
      </c>
      <c r="E192" s="6">
        <v>2002</v>
      </c>
      <c r="F192" s="15" t="s">
        <v>22</v>
      </c>
      <c r="G192" s="9" t="s">
        <v>6257</v>
      </c>
      <c r="H192" s="9" t="s">
        <v>46</v>
      </c>
      <c r="I192" s="34" t="s">
        <v>95</v>
      </c>
      <c r="J192" s="39" t="s">
        <v>289</v>
      </c>
      <c r="K192" s="44">
        <v>0</v>
      </c>
      <c r="L192" s="233">
        <v>0</v>
      </c>
      <c r="M192" s="13">
        <v>35</v>
      </c>
      <c r="N192" s="44">
        <v>0</v>
      </c>
      <c r="O192" s="44">
        <v>0</v>
      </c>
      <c r="P192" s="44">
        <v>0</v>
      </c>
      <c r="Q192" s="44">
        <v>0</v>
      </c>
      <c r="R192" s="26">
        <v>0.3</v>
      </c>
      <c r="S192" s="7" t="s">
        <v>115</v>
      </c>
      <c r="T192" s="257">
        <f t="shared" si="4"/>
        <v>0</v>
      </c>
      <c r="U192" s="257">
        <f t="shared" si="5"/>
        <v>35</v>
      </c>
      <c r="V192">
        <v>0</v>
      </c>
      <c r="W192">
        <v>1</v>
      </c>
    </row>
    <row r="193" spans="1:23" x14ac:dyDescent="0.3">
      <c r="A193" s="212">
        <v>37257</v>
      </c>
      <c r="B193" s="212">
        <v>37621</v>
      </c>
      <c r="C193" s="6">
        <v>1</v>
      </c>
      <c r="D193" s="6">
        <v>365</v>
      </c>
      <c r="E193" s="6">
        <v>2002</v>
      </c>
      <c r="F193" s="15" t="s">
        <v>22</v>
      </c>
      <c r="G193" s="9" t="s">
        <v>6258</v>
      </c>
      <c r="H193" s="9" t="s">
        <v>37</v>
      </c>
      <c r="I193" s="34" t="s">
        <v>25</v>
      </c>
      <c r="J193" s="39" t="s">
        <v>125</v>
      </c>
      <c r="K193" s="6">
        <v>1</v>
      </c>
      <c r="L193" s="233">
        <v>0</v>
      </c>
      <c r="M193" s="13">
        <v>0</v>
      </c>
      <c r="N193" s="44">
        <v>0</v>
      </c>
      <c r="O193" s="44">
        <v>0</v>
      </c>
      <c r="P193" s="44">
        <v>0</v>
      </c>
      <c r="Q193" s="44">
        <v>0</v>
      </c>
      <c r="R193" s="45">
        <v>0</v>
      </c>
      <c r="S193" s="7" t="s">
        <v>115</v>
      </c>
      <c r="T193" s="257">
        <f t="shared" si="4"/>
        <v>1</v>
      </c>
      <c r="U193" s="257">
        <f t="shared" si="5"/>
        <v>0</v>
      </c>
      <c r="V193">
        <v>1</v>
      </c>
      <c r="W193">
        <v>0</v>
      </c>
    </row>
    <row r="194" spans="1:23" x14ac:dyDescent="0.3">
      <c r="A194" s="212">
        <v>37257</v>
      </c>
      <c r="B194" s="212">
        <v>37621</v>
      </c>
      <c r="C194" s="6">
        <v>1</v>
      </c>
      <c r="D194" s="6">
        <v>365</v>
      </c>
      <c r="E194" s="6">
        <v>2002</v>
      </c>
      <c r="F194" s="15" t="s">
        <v>22</v>
      </c>
      <c r="G194" s="9" t="s">
        <v>6258</v>
      </c>
      <c r="H194" s="9" t="s">
        <v>34</v>
      </c>
      <c r="I194" s="34" t="s">
        <v>25</v>
      </c>
      <c r="J194" s="39" t="s">
        <v>125</v>
      </c>
      <c r="K194" s="6">
        <v>1</v>
      </c>
      <c r="L194" s="233">
        <v>0</v>
      </c>
      <c r="M194" s="13">
        <v>0</v>
      </c>
      <c r="N194" s="44">
        <v>0</v>
      </c>
      <c r="O194" s="44">
        <v>0</v>
      </c>
      <c r="P194" s="44">
        <v>0</v>
      </c>
      <c r="Q194" s="44">
        <v>0</v>
      </c>
      <c r="R194" s="45">
        <v>0</v>
      </c>
      <c r="S194" s="7" t="s">
        <v>115</v>
      </c>
      <c r="T194" s="257">
        <f t="shared" si="4"/>
        <v>1</v>
      </c>
      <c r="U194" s="257">
        <f t="shared" si="5"/>
        <v>0</v>
      </c>
      <c r="V194">
        <v>1</v>
      </c>
      <c r="W194">
        <v>0</v>
      </c>
    </row>
    <row r="195" spans="1:23" ht="69.599999999999994" x14ac:dyDescent="0.3">
      <c r="A195" s="215">
        <v>37285</v>
      </c>
      <c r="B195" s="215">
        <v>37285</v>
      </c>
      <c r="C195" s="6">
        <v>1</v>
      </c>
      <c r="D195" s="6">
        <v>1</v>
      </c>
      <c r="E195" s="6">
        <v>2002</v>
      </c>
      <c r="F195" s="7" t="s">
        <v>17</v>
      </c>
      <c r="G195" s="8" t="s">
        <v>6261</v>
      </c>
      <c r="H195" s="9" t="s">
        <v>118</v>
      </c>
      <c r="I195" s="34" t="s">
        <v>95</v>
      </c>
      <c r="J195" s="39" t="s">
        <v>290</v>
      </c>
      <c r="K195" s="44">
        <v>0</v>
      </c>
      <c r="L195" s="233">
        <v>0</v>
      </c>
      <c r="M195" s="13">
        <v>0</v>
      </c>
      <c r="N195" s="44">
        <v>0</v>
      </c>
      <c r="O195" s="44">
        <v>0</v>
      </c>
      <c r="P195" s="44">
        <v>0</v>
      </c>
      <c r="Q195" s="44">
        <v>0</v>
      </c>
      <c r="R195" s="45">
        <v>0</v>
      </c>
      <c r="S195" s="7" t="s">
        <v>115</v>
      </c>
      <c r="T195" s="257">
        <f t="shared" ref="T195:T258" si="6">SUM(K195:L195)</f>
        <v>0</v>
      </c>
      <c r="U195" s="257">
        <f t="shared" ref="U195:U258" si="7">SUM(M195:P195)</f>
        <v>0</v>
      </c>
      <c r="V195">
        <v>0</v>
      </c>
      <c r="W195">
        <v>0</v>
      </c>
    </row>
    <row r="196" spans="1:23" ht="58.2" x14ac:dyDescent="0.3">
      <c r="A196" s="215">
        <v>37287</v>
      </c>
      <c r="B196" s="215">
        <v>37287</v>
      </c>
      <c r="C196" s="6">
        <v>1</v>
      </c>
      <c r="D196" s="6">
        <v>1</v>
      </c>
      <c r="E196" s="6">
        <v>2002</v>
      </c>
      <c r="F196" s="7" t="s">
        <v>17</v>
      </c>
      <c r="G196" s="16" t="s">
        <v>6260</v>
      </c>
      <c r="H196" s="9" t="s">
        <v>61</v>
      </c>
      <c r="I196" s="34" t="s">
        <v>95</v>
      </c>
      <c r="J196" s="39" t="s">
        <v>291</v>
      </c>
      <c r="K196" s="44">
        <v>0</v>
      </c>
      <c r="L196" s="233">
        <v>0</v>
      </c>
      <c r="M196" s="13">
        <v>0</v>
      </c>
      <c r="N196" s="13">
        <v>2</v>
      </c>
      <c r="O196" s="44">
        <v>0</v>
      </c>
      <c r="P196" s="44">
        <v>0</v>
      </c>
      <c r="Q196" s="44">
        <v>0</v>
      </c>
      <c r="R196" s="45">
        <v>0</v>
      </c>
      <c r="S196" s="7" t="s">
        <v>115</v>
      </c>
      <c r="T196" s="257">
        <f t="shared" si="6"/>
        <v>0</v>
      </c>
      <c r="U196" s="257">
        <f t="shared" si="7"/>
        <v>2</v>
      </c>
      <c r="V196">
        <v>0</v>
      </c>
      <c r="W196">
        <v>1</v>
      </c>
    </row>
    <row r="197" spans="1:23" ht="24" x14ac:dyDescent="0.3">
      <c r="A197" s="215">
        <v>37293</v>
      </c>
      <c r="B197" s="215">
        <v>37293</v>
      </c>
      <c r="C197" s="6">
        <v>2</v>
      </c>
      <c r="D197" s="6">
        <v>1</v>
      </c>
      <c r="E197" s="6">
        <v>2002</v>
      </c>
      <c r="F197" s="7" t="s">
        <v>17</v>
      </c>
      <c r="G197" s="8" t="s">
        <v>6259</v>
      </c>
      <c r="H197" s="9" t="s">
        <v>39</v>
      </c>
      <c r="I197" s="34" t="s">
        <v>95</v>
      </c>
      <c r="J197" s="39" t="s">
        <v>292</v>
      </c>
      <c r="K197" s="44">
        <v>0</v>
      </c>
      <c r="L197" s="233">
        <v>216</v>
      </c>
      <c r="M197" s="13">
        <v>0</v>
      </c>
      <c r="N197" s="44">
        <v>0</v>
      </c>
      <c r="O197" s="44">
        <v>0</v>
      </c>
      <c r="P197" s="44">
        <v>0</v>
      </c>
      <c r="Q197" s="44">
        <v>0</v>
      </c>
      <c r="R197" s="45">
        <v>0</v>
      </c>
      <c r="S197" s="7" t="s">
        <v>115</v>
      </c>
      <c r="T197" s="257">
        <f t="shared" si="6"/>
        <v>216</v>
      </c>
      <c r="U197" s="257">
        <f t="shared" si="7"/>
        <v>0</v>
      </c>
      <c r="V197">
        <v>1</v>
      </c>
      <c r="W197">
        <v>0</v>
      </c>
    </row>
    <row r="198" spans="1:23" ht="46.8" x14ac:dyDescent="0.3">
      <c r="A198" s="215">
        <v>37417</v>
      </c>
      <c r="B198" s="215">
        <v>37417</v>
      </c>
      <c r="C198" s="6">
        <v>6</v>
      </c>
      <c r="D198" s="6">
        <v>1</v>
      </c>
      <c r="E198" s="6">
        <v>2002</v>
      </c>
      <c r="F198" s="7" t="s">
        <v>17</v>
      </c>
      <c r="G198" s="16" t="s">
        <v>6260</v>
      </c>
      <c r="H198" s="9" t="s">
        <v>69</v>
      </c>
      <c r="I198" s="34" t="s">
        <v>95</v>
      </c>
      <c r="J198" s="39" t="s">
        <v>293</v>
      </c>
      <c r="K198" s="44">
        <v>0</v>
      </c>
      <c r="L198" s="233">
        <v>0</v>
      </c>
      <c r="M198" s="13">
        <v>0</v>
      </c>
      <c r="N198" s="13">
        <v>1</v>
      </c>
      <c r="O198" s="44">
        <v>0</v>
      </c>
      <c r="P198" s="44">
        <v>0</v>
      </c>
      <c r="Q198" s="44">
        <v>0</v>
      </c>
      <c r="R198" s="26">
        <v>0.05</v>
      </c>
      <c r="S198" s="7" t="s">
        <v>115</v>
      </c>
      <c r="T198" s="257">
        <f t="shared" si="6"/>
        <v>0</v>
      </c>
      <c r="U198" s="257">
        <f t="shared" si="7"/>
        <v>1</v>
      </c>
      <c r="V198">
        <v>0</v>
      </c>
      <c r="W198">
        <v>1</v>
      </c>
    </row>
    <row r="199" spans="1:23" ht="45.6" x14ac:dyDescent="0.3">
      <c r="A199" s="214">
        <v>44493</v>
      </c>
      <c r="B199" s="214">
        <v>44494</v>
      </c>
      <c r="C199" s="6">
        <v>10</v>
      </c>
      <c r="D199" s="6">
        <v>2</v>
      </c>
      <c r="E199" s="33">
        <v>2021</v>
      </c>
      <c r="F199" s="15" t="s">
        <v>22</v>
      </c>
      <c r="G199" s="16" t="s">
        <v>6254</v>
      </c>
      <c r="H199" s="9" t="s">
        <v>48</v>
      </c>
      <c r="I199" s="51" t="s">
        <v>294</v>
      </c>
      <c r="J199" s="52" t="s">
        <v>295</v>
      </c>
      <c r="K199" s="33">
        <v>0</v>
      </c>
      <c r="L199" s="236">
        <v>0</v>
      </c>
      <c r="M199" s="35">
        <v>0</v>
      </c>
      <c r="N199" s="35">
        <v>0</v>
      </c>
      <c r="O199" s="35">
        <v>0</v>
      </c>
      <c r="P199" s="35">
        <v>0</v>
      </c>
      <c r="Q199" s="35">
        <v>0</v>
      </c>
      <c r="R199" s="42">
        <v>521.18709928999999</v>
      </c>
      <c r="S199" s="7" t="s">
        <v>296</v>
      </c>
      <c r="T199" s="257">
        <f t="shared" si="6"/>
        <v>0</v>
      </c>
      <c r="U199" s="257">
        <f t="shared" si="7"/>
        <v>0</v>
      </c>
      <c r="V199">
        <v>0</v>
      </c>
      <c r="W199">
        <v>0</v>
      </c>
    </row>
    <row r="200" spans="1:23" ht="35.4" x14ac:dyDescent="0.3">
      <c r="A200" s="215">
        <v>37560</v>
      </c>
      <c r="B200" s="215">
        <v>37560</v>
      </c>
      <c r="C200" s="6">
        <v>10</v>
      </c>
      <c r="D200" s="6">
        <v>1</v>
      </c>
      <c r="E200" s="6">
        <v>2002</v>
      </c>
      <c r="F200" s="7" t="s">
        <v>17</v>
      </c>
      <c r="G200" s="8" t="s">
        <v>6261</v>
      </c>
      <c r="H200" s="9" t="s">
        <v>118</v>
      </c>
      <c r="I200" s="34" t="s">
        <v>95</v>
      </c>
      <c r="J200" s="39" t="s">
        <v>297</v>
      </c>
      <c r="K200" s="44">
        <v>0</v>
      </c>
      <c r="L200" s="237">
        <v>120</v>
      </c>
      <c r="M200" s="13">
        <v>0</v>
      </c>
      <c r="N200" s="44">
        <v>0</v>
      </c>
      <c r="O200" s="44">
        <v>0</v>
      </c>
      <c r="P200" s="44">
        <v>0</v>
      </c>
      <c r="Q200" s="44">
        <v>0</v>
      </c>
      <c r="R200" s="45">
        <v>0.108</v>
      </c>
      <c r="S200" s="7" t="s">
        <v>115</v>
      </c>
      <c r="T200" s="257">
        <f t="shared" si="6"/>
        <v>120</v>
      </c>
      <c r="U200" s="257">
        <f t="shared" si="7"/>
        <v>0</v>
      </c>
      <c r="V200">
        <v>1</v>
      </c>
      <c r="W200">
        <v>0</v>
      </c>
    </row>
    <row r="201" spans="1:23" ht="46.8" x14ac:dyDescent="0.3">
      <c r="A201" s="215">
        <v>37619</v>
      </c>
      <c r="B201" s="215">
        <v>37619</v>
      </c>
      <c r="C201" s="6">
        <v>12</v>
      </c>
      <c r="D201" s="6">
        <v>1</v>
      </c>
      <c r="E201" s="6">
        <v>2002</v>
      </c>
      <c r="F201" s="7" t="s">
        <v>17</v>
      </c>
      <c r="G201" s="8" t="s">
        <v>6261</v>
      </c>
      <c r="H201" s="9" t="s">
        <v>112</v>
      </c>
      <c r="I201" s="34" t="s">
        <v>95</v>
      </c>
      <c r="J201" s="39" t="s">
        <v>298</v>
      </c>
      <c r="K201" s="44">
        <v>0</v>
      </c>
      <c r="L201" s="233">
        <v>0</v>
      </c>
      <c r="M201" s="13">
        <v>0</v>
      </c>
      <c r="N201" s="44">
        <v>0</v>
      </c>
      <c r="O201" s="44">
        <v>0</v>
      </c>
      <c r="P201" s="44">
        <v>0</v>
      </c>
      <c r="Q201" s="44">
        <v>0</v>
      </c>
      <c r="R201" s="45">
        <v>0</v>
      </c>
      <c r="S201" s="7" t="s">
        <v>115</v>
      </c>
      <c r="T201" s="257">
        <f t="shared" si="6"/>
        <v>0</v>
      </c>
      <c r="U201" s="257">
        <f t="shared" si="7"/>
        <v>0</v>
      </c>
      <c r="V201">
        <v>0</v>
      </c>
      <c r="W201">
        <v>0</v>
      </c>
    </row>
    <row r="202" spans="1:23" ht="45.6" x14ac:dyDescent="0.3">
      <c r="A202" s="129">
        <v>37677</v>
      </c>
      <c r="B202" s="129">
        <v>37677</v>
      </c>
      <c r="C202" s="6">
        <v>2</v>
      </c>
      <c r="D202" s="6">
        <v>1</v>
      </c>
      <c r="E202" s="19">
        <v>2003</v>
      </c>
      <c r="F202" s="15" t="s">
        <v>22</v>
      </c>
      <c r="G202" s="18" t="s">
        <v>6256</v>
      </c>
      <c r="H202" s="9" t="s">
        <v>27</v>
      </c>
      <c r="I202" s="53" t="s">
        <v>314</v>
      </c>
      <c r="J202" s="17" t="s">
        <v>315</v>
      </c>
      <c r="K202" s="19">
        <v>0</v>
      </c>
      <c r="L202" s="234">
        <v>0</v>
      </c>
      <c r="M202" s="23">
        <v>14</v>
      </c>
      <c r="N202" s="23">
        <v>0</v>
      </c>
      <c r="O202" s="37">
        <v>0</v>
      </c>
      <c r="P202" s="37">
        <v>0</v>
      </c>
      <c r="Q202" s="23">
        <v>0</v>
      </c>
      <c r="R202" s="24">
        <v>4.0300000000000002E-2</v>
      </c>
      <c r="S202" s="7" t="s">
        <v>115</v>
      </c>
      <c r="T202" s="257">
        <f t="shared" si="6"/>
        <v>0</v>
      </c>
      <c r="U202" s="257">
        <f t="shared" si="7"/>
        <v>14</v>
      </c>
      <c r="V202">
        <v>0</v>
      </c>
      <c r="W202">
        <v>1</v>
      </c>
    </row>
    <row r="203" spans="1:23" ht="45.6" x14ac:dyDescent="0.3">
      <c r="A203" s="210">
        <v>37832</v>
      </c>
      <c r="B203" s="210">
        <v>37832</v>
      </c>
      <c r="C203" s="6">
        <v>7</v>
      </c>
      <c r="D203" s="6">
        <v>1</v>
      </c>
      <c r="E203" s="19">
        <v>2003</v>
      </c>
      <c r="F203" s="15" t="s">
        <v>22</v>
      </c>
      <c r="G203" s="18" t="s">
        <v>6256</v>
      </c>
      <c r="H203" s="9" t="s">
        <v>78</v>
      </c>
      <c r="I203" s="53" t="s">
        <v>95</v>
      </c>
      <c r="J203" s="17" t="s">
        <v>316</v>
      </c>
      <c r="K203" s="19">
        <v>0</v>
      </c>
      <c r="L203" s="234">
        <v>25</v>
      </c>
      <c r="M203" s="23">
        <v>95</v>
      </c>
      <c r="N203" s="23">
        <v>0</v>
      </c>
      <c r="O203" s="37">
        <v>0</v>
      </c>
      <c r="P203" s="37">
        <v>0</v>
      </c>
      <c r="Q203" s="23">
        <v>0</v>
      </c>
      <c r="R203" s="24">
        <v>0.27300000000000002</v>
      </c>
      <c r="S203" s="7" t="s">
        <v>115</v>
      </c>
      <c r="T203" s="257">
        <f t="shared" si="6"/>
        <v>25</v>
      </c>
      <c r="U203" s="257">
        <f t="shared" si="7"/>
        <v>95</v>
      </c>
      <c r="V203">
        <v>1</v>
      </c>
      <c r="W203">
        <v>1</v>
      </c>
    </row>
    <row r="204" spans="1:23" ht="45.6" x14ac:dyDescent="0.3">
      <c r="A204" s="129">
        <v>37719</v>
      </c>
      <c r="B204" s="129">
        <v>37719</v>
      </c>
      <c r="C204" s="6">
        <v>4</v>
      </c>
      <c r="D204" s="6">
        <v>1</v>
      </c>
      <c r="E204" s="19">
        <v>2003</v>
      </c>
      <c r="F204" s="15" t="s">
        <v>22</v>
      </c>
      <c r="G204" s="18" t="s">
        <v>6256</v>
      </c>
      <c r="H204" s="9" t="s">
        <v>174</v>
      </c>
      <c r="I204" s="53" t="s">
        <v>317</v>
      </c>
      <c r="J204" s="17" t="s">
        <v>318</v>
      </c>
      <c r="K204" s="19">
        <v>3</v>
      </c>
      <c r="L204" s="234">
        <v>143</v>
      </c>
      <c r="M204" s="23">
        <v>28</v>
      </c>
      <c r="N204" s="23">
        <v>0</v>
      </c>
      <c r="O204" s="37">
        <v>0</v>
      </c>
      <c r="P204" s="37">
        <v>0</v>
      </c>
      <c r="Q204" s="23">
        <v>0</v>
      </c>
      <c r="R204" s="24">
        <v>0.08</v>
      </c>
      <c r="S204" s="7" t="s">
        <v>115</v>
      </c>
      <c r="T204" s="257">
        <f t="shared" si="6"/>
        <v>146</v>
      </c>
      <c r="U204" s="257">
        <f t="shared" si="7"/>
        <v>28</v>
      </c>
      <c r="V204">
        <v>1</v>
      </c>
      <c r="W204">
        <v>1</v>
      </c>
    </row>
    <row r="205" spans="1:23" ht="45.6" x14ac:dyDescent="0.3">
      <c r="A205" s="129">
        <v>37722</v>
      </c>
      <c r="B205" s="129">
        <v>37722</v>
      </c>
      <c r="C205" s="6">
        <v>4</v>
      </c>
      <c r="D205" s="6">
        <v>1</v>
      </c>
      <c r="E205" s="19">
        <v>2003</v>
      </c>
      <c r="F205" s="15" t="s">
        <v>22</v>
      </c>
      <c r="G205" s="18" t="s">
        <v>6256</v>
      </c>
      <c r="H205" s="9" t="s">
        <v>61</v>
      </c>
      <c r="I205" s="17" t="s">
        <v>319</v>
      </c>
      <c r="J205" s="17" t="s">
        <v>320</v>
      </c>
      <c r="K205" s="23">
        <v>0</v>
      </c>
      <c r="L205" s="234">
        <v>345</v>
      </c>
      <c r="M205" s="23">
        <v>9</v>
      </c>
      <c r="N205" s="23">
        <v>2</v>
      </c>
      <c r="O205" s="37">
        <v>0</v>
      </c>
      <c r="P205" s="37">
        <v>0</v>
      </c>
      <c r="Q205" s="23">
        <v>0</v>
      </c>
      <c r="R205" s="24">
        <v>0.25</v>
      </c>
      <c r="S205" s="7" t="s">
        <v>115</v>
      </c>
      <c r="T205" s="257">
        <f t="shared" si="6"/>
        <v>345</v>
      </c>
      <c r="U205" s="257">
        <f t="shared" si="7"/>
        <v>11</v>
      </c>
      <c r="V205">
        <v>1</v>
      </c>
      <c r="W205">
        <v>1</v>
      </c>
    </row>
    <row r="206" spans="1:23" ht="57" x14ac:dyDescent="0.3">
      <c r="A206" s="129">
        <v>37750</v>
      </c>
      <c r="B206" s="129">
        <v>37750</v>
      </c>
      <c r="C206" s="6">
        <v>5</v>
      </c>
      <c r="D206" s="6">
        <v>1</v>
      </c>
      <c r="E206" s="19">
        <v>2003</v>
      </c>
      <c r="F206" s="15" t="s">
        <v>22</v>
      </c>
      <c r="G206" s="18" t="s">
        <v>6256</v>
      </c>
      <c r="H206" s="9" t="s">
        <v>121</v>
      </c>
      <c r="I206" s="17" t="s">
        <v>321</v>
      </c>
      <c r="J206" s="17" t="s">
        <v>322</v>
      </c>
      <c r="K206" s="23">
        <v>0</v>
      </c>
      <c r="L206" s="234">
        <v>20</v>
      </c>
      <c r="M206" s="23">
        <v>6</v>
      </c>
      <c r="N206" s="23">
        <v>0</v>
      </c>
      <c r="O206" s="37">
        <v>0</v>
      </c>
      <c r="P206" s="37">
        <v>0</v>
      </c>
      <c r="Q206" s="23">
        <v>0</v>
      </c>
      <c r="R206" s="24">
        <v>1.72E-2</v>
      </c>
      <c r="S206" s="7" t="s">
        <v>115</v>
      </c>
      <c r="T206" s="257">
        <f t="shared" si="6"/>
        <v>20</v>
      </c>
      <c r="U206" s="257">
        <f t="shared" si="7"/>
        <v>6</v>
      </c>
      <c r="V206">
        <v>1</v>
      </c>
      <c r="W206">
        <v>1</v>
      </c>
    </row>
    <row r="207" spans="1:23" ht="57" x14ac:dyDescent="0.3">
      <c r="A207" s="129">
        <v>37752</v>
      </c>
      <c r="B207" s="129">
        <v>37752</v>
      </c>
      <c r="C207" s="6">
        <v>5</v>
      </c>
      <c r="D207" s="6">
        <v>1</v>
      </c>
      <c r="E207" s="19">
        <v>2003</v>
      </c>
      <c r="F207" s="15" t="s">
        <v>22</v>
      </c>
      <c r="G207" s="18" t="s">
        <v>6256</v>
      </c>
      <c r="H207" s="9" t="s">
        <v>61</v>
      </c>
      <c r="I207" s="17" t="s">
        <v>95</v>
      </c>
      <c r="J207" s="17" t="s">
        <v>323</v>
      </c>
      <c r="K207" s="23">
        <v>0</v>
      </c>
      <c r="L207" s="234">
        <v>900</v>
      </c>
      <c r="M207" s="23">
        <v>30</v>
      </c>
      <c r="N207" s="23">
        <v>2</v>
      </c>
      <c r="O207" s="37">
        <v>0</v>
      </c>
      <c r="P207" s="37">
        <v>0</v>
      </c>
      <c r="Q207" s="23">
        <v>0</v>
      </c>
      <c r="R207" s="24">
        <v>0.26319999999999999</v>
      </c>
      <c r="S207" s="7" t="s">
        <v>115</v>
      </c>
      <c r="T207" s="257">
        <f t="shared" si="6"/>
        <v>900</v>
      </c>
      <c r="U207" s="257">
        <f t="shared" si="7"/>
        <v>32</v>
      </c>
      <c r="V207">
        <v>1</v>
      </c>
      <c r="W207">
        <v>1</v>
      </c>
    </row>
    <row r="208" spans="1:23" ht="45.6" x14ac:dyDescent="0.3">
      <c r="A208" s="129">
        <v>37750</v>
      </c>
      <c r="B208" s="129">
        <v>37750</v>
      </c>
      <c r="C208" s="6">
        <v>5</v>
      </c>
      <c r="D208" s="6">
        <v>1</v>
      </c>
      <c r="E208" s="19">
        <v>2003</v>
      </c>
      <c r="F208" s="15" t="s">
        <v>22</v>
      </c>
      <c r="G208" s="18" t="s">
        <v>6256</v>
      </c>
      <c r="H208" s="9" t="s">
        <v>118</v>
      </c>
      <c r="I208" s="17" t="s">
        <v>95</v>
      </c>
      <c r="J208" s="17" t="s">
        <v>324</v>
      </c>
      <c r="K208" s="23">
        <v>0</v>
      </c>
      <c r="L208" s="234">
        <v>12</v>
      </c>
      <c r="M208" s="23">
        <v>0</v>
      </c>
      <c r="N208" s="23">
        <v>0</v>
      </c>
      <c r="O208" s="37">
        <v>0</v>
      </c>
      <c r="P208" s="37">
        <v>0</v>
      </c>
      <c r="Q208" s="23">
        <v>0</v>
      </c>
      <c r="R208" s="24">
        <v>0</v>
      </c>
      <c r="S208" s="7" t="s">
        <v>115</v>
      </c>
      <c r="T208" s="257">
        <f t="shared" si="6"/>
        <v>12</v>
      </c>
      <c r="U208" s="257">
        <f t="shared" si="7"/>
        <v>0</v>
      </c>
      <c r="V208">
        <v>1</v>
      </c>
      <c r="W208">
        <v>0</v>
      </c>
    </row>
    <row r="209" spans="1:23" ht="57" x14ac:dyDescent="0.3">
      <c r="A209" s="216">
        <v>42156</v>
      </c>
      <c r="B209" s="216">
        <v>42247</v>
      </c>
      <c r="C209" s="6">
        <v>6</v>
      </c>
      <c r="D209" s="6">
        <v>92</v>
      </c>
      <c r="E209" s="54">
        <v>2015</v>
      </c>
      <c r="F209" s="15" t="s">
        <v>22</v>
      </c>
      <c r="G209" s="16" t="s">
        <v>23</v>
      </c>
      <c r="H209" s="9" t="s">
        <v>48</v>
      </c>
      <c r="I209" s="20" t="s">
        <v>325</v>
      </c>
      <c r="J209" s="21" t="s">
        <v>326</v>
      </c>
      <c r="K209" s="55">
        <v>0</v>
      </c>
      <c r="L209" s="239">
        <v>8221</v>
      </c>
      <c r="M209" s="56">
        <v>0</v>
      </c>
      <c r="N209" s="56">
        <v>0</v>
      </c>
      <c r="O209" s="56">
        <v>0</v>
      </c>
      <c r="P209" s="56">
        <v>0</v>
      </c>
      <c r="Q209" s="56">
        <v>17022</v>
      </c>
      <c r="R209" s="26">
        <v>426.42899999999997</v>
      </c>
      <c r="S209" s="57" t="s">
        <v>327</v>
      </c>
      <c r="T209" s="257">
        <f t="shared" si="6"/>
        <v>8221</v>
      </c>
      <c r="U209" s="257">
        <f t="shared" si="7"/>
        <v>0</v>
      </c>
      <c r="V209">
        <v>1</v>
      </c>
      <c r="W209">
        <v>0</v>
      </c>
    </row>
    <row r="210" spans="1:23" ht="57" x14ac:dyDescent="0.3">
      <c r="A210" s="129">
        <v>37752</v>
      </c>
      <c r="B210" s="129">
        <v>37752</v>
      </c>
      <c r="C210" s="6">
        <v>5</v>
      </c>
      <c r="D210" s="6">
        <v>1</v>
      </c>
      <c r="E210" s="19">
        <v>2003</v>
      </c>
      <c r="F210" s="15" t="s">
        <v>22</v>
      </c>
      <c r="G210" s="18" t="s">
        <v>6256</v>
      </c>
      <c r="H210" s="9" t="s">
        <v>31</v>
      </c>
      <c r="I210" s="17" t="s">
        <v>328</v>
      </c>
      <c r="J210" s="17" t="s">
        <v>329</v>
      </c>
      <c r="K210" s="23">
        <v>0</v>
      </c>
      <c r="L210" s="234">
        <v>1020</v>
      </c>
      <c r="M210" s="23">
        <v>204</v>
      </c>
      <c r="N210" s="23">
        <v>0</v>
      </c>
      <c r="O210" s="37">
        <v>0</v>
      </c>
      <c r="P210" s="37">
        <v>0</v>
      </c>
      <c r="Q210" s="23">
        <v>0</v>
      </c>
      <c r="R210" s="24">
        <v>0.58699999999999997</v>
      </c>
      <c r="S210" s="7" t="s">
        <v>115</v>
      </c>
      <c r="T210" s="257">
        <f t="shared" si="6"/>
        <v>1020</v>
      </c>
      <c r="U210" s="257">
        <f t="shared" si="7"/>
        <v>204</v>
      </c>
      <c r="V210">
        <v>1</v>
      </c>
      <c r="W210">
        <v>1</v>
      </c>
    </row>
    <row r="211" spans="1:23" ht="57" x14ac:dyDescent="0.3">
      <c r="A211" s="129">
        <v>37759</v>
      </c>
      <c r="B211" s="129">
        <v>37761</v>
      </c>
      <c r="C211" s="6">
        <v>5</v>
      </c>
      <c r="D211" s="6">
        <v>3</v>
      </c>
      <c r="E211" s="19">
        <v>2003</v>
      </c>
      <c r="F211" s="15" t="s">
        <v>22</v>
      </c>
      <c r="G211" s="18" t="s">
        <v>6256</v>
      </c>
      <c r="H211" s="9" t="s">
        <v>31</v>
      </c>
      <c r="I211" s="17" t="s">
        <v>330</v>
      </c>
      <c r="J211" s="17" t="s">
        <v>331</v>
      </c>
      <c r="K211" s="23">
        <v>0</v>
      </c>
      <c r="L211" s="234">
        <v>385</v>
      </c>
      <c r="M211" s="23">
        <v>77</v>
      </c>
      <c r="N211" s="23">
        <v>0</v>
      </c>
      <c r="O211" s="37">
        <v>0</v>
      </c>
      <c r="P211" s="37">
        <v>0</v>
      </c>
      <c r="Q211" s="23">
        <v>0</v>
      </c>
      <c r="R211" s="24">
        <v>0.221</v>
      </c>
      <c r="S211" s="7" t="s">
        <v>115</v>
      </c>
      <c r="T211" s="257">
        <f t="shared" si="6"/>
        <v>385</v>
      </c>
      <c r="U211" s="257">
        <f t="shared" si="7"/>
        <v>77</v>
      </c>
      <c r="V211">
        <v>1</v>
      </c>
      <c r="W211">
        <v>1</v>
      </c>
    </row>
    <row r="212" spans="1:23" ht="57" x14ac:dyDescent="0.3">
      <c r="A212" s="129">
        <v>37764</v>
      </c>
      <c r="B212" s="129">
        <v>37764</v>
      </c>
      <c r="C212" s="6">
        <v>5</v>
      </c>
      <c r="D212" s="6">
        <v>1</v>
      </c>
      <c r="E212" s="19">
        <v>2003</v>
      </c>
      <c r="F212" s="15" t="s">
        <v>22</v>
      </c>
      <c r="G212" s="18" t="s">
        <v>6256</v>
      </c>
      <c r="H212" s="9" t="s">
        <v>31</v>
      </c>
      <c r="I212" s="17" t="s">
        <v>332</v>
      </c>
      <c r="J212" s="17" t="s">
        <v>333</v>
      </c>
      <c r="K212" s="23">
        <v>0</v>
      </c>
      <c r="L212" s="234">
        <v>200</v>
      </c>
      <c r="M212" s="23">
        <v>33</v>
      </c>
      <c r="N212" s="23">
        <v>0</v>
      </c>
      <c r="O212" s="37">
        <v>0</v>
      </c>
      <c r="P212" s="37">
        <v>0</v>
      </c>
      <c r="Q212" s="23">
        <v>0</v>
      </c>
      <c r="R212" s="24">
        <v>9.5000000000000001E-2</v>
      </c>
      <c r="S212" s="7" t="s">
        <v>115</v>
      </c>
      <c r="T212" s="257">
        <f t="shared" si="6"/>
        <v>200</v>
      </c>
      <c r="U212" s="257">
        <f t="shared" si="7"/>
        <v>33</v>
      </c>
      <c r="V212">
        <v>1</v>
      </c>
      <c r="W212">
        <v>1</v>
      </c>
    </row>
    <row r="213" spans="1:23" ht="57" x14ac:dyDescent="0.3">
      <c r="A213" s="129">
        <v>37766</v>
      </c>
      <c r="B213" s="129">
        <v>37766</v>
      </c>
      <c r="C213" s="6">
        <v>5</v>
      </c>
      <c r="D213" s="6">
        <v>1</v>
      </c>
      <c r="E213" s="19">
        <v>2003</v>
      </c>
      <c r="F213" s="15" t="s">
        <v>22</v>
      </c>
      <c r="G213" s="18" t="s">
        <v>6256</v>
      </c>
      <c r="H213" s="9" t="s">
        <v>64</v>
      </c>
      <c r="I213" s="17" t="s">
        <v>334</v>
      </c>
      <c r="J213" s="17" t="s">
        <v>335</v>
      </c>
      <c r="K213" s="23">
        <v>0</v>
      </c>
      <c r="L213" s="234">
        <v>250</v>
      </c>
      <c r="M213" s="23">
        <v>50</v>
      </c>
      <c r="N213" s="23">
        <v>0</v>
      </c>
      <c r="O213" s="37">
        <v>0</v>
      </c>
      <c r="P213" s="37">
        <v>0</v>
      </c>
      <c r="Q213" s="23">
        <v>0</v>
      </c>
      <c r="R213" s="24">
        <v>0.14399999999999999</v>
      </c>
      <c r="S213" s="7" t="s">
        <v>115</v>
      </c>
      <c r="T213" s="257">
        <f t="shared" si="6"/>
        <v>250</v>
      </c>
      <c r="U213" s="257">
        <f t="shared" si="7"/>
        <v>50</v>
      </c>
      <c r="V213">
        <v>1</v>
      </c>
      <c r="W213">
        <v>1</v>
      </c>
    </row>
    <row r="214" spans="1:23" ht="409.6" x14ac:dyDescent="0.3">
      <c r="A214" s="214">
        <v>44446</v>
      </c>
      <c r="B214" s="214">
        <v>44446</v>
      </c>
      <c r="C214" s="6">
        <v>9</v>
      </c>
      <c r="D214" s="6">
        <v>1</v>
      </c>
      <c r="E214" s="33">
        <v>2021</v>
      </c>
      <c r="F214" s="7" t="s">
        <v>17</v>
      </c>
      <c r="G214" s="16" t="s">
        <v>6260</v>
      </c>
      <c r="H214" s="9" t="s">
        <v>48</v>
      </c>
      <c r="I214" s="34" t="s">
        <v>336</v>
      </c>
      <c r="J214" s="58" t="s">
        <v>337</v>
      </c>
      <c r="K214" s="33">
        <v>3</v>
      </c>
      <c r="L214" s="236">
        <v>32108</v>
      </c>
      <c r="M214" s="35">
        <v>7727</v>
      </c>
      <c r="N214" s="35">
        <v>47</v>
      </c>
      <c r="O214" s="35">
        <v>27</v>
      </c>
      <c r="P214" s="35">
        <v>13</v>
      </c>
      <c r="Q214" s="35">
        <v>0</v>
      </c>
      <c r="R214" s="42">
        <v>209.55961078999999</v>
      </c>
      <c r="S214" s="7" t="s">
        <v>338</v>
      </c>
      <c r="T214" s="257">
        <f t="shared" si="6"/>
        <v>32111</v>
      </c>
      <c r="U214" s="257">
        <f t="shared" si="7"/>
        <v>7814</v>
      </c>
      <c r="V214">
        <v>2</v>
      </c>
      <c r="W214">
        <v>2</v>
      </c>
    </row>
    <row r="215" spans="1:23" ht="57" x14ac:dyDescent="0.3">
      <c r="A215" s="129">
        <v>37767</v>
      </c>
      <c r="B215" s="129">
        <v>37767</v>
      </c>
      <c r="C215" s="6">
        <v>5</v>
      </c>
      <c r="D215" s="6">
        <v>1</v>
      </c>
      <c r="E215" s="19">
        <v>2003</v>
      </c>
      <c r="F215" s="15" t="s">
        <v>22</v>
      </c>
      <c r="G215" s="18" t="s">
        <v>6256</v>
      </c>
      <c r="H215" s="9" t="s">
        <v>57</v>
      </c>
      <c r="I215" s="17" t="s">
        <v>339</v>
      </c>
      <c r="J215" s="17" t="s">
        <v>340</v>
      </c>
      <c r="K215" s="23">
        <v>0</v>
      </c>
      <c r="L215" s="234">
        <v>43</v>
      </c>
      <c r="M215" s="23">
        <v>3</v>
      </c>
      <c r="N215" s="23">
        <v>0</v>
      </c>
      <c r="O215" s="37">
        <v>0</v>
      </c>
      <c r="P215" s="37">
        <v>0</v>
      </c>
      <c r="Q215" s="23">
        <v>0</v>
      </c>
      <c r="R215" s="24">
        <v>3.4000000000000002E-2</v>
      </c>
      <c r="S215" s="7" t="s">
        <v>115</v>
      </c>
      <c r="T215" s="257">
        <f t="shared" si="6"/>
        <v>43</v>
      </c>
      <c r="U215" s="257">
        <f t="shared" si="7"/>
        <v>3</v>
      </c>
      <c r="V215">
        <v>1</v>
      </c>
      <c r="W215">
        <v>1</v>
      </c>
    </row>
    <row r="216" spans="1:23" ht="46.8" x14ac:dyDescent="0.3">
      <c r="A216" s="210">
        <v>37698</v>
      </c>
      <c r="B216" s="210">
        <v>37698</v>
      </c>
      <c r="C216" s="6">
        <v>3</v>
      </c>
      <c r="D216" s="6">
        <v>1</v>
      </c>
      <c r="E216" s="19">
        <v>2003</v>
      </c>
      <c r="F216" s="15" t="s">
        <v>22</v>
      </c>
      <c r="G216" s="9" t="s">
        <v>6257</v>
      </c>
      <c r="H216" s="9" t="s">
        <v>121</v>
      </c>
      <c r="I216" s="34" t="s">
        <v>341</v>
      </c>
      <c r="J216" s="39" t="s">
        <v>342</v>
      </c>
      <c r="K216" s="7">
        <v>0</v>
      </c>
      <c r="L216" s="238">
        <v>0</v>
      </c>
      <c r="M216" s="37">
        <v>0</v>
      </c>
      <c r="N216" s="37">
        <v>0</v>
      </c>
      <c r="O216" s="37">
        <v>0</v>
      </c>
      <c r="P216" s="37">
        <v>0</v>
      </c>
      <c r="Q216" s="37">
        <v>0</v>
      </c>
      <c r="R216" s="38">
        <v>0.14399999999999999</v>
      </c>
      <c r="S216" s="7" t="s">
        <v>115</v>
      </c>
      <c r="T216" s="257">
        <f t="shared" si="6"/>
        <v>0</v>
      </c>
      <c r="U216" s="257">
        <f t="shared" si="7"/>
        <v>0</v>
      </c>
      <c r="V216">
        <v>0</v>
      </c>
      <c r="W216">
        <v>0</v>
      </c>
    </row>
    <row r="217" spans="1:23" ht="57" x14ac:dyDescent="0.3">
      <c r="A217" s="129">
        <v>37770</v>
      </c>
      <c r="B217" s="129">
        <v>37770</v>
      </c>
      <c r="C217" s="6">
        <v>5</v>
      </c>
      <c r="D217" s="6">
        <v>1</v>
      </c>
      <c r="E217" s="19">
        <v>2003</v>
      </c>
      <c r="F217" s="15" t="s">
        <v>22</v>
      </c>
      <c r="G217" s="18" t="s">
        <v>6256</v>
      </c>
      <c r="H217" s="9" t="s">
        <v>88</v>
      </c>
      <c r="I217" s="17" t="s">
        <v>343</v>
      </c>
      <c r="J217" s="17" t="s">
        <v>344</v>
      </c>
      <c r="K217" s="23">
        <v>0</v>
      </c>
      <c r="L217" s="234">
        <v>115</v>
      </c>
      <c r="M217" s="23">
        <v>50</v>
      </c>
      <c r="N217" s="23">
        <v>1</v>
      </c>
      <c r="O217" s="37">
        <v>0</v>
      </c>
      <c r="P217" s="37">
        <v>0</v>
      </c>
      <c r="Q217" s="23">
        <v>0</v>
      </c>
      <c r="R217" s="24">
        <v>0.14399999999999999</v>
      </c>
      <c r="S217" s="7" t="s">
        <v>115</v>
      </c>
      <c r="T217" s="257">
        <f t="shared" si="6"/>
        <v>115</v>
      </c>
      <c r="U217" s="257">
        <f t="shared" si="7"/>
        <v>51</v>
      </c>
      <c r="V217">
        <v>1</v>
      </c>
      <c r="W217">
        <v>1</v>
      </c>
    </row>
    <row r="218" spans="1:23" ht="68.400000000000006" x14ac:dyDescent="0.3">
      <c r="A218" s="129">
        <v>37750</v>
      </c>
      <c r="B218" s="129">
        <v>37750</v>
      </c>
      <c r="C218" s="6">
        <v>5</v>
      </c>
      <c r="D218" s="6">
        <v>1</v>
      </c>
      <c r="E218" s="19">
        <v>2003</v>
      </c>
      <c r="F218" s="15" t="s">
        <v>22</v>
      </c>
      <c r="G218" s="18" t="s">
        <v>6256</v>
      </c>
      <c r="H218" s="9" t="s">
        <v>84</v>
      </c>
      <c r="I218" s="17" t="s">
        <v>345</v>
      </c>
      <c r="J218" s="17" t="s">
        <v>346</v>
      </c>
      <c r="K218" s="23">
        <v>0</v>
      </c>
      <c r="L218" s="234">
        <v>64</v>
      </c>
      <c r="M218" s="23">
        <v>14</v>
      </c>
      <c r="N218" s="23">
        <v>0</v>
      </c>
      <c r="O218" s="37">
        <v>0</v>
      </c>
      <c r="P218" s="37">
        <v>0</v>
      </c>
      <c r="Q218" s="23">
        <v>0</v>
      </c>
      <c r="R218" s="24">
        <v>4.0300000000000002E-2</v>
      </c>
      <c r="S218" s="7" t="s">
        <v>115</v>
      </c>
      <c r="T218" s="257">
        <f t="shared" si="6"/>
        <v>64</v>
      </c>
      <c r="U218" s="257">
        <f t="shared" si="7"/>
        <v>14</v>
      </c>
      <c r="V218">
        <v>1</v>
      </c>
      <c r="W218">
        <v>1</v>
      </c>
    </row>
    <row r="219" spans="1:23" ht="57" x14ac:dyDescent="0.3">
      <c r="A219" s="129">
        <v>37774</v>
      </c>
      <c r="B219" s="129">
        <v>37774</v>
      </c>
      <c r="C219" s="6">
        <v>6</v>
      </c>
      <c r="D219" s="6">
        <v>1</v>
      </c>
      <c r="E219" s="19">
        <v>2003</v>
      </c>
      <c r="F219" s="15" t="s">
        <v>22</v>
      </c>
      <c r="G219" s="18" t="s">
        <v>6256</v>
      </c>
      <c r="H219" s="9" t="s">
        <v>64</v>
      </c>
      <c r="I219" s="17" t="s">
        <v>233</v>
      </c>
      <c r="J219" s="17" t="s">
        <v>347</v>
      </c>
      <c r="K219" s="23">
        <v>0</v>
      </c>
      <c r="L219" s="234">
        <v>140</v>
      </c>
      <c r="M219" s="23">
        <v>28</v>
      </c>
      <c r="N219" s="23">
        <v>0</v>
      </c>
      <c r="O219" s="37">
        <v>0</v>
      </c>
      <c r="P219" s="37">
        <v>0</v>
      </c>
      <c r="Q219" s="23">
        <v>0</v>
      </c>
      <c r="R219" s="24">
        <v>0.08</v>
      </c>
      <c r="S219" s="7" t="s">
        <v>115</v>
      </c>
      <c r="T219" s="257">
        <f t="shared" si="6"/>
        <v>140</v>
      </c>
      <c r="U219" s="257">
        <f t="shared" si="7"/>
        <v>28</v>
      </c>
      <c r="V219">
        <v>1</v>
      </c>
      <c r="W219">
        <v>1</v>
      </c>
    </row>
    <row r="220" spans="1:23" ht="68.400000000000006" x14ac:dyDescent="0.3">
      <c r="A220" s="129">
        <v>37777</v>
      </c>
      <c r="B220" s="129">
        <v>37777</v>
      </c>
      <c r="C220" s="6">
        <v>6</v>
      </c>
      <c r="D220" s="6">
        <v>1</v>
      </c>
      <c r="E220" s="19">
        <v>2003</v>
      </c>
      <c r="F220" s="15" t="s">
        <v>22</v>
      </c>
      <c r="G220" s="18" t="s">
        <v>6256</v>
      </c>
      <c r="H220" s="9" t="s">
        <v>61</v>
      </c>
      <c r="I220" s="17" t="s">
        <v>348</v>
      </c>
      <c r="J220" s="17" t="s">
        <v>349</v>
      </c>
      <c r="K220" s="23">
        <v>0</v>
      </c>
      <c r="L220" s="234">
        <v>105</v>
      </c>
      <c r="M220" s="23">
        <v>21</v>
      </c>
      <c r="N220" s="23">
        <v>4</v>
      </c>
      <c r="O220" s="37">
        <v>0</v>
      </c>
      <c r="P220" s="37">
        <v>0</v>
      </c>
      <c r="Q220" s="23">
        <v>0</v>
      </c>
      <c r="R220" s="24">
        <v>0.06</v>
      </c>
      <c r="S220" s="7" t="s">
        <v>115</v>
      </c>
      <c r="T220" s="257">
        <f t="shared" si="6"/>
        <v>105</v>
      </c>
      <c r="U220" s="257">
        <f t="shared" si="7"/>
        <v>25</v>
      </c>
      <c r="V220">
        <v>1</v>
      </c>
      <c r="W220">
        <v>1</v>
      </c>
    </row>
    <row r="221" spans="1:23" ht="45.6" x14ac:dyDescent="0.3">
      <c r="A221" s="129">
        <v>37777</v>
      </c>
      <c r="B221" s="129">
        <v>37777</v>
      </c>
      <c r="C221" s="6">
        <v>6</v>
      </c>
      <c r="D221" s="6">
        <v>1</v>
      </c>
      <c r="E221" s="19">
        <v>2003</v>
      </c>
      <c r="F221" s="15" t="s">
        <v>22</v>
      </c>
      <c r="G221" s="18" t="s">
        <v>6256</v>
      </c>
      <c r="H221" s="9" t="s">
        <v>174</v>
      </c>
      <c r="I221" s="59" t="s">
        <v>350</v>
      </c>
      <c r="J221" s="59" t="s">
        <v>351</v>
      </c>
      <c r="K221" s="23">
        <v>10</v>
      </c>
      <c r="L221" s="234">
        <v>6327</v>
      </c>
      <c r="M221" s="23">
        <v>1054</v>
      </c>
      <c r="N221" s="23">
        <v>5</v>
      </c>
      <c r="O221" s="37">
        <v>0</v>
      </c>
      <c r="P221" s="37">
        <v>259</v>
      </c>
      <c r="Q221" s="23">
        <v>425</v>
      </c>
      <c r="R221" s="24">
        <v>67.17</v>
      </c>
      <c r="S221" s="7" t="s">
        <v>21</v>
      </c>
      <c r="T221" s="257">
        <f t="shared" si="6"/>
        <v>6337</v>
      </c>
      <c r="U221" s="257">
        <f t="shared" si="7"/>
        <v>1318</v>
      </c>
      <c r="V221">
        <v>1</v>
      </c>
      <c r="W221">
        <v>2</v>
      </c>
    </row>
    <row r="222" spans="1:23" ht="34.200000000000003" x14ac:dyDescent="0.3">
      <c r="A222" s="129">
        <v>37778</v>
      </c>
      <c r="B222" s="129">
        <v>37778</v>
      </c>
      <c r="C222" s="6">
        <v>6</v>
      </c>
      <c r="D222" s="6">
        <v>1</v>
      </c>
      <c r="E222" s="19">
        <v>2003</v>
      </c>
      <c r="F222" s="15" t="s">
        <v>22</v>
      </c>
      <c r="G222" s="18" t="s">
        <v>6256</v>
      </c>
      <c r="H222" s="9" t="s">
        <v>37</v>
      </c>
      <c r="I222" s="17" t="s">
        <v>352</v>
      </c>
      <c r="J222" s="17" t="s">
        <v>353</v>
      </c>
      <c r="K222" s="23">
        <v>0</v>
      </c>
      <c r="L222" s="234">
        <v>311</v>
      </c>
      <c r="M222" s="23">
        <v>82</v>
      </c>
      <c r="N222" s="23">
        <v>0</v>
      </c>
      <c r="O222" s="37">
        <v>0</v>
      </c>
      <c r="P222" s="37">
        <v>0</v>
      </c>
      <c r="Q222" s="23">
        <v>0</v>
      </c>
      <c r="R222" s="24">
        <v>0.23630000000000001</v>
      </c>
      <c r="S222" s="7" t="s">
        <v>115</v>
      </c>
      <c r="T222" s="257">
        <f t="shared" si="6"/>
        <v>311</v>
      </c>
      <c r="U222" s="257">
        <f t="shared" si="7"/>
        <v>82</v>
      </c>
      <c r="V222">
        <v>1</v>
      </c>
      <c r="W222">
        <v>1</v>
      </c>
    </row>
    <row r="223" spans="1:23" ht="57" x14ac:dyDescent="0.3">
      <c r="A223" s="129">
        <v>37778</v>
      </c>
      <c r="B223" s="129">
        <v>37778</v>
      </c>
      <c r="C223" s="6">
        <v>6</v>
      </c>
      <c r="D223" s="6">
        <v>1</v>
      </c>
      <c r="E223" s="19">
        <v>2003</v>
      </c>
      <c r="F223" s="15" t="s">
        <v>22</v>
      </c>
      <c r="G223" s="18" t="s">
        <v>6256</v>
      </c>
      <c r="H223" s="9" t="s">
        <v>70</v>
      </c>
      <c r="I223" s="17" t="s">
        <v>354</v>
      </c>
      <c r="J223" s="17" t="s">
        <v>355</v>
      </c>
      <c r="K223" s="23">
        <v>0</v>
      </c>
      <c r="L223" s="234">
        <v>135</v>
      </c>
      <c r="M223" s="23">
        <v>27</v>
      </c>
      <c r="N223" s="23">
        <v>0</v>
      </c>
      <c r="O223" s="37">
        <v>0</v>
      </c>
      <c r="P223" s="37">
        <v>0</v>
      </c>
      <c r="Q223" s="23">
        <v>0</v>
      </c>
      <c r="R223" s="24">
        <v>7.6999999999999999E-2</v>
      </c>
      <c r="S223" s="7" t="s">
        <v>115</v>
      </c>
      <c r="T223" s="257">
        <f t="shared" si="6"/>
        <v>135</v>
      </c>
      <c r="U223" s="257">
        <f t="shared" si="7"/>
        <v>27</v>
      </c>
      <c r="V223">
        <v>1</v>
      </c>
      <c r="W223">
        <v>1</v>
      </c>
    </row>
    <row r="224" spans="1:23" ht="57" x14ac:dyDescent="0.3">
      <c r="A224" s="129">
        <v>37776</v>
      </c>
      <c r="B224" s="129">
        <v>37776</v>
      </c>
      <c r="C224" s="6">
        <v>6</v>
      </c>
      <c r="D224" s="6">
        <v>1</v>
      </c>
      <c r="E224" s="19">
        <v>2003</v>
      </c>
      <c r="F224" s="15" t="s">
        <v>22</v>
      </c>
      <c r="G224" s="18" t="s">
        <v>6256</v>
      </c>
      <c r="H224" s="9" t="s">
        <v>112</v>
      </c>
      <c r="I224" s="17" t="s">
        <v>356</v>
      </c>
      <c r="J224" s="17" t="s">
        <v>357</v>
      </c>
      <c r="K224" s="23">
        <v>0</v>
      </c>
      <c r="L224" s="234">
        <v>100</v>
      </c>
      <c r="M224" s="23">
        <v>20</v>
      </c>
      <c r="N224" s="23">
        <v>0</v>
      </c>
      <c r="O224" s="37">
        <v>0</v>
      </c>
      <c r="P224" s="37">
        <v>0</v>
      </c>
      <c r="Q224" s="23">
        <v>0</v>
      </c>
      <c r="R224" s="24">
        <v>5.7000000000000002E-2</v>
      </c>
      <c r="S224" s="7" t="s">
        <v>115</v>
      </c>
      <c r="T224" s="257">
        <f t="shared" si="6"/>
        <v>100</v>
      </c>
      <c r="U224" s="257">
        <f t="shared" si="7"/>
        <v>20</v>
      </c>
      <c r="V224">
        <v>1</v>
      </c>
      <c r="W224">
        <v>1</v>
      </c>
    </row>
    <row r="225" spans="1:23" ht="34.200000000000003" x14ac:dyDescent="0.3">
      <c r="A225" s="129">
        <v>37781</v>
      </c>
      <c r="B225" s="129">
        <v>37781</v>
      </c>
      <c r="C225" s="6">
        <v>6</v>
      </c>
      <c r="D225" s="6">
        <v>1</v>
      </c>
      <c r="E225" s="19">
        <v>2003</v>
      </c>
      <c r="F225" s="15" t="s">
        <v>22</v>
      </c>
      <c r="G225" s="18" t="s">
        <v>6256</v>
      </c>
      <c r="H225" s="9" t="s">
        <v>70</v>
      </c>
      <c r="I225" s="17" t="s">
        <v>358</v>
      </c>
      <c r="J225" s="17" t="s">
        <v>359</v>
      </c>
      <c r="K225" s="23">
        <v>0</v>
      </c>
      <c r="L225" s="234">
        <v>100</v>
      </c>
      <c r="M225" s="23">
        <v>20</v>
      </c>
      <c r="N225" s="23">
        <v>0</v>
      </c>
      <c r="O225" s="37">
        <v>0</v>
      </c>
      <c r="P225" s="37">
        <v>0</v>
      </c>
      <c r="Q225" s="23">
        <v>0</v>
      </c>
      <c r="R225" s="24">
        <v>5.7000000000000002E-2</v>
      </c>
      <c r="S225" s="7" t="s">
        <v>115</v>
      </c>
      <c r="T225" s="257">
        <f t="shared" si="6"/>
        <v>100</v>
      </c>
      <c r="U225" s="257">
        <f t="shared" si="7"/>
        <v>20</v>
      </c>
      <c r="V225">
        <v>1</v>
      </c>
      <c r="W225">
        <v>1</v>
      </c>
    </row>
    <row r="226" spans="1:23" ht="34.200000000000003" x14ac:dyDescent="0.3">
      <c r="A226" s="129">
        <v>37782</v>
      </c>
      <c r="B226" s="129">
        <v>37782</v>
      </c>
      <c r="C226" s="6">
        <v>6</v>
      </c>
      <c r="D226" s="6">
        <v>1</v>
      </c>
      <c r="E226" s="19">
        <v>2003</v>
      </c>
      <c r="F226" s="15" t="s">
        <v>22</v>
      </c>
      <c r="G226" s="18" t="s">
        <v>6256</v>
      </c>
      <c r="H226" s="9" t="s">
        <v>37</v>
      </c>
      <c r="I226" s="17" t="s">
        <v>360</v>
      </c>
      <c r="J226" s="17" t="s">
        <v>361</v>
      </c>
      <c r="K226" s="23">
        <v>0</v>
      </c>
      <c r="L226" s="234">
        <v>5</v>
      </c>
      <c r="M226" s="23">
        <v>0</v>
      </c>
      <c r="N226" s="23">
        <v>0</v>
      </c>
      <c r="O226" s="37">
        <v>0</v>
      </c>
      <c r="P226" s="37">
        <v>0</v>
      </c>
      <c r="Q226" s="23">
        <v>0</v>
      </c>
      <c r="R226" s="24">
        <v>0</v>
      </c>
      <c r="S226" s="7" t="s">
        <v>115</v>
      </c>
      <c r="T226" s="257">
        <f t="shared" si="6"/>
        <v>5</v>
      </c>
      <c r="U226" s="257">
        <f t="shared" si="7"/>
        <v>0</v>
      </c>
      <c r="V226">
        <v>1</v>
      </c>
      <c r="W226">
        <v>0</v>
      </c>
    </row>
    <row r="227" spans="1:23" ht="57" x14ac:dyDescent="0.3">
      <c r="A227" s="129">
        <v>37782</v>
      </c>
      <c r="B227" s="129">
        <v>37782</v>
      </c>
      <c r="C227" s="6">
        <v>6</v>
      </c>
      <c r="D227" s="6">
        <v>1</v>
      </c>
      <c r="E227" s="19">
        <v>2003</v>
      </c>
      <c r="F227" s="15" t="s">
        <v>22</v>
      </c>
      <c r="G227" s="18" t="s">
        <v>6256</v>
      </c>
      <c r="H227" s="9" t="s">
        <v>31</v>
      </c>
      <c r="I227" s="17" t="s">
        <v>362</v>
      </c>
      <c r="J227" s="17" t="s">
        <v>363</v>
      </c>
      <c r="K227" s="23">
        <v>0</v>
      </c>
      <c r="L227" s="234">
        <v>5</v>
      </c>
      <c r="M227" s="23">
        <v>3</v>
      </c>
      <c r="N227" s="23">
        <v>0</v>
      </c>
      <c r="O227" s="37">
        <v>0</v>
      </c>
      <c r="P227" s="37">
        <v>0</v>
      </c>
      <c r="Q227" s="23">
        <v>0</v>
      </c>
      <c r="R227" s="24">
        <v>8.0000000000000002E-3</v>
      </c>
      <c r="S227" s="7" t="s">
        <v>115</v>
      </c>
      <c r="T227" s="257">
        <f t="shared" si="6"/>
        <v>5</v>
      </c>
      <c r="U227" s="257">
        <f t="shared" si="7"/>
        <v>3</v>
      </c>
      <c r="V227">
        <v>1</v>
      </c>
      <c r="W227">
        <v>1</v>
      </c>
    </row>
    <row r="228" spans="1:23" ht="34.200000000000003" x14ac:dyDescent="0.3">
      <c r="A228" s="129">
        <v>37783</v>
      </c>
      <c r="B228" s="129">
        <v>37783</v>
      </c>
      <c r="C228" s="6">
        <v>6</v>
      </c>
      <c r="D228" s="6">
        <v>1</v>
      </c>
      <c r="E228" s="19">
        <v>2003</v>
      </c>
      <c r="F228" s="15" t="s">
        <v>22</v>
      </c>
      <c r="G228" s="18" t="s">
        <v>6256</v>
      </c>
      <c r="H228" s="9" t="s">
        <v>84</v>
      </c>
      <c r="I228" s="17" t="s">
        <v>317</v>
      </c>
      <c r="J228" s="17" t="s">
        <v>364</v>
      </c>
      <c r="K228" s="23">
        <v>0</v>
      </c>
      <c r="L228" s="234">
        <v>135</v>
      </c>
      <c r="M228" s="23">
        <v>27</v>
      </c>
      <c r="N228" s="23">
        <v>0</v>
      </c>
      <c r="O228" s="37">
        <v>0</v>
      </c>
      <c r="P228" s="37">
        <v>0</v>
      </c>
      <c r="Q228" s="23">
        <v>0</v>
      </c>
      <c r="R228" s="24">
        <v>7.6999999999999999E-2</v>
      </c>
      <c r="S228" s="7" t="s">
        <v>115</v>
      </c>
      <c r="T228" s="257">
        <f t="shared" si="6"/>
        <v>135</v>
      </c>
      <c r="U228" s="257">
        <f t="shared" si="7"/>
        <v>27</v>
      </c>
      <c r="V228">
        <v>1</v>
      </c>
      <c r="W228">
        <v>1</v>
      </c>
    </row>
    <row r="229" spans="1:23" ht="57" x14ac:dyDescent="0.3">
      <c r="A229" s="129">
        <v>37783</v>
      </c>
      <c r="B229" s="129">
        <v>37783</v>
      </c>
      <c r="C229" s="6">
        <v>6</v>
      </c>
      <c r="D229" s="6">
        <v>1</v>
      </c>
      <c r="E229" s="19">
        <v>2003</v>
      </c>
      <c r="F229" s="15" t="s">
        <v>22</v>
      </c>
      <c r="G229" s="18" t="s">
        <v>6256</v>
      </c>
      <c r="H229" s="9" t="s">
        <v>31</v>
      </c>
      <c r="I229" s="17" t="s">
        <v>365</v>
      </c>
      <c r="J229" s="17" t="s">
        <v>366</v>
      </c>
      <c r="K229" s="23">
        <v>0</v>
      </c>
      <c r="L229" s="234">
        <v>0</v>
      </c>
      <c r="M229" s="23">
        <v>0</v>
      </c>
      <c r="N229" s="23">
        <v>0</v>
      </c>
      <c r="O229" s="37">
        <v>0</v>
      </c>
      <c r="P229" s="37">
        <v>0</v>
      </c>
      <c r="Q229" s="23">
        <v>0</v>
      </c>
      <c r="R229" s="24">
        <v>0</v>
      </c>
      <c r="S229" s="7" t="s">
        <v>115</v>
      </c>
      <c r="T229" s="257">
        <f t="shared" si="6"/>
        <v>0</v>
      </c>
      <c r="U229" s="257">
        <f t="shared" si="7"/>
        <v>0</v>
      </c>
      <c r="V229">
        <v>0</v>
      </c>
      <c r="W229">
        <v>0</v>
      </c>
    </row>
    <row r="230" spans="1:23" ht="79.8" x14ac:dyDescent="0.3">
      <c r="A230" s="129">
        <v>37784</v>
      </c>
      <c r="B230" s="129">
        <v>37784</v>
      </c>
      <c r="C230" s="6">
        <v>6</v>
      </c>
      <c r="D230" s="6">
        <v>1</v>
      </c>
      <c r="E230" s="19">
        <v>2003</v>
      </c>
      <c r="F230" s="15" t="s">
        <v>22</v>
      </c>
      <c r="G230" s="18" t="s">
        <v>6256</v>
      </c>
      <c r="H230" s="9" t="s">
        <v>64</v>
      </c>
      <c r="I230" s="17" t="s">
        <v>367</v>
      </c>
      <c r="J230" s="17" t="s">
        <v>368</v>
      </c>
      <c r="K230" s="23">
        <v>0</v>
      </c>
      <c r="L230" s="234">
        <v>679</v>
      </c>
      <c r="M230" s="23">
        <v>178</v>
      </c>
      <c r="N230" s="23">
        <v>0</v>
      </c>
      <c r="O230" s="37">
        <v>0</v>
      </c>
      <c r="P230" s="37">
        <v>0</v>
      </c>
      <c r="Q230" s="23">
        <v>0</v>
      </c>
      <c r="R230" s="24">
        <v>0.51300000000000001</v>
      </c>
      <c r="S230" s="7" t="s">
        <v>115</v>
      </c>
      <c r="T230" s="257">
        <f t="shared" si="6"/>
        <v>679</v>
      </c>
      <c r="U230" s="257">
        <f t="shared" si="7"/>
        <v>178</v>
      </c>
      <c r="V230">
        <v>1</v>
      </c>
      <c r="W230">
        <v>1</v>
      </c>
    </row>
    <row r="231" spans="1:23" ht="57" x14ac:dyDescent="0.3">
      <c r="A231" s="129">
        <v>37786</v>
      </c>
      <c r="B231" s="129">
        <v>37787</v>
      </c>
      <c r="C231" s="6">
        <v>6</v>
      </c>
      <c r="D231" s="6">
        <v>2</v>
      </c>
      <c r="E231" s="19">
        <v>2003</v>
      </c>
      <c r="F231" s="15" t="s">
        <v>22</v>
      </c>
      <c r="G231" s="18" t="s">
        <v>6256</v>
      </c>
      <c r="H231" s="9" t="s">
        <v>88</v>
      </c>
      <c r="I231" s="17" t="s">
        <v>369</v>
      </c>
      <c r="J231" s="17" t="s">
        <v>370</v>
      </c>
      <c r="K231" s="23">
        <v>1</v>
      </c>
      <c r="L231" s="234">
        <v>478</v>
      </c>
      <c r="M231" s="23">
        <v>95</v>
      </c>
      <c r="N231" s="23">
        <v>0</v>
      </c>
      <c r="O231" s="37">
        <v>0</v>
      </c>
      <c r="P231" s="37">
        <v>0</v>
      </c>
      <c r="Q231" s="23">
        <v>0</v>
      </c>
      <c r="R231" s="24">
        <v>0.27300000000000002</v>
      </c>
      <c r="S231" s="7" t="s">
        <v>115</v>
      </c>
      <c r="T231" s="257">
        <f t="shared" si="6"/>
        <v>479</v>
      </c>
      <c r="U231" s="257">
        <f t="shared" si="7"/>
        <v>95</v>
      </c>
      <c r="V231">
        <v>1</v>
      </c>
      <c r="W231">
        <v>1</v>
      </c>
    </row>
    <row r="232" spans="1:23" ht="34.200000000000003" x14ac:dyDescent="0.3">
      <c r="A232" s="129">
        <v>37788</v>
      </c>
      <c r="B232" s="129">
        <v>37788</v>
      </c>
      <c r="C232" s="6">
        <v>6</v>
      </c>
      <c r="D232" s="6">
        <v>1</v>
      </c>
      <c r="E232" s="19">
        <v>2003</v>
      </c>
      <c r="F232" s="15" t="s">
        <v>22</v>
      </c>
      <c r="G232" s="18" t="s">
        <v>6256</v>
      </c>
      <c r="H232" s="9" t="s">
        <v>61</v>
      </c>
      <c r="I232" s="17" t="s">
        <v>317</v>
      </c>
      <c r="J232" s="17" t="s">
        <v>371</v>
      </c>
      <c r="K232" s="23">
        <v>0</v>
      </c>
      <c r="L232" s="234">
        <v>20</v>
      </c>
      <c r="M232" s="23">
        <v>4</v>
      </c>
      <c r="N232" s="23">
        <v>0</v>
      </c>
      <c r="O232" s="37">
        <v>0</v>
      </c>
      <c r="P232" s="37">
        <v>0</v>
      </c>
      <c r="Q232" s="23">
        <v>0</v>
      </c>
      <c r="R232" s="24">
        <v>1.0999999999999999E-2</v>
      </c>
      <c r="S232" s="7" t="s">
        <v>115</v>
      </c>
      <c r="T232" s="257">
        <f t="shared" si="6"/>
        <v>20</v>
      </c>
      <c r="U232" s="257">
        <f t="shared" si="7"/>
        <v>4</v>
      </c>
      <c r="V232">
        <v>1</v>
      </c>
      <c r="W232">
        <v>1</v>
      </c>
    </row>
    <row r="233" spans="1:23" ht="34.200000000000003" x14ac:dyDescent="0.3">
      <c r="A233" s="129">
        <v>37788</v>
      </c>
      <c r="B233" s="129">
        <v>37788</v>
      </c>
      <c r="C233" s="6">
        <v>6</v>
      </c>
      <c r="D233" s="6">
        <v>1</v>
      </c>
      <c r="E233" s="19">
        <v>2003</v>
      </c>
      <c r="F233" s="15" t="s">
        <v>22</v>
      </c>
      <c r="G233" s="18" t="s">
        <v>6256</v>
      </c>
      <c r="H233" s="9" t="s">
        <v>31</v>
      </c>
      <c r="I233" s="17" t="s">
        <v>372</v>
      </c>
      <c r="J233" s="17" t="s">
        <v>373</v>
      </c>
      <c r="K233" s="23">
        <v>0</v>
      </c>
      <c r="L233" s="234">
        <v>125</v>
      </c>
      <c r="M233" s="23">
        <v>25</v>
      </c>
      <c r="N233" s="23">
        <v>0</v>
      </c>
      <c r="O233" s="37">
        <v>0</v>
      </c>
      <c r="P233" s="37">
        <v>0</v>
      </c>
      <c r="Q233" s="23">
        <v>0</v>
      </c>
      <c r="R233" s="24">
        <v>7.1999999999999995E-2</v>
      </c>
      <c r="S233" s="7" t="s">
        <v>115</v>
      </c>
      <c r="T233" s="257">
        <f t="shared" si="6"/>
        <v>125</v>
      </c>
      <c r="U233" s="257">
        <f t="shared" si="7"/>
        <v>25</v>
      </c>
      <c r="V233">
        <v>1</v>
      </c>
      <c r="W233">
        <v>1</v>
      </c>
    </row>
    <row r="234" spans="1:23" ht="57" x14ac:dyDescent="0.3">
      <c r="A234" s="129">
        <v>37791</v>
      </c>
      <c r="B234" s="129">
        <v>37791</v>
      </c>
      <c r="C234" s="6">
        <v>6</v>
      </c>
      <c r="D234" s="6">
        <v>1</v>
      </c>
      <c r="E234" s="19">
        <v>2003</v>
      </c>
      <c r="F234" s="15" t="s">
        <v>22</v>
      </c>
      <c r="G234" s="18" t="s">
        <v>6256</v>
      </c>
      <c r="H234" s="9" t="s">
        <v>31</v>
      </c>
      <c r="I234" s="17" t="s">
        <v>374</v>
      </c>
      <c r="J234" s="17" t="s">
        <v>375</v>
      </c>
      <c r="K234" s="23">
        <v>0</v>
      </c>
      <c r="L234" s="234">
        <v>760</v>
      </c>
      <c r="M234" s="23">
        <v>152</v>
      </c>
      <c r="N234" s="23">
        <v>0</v>
      </c>
      <c r="O234" s="37">
        <v>0</v>
      </c>
      <c r="P234" s="37">
        <v>0</v>
      </c>
      <c r="Q234" s="23">
        <v>0</v>
      </c>
      <c r="R234" s="24">
        <v>0.51</v>
      </c>
      <c r="S234" s="7" t="s">
        <v>115</v>
      </c>
      <c r="T234" s="257">
        <f t="shared" si="6"/>
        <v>760</v>
      </c>
      <c r="U234" s="257">
        <f t="shared" si="7"/>
        <v>152</v>
      </c>
      <c r="V234">
        <v>1</v>
      </c>
      <c r="W234">
        <v>1</v>
      </c>
    </row>
    <row r="235" spans="1:23" ht="91.2" x14ac:dyDescent="0.3">
      <c r="A235" s="129">
        <v>37793</v>
      </c>
      <c r="B235" s="129">
        <v>37793</v>
      </c>
      <c r="C235" s="6">
        <v>6</v>
      </c>
      <c r="D235" s="6">
        <v>1</v>
      </c>
      <c r="E235" s="19">
        <v>2003</v>
      </c>
      <c r="F235" s="15" t="s">
        <v>22</v>
      </c>
      <c r="G235" s="18" t="s">
        <v>6256</v>
      </c>
      <c r="H235" s="9" t="s">
        <v>55</v>
      </c>
      <c r="I235" s="17" t="s">
        <v>376</v>
      </c>
      <c r="J235" s="17" t="s">
        <v>377</v>
      </c>
      <c r="K235" s="23">
        <v>1</v>
      </c>
      <c r="L235" s="234">
        <v>575</v>
      </c>
      <c r="M235" s="23">
        <v>115</v>
      </c>
      <c r="N235" s="23">
        <v>0</v>
      </c>
      <c r="O235" s="37">
        <v>0</v>
      </c>
      <c r="P235" s="37">
        <v>0</v>
      </c>
      <c r="Q235" s="23">
        <v>0</v>
      </c>
      <c r="R235" s="24">
        <v>0.33139999999999997</v>
      </c>
      <c r="S235" s="7" t="s">
        <v>115</v>
      </c>
      <c r="T235" s="257">
        <f t="shared" si="6"/>
        <v>576</v>
      </c>
      <c r="U235" s="257">
        <f t="shared" si="7"/>
        <v>115</v>
      </c>
      <c r="V235">
        <v>1</v>
      </c>
      <c r="W235">
        <v>1</v>
      </c>
    </row>
    <row r="236" spans="1:23" ht="79.8" x14ac:dyDescent="0.3">
      <c r="A236" s="212">
        <v>39332</v>
      </c>
      <c r="B236" s="212">
        <v>39332</v>
      </c>
      <c r="C236" s="6">
        <v>9</v>
      </c>
      <c r="D236" s="6">
        <v>1</v>
      </c>
      <c r="E236" s="6">
        <v>2007</v>
      </c>
      <c r="F236" s="15" t="s">
        <v>22</v>
      </c>
      <c r="G236" s="18" t="s">
        <v>6256</v>
      </c>
      <c r="H236" s="9" t="s">
        <v>48</v>
      </c>
      <c r="I236" s="17" t="s">
        <v>378</v>
      </c>
      <c r="J236" s="17" t="s">
        <v>379</v>
      </c>
      <c r="K236" s="13">
        <v>6</v>
      </c>
      <c r="L236" s="233">
        <v>1066</v>
      </c>
      <c r="M236" s="13">
        <v>2012</v>
      </c>
      <c r="N236" s="13">
        <v>107</v>
      </c>
      <c r="O236" s="13" t="s">
        <v>95</v>
      </c>
      <c r="P236" s="13">
        <v>0</v>
      </c>
      <c r="Q236" s="60">
        <v>0</v>
      </c>
      <c r="R236" s="61">
        <v>190.4</v>
      </c>
      <c r="S236" s="6" t="s">
        <v>149</v>
      </c>
      <c r="T236" s="257">
        <f t="shared" si="6"/>
        <v>1072</v>
      </c>
      <c r="U236" s="257">
        <f t="shared" si="7"/>
        <v>2119</v>
      </c>
      <c r="V236">
        <v>1</v>
      </c>
      <c r="W236">
        <v>2</v>
      </c>
    </row>
    <row r="237" spans="1:23" ht="45.6" x14ac:dyDescent="0.3">
      <c r="A237" s="129">
        <v>37795</v>
      </c>
      <c r="B237" s="129">
        <v>37795</v>
      </c>
      <c r="C237" s="6">
        <v>6</v>
      </c>
      <c r="D237" s="6">
        <v>1</v>
      </c>
      <c r="E237" s="19">
        <v>2003</v>
      </c>
      <c r="F237" s="15" t="s">
        <v>22</v>
      </c>
      <c r="G237" s="18" t="s">
        <v>6256</v>
      </c>
      <c r="H237" s="9" t="s">
        <v>61</v>
      </c>
      <c r="I237" s="17" t="s">
        <v>61</v>
      </c>
      <c r="J237" s="17" t="s">
        <v>380</v>
      </c>
      <c r="K237" s="23">
        <v>0</v>
      </c>
      <c r="L237" s="234">
        <v>240</v>
      </c>
      <c r="M237" s="23">
        <v>48</v>
      </c>
      <c r="N237" s="23">
        <v>0</v>
      </c>
      <c r="O237" s="37">
        <v>0</v>
      </c>
      <c r="P237" s="37">
        <v>0</v>
      </c>
      <c r="Q237" s="23">
        <v>0</v>
      </c>
      <c r="R237" s="24">
        <v>0.13830000000000001</v>
      </c>
      <c r="S237" s="7" t="s">
        <v>115</v>
      </c>
      <c r="T237" s="257">
        <f t="shared" si="6"/>
        <v>240</v>
      </c>
      <c r="U237" s="257">
        <f t="shared" si="7"/>
        <v>48</v>
      </c>
      <c r="V237">
        <v>1</v>
      </c>
      <c r="W237">
        <v>1</v>
      </c>
    </row>
    <row r="238" spans="1:23" ht="34.200000000000003" x14ac:dyDescent="0.3">
      <c r="A238" s="129">
        <v>37796</v>
      </c>
      <c r="B238" s="129">
        <v>37796</v>
      </c>
      <c r="C238" s="6">
        <v>6</v>
      </c>
      <c r="D238" s="6">
        <v>1</v>
      </c>
      <c r="E238" s="19">
        <v>2003</v>
      </c>
      <c r="F238" s="15" t="s">
        <v>22</v>
      </c>
      <c r="G238" s="18" t="s">
        <v>6256</v>
      </c>
      <c r="H238" s="9" t="s">
        <v>55</v>
      </c>
      <c r="I238" s="17" t="s">
        <v>381</v>
      </c>
      <c r="J238" s="17" t="s">
        <v>382</v>
      </c>
      <c r="K238" s="23">
        <v>0</v>
      </c>
      <c r="L238" s="234">
        <v>75</v>
      </c>
      <c r="M238" s="23">
        <v>15</v>
      </c>
      <c r="N238" s="23">
        <v>0</v>
      </c>
      <c r="O238" s="37">
        <v>0</v>
      </c>
      <c r="P238" s="37">
        <v>0</v>
      </c>
      <c r="Q238" s="23">
        <v>0</v>
      </c>
      <c r="R238" s="24">
        <v>4.3200000000000002E-2</v>
      </c>
      <c r="S238" s="7" t="s">
        <v>115</v>
      </c>
      <c r="T238" s="257">
        <f t="shared" si="6"/>
        <v>75</v>
      </c>
      <c r="U238" s="257">
        <f t="shared" si="7"/>
        <v>15</v>
      </c>
      <c r="V238">
        <v>1</v>
      </c>
      <c r="W238">
        <v>1</v>
      </c>
    </row>
    <row r="239" spans="1:23" ht="216.6" x14ac:dyDescent="0.3">
      <c r="A239" s="211">
        <v>41507</v>
      </c>
      <c r="B239" s="211">
        <v>41507</v>
      </c>
      <c r="C239" s="6">
        <v>8</v>
      </c>
      <c r="D239" s="6">
        <v>1</v>
      </c>
      <c r="E239" s="19">
        <v>2013</v>
      </c>
      <c r="F239" s="7" t="s">
        <v>17</v>
      </c>
      <c r="G239" s="16" t="s">
        <v>6260</v>
      </c>
      <c r="H239" s="9" t="s">
        <v>48</v>
      </c>
      <c r="I239" s="20" t="s">
        <v>383</v>
      </c>
      <c r="J239" s="21" t="s">
        <v>384</v>
      </c>
      <c r="K239" s="22">
        <v>0</v>
      </c>
      <c r="L239" s="234">
        <v>390</v>
      </c>
      <c r="M239" s="23">
        <v>78</v>
      </c>
      <c r="N239" s="23">
        <v>18</v>
      </c>
      <c r="O239" s="23">
        <v>11</v>
      </c>
      <c r="P239" s="23">
        <v>0</v>
      </c>
      <c r="Q239" s="23">
        <v>0</v>
      </c>
      <c r="R239" s="24">
        <f>118.5 + 53.33</f>
        <v>171.82999999999998</v>
      </c>
      <c r="S239" s="25" t="s">
        <v>149</v>
      </c>
      <c r="T239" s="257">
        <f t="shared" si="6"/>
        <v>390</v>
      </c>
      <c r="U239" s="257">
        <f t="shared" si="7"/>
        <v>107</v>
      </c>
      <c r="V239">
        <v>1</v>
      </c>
      <c r="W239">
        <v>1</v>
      </c>
    </row>
    <row r="240" spans="1:23" ht="34.200000000000003" x14ac:dyDescent="0.3">
      <c r="A240" s="129">
        <v>37796</v>
      </c>
      <c r="B240" s="129">
        <v>37796</v>
      </c>
      <c r="C240" s="6">
        <v>6</v>
      </c>
      <c r="D240" s="6">
        <v>1</v>
      </c>
      <c r="E240" s="19">
        <v>2003</v>
      </c>
      <c r="F240" s="15" t="s">
        <v>22</v>
      </c>
      <c r="G240" s="18" t="s">
        <v>6256</v>
      </c>
      <c r="H240" s="9" t="s">
        <v>31</v>
      </c>
      <c r="I240" s="17" t="s">
        <v>385</v>
      </c>
      <c r="J240" s="17" t="s">
        <v>386</v>
      </c>
      <c r="K240" s="23">
        <v>0</v>
      </c>
      <c r="L240" s="234">
        <v>75</v>
      </c>
      <c r="M240" s="23">
        <v>15</v>
      </c>
      <c r="N240" s="23">
        <v>0</v>
      </c>
      <c r="O240" s="37">
        <v>0</v>
      </c>
      <c r="P240" s="37">
        <v>0</v>
      </c>
      <c r="Q240" s="23">
        <v>0</v>
      </c>
      <c r="R240" s="24">
        <v>4.3229999999999998E-2</v>
      </c>
      <c r="S240" s="7" t="s">
        <v>115</v>
      </c>
      <c r="T240" s="257">
        <f t="shared" si="6"/>
        <v>75</v>
      </c>
      <c r="U240" s="257">
        <f t="shared" si="7"/>
        <v>15</v>
      </c>
      <c r="V240">
        <v>1</v>
      </c>
      <c r="W240">
        <v>1</v>
      </c>
    </row>
    <row r="241" spans="1:23" ht="57" x14ac:dyDescent="0.3">
      <c r="A241" s="129">
        <v>37796</v>
      </c>
      <c r="B241" s="129">
        <v>37796</v>
      </c>
      <c r="C241" s="6">
        <v>6</v>
      </c>
      <c r="D241" s="6">
        <v>1</v>
      </c>
      <c r="E241" s="19">
        <v>2003</v>
      </c>
      <c r="F241" s="15" t="s">
        <v>22</v>
      </c>
      <c r="G241" s="18" t="s">
        <v>6256</v>
      </c>
      <c r="H241" s="9" t="s">
        <v>55</v>
      </c>
      <c r="I241" s="17" t="s">
        <v>303</v>
      </c>
      <c r="J241" s="17" t="s">
        <v>387</v>
      </c>
      <c r="K241" s="23">
        <v>0</v>
      </c>
      <c r="L241" s="234">
        <v>40</v>
      </c>
      <c r="M241" s="23">
        <v>8</v>
      </c>
      <c r="N241" s="23">
        <v>0</v>
      </c>
      <c r="O241" s="37">
        <v>0</v>
      </c>
      <c r="P241" s="37">
        <v>0</v>
      </c>
      <c r="Q241" s="23">
        <v>0</v>
      </c>
      <c r="R241" s="24">
        <v>0.45500000000000002</v>
      </c>
      <c r="S241" s="7" t="s">
        <v>115</v>
      </c>
      <c r="T241" s="257">
        <f t="shared" si="6"/>
        <v>40</v>
      </c>
      <c r="U241" s="257">
        <f t="shared" si="7"/>
        <v>8</v>
      </c>
      <c r="V241">
        <v>1</v>
      </c>
      <c r="W241">
        <v>1</v>
      </c>
    </row>
    <row r="242" spans="1:23" ht="34.200000000000003" x14ac:dyDescent="0.3">
      <c r="A242" s="129">
        <v>37797</v>
      </c>
      <c r="B242" s="129">
        <v>37797</v>
      </c>
      <c r="C242" s="6">
        <v>6</v>
      </c>
      <c r="D242" s="6">
        <v>1</v>
      </c>
      <c r="E242" s="19">
        <v>2003</v>
      </c>
      <c r="F242" s="15" t="s">
        <v>22</v>
      </c>
      <c r="G242" s="18" t="s">
        <v>6256</v>
      </c>
      <c r="H242" s="9" t="s">
        <v>174</v>
      </c>
      <c r="I242" s="17" t="s">
        <v>388</v>
      </c>
      <c r="J242" s="17" t="s">
        <v>389</v>
      </c>
      <c r="K242" s="23">
        <v>0</v>
      </c>
      <c r="L242" s="234">
        <v>300</v>
      </c>
      <c r="M242" s="23">
        <v>60</v>
      </c>
      <c r="N242" s="23">
        <v>0</v>
      </c>
      <c r="O242" s="37">
        <v>0</v>
      </c>
      <c r="P242" s="37">
        <v>0</v>
      </c>
      <c r="Q242" s="23">
        <v>0</v>
      </c>
      <c r="R242" s="24">
        <v>0.17199999999999999</v>
      </c>
      <c r="S242" s="7" t="s">
        <v>115</v>
      </c>
      <c r="T242" s="257">
        <f t="shared" si="6"/>
        <v>300</v>
      </c>
      <c r="U242" s="257">
        <f t="shared" si="7"/>
        <v>60</v>
      </c>
      <c r="V242">
        <v>1</v>
      </c>
      <c r="W242">
        <v>1</v>
      </c>
    </row>
    <row r="243" spans="1:23" ht="91.2" x14ac:dyDescent="0.3">
      <c r="A243" s="129">
        <v>37798</v>
      </c>
      <c r="B243" s="129">
        <v>37798</v>
      </c>
      <c r="C243" s="6">
        <v>6</v>
      </c>
      <c r="D243" s="6">
        <v>1</v>
      </c>
      <c r="E243" s="19">
        <v>2003</v>
      </c>
      <c r="F243" s="15" t="s">
        <v>22</v>
      </c>
      <c r="G243" s="18" t="s">
        <v>6256</v>
      </c>
      <c r="H243" s="9" t="s">
        <v>61</v>
      </c>
      <c r="I243" s="17" t="s">
        <v>317</v>
      </c>
      <c r="J243" s="62" t="s">
        <v>390</v>
      </c>
      <c r="K243" s="23">
        <v>0</v>
      </c>
      <c r="L243" s="234">
        <v>148076</v>
      </c>
      <c r="M243" s="23">
        <v>29615</v>
      </c>
      <c r="N243" s="23">
        <v>0</v>
      </c>
      <c r="O243" s="37">
        <v>0</v>
      </c>
      <c r="P243" s="37">
        <v>0</v>
      </c>
      <c r="Q243" s="23">
        <v>10</v>
      </c>
      <c r="R243" s="24">
        <v>85.35</v>
      </c>
      <c r="S243" s="7" t="s">
        <v>115</v>
      </c>
      <c r="T243" s="257">
        <f t="shared" si="6"/>
        <v>148076</v>
      </c>
      <c r="U243" s="257">
        <f t="shared" si="7"/>
        <v>29615</v>
      </c>
      <c r="V243">
        <v>3</v>
      </c>
      <c r="W243">
        <v>3</v>
      </c>
    </row>
    <row r="244" spans="1:23" ht="57" x14ac:dyDescent="0.3">
      <c r="A244" s="129">
        <v>37798</v>
      </c>
      <c r="B244" s="129">
        <v>37798</v>
      </c>
      <c r="C244" s="6">
        <v>6</v>
      </c>
      <c r="D244" s="6">
        <v>1</v>
      </c>
      <c r="E244" s="19">
        <v>2003</v>
      </c>
      <c r="F244" s="15" t="s">
        <v>22</v>
      </c>
      <c r="G244" s="18" t="s">
        <v>6256</v>
      </c>
      <c r="H244" s="9" t="s">
        <v>69</v>
      </c>
      <c r="I244" s="17" t="s">
        <v>391</v>
      </c>
      <c r="J244" s="62" t="s">
        <v>392</v>
      </c>
      <c r="K244" s="23">
        <v>0</v>
      </c>
      <c r="L244" s="234">
        <v>182</v>
      </c>
      <c r="M244" s="23">
        <v>0</v>
      </c>
      <c r="N244" s="23">
        <v>0</v>
      </c>
      <c r="O244" s="37">
        <v>0</v>
      </c>
      <c r="P244" s="37">
        <v>0</v>
      </c>
      <c r="Q244" s="23">
        <v>0</v>
      </c>
      <c r="R244" s="24">
        <v>0</v>
      </c>
      <c r="S244" s="7" t="s">
        <v>115</v>
      </c>
      <c r="T244" s="257">
        <f t="shared" si="6"/>
        <v>182</v>
      </c>
      <c r="U244" s="257">
        <f t="shared" si="7"/>
        <v>0</v>
      </c>
      <c r="V244">
        <v>1</v>
      </c>
      <c r="W244">
        <v>0</v>
      </c>
    </row>
    <row r="245" spans="1:23" ht="45.6" x14ac:dyDescent="0.3">
      <c r="A245" s="129">
        <v>37802</v>
      </c>
      <c r="B245" s="129">
        <v>37802</v>
      </c>
      <c r="C245" s="6">
        <v>6</v>
      </c>
      <c r="D245" s="6">
        <v>1</v>
      </c>
      <c r="E245" s="19">
        <v>2003</v>
      </c>
      <c r="F245" s="15" t="s">
        <v>22</v>
      </c>
      <c r="G245" s="18" t="s">
        <v>6256</v>
      </c>
      <c r="H245" s="9" t="s">
        <v>88</v>
      </c>
      <c r="I245" s="17" t="s">
        <v>393</v>
      </c>
      <c r="J245" s="62" t="s">
        <v>394</v>
      </c>
      <c r="K245" s="23">
        <v>0</v>
      </c>
      <c r="L245" s="234">
        <v>2500</v>
      </c>
      <c r="M245" s="23">
        <v>500</v>
      </c>
      <c r="N245" s="23">
        <v>0</v>
      </c>
      <c r="O245" s="37">
        <v>0</v>
      </c>
      <c r="P245" s="37">
        <v>0</v>
      </c>
      <c r="Q245" s="23">
        <v>0</v>
      </c>
      <c r="R245" s="24">
        <v>1.4410000000000001</v>
      </c>
      <c r="S245" s="7" t="s">
        <v>115</v>
      </c>
      <c r="T245" s="257">
        <f t="shared" si="6"/>
        <v>2500</v>
      </c>
      <c r="U245" s="257">
        <f t="shared" si="7"/>
        <v>500</v>
      </c>
      <c r="V245">
        <v>1</v>
      </c>
      <c r="W245">
        <v>1</v>
      </c>
    </row>
    <row r="246" spans="1:23" ht="45.6" x14ac:dyDescent="0.3">
      <c r="A246" s="129">
        <v>37805</v>
      </c>
      <c r="B246" s="129">
        <v>37805</v>
      </c>
      <c r="C246" s="6">
        <v>7</v>
      </c>
      <c r="D246" s="6">
        <v>1</v>
      </c>
      <c r="E246" s="19">
        <v>2003</v>
      </c>
      <c r="F246" s="15" t="s">
        <v>22</v>
      </c>
      <c r="G246" s="18" t="s">
        <v>6256</v>
      </c>
      <c r="H246" s="9" t="s">
        <v>61</v>
      </c>
      <c r="I246" s="17" t="s">
        <v>395</v>
      </c>
      <c r="J246" s="62" t="s">
        <v>396</v>
      </c>
      <c r="K246" s="23">
        <v>0</v>
      </c>
      <c r="L246" s="234">
        <v>90</v>
      </c>
      <c r="M246" s="23">
        <v>18</v>
      </c>
      <c r="N246" s="23">
        <v>0</v>
      </c>
      <c r="O246" s="37">
        <v>0</v>
      </c>
      <c r="P246" s="37">
        <v>0</v>
      </c>
      <c r="Q246" s="23">
        <v>0</v>
      </c>
      <c r="R246" s="24">
        <v>0.123</v>
      </c>
      <c r="S246" s="7" t="s">
        <v>115</v>
      </c>
      <c r="T246" s="257">
        <f t="shared" si="6"/>
        <v>90</v>
      </c>
      <c r="U246" s="257">
        <f t="shared" si="7"/>
        <v>18</v>
      </c>
      <c r="V246">
        <v>1</v>
      </c>
      <c r="W246">
        <v>1</v>
      </c>
    </row>
    <row r="247" spans="1:23" ht="34.200000000000003" x14ac:dyDescent="0.3">
      <c r="A247" s="129">
        <v>37805</v>
      </c>
      <c r="B247" s="129">
        <v>37805</v>
      </c>
      <c r="C247" s="6">
        <v>7</v>
      </c>
      <c r="D247" s="6">
        <v>1</v>
      </c>
      <c r="E247" s="19">
        <v>2003</v>
      </c>
      <c r="F247" s="15" t="s">
        <v>22</v>
      </c>
      <c r="G247" s="18" t="s">
        <v>6256</v>
      </c>
      <c r="H247" s="9" t="s">
        <v>66</v>
      </c>
      <c r="I247" s="17" t="s">
        <v>397</v>
      </c>
      <c r="J247" s="62" t="s">
        <v>398</v>
      </c>
      <c r="K247" s="23">
        <v>0</v>
      </c>
      <c r="L247" s="234">
        <v>63</v>
      </c>
      <c r="M247" s="23">
        <v>13</v>
      </c>
      <c r="N247" s="23">
        <v>0</v>
      </c>
      <c r="O247" s="37">
        <v>0</v>
      </c>
      <c r="P247" s="37">
        <v>0</v>
      </c>
      <c r="Q247" s="23">
        <v>0</v>
      </c>
      <c r="R247" s="24">
        <v>3.7400000000000003E-2</v>
      </c>
      <c r="S247" s="7" t="s">
        <v>115</v>
      </c>
      <c r="T247" s="257">
        <f t="shared" si="6"/>
        <v>63</v>
      </c>
      <c r="U247" s="257">
        <f t="shared" si="7"/>
        <v>13</v>
      </c>
      <c r="V247">
        <v>1</v>
      </c>
      <c r="W247">
        <v>1</v>
      </c>
    </row>
    <row r="248" spans="1:23" ht="22.8" x14ac:dyDescent="0.3">
      <c r="A248" s="129">
        <v>37805</v>
      </c>
      <c r="B248" s="129">
        <v>37805</v>
      </c>
      <c r="C248" s="6">
        <v>7</v>
      </c>
      <c r="D248" s="6">
        <v>1</v>
      </c>
      <c r="E248" s="19">
        <v>2003</v>
      </c>
      <c r="F248" s="15" t="s">
        <v>22</v>
      </c>
      <c r="G248" s="18" t="s">
        <v>6256</v>
      </c>
      <c r="H248" s="9" t="s">
        <v>61</v>
      </c>
      <c r="I248" s="17" t="s">
        <v>399</v>
      </c>
      <c r="J248" s="62" t="s">
        <v>400</v>
      </c>
      <c r="K248" s="23">
        <v>0</v>
      </c>
      <c r="L248" s="234">
        <v>400</v>
      </c>
      <c r="M248" s="23">
        <v>80</v>
      </c>
      <c r="N248" s="23">
        <v>0</v>
      </c>
      <c r="O248" s="37">
        <v>0</v>
      </c>
      <c r="P248" s="37">
        <v>0</v>
      </c>
      <c r="Q248" s="23">
        <v>0</v>
      </c>
      <c r="R248" s="24">
        <v>0.23</v>
      </c>
      <c r="S248" s="7" t="s">
        <v>115</v>
      </c>
      <c r="T248" s="257">
        <f t="shared" si="6"/>
        <v>400</v>
      </c>
      <c r="U248" s="257">
        <f t="shared" si="7"/>
        <v>80</v>
      </c>
      <c r="V248">
        <v>1</v>
      </c>
      <c r="W248">
        <v>1</v>
      </c>
    </row>
    <row r="249" spans="1:23" ht="68.400000000000006" x14ac:dyDescent="0.3">
      <c r="A249" s="129">
        <v>37806</v>
      </c>
      <c r="B249" s="129">
        <v>37806</v>
      </c>
      <c r="C249" s="6">
        <v>7</v>
      </c>
      <c r="D249" s="6">
        <v>1</v>
      </c>
      <c r="E249" s="19">
        <v>2003</v>
      </c>
      <c r="F249" s="15" t="s">
        <v>22</v>
      </c>
      <c r="G249" s="18" t="s">
        <v>6256</v>
      </c>
      <c r="H249" s="9" t="s">
        <v>55</v>
      </c>
      <c r="I249" s="17" t="s">
        <v>401</v>
      </c>
      <c r="J249" s="62" t="s">
        <v>402</v>
      </c>
      <c r="K249" s="23">
        <v>0</v>
      </c>
      <c r="L249" s="234">
        <v>5000</v>
      </c>
      <c r="M249" s="23">
        <v>2000</v>
      </c>
      <c r="N249" s="23">
        <v>0</v>
      </c>
      <c r="O249" s="37">
        <v>0</v>
      </c>
      <c r="P249" s="37">
        <v>0</v>
      </c>
      <c r="Q249" s="23">
        <v>0</v>
      </c>
      <c r="R249" s="24">
        <v>5.76</v>
      </c>
      <c r="S249" s="7" t="s">
        <v>115</v>
      </c>
      <c r="T249" s="257">
        <f t="shared" si="6"/>
        <v>5000</v>
      </c>
      <c r="U249" s="257">
        <f t="shared" si="7"/>
        <v>2000</v>
      </c>
      <c r="V249">
        <v>1</v>
      </c>
      <c r="W249">
        <v>2</v>
      </c>
    </row>
    <row r="250" spans="1:23" ht="57" x14ac:dyDescent="0.3">
      <c r="A250" s="129">
        <v>37807</v>
      </c>
      <c r="B250" s="129">
        <v>37807</v>
      </c>
      <c r="C250" s="6">
        <v>7</v>
      </c>
      <c r="D250" s="6">
        <v>1</v>
      </c>
      <c r="E250" s="19">
        <v>2003</v>
      </c>
      <c r="F250" s="15" t="s">
        <v>22</v>
      </c>
      <c r="G250" s="18" t="s">
        <v>6256</v>
      </c>
      <c r="H250" s="9" t="s">
        <v>70</v>
      </c>
      <c r="I250" s="17" t="s">
        <v>403</v>
      </c>
      <c r="J250" s="62" t="s">
        <v>404</v>
      </c>
      <c r="K250" s="23">
        <v>1</v>
      </c>
      <c r="L250" s="234">
        <v>590</v>
      </c>
      <c r="M250" s="23">
        <v>118</v>
      </c>
      <c r="N250" s="23">
        <v>0</v>
      </c>
      <c r="O250" s="37">
        <v>0</v>
      </c>
      <c r="P250" s="37">
        <v>0</v>
      </c>
      <c r="Q250" s="23">
        <v>0</v>
      </c>
      <c r="R250" s="24">
        <v>0.34</v>
      </c>
      <c r="S250" s="7" t="s">
        <v>115</v>
      </c>
      <c r="T250" s="257">
        <f t="shared" si="6"/>
        <v>591</v>
      </c>
      <c r="U250" s="257">
        <f t="shared" si="7"/>
        <v>118</v>
      </c>
      <c r="V250">
        <v>1</v>
      </c>
      <c r="W250">
        <v>1</v>
      </c>
    </row>
    <row r="251" spans="1:23" ht="68.400000000000006" x14ac:dyDescent="0.3">
      <c r="A251" s="129">
        <v>37807</v>
      </c>
      <c r="B251" s="129">
        <v>37807</v>
      </c>
      <c r="C251" s="6">
        <v>7</v>
      </c>
      <c r="D251" s="6">
        <v>1</v>
      </c>
      <c r="E251" s="19">
        <v>2003</v>
      </c>
      <c r="F251" s="15" t="s">
        <v>22</v>
      </c>
      <c r="G251" s="18" t="s">
        <v>6256</v>
      </c>
      <c r="H251" s="9" t="s">
        <v>52</v>
      </c>
      <c r="I251" s="17" t="s">
        <v>405</v>
      </c>
      <c r="J251" s="62" t="s">
        <v>406</v>
      </c>
      <c r="K251" s="23">
        <v>0</v>
      </c>
      <c r="L251" s="234">
        <v>2500</v>
      </c>
      <c r="M251" s="23">
        <v>500</v>
      </c>
      <c r="N251" s="23">
        <v>0</v>
      </c>
      <c r="O251" s="37">
        <v>0</v>
      </c>
      <c r="P251" s="37">
        <v>0</v>
      </c>
      <c r="Q251" s="23">
        <v>0</v>
      </c>
      <c r="R251" s="24">
        <v>2.52</v>
      </c>
      <c r="S251" s="7" t="s">
        <v>115</v>
      </c>
      <c r="T251" s="257">
        <f t="shared" si="6"/>
        <v>2500</v>
      </c>
      <c r="U251" s="257">
        <f t="shared" si="7"/>
        <v>500</v>
      </c>
      <c r="V251">
        <v>1</v>
      </c>
      <c r="W251">
        <v>1</v>
      </c>
    </row>
    <row r="252" spans="1:23" ht="34.200000000000003" x14ac:dyDescent="0.3">
      <c r="A252" s="129">
        <v>37808</v>
      </c>
      <c r="B252" s="129">
        <v>37808</v>
      </c>
      <c r="C252" s="6">
        <v>7</v>
      </c>
      <c r="D252" s="6">
        <v>1</v>
      </c>
      <c r="E252" s="19">
        <v>2003</v>
      </c>
      <c r="F252" s="15" t="s">
        <v>22</v>
      </c>
      <c r="G252" s="18" t="s">
        <v>6256</v>
      </c>
      <c r="H252" s="9" t="s">
        <v>37</v>
      </c>
      <c r="I252" s="17" t="s">
        <v>407</v>
      </c>
      <c r="J252" s="62" t="s">
        <v>408</v>
      </c>
      <c r="K252" s="23">
        <v>0</v>
      </c>
      <c r="L252" s="234">
        <v>100</v>
      </c>
      <c r="M252" s="23">
        <v>20</v>
      </c>
      <c r="N252" s="23">
        <v>0</v>
      </c>
      <c r="O252" s="37">
        <v>0</v>
      </c>
      <c r="P252" s="37">
        <v>0</v>
      </c>
      <c r="Q252" s="23">
        <v>0</v>
      </c>
      <c r="R252" s="24">
        <v>5.8000000000000003E-2</v>
      </c>
      <c r="S252" s="7" t="s">
        <v>115</v>
      </c>
      <c r="T252" s="257">
        <f t="shared" si="6"/>
        <v>100</v>
      </c>
      <c r="U252" s="257">
        <f t="shared" si="7"/>
        <v>20</v>
      </c>
      <c r="V252">
        <v>1</v>
      </c>
      <c r="W252">
        <v>1</v>
      </c>
    </row>
    <row r="253" spans="1:23" ht="34.200000000000003" x14ac:dyDescent="0.3">
      <c r="A253" s="129">
        <v>37810</v>
      </c>
      <c r="B253" s="129">
        <v>37810</v>
      </c>
      <c r="C253" s="6">
        <v>7</v>
      </c>
      <c r="D253" s="6">
        <v>1</v>
      </c>
      <c r="E253" s="19">
        <v>2003</v>
      </c>
      <c r="F253" s="15" t="s">
        <v>22</v>
      </c>
      <c r="G253" s="18" t="s">
        <v>6256</v>
      </c>
      <c r="H253" s="9" t="s">
        <v>66</v>
      </c>
      <c r="I253" s="17" t="s">
        <v>409</v>
      </c>
      <c r="J253" s="62" t="s">
        <v>410</v>
      </c>
      <c r="K253" s="23">
        <v>0</v>
      </c>
      <c r="L253" s="234">
        <v>1500</v>
      </c>
      <c r="M253" s="23">
        <v>300</v>
      </c>
      <c r="N253" s="23">
        <v>0</v>
      </c>
      <c r="O253" s="37">
        <v>0</v>
      </c>
      <c r="P253" s="37">
        <v>0</v>
      </c>
      <c r="Q253" s="23">
        <v>0</v>
      </c>
      <c r="R253" s="24">
        <v>0.86499999999999999</v>
      </c>
      <c r="S253" s="7" t="s">
        <v>115</v>
      </c>
      <c r="T253" s="257">
        <f t="shared" si="6"/>
        <v>1500</v>
      </c>
      <c r="U253" s="257">
        <f t="shared" si="7"/>
        <v>300</v>
      </c>
      <c r="V253">
        <v>1</v>
      </c>
      <c r="W253">
        <v>1</v>
      </c>
    </row>
    <row r="254" spans="1:23" ht="22.8" x14ac:dyDescent="0.3">
      <c r="A254" s="129">
        <v>37809</v>
      </c>
      <c r="B254" s="129">
        <v>37809</v>
      </c>
      <c r="C254" s="6">
        <v>7</v>
      </c>
      <c r="D254" s="6">
        <v>1</v>
      </c>
      <c r="E254" s="19">
        <v>2003</v>
      </c>
      <c r="F254" s="15" t="s">
        <v>22</v>
      </c>
      <c r="G254" s="18" t="s">
        <v>6256</v>
      </c>
      <c r="H254" s="9" t="s">
        <v>66</v>
      </c>
      <c r="I254" s="17" t="s">
        <v>411</v>
      </c>
      <c r="J254" s="62" t="s">
        <v>412</v>
      </c>
      <c r="K254" s="23">
        <v>0</v>
      </c>
      <c r="L254" s="234">
        <v>55</v>
      </c>
      <c r="M254" s="23">
        <v>11</v>
      </c>
      <c r="N254" s="23">
        <v>0</v>
      </c>
      <c r="O254" s="37">
        <v>0</v>
      </c>
      <c r="P254" s="37">
        <v>0</v>
      </c>
      <c r="Q254" s="23">
        <v>0</v>
      </c>
      <c r="R254" s="24">
        <v>3.2000000000000001E-2</v>
      </c>
      <c r="S254" s="7" t="s">
        <v>115</v>
      </c>
      <c r="T254" s="257">
        <f t="shared" si="6"/>
        <v>55</v>
      </c>
      <c r="U254" s="257">
        <f t="shared" si="7"/>
        <v>11</v>
      </c>
      <c r="V254">
        <v>1</v>
      </c>
      <c r="W254">
        <v>1</v>
      </c>
    </row>
    <row r="255" spans="1:23" ht="57" x14ac:dyDescent="0.3">
      <c r="A255" s="129">
        <v>37809</v>
      </c>
      <c r="B255" s="129">
        <v>37809</v>
      </c>
      <c r="C255" s="6">
        <v>7</v>
      </c>
      <c r="D255" s="6">
        <v>1</v>
      </c>
      <c r="E255" s="19">
        <v>2003</v>
      </c>
      <c r="F255" s="15" t="s">
        <v>22</v>
      </c>
      <c r="G255" s="18" t="s">
        <v>6256</v>
      </c>
      <c r="H255" s="9" t="s">
        <v>46</v>
      </c>
      <c r="I255" s="17" t="s">
        <v>317</v>
      </c>
      <c r="J255" s="62" t="s">
        <v>413</v>
      </c>
      <c r="K255" s="23">
        <v>0</v>
      </c>
      <c r="L255" s="234">
        <v>852</v>
      </c>
      <c r="M255" s="23">
        <v>500</v>
      </c>
      <c r="N255" s="23">
        <v>0</v>
      </c>
      <c r="O255" s="37">
        <v>0</v>
      </c>
      <c r="P255" s="37">
        <v>0</v>
      </c>
      <c r="Q255" s="23">
        <v>6515</v>
      </c>
      <c r="R255" s="24">
        <v>1.4</v>
      </c>
      <c r="S255" s="7" t="s">
        <v>115</v>
      </c>
      <c r="T255" s="257">
        <f t="shared" si="6"/>
        <v>852</v>
      </c>
      <c r="U255" s="257">
        <f t="shared" si="7"/>
        <v>500</v>
      </c>
      <c r="V255">
        <v>1</v>
      </c>
      <c r="W255">
        <v>1</v>
      </c>
    </row>
    <row r="256" spans="1:23" ht="79.8" x14ac:dyDescent="0.3">
      <c r="A256" s="129">
        <v>37809</v>
      </c>
      <c r="B256" s="129">
        <v>37809</v>
      </c>
      <c r="C256" s="6">
        <v>7</v>
      </c>
      <c r="D256" s="6">
        <v>1</v>
      </c>
      <c r="E256" s="19">
        <v>2003</v>
      </c>
      <c r="F256" s="15" t="s">
        <v>22</v>
      </c>
      <c r="G256" s="18" t="s">
        <v>6256</v>
      </c>
      <c r="H256" s="9" t="s">
        <v>118</v>
      </c>
      <c r="I256" s="17" t="s">
        <v>95</v>
      </c>
      <c r="J256" s="62" t="s">
        <v>414</v>
      </c>
      <c r="K256" s="23">
        <v>0</v>
      </c>
      <c r="L256" s="234">
        <v>6</v>
      </c>
      <c r="M256" s="23">
        <v>0</v>
      </c>
      <c r="N256" s="23">
        <v>0</v>
      </c>
      <c r="O256" s="37">
        <v>0</v>
      </c>
      <c r="P256" s="37">
        <v>0</v>
      </c>
      <c r="Q256" s="23">
        <v>0</v>
      </c>
      <c r="R256" s="24">
        <v>0</v>
      </c>
      <c r="S256" s="7" t="s">
        <v>115</v>
      </c>
      <c r="T256" s="257">
        <f t="shared" si="6"/>
        <v>6</v>
      </c>
      <c r="U256" s="257">
        <f t="shared" si="7"/>
        <v>0</v>
      </c>
      <c r="V256">
        <v>1</v>
      </c>
      <c r="W256">
        <v>0</v>
      </c>
    </row>
    <row r="257" spans="1:23" ht="57" x14ac:dyDescent="0.3">
      <c r="A257" s="129">
        <v>37811</v>
      </c>
      <c r="B257" s="129">
        <v>37811</v>
      </c>
      <c r="C257" s="6">
        <v>7</v>
      </c>
      <c r="D257" s="6">
        <v>1</v>
      </c>
      <c r="E257" s="19">
        <v>2003</v>
      </c>
      <c r="F257" s="15" t="s">
        <v>22</v>
      </c>
      <c r="G257" s="18" t="s">
        <v>6256</v>
      </c>
      <c r="H257" s="9" t="s">
        <v>74</v>
      </c>
      <c r="I257" s="17" t="s">
        <v>415</v>
      </c>
      <c r="J257" s="62" t="s">
        <v>416</v>
      </c>
      <c r="K257" s="23">
        <v>0</v>
      </c>
      <c r="L257" s="234">
        <v>120</v>
      </c>
      <c r="M257" s="23">
        <v>24</v>
      </c>
      <c r="N257" s="23">
        <v>0</v>
      </c>
      <c r="O257" s="37">
        <v>0</v>
      </c>
      <c r="P257" s="37">
        <v>0</v>
      </c>
      <c r="Q257" s="23">
        <v>0</v>
      </c>
      <c r="R257" s="24">
        <v>6.9000000000000006E-2</v>
      </c>
      <c r="S257" s="7" t="s">
        <v>115</v>
      </c>
      <c r="T257" s="257">
        <f t="shared" si="6"/>
        <v>120</v>
      </c>
      <c r="U257" s="257">
        <f t="shared" si="7"/>
        <v>24</v>
      </c>
      <c r="V257">
        <v>1</v>
      </c>
      <c r="W257">
        <v>1</v>
      </c>
    </row>
    <row r="258" spans="1:23" ht="34.200000000000003" x14ac:dyDescent="0.3">
      <c r="A258" s="129">
        <v>37812</v>
      </c>
      <c r="B258" s="129">
        <v>37812</v>
      </c>
      <c r="C258" s="6">
        <v>7</v>
      </c>
      <c r="D258" s="6">
        <v>1</v>
      </c>
      <c r="E258" s="19">
        <v>2003</v>
      </c>
      <c r="F258" s="15" t="s">
        <v>22</v>
      </c>
      <c r="G258" s="18" t="s">
        <v>6256</v>
      </c>
      <c r="H258" s="9" t="s">
        <v>124</v>
      </c>
      <c r="I258" s="17" t="s">
        <v>95</v>
      </c>
      <c r="J258" s="62" t="s">
        <v>417</v>
      </c>
      <c r="K258" s="23">
        <v>0</v>
      </c>
      <c r="L258" s="234">
        <v>650</v>
      </c>
      <c r="M258" s="23">
        <v>0</v>
      </c>
      <c r="N258" s="23">
        <v>0</v>
      </c>
      <c r="O258" s="37">
        <v>0</v>
      </c>
      <c r="P258" s="37">
        <v>0</v>
      </c>
      <c r="Q258" s="23">
        <v>0</v>
      </c>
      <c r="R258" s="24">
        <v>0</v>
      </c>
      <c r="S258" s="7" t="s">
        <v>115</v>
      </c>
      <c r="T258" s="257">
        <f t="shared" si="6"/>
        <v>650</v>
      </c>
      <c r="U258" s="257">
        <f t="shared" si="7"/>
        <v>0</v>
      </c>
      <c r="V258">
        <v>1</v>
      </c>
      <c r="W258">
        <v>0</v>
      </c>
    </row>
    <row r="259" spans="1:23" ht="45.6" x14ac:dyDescent="0.3">
      <c r="A259" s="129">
        <v>37812</v>
      </c>
      <c r="B259" s="129">
        <v>37812</v>
      </c>
      <c r="C259" s="6">
        <v>7</v>
      </c>
      <c r="D259" s="6">
        <v>1</v>
      </c>
      <c r="E259" s="19">
        <v>2003</v>
      </c>
      <c r="F259" s="15" t="s">
        <v>22</v>
      </c>
      <c r="G259" s="18" t="s">
        <v>6256</v>
      </c>
      <c r="H259" s="9" t="s">
        <v>69</v>
      </c>
      <c r="I259" s="17" t="s">
        <v>95</v>
      </c>
      <c r="J259" s="62" t="s">
        <v>418</v>
      </c>
      <c r="K259" s="23">
        <v>0</v>
      </c>
      <c r="L259" s="234">
        <v>0</v>
      </c>
      <c r="M259" s="23">
        <v>0</v>
      </c>
      <c r="N259" s="23">
        <v>0</v>
      </c>
      <c r="O259" s="37">
        <v>0</v>
      </c>
      <c r="P259" s="37">
        <v>0</v>
      </c>
      <c r="Q259" s="23">
        <v>0</v>
      </c>
      <c r="R259" s="24">
        <v>0</v>
      </c>
      <c r="S259" s="7" t="s">
        <v>115</v>
      </c>
      <c r="T259" s="257">
        <f t="shared" ref="T259:T322" si="8">SUM(K259:L259)</f>
        <v>0</v>
      </c>
      <c r="U259" s="257">
        <f t="shared" ref="U259:U322" si="9">SUM(M259:P259)</f>
        <v>0</v>
      </c>
      <c r="V259">
        <v>0</v>
      </c>
      <c r="W259">
        <v>0</v>
      </c>
    </row>
    <row r="260" spans="1:23" ht="57" x14ac:dyDescent="0.3">
      <c r="A260" s="129">
        <v>37781</v>
      </c>
      <c r="B260" s="129">
        <v>37781</v>
      </c>
      <c r="C260" s="6">
        <v>6</v>
      </c>
      <c r="D260" s="6">
        <v>1</v>
      </c>
      <c r="E260" s="19">
        <v>2003</v>
      </c>
      <c r="F260" s="15" t="s">
        <v>22</v>
      </c>
      <c r="G260" s="18" t="s">
        <v>6256</v>
      </c>
      <c r="H260" s="9" t="s">
        <v>61</v>
      </c>
      <c r="I260" s="17" t="s">
        <v>61</v>
      </c>
      <c r="J260" s="17" t="s">
        <v>419</v>
      </c>
      <c r="K260" s="23">
        <v>0</v>
      </c>
      <c r="L260" s="234">
        <v>1</v>
      </c>
      <c r="M260" s="23">
        <v>0</v>
      </c>
      <c r="N260" s="23">
        <v>0</v>
      </c>
      <c r="O260" s="37">
        <v>0</v>
      </c>
      <c r="P260" s="37">
        <v>0</v>
      </c>
      <c r="Q260" s="23">
        <v>0</v>
      </c>
      <c r="R260" s="24">
        <v>0</v>
      </c>
      <c r="S260" s="7" t="s">
        <v>115</v>
      </c>
      <c r="T260" s="257">
        <f t="shared" si="8"/>
        <v>1</v>
      </c>
      <c r="U260" s="257">
        <f t="shared" si="9"/>
        <v>0</v>
      </c>
      <c r="V260">
        <v>1</v>
      </c>
      <c r="W260">
        <v>0</v>
      </c>
    </row>
    <row r="261" spans="1:23" ht="34.200000000000003" x14ac:dyDescent="0.3">
      <c r="A261" s="129">
        <v>37818</v>
      </c>
      <c r="B261" s="129">
        <v>37818</v>
      </c>
      <c r="C261" s="6">
        <v>7</v>
      </c>
      <c r="D261" s="6">
        <v>1</v>
      </c>
      <c r="E261" s="19">
        <v>2003</v>
      </c>
      <c r="F261" s="15" t="s">
        <v>22</v>
      </c>
      <c r="G261" s="18" t="s">
        <v>6256</v>
      </c>
      <c r="H261" s="9" t="s">
        <v>61</v>
      </c>
      <c r="I261" s="17" t="s">
        <v>61</v>
      </c>
      <c r="J261" s="62" t="s">
        <v>420</v>
      </c>
      <c r="K261" s="23">
        <v>0</v>
      </c>
      <c r="L261" s="234">
        <v>50</v>
      </c>
      <c r="M261" s="23">
        <v>10</v>
      </c>
      <c r="N261" s="23">
        <v>0</v>
      </c>
      <c r="O261" s="37">
        <v>0</v>
      </c>
      <c r="P261" s="37">
        <v>0</v>
      </c>
      <c r="Q261" s="23">
        <v>0</v>
      </c>
      <c r="R261" s="24">
        <v>2.8000000000000001E-2</v>
      </c>
      <c r="S261" s="7" t="s">
        <v>115</v>
      </c>
      <c r="T261" s="257">
        <f t="shared" si="8"/>
        <v>50</v>
      </c>
      <c r="U261" s="257">
        <f t="shared" si="9"/>
        <v>10</v>
      </c>
      <c r="V261">
        <v>1</v>
      </c>
      <c r="W261">
        <v>1</v>
      </c>
    </row>
    <row r="262" spans="1:23" ht="91.2" x14ac:dyDescent="0.3">
      <c r="A262" s="129">
        <v>37819</v>
      </c>
      <c r="B262" s="129">
        <v>37819</v>
      </c>
      <c r="C262" s="6">
        <v>7</v>
      </c>
      <c r="D262" s="6">
        <v>1</v>
      </c>
      <c r="E262" s="19">
        <v>2003</v>
      </c>
      <c r="F262" s="15" t="s">
        <v>22</v>
      </c>
      <c r="G262" s="18" t="s">
        <v>6256</v>
      </c>
      <c r="H262" s="9" t="s">
        <v>61</v>
      </c>
      <c r="I262" s="17" t="s">
        <v>421</v>
      </c>
      <c r="J262" s="62" t="s">
        <v>422</v>
      </c>
      <c r="K262" s="23">
        <v>11</v>
      </c>
      <c r="L262" s="234">
        <v>13</v>
      </c>
      <c r="M262" s="23">
        <v>2</v>
      </c>
      <c r="N262" s="23">
        <v>0</v>
      </c>
      <c r="O262" s="37">
        <v>0</v>
      </c>
      <c r="P262" s="37">
        <v>0</v>
      </c>
      <c r="Q262" s="23">
        <v>0</v>
      </c>
      <c r="R262" s="24">
        <v>5.6000000000000001E-2</v>
      </c>
      <c r="S262" s="7" t="s">
        <v>115</v>
      </c>
      <c r="T262" s="257">
        <f t="shared" si="8"/>
        <v>24</v>
      </c>
      <c r="U262" s="257">
        <f t="shared" si="9"/>
        <v>2</v>
      </c>
      <c r="V262">
        <v>1</v>
      </c>
      <c r="W262">
        <v>1</v>
      </c>
    </row>
    <row r="263" spans="1:23" ht="45.6" x14ac:dyDescent="0.3">
      <c r="A263" s="129">
        <v>37823</v>
      </c>
      <c r="B263" s="129">
        <v>37823</v>
      </c>
      <c r="C263" s="6">
        <v>7</v>
      </c>
      <c r="D263" s="6">
        <v>1</v>
      </c>
      <c r="E263" s="19">
        <v>2003</v>
      </c>
      <c r="F263" s="15" t="s">
        <v>22</v>
      </c>
      <c r="G263" s="18" t="s">
        <v>6256</v>
      </c>
      <c r="H263" s="9" t="s">
        <v>46</v>
      </c>
      <c r="I263" s="17" t="s">
        <v>423</v>
      </c>
      <c r="J263" s="62" t="s">
        <v>424</v>
      </c>
      <c r="K263" s="23">
        <v>0</v>
      </c>
      <c r="L263" s="234">
        <v>20</v>
      </c>
      <c r="M263" s="23">
        <v>4</v>
      </c>
      <c r="N263" s="23">
        <v>0</v>
      </c>
      <c r="O263" s="37">
        <v>0</v>
      </c>
      <c r="P263" s="37">
        <v>0</v>
      </c>
      <c r="Q263" s="23">
        <v>0</v>
      </c>
      <c r="R263" s="24">
        <v>1.0999999999999999E-2</v>
      </c>
      <c r="S263" s="7" t="s">
        <v>115</v>
      </c>
      <c r="T263" s="257">
        <f t="shared" si="8"/>
        <v>20</v>
      </c>
      <c r="U263" s="257">
        <f t="shared" si="9"/>
        <v>4</v>
      </c>
      <c r="V263">
        <v>1</v>
      </c>
      <c r="W263">
        <v>1</v>
      </c>
    </row>
    <row r="264" spans="1:23" ht="45.6" x14ac:dyDescent="0.3">
      <c r="A264" s="129">
        <v>37824</v>
      </c>
      <c r="B264" s="129">
        <v>37824</v>
      </c>
      <c r="C264" s="6">
        <v>7</v>
      </c>
      <c r="D264" s="6">
        <v>1</v>
      </c>
      <c r="E264" s="19">
        <v>2003</v>
      </c>
      <c r="F264" s="15" t="s">
        <v>22</v>
      </c>
      <c r="G264" s="18" t="s">
        <v>6256</v>
      </c>
      <c r="H264" s="9" t="s">
        <v>74</v>
      </c>
      <c r="I264" s="17" t="s">
        <v>425</v>
      </c>
      <c r="J264" s="62" t="s">
        <v>426</v>
      </c>
      <c r="K264" s="23">
        <v>3</v>
      </c>
      <c r="L264" s="234">
        <v>0</v>
      </c>
      <c r="M264" s="23">
        <v>0</v>
      </c>
      <c r="N264" s="23">
        <v>0</v>
      </c>
      <c r="O264" s="37">
        <v>0</v>
      </c>
      <c r="P264" s="37">
        <v>0</v>
      </c>
      <c r="Q264" s="23">
        <v>0</v>
      </c>
      <c r="R264" s="24">
        <v>0</v>
      </c>
      <c r="S264" s="7" t="s">
        <v>115</v>
      </c>
      <c r="T264" s="257">
        <f t="shared" si="8"/>
        <v>3</v>
      </c>
      <c r="U264" s="257">
        <f t="shared" si="9"/>
        <v>0</v>
      </c>
      <c r="V264">
        <v>1</v>
      </c>
      <c r="W264">
        <v>0</v>
      </c>
    </row>
    <row r="265" spans="1:23" ht="34.200000000000003" x14ac:dyDescent="0.3">
      <c r="A265" s="129">
        <v>37817</v>
      </c>
      <c r="B265" s="129">
        <v>37817</v>
      </c>
      <c r="C265" s="6">
        <v>7</v>
      </c>
      <c r="D265" s="6">
        <v>1</v>
      </c>
      <c r="E265" s="19">
        <v>2003</v>
      </c>
      <c r="F265" s="15" t="s">
        <v>22</v>
      </c>
      <c r="G265" s="18" t="s">
        <v>6256</v>
      </c>
      <c r="H265" s="9" t="s">
        <v>74</v>
      </c>
      <c r="I265" s="17" t="s">
        <v>427</v>
      </c>
      <c r="J265" s="62" t="s">
        <v>428</v>
      </c>
      <c r="K265" s="23">
        <v>0</v>
      </c>
      <c r="L265" s="234">
        <v>0</v>
      </c>
      <c r="M265" s="23">
        <v>0</v>
      </c>
      <c r="N265" s="23">
        <v>0</v>
      </c>
      <c r="O265" s="37">
        <v>0</v>
      </c>
      <c r="P265" s="37">
        <v>0</v>
      </c>
      <c r="Q265" s="23">
        <v>0</v>
      </c>
      <c r="R265" s="24">
        <v>0</v>
      </c>
      <c r="S265" s="7" t="s">
        <v>115</v>
      </c>
      <c r="T265" s="257">
        <f t="shared" si="8"/>
        <v>0</v>
      </c>
      <c r="U265" s="257">
        <f t="shared" si="9"/>
        <v>0</v>
      </c>
      <c r="V265">
        <v>0</v>
      </c>
      <c r="W265">
        <v>0</v>
      </c>
    </row>
    <row r="266" spans="1:23" ht="45.6" x14ac:dyDescent="0.3">
      <c r="A266" s="129">
        <v>37825</v>
      </c>
      <c r="B266" s="129">
        <v>37825</v>
      </c>
      <c r="C266" s="6">
        <v>7</v>
      </c>
      <c r="D266" s="6">
        <v>1</v>
      </c>
      <c r="E266" s="19">
        <v>2003</v>
      </c>
      <c r="F266" s="15" t="s">
        <v>22</v>
      </c>
      <c r="G266" s="18" t="s">
        <v>6256</v>
      </c>
      <c r="H266" s="9" t="s">
        <v>46</v>
      </c>
      <c r="I266" s="17" t="s">
        <v>429</v>
      </c>
      <c r="J266" s="62" t="s">
        <v>430</v>
      </c>
      <c r="K266" s="23">
        <v>0</v>
      </c>
      <c r="L266" s="234">
        <v>0</v>
      </c>
      <c r="M266" s="23">
        <v>380</v>
      </c>
      <c r="N266" s="23">
        <v>0</v>
      </c>
      <c r="O266" s="37">
        <v>0</v>
      </c>
      <c r="P266" s="37">
        <v>0</v>
      </c>
      <c r="Q266" s="23">
        <v>0</v>
      </c>
      <c r="R266" s="24">
        <v>1.095</v>
      </c>
      <c r="S266" s="7" t="s">
        <v>115</v>
      </c>
      <c r="T266" s="257">
        <f t="shared" si="8"/>
        <v>0</v>
      </c>
      <c r="U266" s="257">
        <f t="shared" si="9"/>
        <v>380</v>
      </c>
      <c r="V266">
        <v>0</v>
      </c>
      <c r="W266">
        <v>1</v>
      </c>
    </row>
    <row r="267" spans="1:23" ht="45.6" x14ac:dyDescent="0.3">
      <c r="A267" s="129">
        <v>37826</v>
      </c>
      <c r="B267" s="129">
        <v>37826</v>
      </c>
      <c r="C267" s="6">
        <v>7</v>
      </c>
      <c r="D267" s="6">
        <v>1</v>
      </c>
      <c r="E267" s="19">
        <v>2003</v>
      </c>
      <c r="F267" s="15" t="s">
        <v>22</v>
      </c>
      <c r="G267" s="18" t="s">
        <v>6256</v>
      </c>
      <c r="H267" s="9" t="s">
        <v>31</v>
      </c>
      <c r="I267" s="17" t="s">
        <v>95</v>
      </c>
      <c r="J267" s="62" t="s">
        <v>431</v>
      </c>
      <c r="K267" s="23">
        <v>0</v>
      </c>
      <c r="L267" s="234">
        <v>55</v>
      </c>
      <c r="M267" s="23">
        <v>11</v>
      </c>
      <c r="N267" s="23">
        <v>0</v>
      </c>
      <c r="O267" s="37">
        <v>0</v>
      </c>
      <c r="P267" s="37">
        <v>0</v>
      </c>
      <c r="Q267" s="23">
        <v>0</v>
      </c>
      <c r="R267" s="24">
        <v>3.1E-2</v>
      </c>
      <c r="S267" s="7" t="s">
        <v>115</v>
      </c>
      <c r="T267" s="257">
        <f t="shared" si="8"/>
        <v>55</v>
      </c>
      <c r="U267" s="257">
        <f t="shared" si="9"/>
        <v>11</v>
      </c>
      <c r="V267">
        <v>1</v>
      </c>
      <c r="W267">
        <v>1</v>
      </c>
    </row>
    <row r="268" spans="1:23" ht="79.8" x14ac:dyDescent="0.3">
      <c r="A268" s="129">
        <v>37827</v>
      </c>
      <c r="B268" s="129">
        <v>37827</v>
      </c>
      <c r="C268" s="6">
        <v>7</v>
      </c>
      <c r="D268" s="6">
        <v>1</v>
      </c>
      <c r="E268" s="19">
        <v>2003</v>
      </c>
      <c r="F268" s="15" t="s">
        <v>22</v>
      </c>
      <c r="G268" s="18" t="s">
        <v>6256</v>
      </c>
      <c r="H268" s="9" t="s">
        <v>74</v>
      </c>
      <c r="I268" s="17" t="s">
        <v>432</v>
      </c>
      <c r="J268" s="62" t="s">
        <v>433</v>
      </c>
      <c r="K268" s="23">
        <v>0</v>
      </c>
      <c r="L268" s="234">
        <v>505</v>
      </c>
      <c r="M268" s="23">
        <v>95</v>
      </c>
      <c r="N268" s="23">
        <v>0</v>
      </c>
      <c r="O268" s="37">
        <v>0</v>
      </c>
      <c r="P268" s="37">
        <v>0</v>
      </c>
      <c r="Q268" s="23">
        <v>0</v>
      </c>
      <c r="R268" s="24">
        <v>0.27300000000000002</v>
      </c>
      <c r="S268" s="7" t="s">
        <v>115</v>
      </c>
      <c r="T268" s="257">
        <f t="shared" si="8"/>
        <v>505</v>
      </c>
      <c r="U268" s="257">
        <f t="shared" si="9"/>
        <v>95</v>
      </c>
      <c r="V268">
        <v>1</v>
      </c>
      <c r="W268">
        <v>1</v>
      </c>
    </row>
    <row r="269" spans="1:23" ht="68.400000000000006" x14ac:dyDescent="0.3">
      <c r="A269" s="129">
        <v>37828</v>
      </c>
      <c r="B269" s="129">
        <v>37828</v>
      </c>
      <c r="C269" s="6">
        <v>7</v>
      </c>
      <c r="D269" s="6">
        <v>1</v>
      </c>
      <c r="E269" s="19">
        <v>2003</v>
      </c>
      <c r="F269" s="15" t="s">
        <v>22</v>
      </c>
      <c r="G269" s="18" t="s">
        <v>6256</v>
      </c>
      <c r="H269" s="9" t="s">
        <v>56</v>
      </c>
      <c r="I269" s="17" t="s">
        <v>434</v>
      </c>
      <c r="J269" s="62" t="s">
        <v>435</v>
      </c>
      <c r="K269" s="23">
        <v>0</v>
      </c>
      <c r="L269" s="234">
        <v>300</v>
      </c>
      <c r="M269" s="23">
        <v>60</v>
      </c>
      <c r="N269" s="23">
        <v>0</v>
      </c>
      <c r="O269" s="37">
        <v>0</v>
      </c>
      <c r="P269" s="37">
        <v>0</v>
      </c>
      <c r="Q269" s="23">
        <v>0</v>
      </c>
      <c r="R269" s="24">
        <v>0.17199999999999999</v>
      </c>
      <c r="S269" s="7" t="s">
        <v>115</v>
      </c>
      <c r="T269" s="257">
        <f t="shared" si="8"/>
        <v>300</v>
      </c>
      <c r="U269" s="257">
        <f t="shared" si="9"/>
        <v>60</v>
      </c>
      <c r="V269">
        <v>1</v>
      </c>
      <c r="W269">
        <v>1</v>
      </c>
    </row>
    <row r="270" spans="1:23" ht="45.6" x14ac:dyDescent="0.3">
      <c r="A270" s="129">
        <v>37828</v>
      </c>
      <c r="B270" s="129">
        <v>37828</v>
      </c>
      <c r="C270" s="6">
        <v>7</v>
      </c>
      <c r="D270" s="6">
        <v>1</v>
      </c>
      <c r="E270" s="19">
        <v>2003</v>
      </c>
      <c r="F270" s="15" t="s">
        <v>22</v>
      </c>
      <c r="G270" s="18" t="s">
        <v>6256</v>
      </c>
      <c r="H270" s="9" t="s">
        <v>174</v>
      </c>
      <c r="I270" s="17" t="s">
        <v>436</v>
      </c>
      <c r="J270" s="62" t="s">
        <v>437</v>
      </c>
      <c r="K270" s="23">
        <v>0</v>
      </c>
      <c r="L270" s="234">
        <v>100</v>
      </c>
      <c r="M270" s="23">
        <v>20</v>
      </c>
      <c r="N270" s="23">
        <v>0</v>
      </c>
      <c r="O270" s="37">
        <v>0</v>
      </c>
      <c r="P270" s="37">
        <v>0</v>
      </c>
      <c r="Q270" s="23">
        <v>0</v>
      </c>
      <c r="R270" s="24">
        <v>5.7000000000000002E-2</v>
      </c>
      <c r="S270" s="7" t="s">
        <v>115</v>
      </c>
      <c r="T270" s="257">
        <f t="shared" si="8"/>
        <v>100</v>
      </c>
      <c r="U270" s="257">
        <f t="shared" si="9"/>
        <v>20</v>
      </c>
      <c r="V270">
        <v>1</v>
      </c>
      <c r="W270">
        <v>1</v>
      </c>
    </row>
    <row r="271" spans="1:23" ht="45.6" x14ac:dyDescent="0.3">
      <c r="A271" s="129">
        <v>37829</v>
      </c>
      <c r="B271" s="129">
        <v>37829</v>
      </c>
      <c r="C271" s="6">
        <v>7</v>
      </c>
      <c r="D271" s="6">
        <v>1</v>
      </c>
      <c r="E271" s="19">
        <v>2003</v>
      </c>
      <c r="F271" s="15" t="s">
        <v>22</v>
      </c>
      <c r="G271" s="18" t="s">
        <v>6256</v>
      </c>
      <c r="H271" s="9" t="s">
        <v>88</v>
      </c>
      <c r="I271" s="17" t="s">
        <v>95</v>
      </c>
      <c r="J271" s="62" t="s">
        <v>438</v>
      </c>
      <c r="K271" s="23">
        <v>3</v>
      </c>
      <c r="L271" s="234">
        <v>3</v>
      </c>
      <c r="M271" s="23">
        <v>0</v>
      </c>
      <c r="N271" s="23">
        <v>0</v>
      </c>
      <c r="O271" s="37">
        <v>0</v>
      </c>
      <c r="P271" s="37">
        <v>0</v>
      </c>
      <c r="Q271" s="23">
        <v>0</v>
      </c>
      <c r="R271" s="24">
        <v>0</v>
      </c>
      <c r="S271" s="7" t="s">
        <v>115</v>
      </c>
      <c r="T271" s="257">
        <f t="shared" si="8"/>
        <v>6</v>
      </c>
      <c r="U271" s="257">
        <f t="shared" si="9"/>
        <v>0</v>
      </c>
      <c r="V271">
        <v>1</v>
      </c>
      <c r="W271">
        <v>0</v>
      </c>
    </row>
    <row r="272" spans="1:23" ht="45.6" x14ac:dyDescent="0.3">
      <c r="A272" s="129">
        <v>37830</v>
      </c>
      <c r="B272" s="129">
        <v>37830</v>
      </c>
      <c r="C272" s="6">
        <v>7</v>
      </c>
      <c r="D272" s="6">
        <v>1</v>
      </c>
      <c r="E272" s="19">
        <v>2003</v>
      </c>
      <c r="F272" s="15" t="s">
        <v>22</v>
      </c>
      <c r="G272" s="18" t="s">
        <v>6256</v>
      </c>
      <c r="H272" s="9" t="s">
        <v>31</v>
      </c>
      <c r="I272" s="17" t="s">
        <v>439</v>
      </c>
      <c r="J272" s="62" t="s">
        <v>440</v>
      </c>
      <c r="K272" s="23">
        <v>0</v>
      </c>
      <c r="L272" s="234">
        <v>40</v>
      </c>
      <c r="M272" s="23">
        <v>8</v>
      </c>
      <c r="N272" s="23">
        <v>0</v>
      </c>
      <c r="O272" s="37">
        <v>0</v>
      </c>
      <c r="P272" s="37">
        <v>0</v>
      </c>
      <c r="Q272" s="23">
        <v>0</v>
      </c>
      <c r="R272" s="24">
        <v>2.3E-2</v>
      </c>
      <c r="S272" s="7" t="s">
        <v>115</v>
      </c>
      <c r="T272" s="257">
        <f t="shared" si="8"/>
        <v>40</v>
      </c>
      <c r="U272" s="257">
        <f t="shared" si="9"/>
        <v>8</v>
      </c>
      <c r="V272">
        <v>1</v>
      </c>
      <c r="W272">
        <v>1</v>
      </c>
    </row>
    <row r="273" spans="1:23" ht="45.6" x14ac:dyDescent="0.3">
      <c r="A273" s="129">
        <v>37830</v>
      </c>
      <c r="B273" s="129">
        <v>37830</v>
      </c>
      <c r="C273" s="6">
        <v>7</v>
      </c>
      <c r="D273" s="6">
        <v>1</v>
      </c>
      <c r="E273" s="19">
        <v>2003</v>
      </c>
      <c r="F273" s="15" t="s">
        <v>22</v>
      </c>
      <c r="G273" s="18" t="s">
        <v>6256</v>
      </c>
      <c r="H273" s="9" t="s">
        <v>174</v>
      </c>
      <c r="I273" s="17" t="s">
        <v>174</v>
      </c>
      <c r="J273" s="62" t="s">
        <v>441</v>
      </c>
      <c r="K273" s="23">
        <v>1</v>
      </c>
      <c r="L273" s="234">
        <v>1</v>
      </c>
      <c r="M273" s="23">
        <v>0</v>
      </c>
      <c r="N273" s="23">
        <v>0</v>
      </c>
      <c r="O273" s="37">
        <v>0</v>
      </c>
      <c r="P273" s="37">
        <v>0</v>
      </c>
      <c r="Q273" s="23">
        <v>0</v>
      </c>
      <c r="R273" s="24">
        <v>0</v>
      </c>
      <c r="S273" s="7" t="s">
        <v>115</v>
      </c>
      <c r="T273" s="257">
        <f t="shared" si="8"/>
        <v>2</v>
      </c>
      <c r="U273" s="257">
        <f t="shared" si="9"/>
        <v>0</v>
      </c>
      <c r="V273">
        <v>1</v>
      </c>
      <c r="W273">
        <v>0</v>
      </c>
    </row>
    <row r="274" spans="1:23" ht="34.200000000000003" x14ac:dyDescent="0.3">
      <c r="A274" s="129">
        <v>37838</v>
      </c>
      <c r="B274" s="129">
        <v>37838</v>
      </c>
      <c r="C274" s="6">
        <v>8</v>
      </c>
      <c r="D274" s="6">
        <v>1</v>
      </c>
      <c r="E274" s="19">
        <v>2003</v>
      </c>
      <c r="F274" s="15" t="s">
        <v>22</v>
      </c>
      <c r="G274" s="18" t="s">
        <v>6256</v>
      </c>
      <c r="H274" s="9" t="s">
        <v>43</v>
      </c>
      <c r="I274" s="17" t="s">
        <v>305</v>
      </c>
      <c r="J274" s="62" t="s">
        <v>442</v>
      </c>
      <c r="K274" s="23">
        <v>0</v>
      </c>
      <c r="L274" s="234">
        <v>300</v>
      </c>
      <c r="M274" s="23">
        <v>60</v>
      </c>
      <c r="N274" s="23">
        <v>0</v>
      </c>
      <c r="O274" s="37">
        <v>0</v>
      </c>
      <c r="P274" s="37">
        <v>0</v>
      </c>
      <c r="Q274" s="23">
        <v>0</v>
      </c>
      <c r="R274" s="24">
        <v>0.17199999999999999</v>
      </c>
      <c r="S274" s="7" t="s">
        <v>115</v>
      </c>
      <c r="T274" s="257">
        <f t="shared" si="8"/>
        <v>300</v>
      </c>
      <c r="U274" s="257">
        <f t="shared" si="9"/>
        <v>60</v>
      </c>
      <c r="V274">
        <v>1</v>
      </c>
      <c r="W274">
        <v>1</v>
      </c>
    </row>
    <row r="275" spans="1:23" ht="34.200000000000003" x14ac:dyDescent="0.3">
      <c r="A275" s="129">
        <v>37838</v>
      </c>
      <c r="B275" s="129">
        <v>37838</v>
      </c>
      <c r="C275" s="6">
        <v>8</v>
      </c>
      <c r="D275" s="6">
        <v>1</v>
      </c>
      <c r="E275" s="19">
        <v>2003</v>
      </c>
      <c r="F275" s="15" t="s">
        <v>22</v>
      </c>
      <c r="G275" s="18" t="s">
        <v>6256</v>
      </c>
      <c r="H275" s="9" t="s">
        <v>118</v>
      </c>
      <c r="I275" s="17" t="s">
        <v>443</v>
      </c>
      <c r="J275" s="62" t="s">
        <v>444</v>
      </c>
      <c r="K275" s="23">
        <v>0</v>
      </c>
      <c r="L275" s="234">
        <v>5</v>
      </c>
      <c r="M275" s="23">
        <v>1</v>
      </c>
      <c r="N275" s="23">
        <v>0</v>
      </c>
      <c r="O275" s="37">
        <v>0</v>
      </c>
      <c r="P275" s="37">
        <v>0</v>
      </c>
      <c r="Q275" s="23">
        <v>0</v>
      </c>
      <c r="R275" s="24">
        <v>2.8000000000000001E-2</v>
      </c>
      <c r="S275" s="7" t="s">
        <v>115</v>
      </c>
      <c r="T275" s="257">
        <f t="shared" si="8"/>
        <v>5</v>
      </c>
      <c r="U275" s="257">
        <f t="shared" si="9"/>
        <v>1</v>
      </c>
      <c r="V275">
        <v>1</v>
      </c>
      <c r="W275">
        <v>1</v>
      </c>
    </row>
    <row r="276" spans="1:23" ht="57" x14ac:dyDescent="0.3">
      <c r="A276" s="129">
        <v>37839</v>
      </c>
      <c r="B276" s="129">
        <v>37839</v>
      </c>
      <c r="C276" s="6">
        <v>8</v>
      </c>
      <c r="D276" s="6">
        <v>1</v>
      </c>
      <c r="E276" s="19">
        <v>2003</v>
      </c>
      <c r="F276" s="15" t="s">
        <v>22</v>
      </c>
      <c r="G276" s="18" t="s">
        <v>6256</v>
      </c>
      <c r="H276" s="9" t="s">
        <v>46</v>
      </c>
      <c r="I276" s="17" t="s">
        <v>299</v>
      </c>
      <c r="J276" s="62" t="s">
        <v>445</v>
      </c>
      <c r="K276" s="23">
        <v>0</v>
      </c>
      <c r="L276" s="234">
        <v>700</v>
      </c>
      <c r="M276" s="23">
        <v>0</v>
      </c>
      <c r="N276" s="23">
        <v>0</v>
      </c>
      <c r="O276" s="37">
        <v>0</v>
      </c>
      <c r="P276" s="37">
        <v>0</v>
      </c>
      <c r="Q276" s="23">
        <v>0</v>
      </c>
      <c r="R276" s="24">
        <v>0</v>
      </c>
      <c r="S276" s="7" t="s">
        <v>115</v>
      </c>
      <c r="T276" s="257">
        <f t="shared" si="8"/>
        <v>700</v>
      </c>
      <c r="U276" s="257">
        <f t="shared" si="9"/>
        <v>0</v>
      </c>
      <c r="V276">
        <v>1</v>
      </c>
      <c r="W276">
        <v>0</v>
      </c>
    </row>
    <row r="277" spans="1:23" ht="34.200000000000003" x14ac:dyDescent="0.3">
      <c r="A277" s="129">
        <v>37840</v>
      </c>
      <c r="B277" s="129">
        <v>37840</v>
      </c>
      <c r="C277" s="6">
        <v>8</v>
      </c>
      <c r="D277" s="6">
        <v>1</v>
      </c>
      <c r="E277" s="19">
        <v>2003</v>
      </c>
      <c r="F277" s="15" t="s">
        <v>22</v>
      </c>
      <c r="G277" s="18" t="s">
        <v>6256</v>
      </c>
      <c r="H277" s="9" t="s">
        <v>46</v>
      </c>
      <c r="I277" s="17" t="s">
        <v>446</v>
      </c>
      <c r="J277" s="62" t="s">
        <v>447</v>
      </c>
      <c r="K277" s="23">
        <v>0</v>
      </c>
      <c r="L277" s="234">
        <v>250</v>
      </c>
      <c r="M277" s="23">
        <v>50</v>
      </c>
      <c r="N277" s="23">
        <v>0</v>
      </c>
      <c r="O277" s="37">
        <v>0</v>
      </c>
      <c r="P277" s="37">
        <v>0</v>
      </c>
      <c r="Q277" s="23">
        <v>0</v>
      </c>
      <c r="R277" s="24">
        <v>0.14399999999999999</v>
      </c>
      <c r="S277" s="7" t="s">
        <v>115</v>
      </c>
      <c r="T277" s="257">
        <f t="shared" si="8"/>
        <v>250</v>
      </c>
      <c r="U277" s="257">
        <f t="shared" si="9"/>
        <v>50</v>
      </c>
      <c r="V277">
        <v>1</v>
      </c>
      <c r="W277">
        <v>1</v>
      </c>
    </row>
    <row r="278" spans="1:23" ht="57" x14ac:dyDescent="0.3">
      <c r="A278" s="129">
        <v>37842</v>
      </c>
      <c r="B278" s="129">
        <v>37842</v>
      </c>
      <c r="C278" s="6">
        <v>8</v>
      </c>
      <c r="D278" s="6">
        <v>1</v>
      </c>
      <c r="E278" s="19">
        <v>2003</v>
      </c>
      <c r="F278" s="15" t="s">
        <v>22</v>
      </c>
      <c r="G278" s="18" t="s">
        <v>6256</v>
      </c>
      <c r="H278" s="9" t="s">
        <v>52</v>
      </c>
      <c r="I278" s="17" t="s">
        <v>448</v>
      </c>
      <c r="J278" s="62" t="s">
        <v>449</v>
      </c>
      <c r="K278" s="23">
        <v>0</v>
      </c>
      <c r="L278" s="234">
        <v>1740</v>
      </c>
      <c r="M278" s="23">
        <v>348</v>
      </c>
      <c r="N278" s="23">
        <v>0</v>
      </c>
      <c r="O278" s="37">
        <v>0</v>
      </c>
      <c r="P278" s="37">
        <v>0</v>
      </c>
      <c r="Q278" s="23">
        <v>0</v>
      </c>
      <c r="R278" s="24">
        <v>1.002</v>
      </c>
      <c r="S278" s="7" t="s">
        <v>115</v>
      </c>
      <c r="T278" s="257">
        <f t="shared" si="8"/>
        <v>1740</v>
      </c>
      <c r="U278" s="257">
        <f t="shared" si="9"/>
        <v>348</v>
      </c>
      <c r="V278">
        <v>1</v>
      </c>
      <c r="W278">
        <v>1</v>
      </c>
    </row>
    <row r="279" spans="1:23" ht="45.6" x14ac:dyDescent="0.3">
      <c r="A279" s="129">
        <v>37843</v>
      </c>
      <c r="B279" s="129">
        <v>37843</v>
      </c>
      <c r="C279" s="6">
        <v>8</v>
      </c>
      <c r="D279" s="6">
        <v>1</v>
      </c>
      <c r="E279" s="19">
        <v>2003</v>
      </c>
      <c r="F279" s="15" t="s">
        <v>22</v>
      </c>
      <c r="G279" s="18" t="s">
        <v>6256</v>
      </c>
      <c r="H279" s="9" t="s">
        <v>43</v>
      </c>
      <c r="I279" s="17" t="s">
        <v>19</v>
      </c>
      <c r="J279" s="62" t="s">
        <v>450</v>
      </c>
      <c r="K279" s="23">
        <v>0</v>
      </c>
      <c r="L279" s="234">
        <v>430</v>
      </c>
      <c r="M279" s="23">
        <v>97</v>
      </c>
      <c r="N279" s="23">
        <v>0</v>
      </c>
      <c r="O279" s="37">
        <v>0</v>
      </c>
      <c r="P279" s="37">
        <v>0</v>
      </c>
      <c r="Q279" s="23">
        <v>0</v>
      </c>
      <c r="R279" s="24">
        <v>0.27900000000000003</v>
      </c>
      <c r="S279" s="7" t="s">
        <v>115</v>
      </c>
      <c r="T279" s="257">
        <f t="shared" si="8"/>
        <v>430</v>
      </c>
      <c r="U279" s="257">
        <f t="shared" si="9"/>
        <v>97</v>
      </c>
      <c r="V279">
        <v>1</v>
      </c>
      <c r="W279">
        <v>1</v>
      </c>
    </row>
    <row r="280" spans="1:23" ht="68.400000000000006" x14ac:dyDescent="0.3">
      <c r="A280" s="129">
        <v>37843</v>
      </c>
      <c r="B280" s="129">
        <v>37843</v>
      </c>
      <c r="C280" s="6">
        <v>8</v>
      </c>
      <c r="D280" s="6">
        <v>1</v>
      </c>
      <c r="E280" s="19">
        <v>2003</v>
      </c>
      <c r="F280" s="15" t="s">
        <v>22</v>
      </c>
      <c r="G280" s="18" t="s">
        <v>6256</v>
      </c>
      <c r="H280" s="9" t="s">
        <v>74</v>
      </c>
      <c r="I280" s="17" t="s">
        <v>451</v>
      </c>
      <c r="J280" s="62" t="s">
        <v>452</v>
      </c>
      <c r="K280" s="23">
        <v>0</v>
      </c>
      <c r="L280" s="234">
        <v>300</v>
      </c>
      <c r="M280" s="23">
        <v>60</v>
      </c>
      <c r="N280" s="23">
        <v>0</v>
      </c>
      <c r="O280" s="37">
        <v>0</v>
      </c>
      <c r="P280" s="37">
        <v>0</v>
      </c>
      <c r="Q280" s="23">
        <v>0</v>
      </c>
      <c r="R280" s="24">
        <v>0.17199999999999999</v>
      </c>
      <c r="S280" s="7" t="s">
        <v>115</v>
      </c>
      <c r="T280" s="257">
        <f t="shared" si="8"/>
        <v>300</v>
      </c>
      <c r="U280" s="257">
        <f t="shared" si="9"/>
        <v>60</v>
      </c>
      <c r="V280">
        <v>1</v>
      </c>
      <c r="W280">
        <v>1</v>
      </c>
    </row>
    <row r="281" spans="1:23" ht="34.200000000000003" x14ac:dyDescent="0.3">
      <c r="A281" s="129">
        <v>37843</v>
      </c>
      <c r="B281" s="129">
        <v>37843</v>
      </c>
      <c r="C281" s="6">
        <v>8</v>
      </c>
      <c r="D281" s="6">
        <v>1</v>
      </c>
      <c r="E281" s="19">
        <v>2003</v>
      </c>
      <c r="F281" s="15" t="s">
        <v>22</v>
      </c>
      <c r="G281" s="18" t="s">
        <v>6256</v>
      </c>
      <c r="H281" s="9" t="s">
        <v>51</v>
      </c>
      <c r="I281" s="17" t="s">
        <v>453</v>
      </c>
      <c r="J281" s="62" t="s">
        <v>454</v>
      </c>
      <c r="K281" s="23">
        <v>0</v>
      </c>
      <c r="L281" s="234">
        <v>115</v>
      </c>
      <c r="M281" s="23">
        <v>23</v>
      </c>
      <c r="N281" s="23">
        <v>0</v>
      </c>
      <c r="O281" s="37">
        <v>0</v>
      </c>
      <c r="P281" s="37">
        <v>0</v>
      </c>
      <c r="Q281" s="23">
        <v>0</v>
      </c>
      <c r="R281" s="24">
        <v>6.6000000000000003E-2</v>
      </c>
      <c r="S281" s="7" t="s">
        <v>115</v>
      </c>
      <c r="T281" s="257">
        <f t="shared" si="8"/>
        <v>115</v>
      </c>
      <c r="U281" s="257">
        <f t="shared" si="9"/>
        <v>23</v>
      </c>
      <c r="V281">
        <v>1</v>
      </c>
      <c r="W281">
        <v>1</v>
      </c>
    </row>
    <row r="282" spans="1:23" ht="45.6" x14ac:dyDescent="0.3">
      <c r="A282" s="129">
        <v>37845</v>
      </c>
      <c r="B282" s="129">
        <v>37845</v>
      </c>
      <c r="C282" s="6">
        <v>8</v>
      </c>
      <c r="D282" s="6">
        <v>1</v>
      </c>
      <c r="E282" s="19">
        <v>2003</v>
      </c>
      <c r="F282" s="15" t="s">
        <v>22</v>
      </c>
      <c r="G282" s="18" t="s">
        <v>6256</v>
      </c>
      <c r="H282" s="9" t="s">
        <v>51</v>
      </c>
      <c r="I282" s="53" t="s">
        <v>317</v>
      </c>
      <c r="J282" s="53" t="s">
        <v>455</v>
      </c>
      <c r="K282" s="23">
        <v>0</v>
      </c>
      <c r="L282" s="234">
        <v>60</v>
      </c>
      <c r="M282" s="23">
        <v>12</v>
      </c>
      <c r="N282" s="23">
        <v>0</v>
      </c>
      <c r="O282" s="37">
        <v>0</v>
      </c>
      <c r="P282" s="37">
        <v>0</v>
      </c>
      <c r="Q282" s="23">
        <v>0</v>
      </c>
      <c r="R282" s="24">
        <v>3.4000000000000002E-2</v>
      </c>
      <c r="S282" s="7" t="s">
        <v>115</v>
      </c>
      <c r="T282" s="257">
        <f t="shared" si="8"/>
        <v>60</v>
      </c>
      <c r="U282" s="257">
        <f t="shared" si="9"/>
        <v>12</v>
      </c>
      <c r="V282">
        <v>1</v>
      </c>
      <c r="W282">
        <v>1</v>
      </c>
    </row>
    <row r="283" spans="1:23" ht="34.200000000000003" x14ac:dyDescent="0.3">
      <c r="A283" s="129">
        <v>37824</v>
      </c>
      <c r="B283" s="129">
        <v>37824</v>
      </c>
      <c r="C283" s="6">
        <v>7</v>
      </c>
      <c r="D283" s="6">
        <v>1</v>
      </c>
      <c r="E283" s="19">
        <v>2003</v>
      </c>
      <c r="F283" s="15" t="s">
        <v>22</v>
      </c>
      <c r="G283" s="18" t="s">
        <v>6256</v>
      </c>
      <c r="H283" s="9" t="s">
        <v>31</v>
      </c>
      <c r="I283" s="17" t="s">
        <v>456</v>
      </c>
      <c r="J283" s="62" t="s">
        <v>457</v>
      </c>
      <c r="K283" s="23">
        <v>0</v>
      </c>
      <c r="L283" s="234">
        <v>10</v>
      </c>
      <c r="M283" s="23">
        <v>2</v>
      </c>
      <c r="N283" s="23">
        <v>0</v>
      </c>
      <c r="O283" s="37">
        <v>0</v>
      </c>
      <c r="P283" s="37">
        <v>0</v>
      </c>
      <c r="Q283" s="23">
        <v>0</v>
      </c>
      <c r="R283" s="24">
        <v>5.0000000000000001E-3</v>
      </c>
      <c r="S283" s="7" t="s">
        <v>115</v>
      </c>
      <c r="T283" s="257">
        <f t="shared" si="8"/>
        <v>10</v>
      </c>
      <c r="U283" s="257">
        <f t="shared" si="9"/>
        <v>2</v>
      </c>
      <c r="V283">
        <v>1</v>
      </c>
      <c r="W283">
        <v>1</v>
      </c>
    </row>
    <row r="284" spans="1:23" ht="68.400000000000006" x14ac:dyDescent="0.3">
      <c r="A284" s="129">
        <v>37849</v>
      </c>
      <c r="B284" s="129">
        <v>37849</v>
      </c>
      <c r="C284" s="6">
        <v>8</v>
      </c>
      <c r="D284" s="6">
        <v>1</v>
      </c>
      <c r="E284" s="19">
        <v>2003</v>
      </c>
      <c r="F284" s="15" t="s">
        <v>22</v>
      </c>
      <c r="G284" s="18" t="s">
        <v>6256</v>
      </c>
      <c r="H284" s="9" t="s">
        <v>57</v>
      </c>
      <c r="I284" s="53" t="s">
        <v>458</v>
      </c>
      <c r="J284" s="53" t="s">
        <v>459</v>
      </c>
      <c r="K284" s="23">
        <v>1</v>
      </c>
      <c r="L284" s="234">
        <v>123</v>
      </c>
      <c r="M284" s="23">
        <v>14</v>
      </c>
      <c r="N284" s="23">
        <v>0</v>
      </c>
      <c r="O284" s="37">
        <v>0</v>
      </c>
      <c r="P284" s="37">
        <v>0</v>
      </c>
      <c r="Q284" s="23">
        <v>0</v>
      </c>
      <c r="R284" s="24">
        <v>0.04</v>
      </c>
      <c r="S284" s="7" t="s">
        <v>115</v>
      </c>
      <c r="T284" s="257">
        <f t="shared" si="8"/>
        <v>124</v>
      </c>
      <c r="U284" s="257">
        <f t="shared" si="9"/>
        <v>14</v>
      </c>
      <c r="V284">
        <v>1</v>
      </c>
      <c r="W284">
        <v>1</v>
      </c>
    </row>
    <row r="285" spans="1:23" ht="45.6" x14ac:dyDescent="0.3">
      <c r="A285" s="129">
        <v>37852</v>
      </c>
      <c r="B285" s="129">
        <v>37852</v>
      </c>
      <c r="C285" s="6">
        <v>8</v>
      </c>
      <c r="D285" s="6">
        <v>1</v>
      </c>
      <c r="E285" s="19">
        <v>2003</v>
      </c>
      <c r="F285" s="15" t="s">
        <v>22</v>
      </c>
      <c r="G285" s="18" t="s">
        <v>6256</v>
      </c>
      <c r="H285" s="9" t="s">
        <v>51</v>
      </c>
      <c r="I285" s="53" t="s">
        <v>460</v>
      </c>
      <c r="J285" s="53" t="s">
        <v>461</v>
      </c>
      <c r="K285" s="23">
        <v>0</v>
      </c>
      <c r="L285" s="234">
        <v>403</v>
      </c>
      <c r="M285" s="23">
        <v>80</v>
      </c>
      <c r="N285" s="23">
        <v>0</v>
      </c>
      <c r="O285" s="37">
        <v>0</v>
      </c>
      <c r="P285" s="37">
        <v>0</v>
      </c>
      <c r="Q285" s="23">
        <v>0</v>
      </c>
      <c r="R285" s="24">
        <v>0.23</v>
      </c>
      <c r="S285" s="7" t="s">
        <v>115</v>
      </c>
      <c r="T285" s="257">
        <f t="shared" si="8"/>
        <v>403</v>
      </c>
      <c r="U285" s="257">
        <f t="shared" si="9"/>
        <v>80</v>
      </c>
      <c r="V285">
        <v>1</v>
      </c>
      <c r="W285">
        <v>1</v>
      </c>
    </row>
    <row r="286" spans="1:23" ht="45.6" x14ac:dyDescent="0.3">
      <c r="A286" s="129">
        <v>37852</v>
      </c>
      <c r="B286" s="129">
        <v>37852</v>
      </c>
      <c r="C286" s="6">
        <v>8</v>
      </c>
      <c r="D286" s="6">
        <v>1</v>
      </c>
      <c r="E286" s="19">
        <v>2003</v>
      </c>
      <c r="F286" s="15" t="s">
        <v>22</v>
      </c>
      <c r="G286" s="18" t="s">
        <v>6256</v>
      </c>
      <c r="H286" s="9" t="s">
        <v>31</v>
      </c>
      <c r="I286" s="53" t="s">
        <v>462</v>
      </c>
      <c r="J286" s="53" t="s">
        <v>463</v>
      </c>
      <c r="K286" s="23">
        <v>0</v>
      </c>
      <c r="L286" s="234">
        <v>180</v>
      </c>
      <c r="M286" s="23">
        <v>36</v>
      </c>
      <c r="N286" s="23">
        <v>1</v>
      </c>
      <c r="O286" s="37">
        <v>0</v>
      </c>
      <c r="P286" s="37">
        <v>0</v>
      </c>
      <c r="Q286" s="23">
        <v>0</v>
      </c>
      <c r="R286" s="24">
        <v>0.10299999999999999</v>
      </c>
      <c r="S286" s="7" t="s">
        <v>115</v>
      </c>
      <c r="T286" s="257">
        <f t="shared" si="8"/>
        <v>180</v>
      </c>
      <c r="U286" s="257">
        <f t="shared" si="9"/>
        <v>37</v>
      </c>
      <c r="V286">
        <v>1</v>
      </c>
      <c r="W286">
        <v>1</v>
      </c>
    </row>
    <row r="287" spans="1:23" ht="45.6" x14ac:dyDescent="0.3">
      <c r="A287" s="129">
        <v>37852</v>
      </c>
      <c r="B287" s="129">
        <v>37852</v>
      </c>
      <c r="C287" s="6">
        <v>8</v>
      </c>
      <c r="D287" s="6">
        <v>1</v>
      </c>
      <c r="E287" s="19">
        <v>2003</v>
      </c>
      <c r="F287" s="15" t="s">
        <v>22</v>
      </c>
      <c r="G287" s="18" t="s">
        <v>6256</v>
      </c>
      <c r="H287" s="9" t="s">
        <v>66</v>
      </c>
      <c r="I287" s="53" t="s">
        <v>464</v>
      </c>
      <c r="J287" s="53" t="s">
        <v>465</v>
      </c>
      <c r="K287" s="23">
        <v>0</v>
      </c>
      <c r="L287" s="234">
        <v>115</v>
      </c>
      <c r="M287" s="23">
        <v>23</v>
      </c>
      <c r="N287" s="23">
        <v>0</v>
      </c>
      <c r="O287" s="37">
        <v>0</v>
      </c>
      <c r="P287" s="37">
        <v>0</v>
      </c>
      <c r="Q287" s="23">
        <v>0</v>
      </c>
      <c r="R287" s="24">
        <v>6.6000000000000003E-2</v>
      </c>
      <c r="S287" s="7" t="s">
        <v>115</v>
      </c>
      <c r="T287" s="257">
        <f t="shared" si="8"/>
        <v>115</v>
      </c>
      <c r="U287" s="257">
        <f t="shared" si="9"/>
        <v>23</v>
      </c>
      <c r="V287">
        <v>1</v>
      </c>
      <c r="W287">
        <v>1</v>
      </c>
    </row>
    <row r="288" spans="1:23" ht="57" x14ac:dyDescent="0.3">
      <c r="A288" s="129">
        <v>37852</v>
      </c>
      <c r="B288" s="129">
        <v>37852</v>
      </c>
      <c r="C288" s="6">
        <v>8</v>
      </c>
      <c r="D288" s="6">
        <v>1</v>
      </c>
      <c r="E288" s="19">
        <v>2003</v>
      </c>
      <c r="F288" s="15" t="s">
        <v>22</v>
      </c>
      <c r="G288" s="18" t="s">
        <v>6256</v>
      </c>
      <c r="H288" s="9" t="s">
        <v>118</v>
      </c>
      <c r="I288" s="53" t="s">
        <v>466</v>
      </c>
      <c r="J288" s="53" t="s">
        <v>467</v>
      </c>
      <c r="K288" s="23">
        <v>0</v>
      </c>
      <c r="L288" s="234">
        <v>0</v>
      </c>
      <c r="M288" s="23">
        <v>50</v>
      </c>
      <c r="N288" s="23">
        <v>0</v>
      </c>
      <c r="O288" s="37">
        <v>0</v>
      </c>
      <c r="P288" s="37">
        <v>0</v>
      </c>
      <c r="Q288" s="23">
        <v>0</v>
      </c>
      <c r="R288" s="24">
        <v>0.14399999999999999</v>
      </c>
      <c r="S288" s="7" t="s">
        <v>115</v>
      </c>
      <c r="T288" s="257">
        <f t="shared" si="8"/>
        <v>0</v>
      </c>
      <c r="U288" s="257">
        <f t="shared" si="9"/>
        <v>50</v>
      </c>
      <c r="V288">
        <v>0</v>
      </c>
      <c r="W288">
        <v>1</v>
      </c>
    </row>
    <row r="289" spans="1:23" ht="34.200000000000003" x14ac:dyDescent="0.3">
      <c r="A289" s="129">
        <v>37852</v>
      </c>
      <c r="B289" s="129">
        <v>37852</v>
      </c>
      <c r="C289" s="6">
        <v>8</v>
      </c>
      <c r="D289" s="6">
        <v>1</v>
      </c>
      <c r="E289" s="19">
        <v>2003</v>
      </c>
      <c r="F289" s="15" t="s">
        <v>22</v>
      </c>
      <c r="G289" s="18" t="s">
        <v>6256</v>
      </c>
      <c r="H289" s="9" t="s">
        <v>52</v>
      </c>
      <c r="I289" s="53" t="s">
        <v>126</v>
      </c>
      <c r="J289" s="53" t="s">
        <v>468</v>
      </c>
      <c r="K289" s="23">
        <v>1</v>
      </c>
      <c r="L289" s="234">
        <v>3</v>
      </c>
      <c r="M289" s="23">
        <v>0</v>
      </c>
      <c r="N289" s="23">
        <v>0</v>
      </c>
      <c r="O289" s="37">
        <v>0</v>
      </c>
      <c r="P289" s="37">
        <v>0</v>
      </c>
      <c r="Q289" s="23">
        <v>0</v>
      </c>
      <c r="R289" s="24">
        <v>0</v>
      </c>
      <c r="S289" s="7" t="s">
        <v>115</v>
      </c>
      <c r="T289" s="257">
        <f t="shared" si="8"/>
        <v>4</v>
      </c>
      <c r="U289" s="257">
        <f t="shared" si="9"/>
        <v>0</v>
      </c>
      <c r="V289">
        <v>1</v>
      </c>
      <c r="W289">
        <v>0</v>
      </c>
    </row>
    <row r="290" spans="1:23" ht="57" x14ac:dyDescent="0.3">
      <c r="A290" s="129">
        <v>37853</v>
      </c>
      <c r="B290" s="129">
        <v>37853</v>
      </c>
      <c r="C290" s="6">
        <v>8</v>
      </c>
      <c r="D290" s="6">
        <v>1</v>
      </c>
      <c r="E290" s="19">
        <v>2003</v>
      </c>
      <c r="F290" s="15" t="s">
        <v>22</v>
      </c>
      <c r="G290" s="18" t="s">
        <v>6256</v>
      </c>
      <c r="H290" s="9" t="s">
        <v>118</v>
      </c>
      <c r="I290" s="53" t="s">
        <v>469</v>
      </c>
      <c r="J290" s="53" t="s">
        <v>470</v>
      </c>
      <c r="K290" s="23">
        <v>0</v>
      </c>
      <c r="L290" s="234">
        <v>0</v>
      </c>
      <c r="M290" s="23">
        <v>0</v>
      </c>
      <c r="N290" s="23">
        <v>0</v>
      </c>
      <c r="O290" s="37">
        <v>0</v>
      </c>
      <c r="P290" s="37">
        <v>0</v>
      </c>
      <c r="Q290" s="23">
        <v>0</v>
      </c>
      <c r="R290" s="24">
        <v>0</v>
      </c>
      <c r="S290" s="7" t="s">
        <v>115</v>
      </c>
      <c r="T290" s="257">
        <f t="shared" si="8"/>
        <v>0</v>
      </c>
      <c r="U290" s="257">
        <f t="shared" si="9"/>
        <v>0</v>
      </c>
      <c r="V290">
        <v>0</v>
      </c>
      <c r="W290">
        <v>0</v>
      </c>
    </row>
    <row r="291" spans="1:23" ht="34.200000000000003" x14ac:dyDescent="0.3">
      <c r="A291" s="129">
        <v>37854</v>
      </c>
      <c r="B291" s="129">
        <v>37854</v>
      </c>
      <c r="C291" s="6">
        <v>8</v>
      </c>
      <c r="D291" s="6">
        <v>1</v>
      </c>
      <c r="E291" s="19">
        <v>2003</v>
      </c>
      <c r="F291" s="15" t="s">
        <v>22</v>
      </c>
      <c r="G291" s="18" t="s">
        <v>6256</v>
      </c>
      <c r="H291" s="9" t="s">
        <v>43</v>
      </c>
      <c r="I291" s="53" t="s">
        <v>471</v>
      </c>
      <c r="J291" s="53" t="s">
        <v>472</v>
      </c>
      <c r="K291" s="23">
        <v>0</v>
      </c>
      <c r="L291" s="234">
        <v>0</v>
      </c>
      <c r="M291" s="23">
        <v>0</v>
      </c>
      <c r="N291" s="23">
        <v>0</v>
      </c>
      <c r="O291" s="37">
        <v>0</v>
      </c>
      <c r="P291" s="37">
        <v>0</v>
      </c>
      <c r="Q291" s="23">
        <v>0</v>
      </c>
      <c r="R291" s="24">
        <v>0</v>
      </c>
      <c r="S291" s="7" t="s">
        <v>115</v>
      </c>
      <c r="T291" s="257">
        <f t="shared" si="8"/>
        <v>0</v>
      </c>
      <c r="U291" s="257">
        <f t="shared" si="9"/>
        <v>0</v>
      </c>
      <c r="V291">
        <v>0</v>
      </c>
      <c r="W291">
        <v>0</v>
      </c>
    </row>
    <row r="292" spans="1:23" ht="34.200000000000003" x14ac:dyDescent="0.3">
      <c r="A292" s="129">
        <v>37854</v>
      </c>
      <c r="B292" s="129">
        <v>37854</v>
      </c>
      <c r="C292" s="6">
        <v>8</v>
      </c>
      <c r="D292" s="6">
        <v>1</v>
      </c>
      <c r="E292" s="19">
        <v>2003</v>
      </c>
      <c r="F292" s="15" t="s">
        <v>22</v>
      </c>
      <c r="G292" s="18" t="s">
        <v>6256</v>
      </c>
      <c r="H292" s="9" t="s">
        <v>31</v>
      </c>
      <c r="I292" s="53" t="s">
        <v>473</v>
      </c>
      <c r="J292" s="53" t="s">
        <v>474</v>
      </c>
      <c r="K292" s="23">
        <v>0</v>
      </c>
      <c r="L292" s="234">
        <v>220</v>
      </c>
      <c r="M292" s="23">
        <v>44</v>
      </c>
      <c r="N292" s="23">
        <v>0</v>
      </c>
      <c r="O292" s="37">
        <v>0</v>
      </c>
      <c r="P292" s="37">
        <v>0</v>
      </c>
      <c r="Q292" s="23">
        <v>0</v>
      </c>
      <c r="R292" s="24">
        <v>0.126</v>
      </c>
      <c r="S292" s="7" t="s">
        <v>115</v>
      </c>
      <c r="T292" s="257">
        <f t="shared" si="8"/>
        <v>220</v>
      </c>
      <c r="U292" s="257">
        <f t="shared" si="9"/>
        <v>44</v>
      </c>
      <c r="V292">
        <v>1</v>
      </c>
      <c r="W292">
        <v>1</v>
      </c>
    </row>
    <row r="293" spans="1:23" ht="45.6" x14ac:dyDescent="0.3">
      <c r="A293" s="129">
        <v>37854</v>
      </c>
      <c r="B293" s="129">
        <v>37854</v>
      </c>
      <c r="C293" s="6">
        <v>8</v>
      </c>
      <c r="D293" s="6">
        <v>1</v>
      </c>
      <c r="E293" s="19">
        <v>2003</v>
      </c>
      <c r="F293" s="15" t="s">
        <v>22</v>
      </c>
      <c r="G293" s="18" t="s">
        <v>6256</v>
      </c>
      <c r="H293" s="9" t="s">
        <v>24</v>
      </c>
      <c r="I293" s="53" t="s">
        <v>475</v>
      </c>
      <c r="J293" s="53" t="s">
        <v>476</v>
      </c>
      <c r="K293" s="23">
        <v>1</v>
      </c>
      <c r="L293" s="234">
        <v>1</v>
      </c>
      <c r="M293" s="23">
        <v>0</v>
      </c>
      <c r="N293" s="23">
        <v>0</v>
      </c>
      <c r="O293" s="37">
        <v>0</v>
      </c>
      <c r="P293" s="37">
        <v>0</v>
      </c>
      <c r="Q293" s="23">
        <v>0</v>
      </c>
      <c r="R293" s="24">
        <v>0</v>
      </c>
      <c r="S293" s="7" t="s">
        <v>115</v>
      </c>
      <c r="T293" s="257">
        <f t="shared" si="8"/>
        <v>2</v>
      </c>
      <c r="U293" s="257">
        <f t="shared" si="9"/>
        <v>0</v>
      </c>
      <c r="V293">
        <v>1</v>
      </c>
      <c r="W293">
        <v>0</v>
      </c>
    </row>
    <row r="294" spans="1:23" ht="79.8" x14ac:dyDescent="0.3">
      <c r="A294" s="129">
        <v>37855</v>
      </c>
      <c r="B294" s="129">
        <v>37855</v>
      </c>
      <c r="C294" s="6">
        <v>8</v>
      </c>
      <c r="D294" s="6">
        <v>1</v>
      </c>
      <c r="E294" s="19">
        <v>2003</v>
      </c>
      <c r="F294" s="15" t="s">
        <v>22</v>
      </c>
      <c r="G294" s="18" t="s">
        <v>6256</v>
      </c>
      <c r="H294" s="9" t="s">
        <v>51</v>
      </c>
      <c r="I294" s="53" t="s">
        <v>477</v>
      </c>
      <c r="J294" s="53" t="s">
        <v>478</v>
      </c>
      <c r="K294" s="23">
        <v>4</v>
      </c>
      <c r="L294" s="234">
        <v>33</v>
      </c>
      <c r="M294" s="23">
        <v>12</v>
      </c>
      <c r="N294" s="23">
        <v>0</v>
      </c>
      <c r="O294" s="37">
        <v>0</v>
      </c>
      <c r="P294" s="37">
        <v>0</v>
      </c>
      <c r="Q294" s="23">
        <v>0</v>
      </c>
      <c r="R294" s="24">
        <v>3.4000000000000002E-2</v>
      </c>
      <c r="S294" s="7" t="s">
        <v>115</v>
      </c>
      <c r="T294" s="257">
        <f t="shared" si="8"/>
        <v>37</v>
      </c>
      <c r="U294" s="257">
        <f t="shared" si="9"/>
        <v>12</v>
      </c>
      <c r="V294">
        <v>1</v>
      </c>
      <c r="W294">
        <v>1</v>
      </c>
    </row>
    <row r="295" spans="1:23" ht="91.2" x14ac:dyDescent="0.3">
      <c r="A295" s="129">
        <v>37856</v>
      </c>
      <c r="B295" s="129">
        <v>37856</v>
      </c>
      <c r="C295" s="6">
        <v>8</v>
      </c>
      <c r="D295" s="6">
        <v>1</v>
      </c>
      <c r="E295" s="19">
        <v>2003</v>
      </c>
      <c r="F295" s="15" t="s">
        <v>22</v>
      </c>
      <c r="G295" s="18" t="s">
        <v>6256</v>
      </c>
      <c r="H295" s="9" t="s">
        <v>46</v>
      </c>
      <c r="I295" s="53" t="s">
        <v>479</v>
      </c>
      <c r="J295" s="53" t="s">
        <v>480</v>
      </c>
      <c r="K295" s="23">
        <v>1</v>
      </c>
      <c r="L295" s="234">
        <v>5</v>
      </c>
      <c r="M295" s="23">
        <v>8</v>
      </c>
      <c r="N295" s="23">
        <v>0</v>
      </c>
      <c r="O295" s="37">
        <v>0</v>
      </c>
      <c r="P295" s="37">
        <v>0</v>
      </c>
      <c r="Q295" s="23">
        <v>0</v>
      </c>
      <c r="R295" s="24">
        <v>2.3E-2</v>
      </c>
      <c r="S295" s="7" t="s">
        <v>115</v>
      </c>
      <c r="T295" s="257">
        <f t="shared" si="8"/>
        <v>6</v>
      </c>
      <c r="U295" s="257">
        <f t="shared" si="9"/>
        <v>8</v>
      </c>
      <c r="V295">
        <v>1</v>
      </c>
      <c r="W295">
        <v>1</v>
      </c>
    </row>
    <row r="296" spans="1:23" ht="22.8" x14ac:dyDescent="0.3">
      <c r="A296" s="129">
        <v>37856</v>
      </c>
      <c r="B296" s="129">
        <v>37856</v>
      </c>
      <c r="C296" s="6">
        <v>8</v>
      </c>
      <c r="D296" s="6">
        <v>1</v>
      </c>
      <c r="E296" s="19">
        <v>2003</v>
      </c>
      <c r="F296" s="15" t="s">
        <v>22</v>
      </c>
      <c r="G296" s="18" t="s">
        <v>6256</v>
      </c>
      <c r="H296" s="9" t="s">
        <v>66</v>
      </c>
      <c r="I296" s="53" t="s">
        <v>95</v>
      </c>
      <c r="J296" s="53" t="s">
        <v>481</v>
      </c>
      <c r="K296" s="23">
        <v>5</v>
      </c>
      <c r="L296" s="234">
        <v>15000</v>
      </c>
      <c r="M296" s="23">
        <v>0</v>
      </c>
      <c r="N296" s="23">
        <v>0</v>
      </c>
      <c r="O296" s="37">
        <v>0</v>
      </c>
      <c r="P296" s="37">
        <v>0</v>
      </c>
      <c r="Q296" s="23">
        <v>0</v>
      </c>
      <c r="R296" s="24">
        <v>0</v>
      </c>
      <c r="S296" s="7" t="s">
        <v>115</v>
      </c>
      <c r="T296" s="257">
        <f t="shared" si="8"/>
        <v>15005</v>
      </c>
      <c r="U296" s="257">
        <f t="shared" si="9"/>
        <v>0</v>
      </c>
      <c r="V296">
        <v>2</v>
      </c>
      <c r="W296">
        <v>0</v>
      </c>
    </row>
    <row r="297" spans="1:23" ht="34.200000000000003" x14ac:dyDescent="0.3">
      <c r="A297" s="129">
        <v>37856</v>
      </c>
      <c r="B297" s="129">
        <v>37856</v>
      </c>
      <c r="C297" s="6">
        <v>8</v>
      </c>
      <c r="D297" s="6">
        <v>1</v>
      </c>
      <c r="E297" s="19">
        <v>2003</v>
      </c>
      <c r="F297" s="15" t="s">
        <v>22</v>
      </c>
      <c r="G297" s="18" t="s">
        <v>6256</v>
      </c>
      <c r="H297" s="9" t="s">
        <v>72</v>
      </c>
      <c r="I297" s="53" t="s">
        <v>482</v>
      </c>
      <c r="J297" s="53" t="s">
        <v>483</v>
      </c>
      <c r="K297" s="23">
        <v>0</v>
      </c>
      <c r="L297" s="234">
        <v>20</v>
      </c>
      <c r="M297" s="23">
        <v>4</v>
      </c>
      <c r="N297" s="23">
        <v>0</v>
      </c>
      <c r="O297" s="37">
        <v>0</v>
      </c>
      <c r="P297" s="37">
        <v>0</v>
      </c>
      <c r="Q297" s="23">
        <v>0</v>
      </c>
      <c r="R297" s="24">
        <v>1.0999999999999999E-2</v>
      </c>
      <c r="S297" s="7" t="s">
        <v>115</v>
      </c>
      <c r="T297" s="257">
        <f t="shared" si="8"/>
        <v>20</v>
      </c>
      <c r="U297" s="257">
        <f t="shared" si="9"/>
        <v>4</v>
      </c>
      <c r="V297">
        <v>1</v>
      </c>
      <c r="W297">
        <v>1</v>
      </c>
    </row>
    <row r="298" spans="1:23" ht="102.6" x14ac:dyDescent="0.3">
      <c r="A298" s="129">
        <v>37856</v>
      </c>
      <c r="B298" s="129">
        <v>37856</v>
      </c>
      <c r="C298" s="6">
        <v>8</v>
      </c>
      <c r="D298" s="6">
        <v>1</v>
      </c>
      <c r="E298" s="19">
        <v>2003</v>
      </c>
      <c r="F298" s="15" t="s">
        <v>22</v>
      </c>
      <c r="G298" s="18" t="s">
        <v>6256</v>
      </c>
      <c r="H298" s="9" t="s">
        <v>28</v>
      </c>
      <c r="I298" s="17" t="s">
        <v>484</v>
      </c>
      <c r="J298" s="62" t="s">
        <v>485</v>
      </c>
      <c r="K298" s="23">
        <v>4</v>
      </c>
      <c r="L298" s="234">
        <v>5990</v>
      </c>
      <c r="M298" s="23">
        <v>1198</v>
      </c>
      <c r="N298" s="23">
        <v>1</v>
      </c>
      <c r="O298" s="37">
        <v>12</v>
      </c>
      <c r="P298" s="37">
        <v>0</v>
      </c>
      <c r="Q298" s="23">
        <v>4146</v>
      </c>
      <c r="R298" s="24">
        <v>0</v>
      </c>
      <c r="S298" s="7" t="s">
        <v>115</v>
      </c>
      <c r="T298" s="257">
        <f t="shared" si="8"/>
        <v>5994</v>
      </c>
      <c r="U298" s="257">
        <f t="shared" si="9"/>
        <v>1211</v>
      </c>
      <c r="V298">
        <v>1</v>
      </c>
      <c r="W298">
        <v>2</v>
      </c>
    </row>
    <row r="299" spans="1:23" ht="45.6" x14ac:dyDescent="0.3">
      <c r="A299" s="129">
        <v>37857</v>
      </c>
      <c r="B299" s="129">
        <v>37857</v>
      </c>
      <c r="C299" s="6">
        <v>8</v>
      </c>
      <c r="D299" s="6">
        <v>1</v>
      </c>
      <c r="E299" s="19">
        <v>2003</v>
      </c>
      <c r="F299" s="15" t="s">
        <v>22</v>
      </c>
      <c r="G299" s="18" t="s">
        <v>6256</v>
      </c>
      <c r="H299" s="9" t="s">
        <v>74</v>
      </c>
      <c r="I299" s="17" t="s">
        <v>486</v>
      </c>
      <c r="J299" s="62" t="s">
        <v>487</v>
      </c>
      <c r="K299" s="23">
        <v>2</v>
      </c>
      <c r="L299" s="234">
        <v>2</v>
      </c>
      <c r="M299" s="23">
        <v>0</v>
      </c>
      <c r="N299" s="23">
        <v>0</v>
      </c>
      <c r="O299" s="37">
        <v>0</v>
      </c>
      <c r="P299" s="37">
        <v>0</v>
      </c>
      <c r="Q299" s="23">
        <v>0</v>
      </c>
      <c r="R299" s="24">
        <v>0</v>
      </c>
      <c r="S299" s="7" t="s">
        <v>115</v>
      </c>
      <c r="T299" s="257">
        <f t="shared" si="8"/>
        <v>4</v>
      </c>
      <c r="U299" s="257">
        <f t="shared" si="9"/>
        <v>0</v>
      </c>
      <c r="V299">
        <v>1</v>
      </c>
      <c r="W299">
        <v>0</v>
      </c>
    </row>
    <row r="300" spans="1:23" ht="57" x14ac:dyDescent="0.3">
      <c r="A300" s="129">
        <v>37857</v>
      </c>
      <c r="B300" s="129">
        <v>37857</v>
      </c>
      <c r="C300" s="6">
        <v>8</v>
      </c>
      <c r="D300" s="6">
        <v>1</v>
      </c>
      <c r="E300" s="19">
        <v>2003</v>
      </c>
      <c r="F300" s="15" t="s">
        <v>22</v>
      </c>
      <c r="G300" s="18" t="s">
        <v>6256</v>
      </c>
      <c r="H300" s="9" t="s">
        <v>51</v>
      </c>
      <c r="I300" s="17" t="s">
        <v>488</v>
      </c>
      <c r="J300" s="62" t="s">
        <v>489</v>
      </c>
      <c r="K300" s="23">
        <v>0</v>
      </c>
      <c r="L300" s="234">
        <v>28</v>
      </c>
      <c r="M300" s="23">
        <v>6</v>
      </c>
      <c r="N300" s="23">
        <v>0</v>
      </c>
      <c r="O300" s="37">
        <v>0</v>
      </c>
      <c r="P300" s="37">
        <v>0</v>
      </c>
      <c r="Q300" s="23">
        <v>0</v>
      </c>
      <c r="R300" s="24">
        <v>1.7000000000000001E-2</v>
      </c>
      <c r="S300" s="7" t="s">
        <v>115</v>
      </c>
      <c r="T300" s="257">
        <f t="shared" si="8"/>
        <v>28</v>
      </c>
      <c r="U300" s="257">
        <f t="shared" si="9"/>
        <v>6</v>
      </c>
      <c r="V300">
        <v>1</v>
      </c>
      <c r="W300">
        <v>1</v>
      </c>
    </row>
    <row r="301" spans="1:23" ht="34.200000000000003" x14ac:dyDescent="0.3">
      <c r="A301" s="129">
        <v>37857</v>
      </c>
      <c r="B301" s="129">
        <v>37857</v>
      </c>
      <c r="C301" s="6">
        <v>8</v>
      </c>
      <c r="D301" s="6">
        <v>1</v>
      </c>
      <c r="E301" s="19">
        <v>2003</v>
      </c>
      <c r="F301" s="15" t="s">
        <v>22</v>
      </c>
      <c r="G301" s="18" t="s">
        <v>6256</v>
      </c>
      <c r="H301" s="9" t="s">
        <v>51</v>
      </c>
      <c r="I301" s="17" t="s">
        <v>490</v>
      </c>
      <c r="J301" s="62" t="s">
        <v>491</v>
      </c>
      <c r="K301" s="23">
        <v>4</v>
      </c>
      <c r="L301" s="234">
        <v>4</v>
      </c>
      <c r="M301" s="23">
        <v>0</v>
      </c>
      <c r="N301" s="23">
        <v>0</v>
      </c>
      <c r="O301" s="37">
        <v>0</v>
      </c>
      <c r="P301" s="37">
        <v>0</v>
      </c>
      <c r="Q301" s="23">
        <v>0</v>
      </c>
      <c r="R301" s="24">
        <v>0</v>
      </c>
      <c r="S301" s="7" t="s">
        <v>115</v>
      </c>
      <c r="T301" s="257">
        <f t="shared" si="8"/>
        <v>8</v>
      </c>
      <c r="U301" s="257">
        <f t="shared" si="9"/>
        <v>0</v>
      </c>
      <c r="V301">
        <v>1</v>
      </c>
      <c r="W301">
        <v>0</v>
      </c>
    </row>
    <row r="302" spans="1:23" ht="68.400000000000006" x14ac:dyDescent="0.3">
      <c r="A302" s="129">
        <v>37857</v>
      </c>
      <c r="B302" s="129">
        <v>37857</v>
      </c>
      <c r="C302" s="6">
        <v>8</v>
      </c>
      <c r="D302" s="6">
        <v>1</v>
      </c>
      <c r="E302" s="19">
        <v>2003</v>
      </c>
      <c r="F302" s="15" t="s">
        <v>22</v>
      </c>
      <c r="G302" s="18" t="s">
        <v>6256</v>
      </c>
      <c r="H302" s="9" t="s">
        <v>66</v>
      </c>
      <c r="I302" s="17" t="s">
        <v>492</v>
      </c>
      <c r="J302" s="62" t="s">
        <v>493</v>
      </c>
      <c r="K302" s="23">
        <v>4</v>
      </c>
      <c r="L302" s="234">
        <v>1500</v>
      </c>
      <c r="M302" s="23">
        <v>23</v>
      </c>
      <c r="N302" s="23">
        <v>0</v>
      </c>
      <c r="O302" s="37">
        <v>0</v>
      </c>
      <c r="P302" s="37">
        <v>0</v>
      </c>
      <c r="Q302" s="23">
        <v>0</v>
      </c>
      <c r="R302" s="24">
        <v>6.6000000000000003E-2</v>
      </c>
      <c r="S302" s="7" t="s">
        <v>115</v>
      </c>
      <c r="T302" s="257">
        <f t="shared" si="8"/>
        <v>1504</v>
      </c>
      <c r="U302" s="257">
        <f t="shared" si="9"/>
        <v>23</v>
      </c>
      <c r="V302">
        <v>1</v>
      </c>
      <c r="W302">
        <v>1</v>
      </c>
    </row>
    <row r="303" spans="1:23" ht="34.200000000000003" x14ac:dyDescent="0.3">
      <c r="A303" s="129">
        <v>37860</v>
      </c>
      <c r="B303" s="129">
        <v>37860</v>
      </c>
      <c r="C303" s="6">
        <v>8</v>
      </c>
      <c r="D303" s="6">
        <v>1</v>
      </c>
      <c r="E303" s="19">
        <v>2003</v>
      </c>
      <c r="F303" s="15" t="s">
        <v>22</v>
      </c>
      <c r="G303" s="18" t="s">
        <v>6256</v>
      </c>
      <c r="H303" s="9" t="s">
        <v>46</v>
      </c>
      <c r="I303" s="17" t="s">
        <v>494</v>
      </c>
      <c r="J303" s="62" t="s">
        <v>495</v>
      </c>
      <c r="K303" s="23">
        <v>1</v>
      </c>
      <c r="L303" s="234">
        <v>2</v>
      </c>
      <c r="M303" s="23">
        <v>0</v>
      </c>
      <c r="N303" s="23">
        <v>0</v>
      </c>
      <c r="O303" s="37">
        <v>0</v>
      </c>
      <c r="P303" s="37">
        <v>0</v>
      </c>
      <c r="Q303" s="23">
        <v>0</v>
      </c>
      <c r="R303" s="24">
        <v>0</v>
      </c>
      <c r="S303" s="7" t="s">
        <v>115</v>
      </c>
      <c r="T303" s="257">
        <f t="shared" si="8"/>
        <v>3</v>
      </c>
      <c r="U303" s="257">
        <f t="shared" si="9"/>
        <v>0</v>
      </c>
      <c r="V303">
        <v>1</v>
      </c>
      <c r="W303">
        <v>0</v>
      </c>
    </row>
    <row r="304" spans="1:23" ht="45.6" x14ac:dyDescent="0.3">
      <c r="A304" s="129">
        <v>37861</v>
      </c>
      <c r="B304" s="129">
        <v>37861</v>
      </c>
      <c r="C304" s="6">
        <v>8</v>
      </c>
      <c r="D304" s="6">
        <v>1</v>
      </c>
      <c r="E304" s="19">
        <v>2003</v>
      </c>
      <c r="F304" s="15" t="s">
        <v>22</v>
      </c>
      <c r="G304" s="18" t="s">
        <v>6256</v>
      </c>
      <c r="H304" s="9" t="s">
        <v>74</v>
      </c>
      <c r="I304" s="17" t="s">
        <v>350</v>
      </c>
      <c r="J304" s="62" t="s">
        <v>496</v>
      </c>
      <c r="K304" s="23">
        <v>4</v>
      </c>
      <c r="L304" s="234">
        <v>4</v>
      </c>
      <c r="M304" s="23">
        <v>0</v>
      </c>
      <c r="N304" s="23">
        <v>0</v>
      </c>
      <c r="O304" s="37">
        <v>0</v>
      </c>
      <c r="P304" s="37">
        <v>0</v>
      </c>
      <c r="Q304" s="23">
        <v>0</v>
      </c>
      <c r="R304" s="24">
        <v>0</v>
      </c>
      <c r="S304" s="7" t="s">
        <v>115</v>
      </c>
      <c r="T304" s="257">
        <f t="shared" si="8"/>
        <v>8</v>
      </c>
      <c r="U304" s="257">
        <f t="shared" si="9"/>
        <v>0</v>
      </c>
      <c r="V304">
        <v>1</v>
      </c>
      <c r="W304">
        <v>0</v>
      </c>
    </row>
    <row r="305" spans="1:23" ht="45.6" x14ac:dyDescent="0.3">
      <c r="A305" s="129">
        <v>37863</v>
      </c>
      <c r="B305" s="129">
        <v>37863</v>
      </c>
      <c r="C305" s="6">
        <v>8</v>
      </c>
      <c r="D305" s="6">
        <v>1</v>
      </c>
      <c r="E305" s="19">
        <v>2003</v>
      </c>
      <c r="F305" s="15" t="s">
        <v>22</v>
      </c>
      <c r="G305" s="18" t="s">
        <v>6256</v>
      </c>
      <c r="H305" s="9" t="s">
        <v>61</v>
      </c>
      <c r="I305" s="17" t="s">
        <v>497</v>
      </c>
      <c r="J305" s="62" t="s">
        <v>498</v>
      </c>
      <c r="K305" s="23">
        <v>0</v>
      </c>
      <c r="L305" s="234">
        <v>150</v>
      </c>
      <c r="M305" s="23">
        <v>30</v>
      </c>
      <c r="N305" s="23">
        <v>0</v>
      </c>
      <c r="O305" s="37">
        <v>0</v>
      </c>
      <c r="P305" s="37">
        <v>0</v>
      </c>
      <c r="Q305" s="23">
        <v>0</v>
      </c>
      <c r="R305" s="24">
        <v>8.6400000000000005E-2</v>
      </c>
      <c r="S305" s="7" t="s">
        <v>115</v>
      </c>
      <c r="T305" s="257">
        <f t="shared" si="8"/>
        <v>150</v>
      </c>
      <c r="U305" s="257">
        <f t="shared" si="9"/>
        <v>30</v>
      </c>
      <c r="V305">
        <v>1</v>
      </c>
      <c r="W305">
        <v>1</v>
      </c>
    </row>
    <row r="306" spans="1:23" ht="57" x14ac:dyDescent="0.3">
      <c r="A306" s="129">
        <v>37864</v>
      </c>
      <c r="B306" s="129">
        <v>37864</v>
      </c>
      <c r="C306" s="6">
        <v>8</v>
      </c>
      <c r="D306" s="6">
        <v>1</v>
      </c>
      <c r="E306" s="19">
        <v>2003</v>
      </c>
      <c r="F306" s="15" t="s">
        <v>22</v>
      </c>
      <c r="G306" s="18" t="s">
        <v>6256</v>
      </c>
      <c r="H306" s="9" t="s">
        <v>31</v>
      </c>
      <c r="I306" s="17" t="s">
        <v>499</v>
      </c>
      <c r="J306" s="62" t="s">
        <v>500</v>
      </c>
      <c r="K306" s="23">
        <v>1</v>
      </c>
      <c r="L306" s="234">
        <v>93</v>
      </c>
      <c r="M306" s="23">
        <v>40</v>
      </c>
      <c r="N306" s="23">
        <v>0</v>
      </c>
      <c r="O306" s="37">
        <v>0</v>
      </c>
      <c r="P306" s="37">
        <v>0</v>
      </c>
      <c r="Q306" s="23">
        <v>0</v>
      </c>
      <c r="R306" s="24">
        <v>0.115</v>
      </c>
      <c r="S306" s="7" t="s">
        <v>115</v>
      </c>
      <c r="T306" s="257">
        <f t="shared" si="8"/>
        <v>94</v>
      </c>
      <c r="U306" s="257">
        <f t="shared" si="9"/>
        <v>40</v>
      </c>
      <c r="V306">
        <v>1</v>
      </c>
      <c r="W306">
        <v>1</v>
      </c>
    </row>
    <row r="307" spans="1:23" ht="34.200000000000003" x14ac:dyDescent="0.3">
      <c r="A307" s="129">
        <v>37865</v>
      </c>
      <c r="B307" s="129">
        <v>37865</v>
      </c>
      <c r="C307" s="6">
        <v>9</v>
      </c>
      <c r="D307" s="6">
        <v>1</v>
      </c>
      <c r="E307" s="19">
        <v>2003</v>
      </c>
      <c r="F307" s="15" t="s">
        <v>22</v>
      </c>
      <c r="G307" s="18" t="s">
        <v>6256</v>
      </c>
      <c r="H307" s="9" t="s">
        <v>43</v>
      </c>
      <c r="I307" s="17" t="s">
        <v>501</v>
      </c>
      <c r="J307" s="62" t="s">
        <v>502</v>
      </c>
      <c r="K307" s="23">
        <v>0</v>
      </c>
      <c r="L307" s="234">
        <v>641</v>
      </c>
      <c r="M307" s="23">
        <v>120</v>
      </c>
      <c r="N307" s="23">
        <v>0</v>
      </c>
      <c r="O307" s="37">
        <v>0</v>
      </c>
      <c r="P307" s="37">
        <v>0</v>
      </c>
      <c r="Q307" s="23">
        <v>0</v>
      </c>
      <c r="R307" s="24">
        <v>0.34499999999999997</v>
      </c>
      <c r="S307" s="7" t="s">
        <v>115</v>
      </c>
      <c r="T307" s="257">
        <f t="shared" si="8"/>
        <v>641</v>
      </c>
      <c r="U307" s="257">
        <f t="shared" si="9"/>
        <v>120</v>
      </c>
      <c r="V307">
        <v>1</v>
      </c>
      <c r="W307">
        <v>1</v>
      </c>
    </row>
    <row r="308" spans="1:23" ht="34.200000000000003" x14ac:dyDescent="0.3">
      <c r="A308" s="211">
        <v>41131</v>
      </c>
      <c r="B308" s="211">
        <v>41131</v>
      </c>
      <c r="C308" s="6">
        <v>8</v>
      </c>
      <c r="D308" s="6">
        <v>1</v>
      </c>
      <c r="E308" s="19">
        <v>2012</v>
      </c>
      <c r="F308" s="15" t="s">
        <v>22</v>
      </c>
      <c r="G308" s="16" t="s">
        <v>6254</v>
      </c>
      <c r="H308" s="9" t="s">
        <v>48</v>
      </c>
      <c r="I308" s="20" t="s">
        <v>503</v>
      </c>
      <c r="J308" s="21" t="s">
        <v>504</v>
      </c>
      <c r="K308" s="43">
        <v>0</v>
      </c>
      <c r="L308" s="234">
        <v>22829</v>
      </c>
      <c r="M308" s="23">
        <v>194</v>
      </c>
      <c r="N308" s="23">
        <v>14</v>
      </c>
      <c r="O308" s="23">
        <v>2</v>
      </c>
      <c r="P308" s="23">
        <v>0</v>
      </c>
      <c r="Q308" s="23">
        <v>0</v>
      </c>
      <c r="R308" s="24">
        <v>170.6</v>
      </c>
      <c r="S308" s="25" t="s">
        <v>21</v>
      </c>
      <c r="T308" s="257">
        <f t="shared" si="8"/>
        <v>22829</v>
      </c>
      <c r="U308" s="257">
        <f t="shared" si="9"/>
        <v>210</v>
      </c>
      <c r="V308">
        <v>2</v>
      </c>
      <c r="W308">
        <v>1</v>
      </c>
    </row>
    <row r="309" spans="1:23" ht="57" x14ac:dyDescent="0.3">
      <c r="A309" s="129">
        <v>37868</v>
      </c>
      <c r="B309" s="129">
        <v>37868</v>
      </c>
      <c r="C309" s="6">
        <v>9</v>
      </c>
      <c r="D309" s="6">
        <v>1</v>
      </c>
      <c r="E309" s="19">
        <v>2003</v>
      </c>
      <c r="F309" s="15" t="s">
        <v>22</v>
      </c>
      <c r="G309" s="18" t="s">
        <v>6256</v>
      </c>
      <c r="H309" s="9" t="s">
        <v>43</v>
      </c>
      <c r="I309" s="17" t="s">
        <v>505</v>
      </c>
      <c r="J309" s="62" t="s">
        <v>506</v>
      </c>
      <c r="K309" s="23">
        <v>1</v>
      </c>
      <c r="L309" s="234">
        <v>2</v>
      </c>
      <c r="M309" s="23">
        <v>0</v>
      </c>
      <c r="N309" s="23">
        <v>0</v>
      </c>
      <c r="O309" s="37">
        <v>0</v>
      </c>
      <c r="P309" s="37">
        <v>0</v>
      </c>
      <c r="Q309" s="23">
        <v>0</v>
      </c>
      <c r="R309" s="24">
        <v>0.46800000000000003</v>
      </c>
      <c r="S309" s="7" t="s">
        <v>115</v>
      </c>
      <c r="T309" s="257">
        <f t="shared" si="8"/>
        <v>3</v>
      </c>
      <c r="U309" s="257">
        <f t="shared" si="9"/>
        <v>0</v>
      </c>
      <c r="V309">
        <v>1</v>
      </c>
      <c r="W309">
        <v>0</v>
      </c>
    </row>
    <row r="310" spans="1:23" ht="262.2" x14ac:dyDescent="0.3">
      <c r="A310" s="217">
        <v>41929</v>
      </c>
      <c r="B310" s="217">
        <v>41930</v>
      </c>
      <c r="C310" s="6">
        <v>10</v>
      </c>
      <c r="D310" s="6">
        <v>2</v>
      </c>
      <c r="E310" s="33">
        <v>2014</v>
      </c>
      <c r="F310" s="15" t="s">
        <v>22</v>
      </c>
      <c r="G310" s="16" t="s">
        <v>6254</v>
      </c>
      <c r="H310" s="9" t="s">
        <v>48</v>
      </c>
      <c r="I310" s="47" t="s">
        <v>507</v>
      </c>
      <c r="J310" s="48" t="s">
        <v>508</v>
      </c>
      <c r="K310" s="49">
        <v>8</v>
      </c>
      <c r="L310" s="238">
        <v>16212</v>
      </c>
      <c r="M310" s="35">
        <v>2600</v>
      </c>
      <c r="N310" s="35">
        <v>1</v>
      </c>
      <c r="O310" s="35">
        <v>0</v>
      </c>
      <c r="P310" s="35">
        <v>0</v>
      </c>
      <c r="Q310" s="35">
        <v>0</v>
      </c>
      <c r="R310" s="36">
        <v>106.8</v>
      </c>
      <c r="S310" s="50" t="s">
        <v>115</v>
      </c>
      <c r="T310" s="257">
        <f t="shared" si="8"/>
        <v>16220</v>
      </c>
      <c r="U310" s="257">
        <f t="shared" si="9"/>
        <v>2601</v>
      </c>
      <c r="V310">
        <v>2</v>
      </c>
      <c r="W310">
        <v>2</v>
      </c>
    </row>
    <row r="311" spans="1:23" ht="34.200000000000003" x14ac:dyDescent="0.3">
      <c r="A311" s="129">
        <v>37868</v>
      </c>
      <c r="B311" s="129">
        <v>37868</v>
      </c>
      <c r="C311" s="6">
        <v>9</v>
      </c>
      <c r="D311" s="6">
        <v>1</v>
      </c>
      <c r="E311" s="19">
        <v>2003</v>
      </c>
      <c r="F311" s="15" t="s">
        <v>22</v>
      </c>
      <c r="G311" s="18" t="s">
        <v>6256</v>
      </c>
      <c r="H311" s="9" t="s">
        <v>43</v>
      </c>
      <c r="I311" s="17" t="s">
        <v>509</v>
      </c>
      <c r="J311" s="62" t="s">
        <v>510</v>
      </c>
      <c r="K311" s="23">
        <v>0</v>
      </c>
      <c r="L311" s="234">
        <v>60</v>
      </c>
      <c r="M311" s="23">
        <v>13</v>
      </c>
      <c r="N311" s="23">
        <v>0</v>
      </c>
      <c r="O311" s="37">
        <v>0</v>
      </c>
      <c r="P311" s="37">
        <v>0</v>
      </c>
      <c r="Q311" s="23">
        <v>0</v>
      </c>
      <c r="R311" s="24">
        <v>3.6999999999999998E-2</v>
      </c>
      <c r="S311" s="7" t="s">
        <v>115</v>
      </c>
      <c r="T311" s="257">
        <f t="shared" si="8"/>
        <v>60</v>
      </c>
      <c r="U311" s="257">
        <f t="shared" si="9"/>
        <v>13</v>
      </c>
      <c r="V311">
        <v>1</v>
      </c>
      <c r="W311">
        <v>1</v>
      </c>
    </row>
    <row r="312" spans="1:23" ht="57" x14ac:dyDescent="0.3">
      <c r="A312" s="129">
        <v>37869</v>
      </c>
      <c r="B312" s="129">
        <v>37869</v>
      </c>
      <c r="C312" s="6">
        <v>9</v>
      </c>
      <c r="D312" s="6">
        <v>1</v>
      </c>
      <c r="E312" s="19">
        <v>2003</v>
      </c>
      <c r="F312" s="15" t="s">
        <v>22</v>
      </c>
      <c r="G312" s="18" t="s">
        <v>6256</v>
      </c>
      <c r="H312" s="9" t="s">
        <v>51</v>
      </c>
      <c r="I312" s="17" t="s">
        <v>317</v>
      </c>
      <c r="J312" s="62" t="s">
        <v>511</v>
      </c>
      <c r="K312" s="23">
        <v>0</v>
      </c>
      <c r="L312" s="234">
        <v>1021</v>
      </c>
      <c r="M312" s="23">
        <v>222</v>
      </c>
      <c r="N312" s="23">
        <v>59</v>
      </c>
      <c r="O312" s="37">
        <v>0</v>
      </c>
      <c r="P312" s="37">
        <v>0</v>
      </c>
      <c r="Q312" s="23">
        <v>39600</v>
      </c>
      <c r="R312" s="24">
        <v>573.16</v>
      </c>
      <c r="S312" s="7" t="s">
        <v>115</v>
      </c>
      <c r="T312" s="257">
        <f t="shared" si="8"/>
        <v>1021</v>
      </c>
      <c r="U312" s="257">
        <f t="shared" si="9"/>
        <v>281</v>
      </c>
      <c r="V312">
        <v>1</v>
      </c>
      <c r="W312">
        <v>1</v>
      </c>
    </row>
    <row r="313" spans="1:23" ht="102.6" x14ac:dyDescent="0.3">
      <c r="A313" s="129">
        <v>37869</v>
      </c>
      <c r="B313" s="129">
        <v>37869</v>
      </c>
      <c r="C313" s="6">
        <v>9</v>
      </c>
      <c r="D313" s="6">
        <v>1</v>
      </c>
      <c r="E313" s="19">
        <v>2003</v>
      </c>
      <c r="F313" s="15" t="s">
        <v>22</v>
      </c>
      <c r="G313" s="18" t="s">
        <v>6256</v>
      </c>
      <c r="H313" s="9" t="s">
        <v>46</v>
      </c>
      <c r="I313" s="17" t="s">
        <v>317</v>
      </c>
      <c r="J313" s="62" t="s">
        <v>512</v>
      </c>
      <c r="K313" s="23">
        <v>9</v>
      </c>
      <c r="L313" s="234">
        <v>25780</v>
      </c>
      <c r="M313" s="23">
        <v>5056</v>
      </c>
      <c r="N313" s="23">
        <v>532</v>
      </c>
      <c r="O313" s="37">
        <v>0</v>
      </c>
      <c r="P313" s="37">
        <v>0</v>
      </c>
      <c r="Q313" s="23">
        <v>78175</v>
      </c>
      <c r="R313" s="24">
        <v>996.34100000000001</v>
      </c>
      <c r="S313" s="7" t="s">
        <v>115</v>
      </c>
      <c r="T313" s="257">
        <f t="shared" si="8"/>
        <v>25789</v>
      </c>
      <c r="U313" s="257">
        <f t="shared" si="9"/>
        <v>5588</v>
      </c>
      <c r="V313">
        <v>2</v>
      </c>
      <c r="W313">
        <v>2</v>
      </c>
    </row>
    <row r="314" spans="1:23" ht="45.6" x14ac:dyDescent="0.3">
      <c r="A314" s="129">
        <v>37869</v>
      </c>
      <c r="B314" s="129">
        <v>37877</v>
      </c>
      <c r="C314" s="6">
        <v>9</v>
      </c>
      <c r="D314" s="6">
        <v>9</v>
      </c>
      <c r="E314" s="19">
        <v>2003</v>
      </c>
      <c r="F314" s="15" t="s">
        <v>22</v>
      </c>
      <c r="G314" s="18" t="s">
        <v>6256</v>
      </c>
      <c r="H314" s="9" t="s">
        <v>66</v>
      </c>
      <c r="I314" s="17" t="s">
        <v>513</v>
      </c>
      <c r="J314" s="62" t="s">
        <v>514</v>
      </c>
      <c r="K314" s="23">
        <v>4</v>
      </c>
      <c r="L314" s="234">
        <v>7500</v>
      </c>
      <c r="M314" s="23">
        <v>2220</v>
      </c>
      <c r="N314" s="23">
        <v>0</v>
      </c>
      <c r="O314" s="37">
        <v>0</v>
      </c>
      <c r="P314" s="37">
        <v>0</v>
      </c>
      <c r="Q314" s="23">
        <v>600</v>
      </c>
      <c r="R314" s="24">
        <v>6.34</v>
      </c>
      <c r="S314" s="7" t="s">
        <v>115</v>
      </c>
      <c r="T314" s="257">
        <f t="shared" si="8"/>
        <v>7504</v>
      </c>
      <c r="U314" s="257">
        <f t="shared" si="9"/>
        <v>2220</v>
      </c>
      <c r="V314">
        <v>1</v>
      </c>
      <c r="W314">
        <v>2</v>
      </c>
    </row>
    <row r="315" spans="1:23" ht="45.6" x14ac:dyDescent="0.3">
      <c r="A315" s="129">
        <v>37870</v>
      </c>
      <c r="B315" s="129">
        <v>37870</v>
      </c>
      <c r="C315" s="6">
        <v>9</v>
      </c>
      <c r="D315" s="6">
        <v>1</v>
      </c>
      <c r="E315" s="19">
        <v>2003</v>
      </c>
      <c r="F315" s="15" t="s">
        <v>22</v>
      </c>
      <c r="G315" s="18" t="s">
        <v>6256</v>
      </c>
      <c r="H315" s="9" t="s">
        <v>66</v>
      </c>
      <c r="I315" s="59" t="s">
        <v>66</v>
      </c>
      <c r="J315" s="59" t="s">
        <v>515</v>
      </c>
      <c r="K315" s="23">
        <v>0</v>
      </c>
      <c r="L315" s="234">
        <v>30000</v>
      </c>
      <c r="M315" s="23">
        <v>7000</v>
      </c>
      <c r="N315" s="23">
        <v>0</v>
      </c>
      <c r="O315" s="37">
        <v>0</v>
      </c>
      <c r="P315" s="37">
        <v>0</v>
      </c>
      <c r="Q315" s="23">
        <v>5582</v>
      </c>
      <c r="R315" s="24">
        <v>20.173999999999999</v>
      </c>
      <c r="S315" s="7" t="s">
        <v>115</v>
      </c>
      <c r="T315" s="257">
        <f t="shared" si="8"/>
        <v>30000</v>
      </c>
      <c r="U315" s="257">
        <f t="shared" si="9"/>
        <v>7000</v>
      </c>
      <c r="V315">
        <v>2</v>
      </c>
      <c r="W315">
        <v>2</v>
      </c>
    </row>
    <row r="316" spans="1:23" ht="45.6" x14ac:dyDescent="0.3">
      <c r="A316" s="129">
        <v>37871</v>
      </c>
      <c r="B316" s="129">
        <v>37871</v>
      </c>
      <c r="C316" s="6">
        <v>9</v>
      </c>
      <c r="D316" s="6">
        <v>1</v>
      </c>
      <c r="E316" s="19">
        <v>2003</v>
      </c>
      <c r="F316" s="15" t="s">
        <v>22</v>
      </c>
      <c r="G316" s="18" t="s">
        <v>6256</v>
      </c>
      <c r="H316" s="9" t="s">
        <v>121</v>
      </c>
      <c r="I316" s="59" t="s">
        <v>516</v>
      </c>
      <c r="J316" s="59" t="s">
        <v>517</v>
      </c>
      <c r="K316" s="23">
        <v>0</v>
      </c>
      <c r="L316" s="234">
        <v>100</v>
      </c>
      <c r="M316" s="23">
        <v>3</v>
      </c>
      <c r="N316" s="23">
        <v>0</v>
      </c>
      <c r="O316" s="37">
        <v>0</v>
      </c>
      <c r="P316" s="37">
        <v>0</v>
      </c>
      <c r="Q316" s="23">
        <v>0</v>
      </c>
      <c r="R316" s="24">
        <v>8.0000000000000002E-3</v>
      </c>
      <c r="S316" s="7" t="s">
        <v>115</v>
      </c>
      <c r="T316" s="257">
        <f t="shared" si="8"/>
        <v>100</v>
      </c>
      <c r="U316" s="257">
        <f t="shared" si="9"/>
        <v>3</v>
      </c>
      <c r="V316">
        <v>1</v>
      </c>
      <c r="W316">
        <v>1</v>
      </c>
    </row>
    <row r="317" spans="1:23" ht="22.8" x14ac:dyDescent="0.3">
      <c r="A317" s="129">
        <v>37871</v>
      </c>
      <c r="B317" s="129">
        <v>37871</v>
      </c>
      <c r="C317" s="6">
        <v>9</v>
      </c>
      <c r="D317" s="6">
        <v>1</v>
      </c>
      <c r="E317" s="19">
        <v>2003</v>
      </c>
      <c r="F317" s="15" t="s">
        <v>22</v>
      </c>
      <c r="G317" s="18" t="s">
        <v>6256</v>
      </c>
      <c r="H317" s="9" t="s">
        <v>24</v>
      </c>
      <c r="I317" s="59" t="s">
        <v>95</v>
      </c>
      <c r="J317" s="59" t="s">
        <v>518</v>
      </c>
      <c r="K317" s="23">
        <v>0</v>
      </c>
      <c r="L317" s="234">
        <v>0</v>
      </c>
      <c r="M317" s="23">
        <v>5</v>
      </c>
      <c r="N317" s="23">
        <v>0</v>
      </c>
      <c r="O317" s="37">
        <v>0</v>
      </c>
      <c r="P317" s="37">
        <v>0</v>
      </c>
      <c r="Q317" s="23">
        <v>0</v>
      </c>
      <c r="R317" s="24">
        <v>4.2999999999999997E-2</v>
      </c>
      <c r="S317" s="7" t="s">
        <v>115</v>
      </c>
      <c r="T317" s="257">
        <f t="shared" si="8"/>
        <v>0</v>
      </c>
      <c r="U317" s="257">
        <f t="shared" si="9"/>
        <v>5</v>
      </c>
      <c r="V317">
        <v>0</v>
      </c>
      <c r="W317">
        <v>1</v>
      </c>
    </row>
    <row r="318" spans="1:23" ht="45.6" x14ac:dyDescent="0.3">
      <c r="A318" s="129">
        <v>37872</v>
      </c>
      <c r="B318" s="129">
        <v>37872</v>
      </c>
      <c r="C318" s="6">
        <v>9</v>
      </c>
      <c r="D318" s="6">
        <v>1</v>
      </c>
      <c r="E318" s="19">
        <v>2003</v>
      </c>
      <c r="F318" s="15" t="s">
        <v>22</v>
      </c>
      <c r="G318" s="18" t="s">
        <v>6256</v>
      </c>
      <c r="H318" s="9" t="s">
        <v>31</v>
      </c>
      <c r="I318" s="59" t="s">
        <v>519</v>
      </c>
      <c r="J318" s="59" t="s">
        <v>520</v>
      </c>
      <c r="K318" s="23">
        <v>1</v>
      </c>
      <c r="L318" s="234">
        <v>2</v>
      </c>
      <c r="M318" s="23">
        <v>0</v>
      </c>
      <c r="N318" s="23">
        <v>0</v>
      </c>
      <c r="O318" s="37">
        <v>0</v>
      </c>
      <c r="P318" s="37">
        <v>0</v>
      </c>
      <c r="Q318" s="23">
        <v>0</v>
      </c>
      <c r="R318" s="24">
        <v>0</v>
      </c>
      <c r="S318" s="7" t="s">
        <v>115</v>
      </c>
      <c r="T318" s="257">
        <f t="shared" si="8"/>
        <v>3</v>
      </c>
      <c r="U318" s="257">
        <f t="shared" si="9"/>
        <v>0</v>
      </c>
      <c r="V318">
        <v>1</v>
      </c>
      <c r="W318">
        <v>0</v>
      </c>
    </row>
    <row r="319" spans="1:23" ht="57" x14ac:dyDescent="0.3">
      <c r="A319" s="129">
        <v>37873</v>
      </c>
      <c r="B319" s="129">
        <v>37873</v>
      </c>
      <c r="C319" s="6">
        <v>9</v>
      </c>
      <c r="D319" s="6">
        <v>1</v>
      </c>
      <c r="E319" s="19">
        <v>2003</v>
      </c>
      <c r="F319" s="15" t="s">
        <v>22</v>
      </c>
      <c r="G319" s="18" t="s">
        <v>6256</v>
      </c>
      <c r="H319" s="9" t="s">
        <v>56</v>
      </c>
      <c r="I319" s="17" t="s">
        <v>521</v>
      </c>
      <c r="J319" s="62" t="s">
        <v>522</v>
      </c>
      <c r="K319" s="23">
        <v>3</v>
      </c>
      <c r="L319" s="234">
        <v>100000</v>
      </c>
      <c r="M319" s="23">
        <v>4000</v>
      </c>
      <c r="N319" s="23">
        <v>3</v>
      </c>
      <c r="O319" s="37">
        <v>0</v>
      </c>
      <c r="P319" s="37">
        <v>0</v>
      </c>
      <c r="Q319" s="23">
        <v>2425</v>
      </c>
      <c r="R319" s="24">
        <v>156.273</v>
      </c>
      <c r="S319" s="7" t="s">
        <v>115</v>
      </c>
      <c r="T319" s="257">
        <f t="shared" si="8"/>
        <v>100003</v>
      </c>
      <c r="U319" s="257">
        <f t="shared" si="9"/>
        <v>4003</v>
      </c>
      <c r="V319">
        <v>3</v>
      </c>
      <c r="W319">
        <v>2</v>
      </c>
    </row>
    <row r="320" spans="1:23" ht="34.200000000000003" x14ac:dyDescent="0.3">
      <c r="A320" s="129">
        <v>37873</v>
      </c>
      <c r="B320" s="129">
        <v>37873</v>
      </c>
      <c r="C320" s="6">
        <v>9</v>
      </c>
      <c r="D320" s="6">
        <v>1</v>
      </c>
      <c r="E320" s="19">
        <v>2003</v>
      </c>
      <c r="F320" s="15" t="s">
        <v>22</v>
      </c>
      <c r="G320" s="18" t="s">
        <v>6256</v>
      </c>
      <c r="H320" s="9" t="s">
        <v>84</v>
      </c>
      <c r="I320" s="17" t="s">
        <v>523</v>
      </c>
      <c r="J320" s="62" t="s">
        <v>524</v>
      </c>
      <c r="K320" s="23">
        <v>0</v>
      </c>
      <c r="L320" s="234">
        <v>35</v>
      </c>
      <c r="M320" s="23">
        <v>7</v>
      </c>
      <c r="N320" s="23">
        <v>0</v>
      </c>
      <c r="O320" s="37">
        <v>0</v>
      </c>
      <c r="P320" s="37">
        <v>0</v>
      </c>
      <c r="Q320" s="23">
        <v>0</v>
      </c>
      <c r="R320" s="24">
        <v>0.02</v>
      </c>
      <c r="S320" s="7" t="s">
        <v>115</v>
      </c>
      <c r="T320" s="257">
        <f t="shared" si="8"/>
        <v>35</v>
      </c>
      <c r="U320" s="257">
        <f t="shared" si="9"/>
        <v>7</v>
      </c>
      <c r="V320">
        <v>1</v>
      </c>
      <c r="W320">
        <v>1</v>
      </c>
    </row>
    <row r="321" spans="1:23" ht="34.200000000000003" x14ac:dyDescent="0.3">
      <c r="A321" s="129">
        <v>37874</v>
      </c>
      <c r="B321" s="129">
        <v>37874</v>
      </c>
      <c r="C321" s="6">
        <v>9</v>
      </c>
      <c r="D321" s="6">
        <v>1</v>
      </c>
      <c r="E321" s="19">
        <v>2003</v>
      </c>
      <c r="F321" s="15" t="s">
        <v>22</v>
      </c>
      <c r="G321" s="18" t="s">
        <v>6256</v>
      </c>
      <c r="H321" s="9" t="s">
        <v>70</v>
      </c>
      <c r="I321" s="17" t="s">
        <v>525</v>
      </c>
      <c r="J321" s="62" t="s">
        <v>526</v>
      </c>
      <c r="K321" s="23">
        <v>1</v>
      </c>
      <c r="L321" s="234">
        <v>1</v>
      </c>
      <c r="M321" s="23">
        <v>0</v>
      </c>
      <c r="N321" s="23">
        <v>0</v>
      </c>
      <c r="O321" s="37">
        <v>0</v>
      </c>
      <c r="P321" s="37">
        <v>0</v>
      </c>
      <c r="Q321" s="23">
        <v>0</v>
      </c>
      <c r="R321" s="24">
        <v>0</v>
      </c>
      <c r="S321" s="7" t="s">
        <v>115</v>
      </c>
      <c r="T321" s="257">
        <f t="shared" si="8"/>
        <v>2</v>
      </c>
      <c r="U321" s="257">
        <f t="shared" si="9"/>
        <v>0</v>
      </c>
      <c r="V321">
        <v>1</v>
      </c>
      <c r="W321">
        <v>0</v>
      </c>
    </row>
    <row r="322" spans="1:23" ht="34.200000000000003" x14ac:dyDescent="0.3">
      <c r="A322" s="129">
        <v>37877</v>
      </c>
      <c r="B322" s="129">
        <v>37877</v>
      </c>
      <c r="C322" s="6">
        <v>9</v>
      </c>
      <c r="D322" s="6">
        <v>1</v>
      </c>
      <c r="E322" s="19">
        <v>2003</v>
      </c>
      <c r="F322" s="15" t="s">
        <v>22</v>
      </c>
      <c r="G322" s="18" t="s">
        <v>6256</v>
      </c>
      <c r="H322" s="9" t="s">
        <v>31</v>
      </c>
      <c r="I322" s="17" t="s">
        <v>527</v>
      </c>
      <c r="J322" s="62" t="s">
        <v>528</v>
      </c>
      <c r="K322" s="23">
        <v>0</v>
      </c>
      <c r="L322" s="234">
        <v>1010</v>
      </c>
      <c r="M322" s="23">
        <v>202</v>
      </c>
      <c r="N322" s="23">
        <v>0</v>
      </c>
      <c r="O322" s="37">
        <v>0</v>
      </c>
      <c r="P322" s="37">
        <v>0</v>
      </c>
      <c r="Q322" s="23">
        <v>0</v>
      </c>
      <c r="R322" s="24">
        <v>0.57999999999999996</v>
      </c>
      <c r="S322" s="7" t="s">
        <v>115</v>
      </c>
      <c r="T322" s="257">
        <f t="shared" si="8"/>
        <v>1010</v>
      </c>
      <c r="U322" s="257">
        <f t="shared" si="9"/>
        <v>202</v>
      </c>
      <c r="V322">
        <v>1</v>
      </c>
      <c r="W322">
        <v>1</v>
      </c>
    </row>
    <row r="323" spans="1:23" ht="34.200000000000003" x14ac:dyDescent="0.3">
      <c r="A323" s="129">
        <v>37877</v>
      </c>
      <c r="B323" s="129">
        <v>37877</v>
      </c>
      <c r="C323" s="6">
        <v>9</v>
      </c>
      <c r="D323" s="6">
        <v>1</v>
      </c>
      <c r="E323" s="19">
        <v>2003</v>
      </c>
      <c r="F323" s="15" t="s">
        <v>22</v>
      </c>
      <c r="G323" s="18" t="s">
        <v>6256</v>
      </c>
      <c r="H323" s="9" t="s">
        <v>84</v>
      </c>
      <c r="I323" s="17" t="s">
        <v>529</v>
      </c>
      <c r="J323" s="62" t="s">
        <v>530</v>
      </c>
      <c r="K323" s="23">
        <v>0</v>
      </c>
      <c r="L323" s="234">
        <v>50</v>
      </c>
      <c r="M323" s="23">
        <v>10</v>
      </c>
      <c r="N323" s="23">
        <v>0</v>
      </c>
      <c r="O323" s="37">
        <v>0</v>
      </c>
      <c r="P323" s="37">
        <v>0</v>
      </c>
      <c r="Q323" s="23">
        <v>0</v>
      </c>
      <c r="R323" s="24">
        <v>0.03</v>
      </c>
      <c r="S323" s="7" t="s">
        <v>115</v>
      </c>
      <c r="T323" s="257">
        <f t="shared" ref="T323:T386" si="10">SUM(K323:L323)</f>
        <v>50</v>
      </c>
      <c r="U323" s="257">
        <f t="shared" ref="U323:U386" si="11">SUM(M323:P323)</f>
        <v>10</v>
      </c>
      <c r="V323">
        <v>1</v>
      </c>
      <c r="W323">
        <v>1</v>
      </c>
    </row>
    <row r="324" spans="1:23" ht="68.400000000000006" x14ac:dyDescent="0.3">
      <c r="A324" s="129">
        <v>37877</v>
      </c>
      <c r="B324" s="129">
        <v>37885</v>
      </c>
      <c r="C324" s="6">
        <v>9</v>
      </c>
      <c r="D324" s="6">
        <v>9</v>
      </c>
      <c r="E324" s="19">
        <v>2003</v>
      </c>
      <c r="F324" s="15" t="s">
        <v>22</v>
      </c>
      <c r="G324" s="18" t="s">
        <v>6256</v>
      </c>
      <c r="H324" s="9" t="s">
        <v>88</v>
      </c>
      <c r="I324" s="17" t="s">
        <v>317</v>
      </c>
      <c r="J324" s="62" t="s">
        <v>531</v>
      </c>
      <c r="K324" s="23">
        <v>2</v>
      </c>
      <c r="L324" s="234">
        <v>30000</v>
      </c>
      <c r="M324" s="23">
        <v>3512</v>
      </c>
      <c r="N324" s="23">
        <v>68</v>
      </c>
      <c r="O324" s="37">
        <v>0</v>
      </c>
      <c r="P324" s="37">
        <v>0</v>
      </c>
      <c r="Q324" s="23">
        <v>11182</v>
      </c>
      <c r="R324" s="24">
        <v>148.33500000000001</v>
      </c>
      <c r="S324" s="7" t="s">
        <v>115</v>
      </c>
      <c r="T324" s="257">
        <f t="shared" si="10"/>
        <v>30002</v>
      </c>
      <c r="U324" s="257">
        <f t="shared" si="11"/>
        <v>3580</v>
      </c>
      <c r="V324">
        <v>2</v>
      </c>
      <c r="W324">
        <v>2</v>
      </c>
    </row>
    <row r="325" spans="1:23" ht="57" x14ac:dyDescent="0.3">
      <c r="A325" s="129">
        <v>37878</v>
      </c>
      <c r="B325" s="129">
        <v>37878</v>
      </c>
      <c r="C325" s="6">
        <v>9</v>
      </c>
      <c r="D325" s="6">
        <v>1</v>
      </c>
      <c r="E325" s="19">
        <v>2003</v>
      </c>
      <c r="F325" s="15" t="s">
        <v>22</v>
      </c>
      <c r="G325" s="18" t="s">
        <v>6256</v>
      </c>
      <c r="H325" s="9" t="s">
        <v>61</v>
      </c>
      <c r="I325" s="17" t="s">
        <v>317</v>
      </c>
      <c r="J325" s="62" t="s">
        <v>532</v>
      </c>
      <c r="K325" s="23">
        <v>1</v>
      </c>
      <c r="L325" s="234">
        <v>3000</v>
      </c>
      <c r="M325" s="23">
        <v>600</v>
      </c>
      <c r="N325" s="23">
        <v>0</v>
      </c>
      <c r="O325" s="37">
        <v>0</v>
      </c>
      <c r="P325" s="37">
        <v>0</v>
      </c>
      <c r="Q325" s="23">
        <v>0</v>
      </c>
      <c r="R325" s="24">
        <v>1.73</v>
      </c>
      <c r="S325" s="7" t="s">
        <v>115</v>
      </c>
      <c r="T325" s="257">
        <f t="shared" si="10"/>
        <v>3001</v>
      </c>
      <c r="U325" s="257">
        <f t="shared" si="11"/>
        <v>600</v>
      </c>
      <c r="V325">
        <v>1</v>
      </c>
      <c r="W325">
        <v>1</v>
      </c>
    </row>
    <row r="326" spans="1:23" ht="34.200000000000003" x14ac:dyDescent="0.3">
      <c r="A326" s="129">
        <v>37878</v>
      </c>
      <c r="B326" s="129">
        <v>37878</v>
      </c>
      <c r="C326" s="6">
        <v>9</v>
      </c>
      <c r="D326" s="6">
        <v>1</v>
      </c>
      <c r="E326" s="19">
        <v>2003</v>
      </c>
      <c r="F326" s="15" t="s">
        <v>22</v>
      </c>
      <c r="G326" s="18" t="s">
        <v>6256</v>
      </c>
      <c r="H326" s="9" t="s">
        <v>78</v>
      </c>
      <c r="I326" s="17" t="s">
        <v>533</v>
      </c>
      <c r="J326" s="62" t="s">
        <v>534</v>
      </c>
      <c r="K326" s="23">
        <v>0</v>
      </c>
      <c r="L326" s="234">
        <v>19</v>
      </c>
      <c r="M326" s="23">
        <v>0</v>
      </c>
      <c r="N326" s="23">
        <v>0</v>
      </c>
      <c r="O326" s="37">
        <v>0</v>
      </c>
      <c r="P326" s="37">
        <v>0</v>
      </c>
      <c r="Q326" s="23">
        <v>0</v>
      </c>
      <c r="R326" s="24">
        <v>0</v>
      </c>
      <c r="S326" s="7" t="s">
        <v>115</v>
      </c>
      <c r="T326" s="257">
        <f t="shared" si="10"/>
        <v>19</v>
      </c>
      <c r="U326" s="257">
        <f t="shared" si="11"/>
        <v>0</v>
      </c>
      <c r="V326">
        <v>1</v>
      </c>
      <c r="W326">
        <v>0</v>
      </c>
    </row>
    <row r="327" spans="1:23" ht="45.6" x14ac:dyDescent="0.3">
      <c r="A327" s="129">
        <v>37879</v>
      </c>
      <c r="B327" s="129">
        <v>37879</v>
      </c>
      <c r="C327" s="6">
        <v>9</v>
      </c>
      <c r="D327" s="6">
        <v>1</v>
      </c>
      <c r="E327" s="19">
        <v>2003</v>
      </c>
      <c r="F327" s="15" t="s">
        <v>22</v>
      </c>
      <c r="G327" s="18" t="s">
        <v>6256</v>
      </c>
      <c r="H327" s="9" t="s">
        <v>57</v>
      </c>
      <c r="I327" s="17" t="s">
        <v>535</v>
      </c>
      <c r="J327" s="62" t="s">
        <v>536</v>
      </c>
      <c r="K327" s="23">
        <v>1</v>
      </c>
      <c r="L327" s="234">
        <v>3</v>
      </c>
      <c r="M327" s="23">
        <v>0</v>
      </c>
      <c r="N327" s="23">
        <v>0</v>
      </c>
      <c r="O327" s="37">
        <v>0</v>
      </c>
      <c r="P327" s="37">
        <v>0</v>
      </c>
      <c r="Q327" s="23">
        <v>0</v>
      </c>
      <c r="R327" s="24">
        <v>0</v>
      </c>
      <c r="S327" s="7" t="s">
        <v>115</v>
      </c>
      <c r="T327" s="257">
        <f t="shared" si="10"/>
        <v>4</v>
      </c>
      <c r="U327" s="257">
        <f t="shared" si="11"/>
        <v>0</v>
      </c>
      <c r="V327">
        <v>1</v>
      </c>
      <c r="W327">
        <v>0</v>
      </c>
    </row>
    <row r="328" spans="1:23" ht="57" x14ac:dyDescent="0.3">
      <c r="A328" s="129">
        <v>37879</v>
      </c>
      <c r="B328" s="129">
        <v>37879</v>
      </c>
      <c r="C328" s="6">
        <v>9</v>
      </c>
      <c r="D328" s="6">
        <v>1</v>
      </c>
      <c r="E328" s="19">
        <v>2003</v>
      </c>
      <c r="F328" s="15" t="s">
        <v>22</v>
      </c>
      <c r="G328" s="18" t="s">
        <v>6256</v>
      </c>
      <c r="H328" s="9" t="s">
        <v>31</v>
      </c>
      <c r="I328" s="17" t="s">
        <v>328</v>
      </c>
      <c r="J328" s="62" t="s">
        <v>537</v>
      </c>
      <c r="K328" s="23">
        <v>1</v>
      </c>
      <c r="L328" s="234">
        <v>26</v>
      </c>
      <c r="M328" s="23">
        <v>5</v>
      </c>
      <c r="N328" s="23">
        <v>0</v>
      </c>
      <c r="O328" s="37">
        <v>0</v>
      </c>
      <c r="P328" s="37">
        <v>0</v>
      </c>
      <c r="Q328" s="23">
        <v>0</v>
      </c>
      <c r="R328" s="24">
        <v>1.4E-2</v>
      </c>
      <c r="S328" s="7" t="s">
        <v>115</v>
      </c>
      <c r="T328" s="257">
        <f t="shared" si="10"/>
        <v>27</v>
      </c>
      <c r="U328" s="257">
        <f t="shared" si="11"/>
        <v>5</v>
      </c>
      <c r="V328">
        <v>1</v>
      </c>
      <c r="W328">
        <v>1</v>
      </c>
    </row>
    <row r="329" spans="1:23" ht="34.200000000000003" x14ac:dyDescent="0.3">
      <c r="A329" s="129">
        <v>37880</v>
      </c>
      <c r="B329" s="129">
        <v>37880</v>
      </c>
      <c r="C329" s="6">
        <v>9</v>
      </c>
      <c r="D329" s="6">
        <v>1</v>
      </c>
      <c r="E329" s="19">
        <v>2003</v>
      </c>
      <c r="F329" s="15" t="s">
        <v>22</v>
      </c>
      <c r="G329" s="18" t="s">
        <v>6256</v>
      </c>
      <c r="H329" s="9" t="s">
        <v>174</v>
      </c>
      <c r="I329" s="17" t="s">
        <v>317</v>
      </c>
      <c r="J329" s="62" t="s">
        <v>538</v>
      </c>
      <c r="K329" s="23">
        <v>0</v>
      </c>
      <c r="L329" s="234">
        <v>800</v>
      </c>
      <c r="M329" s="23">
        <v>209</v>
      </c>
      <c r="N329" s="23">
        <v>0</v>
      </c>
      <c r="O329" s="37">
        <v>0</v>
      </c>
      <c r="P329" s="37">
        <v>0</v>
      </c>
      <c r="Q329" s="23">
        <v>0</v>
      </c>
      <c r="R329" s="24">
        <v>0.60199999999999998</v>
      </c>
      <c r="S329" s="7" t="s">
        <v>115</v>
      </c>
      <c r="T329" s="257">
        <f t="shared" si="10"/>
        <v>800</v>
      </c>
      <c r="U329" s="257">
        <f t="shared" si="11"/>
        <v>209</v>
      </c>
      <c r="V329">
        <v>1</v>
      </c>
      <c r="W329">
        <v>1</v>
      </c>
    </row>
    <row r="330" spans="1:23" ht="45.6" x14ac:dyDescent="0.3">
      <c r="A330" s="129">
        <v>37883</v>
      </c>
      <c r="B330" s="129">
        <v>37883</v>
      </c>
      <c r="C330" s="6">
        <v>9</v>
      </c>
      <c r="D330" s="6">
        <v>1</v>
      </c>
      <c r="E330" s="19">
        <v>2003</v>
      </c>
      <c r="F330" s="15" t="s">
        <v>22</v>
      </c>
      <c r="G330" s="18" t="s">
        <v>6256</v>
      </c>
      <c r="H330" s="9" t="s">
        <v>121</v>
      </c>
      <c r="I330" s="17" t="s">
        <v>539</v>
      </c>
      <c r="J330" s="62" t="s">
        <v>540</v>
      </c>
      <c r="K330" s="23">
        <v>0</v>
      </c>
      <c r="L330" s="234">
        <v>60</v>
      </c>
      <c r="M330" s="23">
        <v>25</v>
      </c>
      <c r="N330" s="23">
        <v>0</v>
      </c>
      <c r="O330" s="37">
        <v>0</v>
      </c>
      <c r="P330" s="37">
        <v>0</v>
      </c>
      <c r="Q330" s="23">
        <v>0</v>
      </c>
      <c r="R330" s="24">
        <v>7.1999999999999995E-2</v>
      </c>
      <c r="S330" s="7" t="s">
        <v>115</v>
      </c>
      <c r="T330" s="257">
        <f t="shared" si="10"/>
        <v>60</v>
      </c>
      <c r="U330" s="257">
        <f t="shared" si="11"/>
        <v>25</v>
      </c>
      <c r="V330">
        <v>1</v>
      </c>
      <c r="W330">
        <v>1</v>
      </c>
    </row>
    <row r="331" spans="1:23" ht="34.200000000000003" x14ac:dyDescent="0.3">
      <c r="A331" s="129">
        <v>37884</v>
      </c>
      <c r="B331" s="129">
        <v>37884</v>
      </c>
      <c r="C331" s="6">
        <v>9</v>
      </c>
      <c r="D331" s="6">
        <v>1</v>
      </c>
      <c r="E331" s="19">
        <v>2003</v>
      </c>
      <c r="F331" s="15" t="s">
        <v>22</v>
      </c>
      <c r="G331" s="18" t="s">
        <v>6256</v>
      </c>
      <c r="H331" s="9" t="s">
        <v>78</v>
      </c>
      <c r="I331" s="17" t="s">
        <v>317</v>
      </c>
      <c r="J331" s="62" t="s">
        <v>541</v>
      </c>
      <c r="K331" s="23">
        <v>1</v>
      </c>
      <c r="L331" s="234">
        <v>1</v>
      </c>
      <c r="M331" s="23">
        <v>0</v>
      </c>
      <c r="N331" s="23">
        <v>0</v>
      </c>
      <c r="O331" s="37">
        <v>0</v>
      </c>
      <c r="P331" s="37">
        <v>0</v>
      </c>
      <c r="Q331" s="23">
        <v>0</v>
      </c>
      <c r="R331" s="24">
        <v>0</v>
      </c>
      <c r="S331" s="7" t="s">
        <v>115</v>
      </c>
      <c r="T331" s="257">
        <f t="shared" si="10"/>
        <v>2</v>
      </c>
      <c r="U331" s="257">
        <f t="shared" si="11"/>
        <v>0</v>
      </c>
      <c r="V331">
        <v>1</v>
      </c>
      <c r="W331">
        <v>0</v>
      </c>
    </row>
    <row r="332" spans="1:23" ht="57" x14ac:dyDescent="0.3">
      <c r="A332" s="129">
        <v>37885</v>
      </c>
      <c r="B332" s="129">
        <v>37885</v>
      </c>
      <c r="C332" s="6">
        <v>9</v>
      </c>
      <c r="D332" s="6">
        <v>1</v>
      </c>
      <c r="E332" s="19">
        <v>2003</v>
      </c>
      <c r="F332" s="15" t="s">
        <v>22</v>
      </c>
      <c r="G332" s="18" t="s">
        <v>6256</v>
      </c>
      <c r="H332" s="9" t="s">
        <v>28</v>
      </c>
      <c r="I332" s="17" t="s">
        <v>317</v>
      </c>
      <c r="J332" s="62" t="s">
        <v>542</v>
      </c>
      <c r="K332" s="23">
        <v>4</v>
      </c>
      <c r="L332" s="234">
        <v>5</v>
      </c>
      <c r="M332" s="23">
        <v>0</v>
      </c>
      <c r="N332" s="23">
        <v>0</v>
      </c>
      <c r="O332" s="37">
        <v>0</v>
      </c>
      <c r="P332" s="37">
        <v>0</v>
      </c>
      <c r="Q332" s="23">
        <v>0</v>
      </c>
      <c r="R332" s="24">
        <v>0</v>
      </c>
      <c r="S332" s="7" t="s">
        <v>115</v>
      </c>
      <c r="T332" s="257">
        <f t="shared" si="10"/>
        <v>9</v>
      </c>
      <c r="U332" s="257">
        <f t="shared" si="11"/>
        <v>0</v>
      </c>
      <c r="V332">
        <v>1</v>
      </c>
      <c r="W332">
        <v>0</v>
      </c>
    </row>
    <row r="333" spans="1:23" ht="45.6" x14ac:dyDescent="0.3">
      <c r="A333" s="129">
        <v>37885</v>
      </c>
      <c r="B333" s="129">
        <v>37885</v>
      </c>
      <c r="C333" s="6">
        <v>9</v>
      </c>
      <c r="D333" s="6">
        <v>1</v>
      </c>
      <c r="E333" s="19">
        <v>2003</v>
      </c>
      <c r="F333" s="15" t="s">
        <v>22</v>
      </c>
      <c r="G333" s="18" t="s">
        <v>6256</v>
      </c>
      <c r="H333" s="9" t="s">
        <v>78</v>
      </c>
      <c r="I333" s="17" t="s">
        <v>317</v>
      </c>
      <c r="J333" s="62" t="s">
        <v>543</v>
      </c>
      <c r="K333" s="23">
        <v>2</v>
      </c>
      <c r="L333" s="234">
        <v>147</v>
      </c>
      <c r="M333" s="23">
        <v>30</v>
      </c>
      <c r="N333" s="23">
        <v>0</v>
      </c>
      <c r="O333" s="37">
        <v>0</v>
      </c>
      <c r="P333" s="37">
        <v>0</v>
      </c>
      <c r="Q333" s="23">
        <v>0</v>
      </c>
      <c r="R333" s="24">
        <v>8.5999999999999993E-2</v>
      </c>
      <c r="S333" s="7" t="s">
        <v>115</v>
      </c>
      <c r="T333" s="257">
        <f t="shared" si="10"/>
        <v>149</v>
      </c>
      <c r="U333" s="257">
        <f t="shared" si="11"/>
        <v>30</v>
      </c>
      <c r="V333">
        <v>1</v>
      </c>
      <c r="W333">
        <v>1</v>
      </c>
    </row>
    <row r="334" spans="1:23" ht="57" x14ac:dyDescent="0.3">
      <c r="A334" s="129">
        <v>37885</v>
      </c>
      <c r="B334" s="129">
        <v>37885</v>
      </c>
      <c r="C334" s="6">
        <v>9</v>
      </c>
      <c r="D334" s="6">
        <v>1</v>
      </c>
      <c r="E334" s="19">
        <v>2003</v>
      </c>
      <c r="F334" s="15" t="s">
        <v>22</v>
      </c>
      <c r="G334" s="18" t="s">
        <v>6256</v>
      </c>
      <c r="H334" s="9" t="s">
        <v>72</v>
      </c>
      <c r="I334" s="17" t="s">
        <v>544</v>
      </c>
      <c r="J334" s="62" t="s">
        <v>545</v>
      </c>
      <c r="K334" s="23">
        <v>2</v>
      </c>
      <c r="L334" s="234">
        <v>2</v>
      </c>
      <c r="M334" s="23">
        <v>28</v>
      </c>
      <c r="N334" s="23">
        <v>0</v>
      </c>
      <c r="O334" s="37">
        <v>0</v>
      </c>
      <c r="P334" s="37">
        <v>0</v>
      </c>
      <c r="Q334" s="23">
        <v>0</v>
      </c>
      <c r="R334" s="24">
        <v>0.08</v>
      </c>
      <c r="S334" s="7" t="s">
        <v>115</v>
      </c>
      <c r="T334" s="257">
        <f t="shared" si="10"/>
        <v>4</v>
      </c>
      <c r="U334" s="257">
        <f t="shared" si="11"/>
        <v>28</v>
      </c>
      <c r="V334">
        <v>1</v>
      </c>
      <c r="W334">
        <v>1</v>
      </c>
    </row>
    <row r="335" spans="1:23" ht="79.8" x14ac:dyDescent="0.3">
      <c r="A335" s="129">
        <v>37886</v>
      </c>
      <c r="B335" s="129">
        <v>37886</v>
      </c>
      <c r="C335" s="6">
        <v>9</v>
      </c>
      <c r="D335" s="6">
        <v>1</v>
      </c>
      <c r="E335" s="19">
        <v>2003</v>
      </c>
      <c r="F335" s="15" t="s">
        <v>22</v>
      </c>
      <c r="G335" s="18" t="s">
        <v>6256</v>
      </c>
      <c r="H335" s="9" t="s">
        <v>28</v>
      </c>
      <c r="I335" s="17" t="s">
        <v>317</v>
      </c>
      <c r="J335" s="62" t="s">
        <v>546</v>
      </c>
      <c r="K335" s="23">
        <v>4</v>
      </c>
      <c r="L335" s="234">
        <v>13140</v>
      </c>
      <c r="M335" s="23">
        <v>2633</v>
      </c>
      <c r="N335" s="23">
        <v>17</v>
      </c>
      <c r="O335" s="37">
        <v>4</v>
      </c>
      <c r="P335" s="37">
        <v>2</v>
      </c>
      <c r="Q335" s="23">
        <v>3117</v>
      </c>
      <c r="R335" s="24">
        <v>764.3</v>
      </c>
      <c r="S335" s="7" t="s">
        <v>115</v>
      </c>
      <c r="T335" s="257">
        <f t="shared" si="10"/>
        <v>13144</v>
      </c>
      <c r="U335" s="257">
        <f t="shared" si="11"/>
        <v>2656</v>
      </c>
      <c r="V335">
        <v>2</v>
      </c>
      <c r="W335">
        <v>2</v>
      </c>
    </row>
    <row r="336" spans="1:23" ht="57" x14ac:dyDescent="0.3">
      <c r="A336" s="129">
        <v>37885</v>
      </c>
      <c r="B336" s="129">
        <v>37885</v>
      </c>
      <c r="C336" s="6">
        <v>9</v>
      </c>
      <c r="D336" s="6">
        <v>1</v>
      </c>
      <c r="E336" s="19">
        <v>2003</v>
      </c>
      <c r="F336" s="15" t="s">
        <v>22</v>
      </c>
      <c r="G336" s="18" t="s">
        <v>6256</v>
      </c>
      <c r="H336" s="9" t="s">
        <v>74</v>
      </c>
      <c r="I336" s="17" t="s">
        <v>547</v>
      </c>
      <c r="J336" s="62" t="s">
        <v>548</v>
      </c>
      <c r="K336" s="23">
        <v>4</v>
      </c>
      <c r="L336" s="234">
        <v>6317</v>
      </c>
      <c r="M336" s="23">
        <v>0</v>
      </c>
      <c r="N336" s="23">
        <v>0</v>
      </c>
      <c r="O336" s="37">
        <v>0</v>
      </c>
      <c r="P336" s="37">
        <v>0</v>
      </c>
      <c r="Q336" s="23">
        <v>0</v>
      </c>
      <c r="R336" s="24">
        <v>13</v>
      </c>
      <c r="S336" s="7" t="s">
        <v>115</v>
      </c>
      <c r="T336" s="257">
        <f t="shared" si="10"/>
        <v>6321</v>
      </c>
      <c r="U336" s="257">
        <f t="shared" si="11"/>
        <v>0</v>
      </c>
      <c r="V336">
        <v>1</v>
      </c>
      <c r="W336">
        <v>0</v>
      </c>
    </row>
    <row r="337" spans="1:23" ht="91.2" x14ac:dyDescent="0.3">
      <c r="A337" s="213">
        <v>42437</v>
      </c>
      <c r="B337" s="213">
        <v>42439</v>
      </c>
      <c r="C337" s="6">
        <v>3</v>
      </c>
      <c r="D337" s="6">
        <v>3</v>
      </c>
      <c r="E337" s="27">
        <v>2016</v>
      </c>
      <c r="F337" s="15" t="s">
        <v>22</v>
      </c>
      <c r="G337" s="28" t="s">
        <v>6256</v>
      </c>
      <c r="H337" s="9" t="s">
        <v>48</v>
      </c>
      <c r="I337" s="29" t="s">
        <v>549</v>
      </c>
      <c r="J337" s="30" t="s">
        <v>550</v>
      </c>
      <c r="K337" s="27">
        <v>0</v>
      </c>
      <c r="L337" s="235">
        <v>333091</v>
      </c>
      <c r="M337" s="27">
        <v>0</v>
      </c>
      <c r="N337" s="27">
        <v>0</v>
      </c>
      <c r="O337" s="27">
        <v>0</v>
      </c>
      <c r="P337" s="27">
        <v>0</v>
      </c>
      <c r="Q337" s="31">
        <v>0</v>
      </c>
      <c r="R337" s="32">
        <v>75.933589999999995</v>
      </c>
      <c r="S337" s="27" t="s">
        <v>551</v>
      </c>
      <c r="T337" s="257">
        <f t="shared" si="10"/>
        <v>333091</v>
      </c>
      <c r="U337" s="257">
        <f t="shared" si="11"/>
        <v>0</v>
      </c>
      <c r="V337">
        <v>3</v>
      </c>
      <c r="W337">
        <v>0</v>
      </c>
    </row>
    <row r="338" spans="1:23" ht="34.200000000000003" x14ac:dyDescent="0.3">
      <c r="A338" s="129">
        <v>37890</v>
      </c>
      <c r="B338" s="129">
        <v>37890</v>
      </c>
      <c r="C338" s="6">
        <v>9</v>
      </c>
      <c r="D338" s="6">
        <v>1</v>
      </c>
      <c r="E338" s="19">
        <v>2003</v>
      </c>
      <c r="F338" s="15" t="s">
        <v>22</v>
      </c>
      <c r="G338" s="18" t="s">
        <v>6256</v>
      </c>
      <c r="H338" s="9" t="s">
        <v>64</v>
      </c>
      <c r="I338" s="17" t="s">
        <v>552</v>
      </c>
      <c r="J338" s="62" t="s">
        <v>553</v>
      </c>
      <c r="K338" s="23">
        <v>0</v>
      </c>
      <c r="L338" s="234">
        <v>225</v>
      </c>
      <c r="M338" s="23">
        <v>45</v>
      </c>
      <c r="N338" s="23">
        <v>0</v>
      </c>
      <c r="O338" s="37">
        <v>0</v>
      </c>
      <c r="P338" s="37">
        <v>0</v>
      </c>
      <c r="Q338" s="23">
        <v>0</v>
      </c>
      <c r="R338" s="24">
        <v>0.129</v>
      </c>
      <c r="S338" s="7" t="s">
        <v>115</v>
      </c>
      <c r="T338" s="257">
        <f t="shared" si="10"/>
        <v>225</v>
      </c>
      <c r="U338" s="257">
        <f t="shared" si="11"/>
        <v>45</v>
      </c>
      <c r="V338">
        <v>1</v>
      </c>
      <c r="W338">
        <v>1</v>
      </c>
    </row>
    <row r="339" spans="1:23" ht="45.6" x14ac:dyDescent="0.3">
      <c r="A339" s="129">
        <v>37890</v>
      </c>
      <c r="B339" s="129">
        <v>37890</v>
      </c>
      <c r="C339" s="6">
        <v>9</v>
      </c>
      <c r="D339" s="6">
        <v>1</v>
      </c>
      <c r="E339" s="19">
        <v>2003</v>
      </c>
      <c r="F339" s="15" t="s">
        <v>22</v>
      </c>
      <c r="G339" s="18" t="s">
        <v>6256</v>
      </c>
      <c r="H339" s="9" t="s">
        <v>43</v>
      </c>
      <c r="I339" s="17" t="s">
        <v>554</v>
      </c>
      <c r="J339" s="62" t="s">
        <v>555</v>
      </c>
      <c r="K339" s="23">
        <v>0</v>
      </c>
      <c r="L339" s="234">
        <v>0</v>
      </c>
      <c r="M339" s="23">
        <v>110</v>
      </c>
      <c r="N339" s="23">
        <v>0</v>
      </c>
      <c r="O339" s="37">
        <v>0</v>
      </c>
      <c r="P339" s="37">
        <v>0</v>
      </c>
      <c r="Q339" s="23">
        <v>0</v>
      </c>
      <c r="R339" s="24">
        <v>0.317</v>
      </c>
      <c r="S339" s="7" t="s">
        <v>115</v>
      </c>
      <c r="T339" s="257">
        <f t="shared" si="10"/>
        <v>0</v>
      </c>
      <c r="U339" s="257">
        <f t="shared" si="11"/>
        <v>110</v>
      </c>
      <c r="V339">
        <v>0</v>
      </c>
      <c r="W339">
        <v>1</v>
      </c>
    </row>
    <row r="340" spans="1:23" ht="45.6" x14ac:dyDescent="0.3">
      <c r="A340" s="129">
        <v>37890</v>
      </c>
      <c r="B340" s="129">
        <v>37890</v>
      </c>
      <c r="C340" s="6">
        <v>9</v>
      </c>
      <c r="D340" s="6">
        <v>1</v>
      </c>
      <c r="E340" s="19">
        <v>2003</v>
      </c>
      <c r="F340" s="15" t="s">
        <v>22</v>
      </c>
      <c r="G340" s="18" t="s">
        <v>6256</v>
      </c>
      <c r="H340" s="9" t="s">
        <v>52</v>
      </c>
      <c r="I340" s="17" t="s">
        <v>126</v>
      </c>
      <c r="J340" s="62" t="s">
        <v>556</v>
      </c>
      <c r="K340" s="23">
        <v>0</v>
      </c>
      <c r="L340" s="234">
        <v>35</v>
      </c>
      <c r="M340" s="23">
        <v>0</v>
      </c>
      <c r="N340" s="23">
        <v>0</v>
      </c>
      <c r="O340" s="37">
        <v>0</v>
      </c>
      <c r="P340" s="37">
        <v>0</v>
      </c>
      <c r="Q340" s="23">
        <v>0</v>
      </c>
      <c r="R340" s="24">
        <v>0</v>
      </c>
      <c r="S340" s="7" t="s">
        <v>115</v>
      </c>
      <c r="T340" s="257">
        <f t="shared" si="10"/>
        <v>35</v>
      </c>
      <c r="U340" s="257">
        <f t="shared" si="11"/>
        <v>0</v>
      </c>
      <c r="V340">
        <v>1</v>
      </c>
      <c r="W340">
        <v>0</v>
      </c>
    </row>
    <row r="341" spans="1:23" ht="45.6" x14ac:dyDescent="0.3">
      <c r="A341" s="129">
        <v>37890</v>
      </c>
      <c r="B341" s="129">
        <v>37890</v>
      </c>
      <c r="C341" s="6">
        <v>9</v>
      </c>
      <c r="D341" s="6">
        <v>1</v>
      </c>
      <c r="E341" s="19">
        <v>2003</v>
      </c>
      <c r="F341" s="15" t="s">
        <v>22</v>
      </c>
      <c r="G341" s="18" t="s">
        <v>6256</v>
      </c>
      <c r="H341" s="9" t="s">
        <v>55</v>
      </c>
      <c r="I341" s="17" t="s">
        <v>557</v>
      </c>
      <c r="J341" s="62" t="s">
        <v>558</v>
      </c>
      <c r="K341" s="23">
        <v>0</v>
      </c>
      <c r="L341" s="234">
        <v>400</v>
      </c>
      <c r="M341" s="23">
        <v>80</v>
      </c>
      <c r="N341" s="23">
        <v>1</v>
      </c>
      <c r="O341" s="37">
        <v>0</v>
      </c>
      <c r="P341" s="37">
        <v>0</v>
      </c>
      <c r="Q341" s="23">
        <v>0</v>
      </c>
      <c r="R341" s="24">
        <v>0.55400000000000005</v>
      </c>
      <c r="S341" s="7" t="s">
        <v>115</v>
      </c>
      <c r="T341" s="257">
        <f t="shared" si="10"/>
        <v>400</v>
      </c>
      <c r="U341" s="257">
        <f t="shared" si="11"/>
        <v>81</v>
      </c>
      <c r="V341">
        <v>1</v>
      </c>
      <c r="W341">
        <v>1</v>
      </c>
    </row>
    <row r="342" spans="1:23" ht="57" x14ac:dyDescent="0.3">
      <c r="A342" s="129">
        <v>37892</v>
      </c>
      <c r="B342" s="129">
        <v>37892</v>
      </c>
      <c r="C342" s="6">
        <v>9</v>
      </c>
      <c r="D342" s="6">
        <v>1</v>
      </c>
      <c r="E342" s="19">
        <v>2003</v>
      </c>
      <c r="F342" s="15" t="s">
        <v>22</v>
      </c>
      <c r="G342" s="18" t="s">
        <v>6256</v>
      </c>
      <c r="H342" s="9" t="s">
        <v>52</v>
      </c>
      <c r="I342" s="17" t="s">
        <v>317</v>
      </c>
      <c r="J342" s="62" t="s">
        <v>559</v>
      </c>
      <c r="K342" s="23">
        <v>0</v>
      </c>
      <c r="L342" s="234">
        <v>100000</v>
      </c>
      <c r="M342" s="23">
        <v>5439</v>
      </c>
      <c r="N342" s="23">
        <v>36</v>
      </c>
      <c r="O342" s="37">
        <v>0</v>
      </c>
      <c r="P342" s="37">
        <v>0</v>
      </c>
      <c r="Q342" s="23">
        <v>23104</v>
      </c>
      <c r="R342" s="24">
        <v>227.02</v>
      </c>
      <c r="S342" s="7" t="s">
        <v>115</v>
      </c>
      <c r="T342" s="257">
        <f t="shared" si="10"/>
        <v>100000</v>
      </c>
      <c r="U342" s="257">
        <f t="shared" si="11"/>
        <v>5475</v>
      </c>
      <c r="V342">
        <v>2</v>
      </c>
      <c r="W342">
        <v>2</v>
      </c>
    </row>
    <row r="343" spans="1:23" ht="57" x14ac:dyDescent="0.3">
      <c r="A343" s="129">
        <v>37892</v>
      </c>
      <c r="B343" s="129">
        <v>37892</v>
      </c>
      <c r="C343" s="6">
        <v>9</v>
      </c>
      <c r="D343" s="6">
        <v>1</v>
      </c>
      <c r="E343" s="19">
        <v>2003</v>
      </c>
      <c r="F343" s="15" t="s">
        <v>22</v>
      </c>
      <c r="G343" s="18" t="s">
        <v>6256</v>
      </c>
      <c r="H343" s="9" t="s">
        <v>55</v>
      </c>
      <c r="I343" s="17" t="s">
        <v>560</v>
      </c>
      <c r="J343" s="62" t="s">
        <v>561</v>
      </c>
      <c r="K343" s="23">
        <v>0</v>
      </c>
      <c r="L343" s="234">
        <v>112</v>
      </c>
      <c r="M343" s="23">
        <v>20</v>
      </c>
      <c r="N343" s="23">
        <v>0</v>
      </c>
      <c r="O343" s="37">
        <v>0</v>
      </c>
      <c r="P343" s="37">
        <v>0</v>
      </c>
      <c r="Q343" s="23">
        <v>0</v>
      </c>
      <c r="R343" s="24">
        <v>5.7000000000000002E-2</v>
      </c>
      <c r="S343" s="7" t="s">
        <v>115</v>
      </c>
      <c r="T343" s="257">
        <f t="shared" si="10"/>
        <v>112</v>
      </c>
      <c r="U343" s="257">
        <f t="shared" si="11"/>
        <v>20</v>
      </c>
      <c r="V343">
        <v>1</v>
      </c>
      <c r="W343">
        <v>1</v>
      </c>
    </row>
    <row r="344" spans="1:23" ht="102.6" x14ac:dyDescent="0.3">
      <c r="A344" s="129">
        <v>37893</v>
      </c>
      <c r="B344" s="129">
        <v>37893</v>
      </c>
      <c r="C344" s="6">
        <v>9</v>
      </c>
      <c r="D344" s="6">
        <v>1</v>
      </c>
      <c r="E344" s="19">
        <v>2003</v>
      </c>
      <c r="F344" s="15" t="s">
        <v>22</v>
      </c>
      <c r="G344" s="18" t="s">
        <v>6256</v>
      </c>
      <c r="H344" s="9" t="s">
        <v>174</v>
      </c>
      <c r="I344" s="17" t="s">
        <v>562</v>
      </c>
      <c r="J344" s="62" t="s">
        <v>563</v>
      </c>
      <c r="K344" s="23">
        <v>5</v>
      </c>
      <c r="L344" s="234">
        <v>17834</v>
      </c>
      <c r="M344" s="23">
        <v>319</v>
      </c>
      <c r="N344" s="23">
        <v>198</v>
      </c>
      <c r="O344" s="37">
        <v>5</v>
      </c>
      <c r="P344" s="37">
        <v>0</v>
      </c>
      <c r="Q344" s="23">
        <v>25117</v>
      </c>
      <c r="R344" s="24">
        <v>247.7</v>
      </c>
      <c r="S344" s="7" t="s">
        <v>21</v>
      </c>
      <c r="T344" s="257">
        <f t="shared" si="10"/>
        <v>17839</v>
      </c>
      <c r="U344" s="257">
        <f t="shared" si="11"/>
        <v>522</v>
      </c>
      <c r="V344">
        <v>2</v>
      </c>
      <c r="W344">
        <v>1</v>
      </c>
    </row>
    <row r="345" spans="1:23" ht="45.6" x14ac:dyDescent="0.3">
      <c r="A345" s="129">
        <v>37893</v>
      </c>
      <c r="B345" s="129">
        <v>37893</v>
      </c>
      <c r="C345" s="6">
        <v>9</v>
      </c>
      <c r="D345" s="6">
        <v>1</v>
      </c>
      <c r="E345" s="19">
        <v>2003</v>
      </c>
      <c r="F345" s="15" t="s">
        <v>22</v>
      </c>
      <c r="G345" s="18" t="s">
        <v>6256</v>
      </c>
      <c r="H345" s="9" t="s">
        <v>121</v>
      </c>
      <c r="I345" s="17" t="s">
        <v>317</v>
      </c>
      <c r="J345" s="62" t="s">
        <v>564</v>
      </c>
      <c r="K345" s="23">
        <v>6</v>
      </c>
      <c r="L345" s="234">
        <v>80</v>
      </c>
      <c r="M345" s="23">
        <v>0</v>
      </c>
      <c r="N345" s="23">
        <v>0</v>
      </c>
      <c r="O345" s="37">
        <v>0</v>
      </c>
      <c r="P345" s="37">
        <v>0</v>
      </c>
      <c r="Q345" s="23">
        <v>0</v>
      </c>
      <c r="R345" s="24">
        <v>0</v>
      </c>
      <c r="S345" s="7" t="s">
        <v>115</v>
      </c>
      <c r="T345" s="257">
        <f t="shared" si="10"/>
        <v>86</v>
      </c>
      <c r="U345" s="257">
        <f t="shared" si="11"/>
        <v>0</v>
      </c>
      <c r="V345">
        <v>1</v>
      </c>
      <c r="W345">
        <v>0</v>
      </c>
    </row>
    <row r="346" spans="1:23" ht="57" x14ac:dyDescent="0.3">
      <c r="A346" s="129">
        <v>37898</v>
      </c>
      <c r="B346" s="129">
        <v>37898</v>
      </c>
      <c r="C346" s="6">
        <v>10</v>
      </c>
      <c r="D346" s="6">
        <v>1</v>
      </c>
      <c r="E346" s="19">
        <v>2003</v>
      </c>
      <c r="F346" s="15" t="s">
        <v>22</v>
      </c>
      <c r="G346" s="18" t="s">
        <v>6256</v>
      </c>
      <c r="H346" s="17" t="s">
        <v>565</v>
      </c>
      <c r="I346" s="17" t="s">
        <v>566</v>
      </c>
      <c r="J346" s="62" t="s">
        <v>567</v>
      </c>
      <c r="K346" s="23">
        <v>0</v>
      </c>
      <c r="L346" s="234">
        <v>1170</v>
      </c>
      <c r="M346" s="23">
        <v>241</v>
      </c>
      <c r="N346" s="23">
        <v>0</v>
      </c>
      <c r="O346" s="37">
        <v>0</v>
      </c>
      <c r="P346" s="37">
        <v>0</v>
      </c>
      <c r="Q346" s="23">
        <v>0</v>
      </c>
      <c r="R346" s="24">
        <v>0.69</v>
      </c>
      <c r="S346" s="7" t="s">
        <v>115</v>
      </c>
      <c r="T346" s="257">
        <f t="shared" si="10"/>
        <v>1170</v>
      </c>
      <c r="U346" s="257">
        <f t="shared" si="11"/>
        <v>241</v>
      </c>
      <c r="V346">
        <v>1</v>
      </c>
      <c r="W346">
        <v>1</v>
      </c>
    </row>
    <row r="347" spans="1:23" ht="34.200000000000003" x14ac:dyDescent="0.3">
      <c r="A347" s="129">
        <v>37898</v>
      </c>
      <c r="B347" s="129">
        <v>37898</v>
      </c>
      <c r="C347" s="6">
        <v>10</v>
      </c>
      <c r="D347" s="6">
        <v>1</v>
      </c>
      <c r="E347" s="19">
        <v>2003</v>
      </c>
      <c r="F347" s="15" t="s">
        <v>22</v>
      </c>
      <c r="G347" s="18" t="s">
        <v>6256</v>
      </c>
      <c r="H347" s="9" t="s">
        <v>112</v>
      </c>
      <c r="I347" s="17" t="s">
        <v>568</v>
      </c>
      <c r="J347" s="62" t="s">
        <v>569</v>
      </c>
      <c r="K347" s="23">
        <v>0</v>
      </c>
      <c r="L347" s="234">
        <v>78</v>
      </c>
      <c r="M347" s="23">
        <v>0</v>
      </c>
      <c r="N347" s="23">
        <v>0</v>
      </c>
      <c r="O347" s="37">
        <v>0</v>
      </c>
      <c r="P347" s="37">
        <v>0</v>
      </c>
      <c r="Q347" s="23">
        <v>0</v>
      </c>
      <c r="R347" s="24">
        <v>0</v>
      </c>
      <c r="S347" s="7" t="s">
        <v>115</v>
      </c>
      <c r="T347" s="257">
        <f t="shared" si="10"/>
        <v>78</v>
      </c>
      <c r="U347" s="257">
        <f t="shared" si="11"/>
        <v>0</v>
      </c>
      <c r="V347">
        <v>1</v>
      </c>
      <c r="W347">
        <v>0</v>
      </c>
    </row>
    <row r="348" spans="1:23" ht="102.6" x14ac:dyDescent="0.3">
      <c r="A348" s="129">
        <v>37900</v>
      </c>
      <c r="B348" s="129">
        <v>37900</v>
      </c>
      <c r="C348" s="6">
        <v>10</v>
      </c>
      <c r="D348" s="6">
        <v>1</v>
      </c>
      <c r="E348" s="19">
        <v>2003</v>
      </c>
      <c r="F348" s="15" t="s">
        <v>22</v>
      </c>
      <c r="G348" s="18" t="s">
        <v>6256</v>
      </c>
      <c r="H348" s="9" t="s">
        <v>31</v>
      </c>
      <c r="I348" s="17" t="s">
        <v>317</v>
      </c>
      <c r="J348" s="62" t="s">
        <v>570</v>
      </c>
      <c r="K348" s="23">
        <v>0</v>
      </c>
      <c r="L348" s="234">
        <v>52885</v>
      </c>
      <c r="M348" s="23">
        <v>10577</v>
      </c>
      <c r="N348" s="23">
        <v>30</v>
      </c>
      <c r="O348" s="37">
        <v>0</v>
      </c>
      <c r="P348" s="37">
        <v>0</v>
      </c>
      <c r="Q348" s="23"/>
      <c r="R348" s="24">
        <v>298.3</v>
      </c>
      <c r="S348" s="7" t="s">
        <v>115</v>
      </c>
      <c r="T348" s="257">
        <f t="shared" si="10"/>
        <v>52885</v>
      </c>
      <c r="U348" s="257">
        <f t="shared" si="11"/>
        <v>10607</v>
      </c>
      <c r="V348">
        <v>2</v>
      </c>
      <c r="W348">
        <v>3</v>
      </c>
    </row>
    <row r="349" spans="1:23" ht="57" x14ac:dyDescent="0.3">
      <c r="A349" s="129">
        <v>37901</v>
      </c>
      <c r="B349" s="129">
        <v>37901</v>
      </c>
      <c r="C349" s="6">
        <v>10</v>
      </c>
      <c r="D349" s="6">
        <v>1</v>
      </c>
      <c r="E349" s="19">
        <v>2003</v>
      </c>
      <c r="F349" s="15" t="s">
        <v>22</v>
      </c>
      <c r="G349" s="18" t="s">
        <v>6256</v>
      </c>
      <c r="H349" s="9" t="s">
        <v>43</v>
      </c>
      <c r="I349" s="17" t="s">
        <v>317</v>
      </c>
      <c r="J349" s="62" t="s">
        <v>571</v>
      </c>
      <c r="K349" s="23">
        <v>0</v>
      </c>
      <c r="L349" s="234">
        <v>1000</v>
      </c>
      <c r="M349" s="23">
        <v>200</v>
      </c>
      <c r="N349" s="23">
        <v>0</v>
      </c>
      <c r="O349" s="37">
        <v>0</v>
      </c>
      <c r="P349" s="37">
        <v>0</v>
      </c>
      <c r="Q349" s="23">
        <v>0</v>
      </c>
      <c r="R349" s="24">
        <v>0.57999999999999996</v>
      </c>
      <c r="S349" s="7" t="s">
        <v>115</v>
      </c>
      <c r="T349" s="257">
        <f t="shared" si="10"/>
        <v>1000</v>
      </c>
      <c r="U349" s="257">
        <f t="shared" si="11"/>
        <v>200</v>
      </c>
      <c r="V349">
        <v>1</v>
      </c>
      <c r="W349">
        <v>1</v>
      </c>
    </row>
    <row r="350" spans="1:23" ht="57" x14ac:dyDescent="0.3">
      <c r="A350" s="129">
        <v>37901</v>
      </c>
      <c r="B350" s="129">
        <v>37901</v>
      </c>
      <c r="C350" s="6">
        <v>10</v>
      </c>
      <c r="D350" s="6">
        <v>1</v>
      </c>
      <c r="E350" s="19">
        <v>2003</v>
      </c>
      <c r="F350" s="15" t="s">
        <v>22</v>
      </c>
      <c r="G350" s="18" t="s">
        <v>6256</v>
      </c>
      <c r="H350" s="9" t="s">
        <v>61</v>
      </c>
      <c r="I350" s="17" t="s">
        <v>317</v>
      </c>
      <c r="J350" s="62" t="s">
        <v>572</v>
      </c>
      <c r="K350" s="23">
        <v>3</v>
      </c>
      <c r="L350" s="234">
        <v>333</v>
      </c>
      <c r="M350" s="23">
        <v>66</v>
      </c>
      <c r="N350" s="23">
        <v>0</v>
      </c>
      <c r="O350" s="37">
        <v>0</v>
      </c>
      <c r="P350" s="37">
        <v>0</v>
      </c>
      <c r="Q350" s="23">
        <v>0</v>
      </c>
      <c r="R350" s="24">
        <v>0.19</v>
      </c>
      <c r="S350" s="7" t="s">
        <v>115</v>
      </c>
      <c r="T350" s="257">
        <f t="shared" si="10"/>
        <v>336</v>
      </c>
      <c r="U350" s="257">
        <f t="shared" si="11"/>
        <v>66</v>
      </c>
      <c r="V350">
        <v>1</v>
      </c>
      <c r="W350">
        <v>1</v>
      </c>
    </row>
    <row r="351" spans="1:23" ht="45.6" x14ac:dyDescent="0.3">
      <c r="A351" s="129">
        <v>37901</v>
      </c>
      <c r="B351" s="129">
        <v>37901</v>
      </c>
      <c r="C351" s="6">
        <v>10</v>
      </c>
      <c r="D351" s="6">
        <v>1</v>
      </c>
      <c r="E351" s="19">
        <v>2003</v>
      </c>
      <c r="F351" s="15" t="s">
        <v>22</v>
      </c>
      <c r="G351" s="18" t="s">
        <v>6256</v>
      </c>
      <c r="H351" s="9" t="s">
        <v>51</v>
      </c>
      <c r="I351" s="17" t="s">
        <v>95</v>
      </c>
      <c r="J351" s="62" t="s">
        <v>573</v>
      </c>
      <c r="K351" s="23">
        <v>1</v>
      </c>
      <c r="L351" s="234">
        <v>138</v>
      </c>
      <c r="M351" s="23">
        <v>0</v>
      </c>
      <c r="N351" s="23">
        <v>0</v>
      </c>
      <c r="O351" s="37">
        <v>0</v>
      </c>
      <c r="P351" s="37">
        <v>0</v>
      </c>
      <c r="Q351" s="23">
        <v>0</v>
      </c>
      <c r="R351" s="24">
        <v>0</v>
      </c>
      <c r="S351" s="7" t="s">
        <v>115</v>
      </c>
      <c r="T351" s="257">
        <f t="shared" si="10"/>
        <v>139</v>
      </c>
      <c r="U351" s="257">
        <f t="shared" si="11"/>
        <v>0</v>
      </c>
      <c r="V351">
        <v>1</v>
      </c>
      <c r="W351">
        <v>0</v>
      </c>
    </row>
    <row r="352" spans="1:23" ht="57" x14ac:dyDescent="0.3">
      <c r="A352" s="129">
        <v>37902</v>
      </c>
      <c r="B352" s="129">
        <v>37902</v>
      </c>
      <c r="C352" s="6">
        <v>10</v>
      </c>
      <c r="D352" s="6">
        <v>1</v>
      </c>
      <c r="E352" s="19">
        <v>2003</v>
      </c>
      <c r="F352" s="15" t="s">
        <v>22</v>
      </c>
      <c r="G352" s="18" t="s">
        <v>6256</v>
      </c>
      <c r="H352" s="9" t="s">
        <v>74</v>
      </c>
      <c r="I352" s="17" t="s">
        <v>350</v>
      </c>
      <c r="J352" s="62" t="s">
        <v>574</v>
      </c>
      <c r="K352" s="23">
        <v>0</v>
      </c>
      <c r="L352" s="234">
        <v>58</v>
      </c>
      <c r="M352" s="23">
        <v>15</v>
      </c>
      <c r="N352" s="23">
        <v>0</v>
      </c>
      <c r="O352" s="37">
        <v>0</v>
      </c>
      <c r="P352" s="37">
        <v>0</v>
      </c>
      <c r="Q352" s="23">
        <v>0</v>
      </c>
      <c r="R352" s="24">
        <v>0.15</v>
      </c>
      <c r="S352" s="7" t="s">
        <v>115</v>
      </c>
      <c r="T352" s="257">
        <f t="shared" si="10"/>
        <v>58</v>
      </c>
      <c r="U352" s="257">
        <f t="shared" si="11"/>
        <v>15</v>
      </c>
      <c r="V352">
        <v>1</v>
      </c>
      <c r="W352">
        <v>1</v>
      </c>
    </row>
    <row r="353" spans="1:23" ht="57" x14ac:dyDescent="0.3">
      <c r="A353" s="129">
        <v>37903</v>
      </c>
      <c r="B353" s="129">
        <v>37903</v>
      </c>
      <c r="C353" s="6">
        <v>10</v>
      </c>
      <c r="D353" s="6">
        <v>1</v>
      </c>
      <c r="E353" s="19">
        <v>2003</v>
      </c>
      <c r="F353" s="15" t="s">
        <v>22</v>
      </c>
      <c r="G353" s="18" t="s">
        <v>6256</v>
      </c>
      <c r="H353" s="9" t="s">
        <v>61</v>
      </c>
      <c r="I353" s="17" t="s">
        <v>575</v>
      </c>
      <c r="J353" s="62" t="s">
        <v>576</v>
      </c>
      <c r="K353" s="23">
        <v>1</v>
      </c>
      <c r="L353" s="234">
        <v>0</v>
      </c>
      <c r="M353" s="23">
        <v>0</v>
      </c>
      <c r="N353" s="23">
        <v>0</v>
      </c>
      <c r="O353" s="37">
        <v>0</v>
      </c>
      <c r="P353" s="37">
        <v>0</v>
      </c>
      <c r="Q353" s="23">
        <v>0</v>
      </c>
      <c r="R353" s="24">
        <v>0</v>
      </c>
      <c r="S353" s="7" t="s">
        <v>115</v>
      </c>
      <c r="T353" s="257">
        <f t="shared" si="10"/>
        <v>1</v>
      </c>
      <c r="U353" s="257">
        <f t="shared" si="11"/>
        <v>0</v>
      </c>
      <c r="V353">
        <v>1</v>
      </c>
      <c r="W353">
        <v>0</v>
      </c>
    </row>
    <row r="354" spans="1:23" ht="68.400000000000006" x14ac:dyDescent="0.3">
      <c r="A354" s="129">
        <v>37906</v>
      </c>
      <c r="B354" s="129">
        <v>37906</v>
      </c>
      <c r="C354" s="6">
        <v>10</v>
      </c>
      <c r="D354" s="6">
        <v>1</v>
      </c>
      <c r="E354" s="19">
        <v>2003</v>
      </c>
      <c r="F354" s="15" t="s">
        <v>22</v>
      </c>
      <c r="G354" s="18" t="s">
        <v>6256</v>
      </c>
      <c r="H354" s="9" t="s">
        <v>57</v>
      </c>
      <c r="I354" s="17" t="s">
        <v>317</v>
      </c>
      <c r="J354" s="62" t="s">
        <v>577</v>
      </c>
      <c r="K354" s="23">
        <v>0</v>
      </c>
      <c r="L354" s="234">
        <v>1</v>
      </c>
      <c r="M354" s="23">
        <v>0</v>
      </c>
      <c r="N354" s="23">
        <v>0</v>
      </c>
      <c r="O354" s="37">
        <v>0</v>
      </c>
      <c r="P354" s="37">
        <v>0</v>
      </c>
      <c r="Q354" s="23">
        <v>0</v>
      </c>
      <c r="R354" s="24">
        <v>0</v>
      </c>
      <c r="S354" s="7" t="s">
        <v>115</v>
      </c>
      <c r="T354" s="257">
        <f t="shared" si="10"/>
        <v>1</v>
      </c>
      <c r="U354" s="257">
        <f t="shared" si="11"/>
        <v>0</v>
      </c>
      <c r="V354">
        <v>1</v>
      </c>
      <c r="W354">
        <v>0</v>
      </c>
    </row>
    <row r="355" spans="1:23" ht="57" x14ac:dyDescent="0.3">
      <c r="A355" s="129">
        <v>37906</v>
      </c>
      <c r="B355" s="129">
        <v>37906</v>
      </c>
      <c r="C355" s="6">
        <v>10</v>
      </c>
      <c r="D355" s="6">
        <v>1</v>
      </c>
      <c r="E355" s="19">
        <v>2003</v>
      </c>
      <c r="F355" s="15" t="s">
        <v>22</v>
      </c>
      <c r="G355" s="18" t="s">
        <v>6256</v>
      </c>
      <c r="H355" s="9" t="s">
        <v>78</v>
      </c>
      <c r="I355" s="17" t="s">
        <v>578</v>
      </c>
      <c r="J355" s="62" t="s">
        <v>579</v>
      </c>
      <c r="K355" s="23">
        <v>0</v>
      </c>
      <c r="L355" s="234">
        <v>1000</v>
      </c>
      <c r="M355" s="23">
        <v>200</v>
      </c>
      <c r="N355" s="23">
        <v>0</v>
      </c>
      <c r="O355" s="37">
        <v>0</v>
      </c>
      <c r="P355" s="37">
        <v>0</v>
      </c>
      <c r="Q355" s="23">
        <v>0</v>
      </c>
      <c r="R355" s="24">
        <v>0.57999999999999996</v>
      </c>
      <c r="S355" s="7" t="s">
        <v>115</v>
      </c>
      <c r="T355" s="257">
        <f t="shared" si="10"/>
        <v>1000</v>
      </c>
      <c r="U355" s="257">
        <f t="shared" si="11"/>
        <v>200</v>
      </c>
      <c r="V355">
        <v>1</v>
      </c>
      <c r="W355">
        <v>1</v>
      </c>
    </row>
    <row r="356" spans="1:23" ht="68.400000000000006" x14ac:dyDescent="0.3">
      <c r="A356" s="129">
        <v>37908</v>
      </c>
      <c r="B356" s="129">
        <v>37908</v>
      </c>
      <c r="C356" s="6">
        <v>10</v>
      </c>
      <c r="D356" s="6">
        <v>1</v>
      </c>
      <c r="E356" s="19">
        <v>2003</v>
      </c>
      <c r="F356" s="15" t="s">
        <v>22</v>
      </c>
      <c r="G356" s="18" t="s">
        <v>6256</v>
      </c>
      <c r="H356" s="9" t="s">
        <v>121</v>
      </c>
      <c r="I356" s="17" t="s">
        <v>580</v>
      </c>
      <c r="J356" s="62" t="s">
        <v>581</v>
      </c>
      <c r="K356" s="23">
        <v>0</v>
      </c>
      <c r="L356" s="234">
        <v>316</v>
      </c>
      <c r="M356" s="23">
        <v>0</v>
      </c>
      <c r="N356" s="23">
        <v>0</v>
      </c>
      <c r="O356" s="37">
        <v>0</v>
      </c>
      <c r="P356" s="37">
        <v>0</v>
      </c>
      <c r="Q356" s="23">
        <v>0</v>
      </c>
      <c r="R356" s="24">
        <v>0</v>
      </c>
      <c r="S356" s="7" t="s">
        <v>115</v>
      </c>
      <c r="T356" s="257">
        <f t="shared" si="10"/>
        <v>316</v>
      </c>
      <c r="U356" s="257">
        <f t="shared" si="11"/>
        <v>0</v>
      </c>
      <c r="V356">
        <v>1</v>
      </c>
      <c r="W356">
        <v>0</v>
      </c>
    </row>
    <row r="357" spans="1:23" ht="34.200000000000003" x14ac:dyDescent="0.3">
      <c r="A357" s="129">
        <v>37909</v>
      </c>
      <c r="B357" s="129">
        <v>37909</v>
      </c>
      <c r="C357" s="6">
        <v>10</v>
      </c>
      <c r="D357" s="6">
        <v>1</v>
      </c>
      <c r="E357" s="19">
        <v>2003</v>
      </c>
      <c r="F357" s="15" t="s">
        <v>22</v>
      </c>
      <c r="G357" s="18" t="s">
        <v>6256</v>
      </c>
      <c r="H357" s="9" t="s">
        <v>70</v>
      </c>
      <c r="I357" s="17" t="s">
        <v>582</v>
      </c>
      <c r="J357" s="62" t="s">
        <v>583</v>
      </c>
      <c r="K357" s="23">
        <v>0</v>
      </c>
      <c r="L357" s="234">
        <v>105</v>
      </c>
      <c r="M357" s="23">
        <v>0</v>
      </c>
      <c r="N357" s="23">
        <v>0</v>
      </c>
      <c r="O357" s="37">
        <v>0</v>
      </c>
      <c r="P357" s="37">
        <v>0</v>
      </c>
      <c r="Q357" s="23">
        <v>0</v>
      </c>
      <c r="R357" s="24">
        <v>0</v>
      </c>
      <c r="S357" s="7" t="s">
        <v>115</v>
      </c>
      <c r="T357" s="257">
        <f t="shared" si="10"/>
        <v>105</v>
      </c>
      <c r="U357" s="257">
        <f t="shared" si="11"/>
        <v>0</v>
      </c>
      <c r="V357">
        <v>1</v>
      </c>
      <c r="W357">
        <v>0</v>
      </c>
    </row>
    <row r="358" spans="1:23" ht="79.8" x14ac:dyDescent="0.3">
      <c r="A358" s="212">
        <v>41460</v>
      </c>
      <c r="B358" s="212">
        <v>41461</v>
      </c>
      <c r="C358" s="6">
        <v>7</v>
      </c>
      <c r="D358" s="6">
        <v>2</v>
      </c>
      <c r="E358" s="19">
        <v>2013</v>
      </c>
      <c r="F358" s="15" t="s">
        <v>22</v>
      </c>
      <c r="G358" s="16" t="s">
        <v>6254</v>
      </c>
      <c r="H358" s="9" t="s">
        <v>48</v>
      </c>
      <c r="I358" s="20" t="s">
        <v>584</v>
      </c>
      <c r="J358" s="21" t="s">
        <v>585</v>
      </c>
      <c r="K358" s="22">
        <v>0</v>
      </c>
      <c r="L358" s="234">
        <v>85</v>
      </c>
      <c r="M358" s="23">
        <v>17</v>
      </c>
      <c r="N358" s="23">
        <v>0</v>
      </c>
      <c r="O358" s="23">
        <v>0</v>
      </c>
      <c r="P358" s="23">
        <v>1</v>
      </c>
      <c r="Q358" s="23">
        <v>0</v>
      </c>
      <c r="R358" s="24">
        <v>71.2</v>
      </c>
      <c r="S358" s="25" t="s">
        <v>149</v>
      </c>
      <c r="T358" s="257">
        <f t="shared" si="10"/>
        <v>85</v>
      </c>
      <c r="U358" s="257">
        <f t="shared" si="11"/>
        <v>18</v>
      </c>
      <c r="V358">
        <v>1</v>
      </c>
      <c r="W358">
        <v>1</v>
      </c>
    </row>
    <row r="359" spans="1:23" ht="34.200000000000003" x14ac:dyDescent="0.3">
      <c r="A359" s="129">
        <v>37909</v>
      </c>
      <c r="B359" s="129">
        <v>37909</v>
      </c>
      <c r="C359" s="6">
        <v>10</v>
      </c>
      <c r="D359" s="6">
        <v>1</v>
      </c>
      <c r="E359" s="19">
        <v>2003</v>
      </c>
      <c r="F359" s="15" t="s">
        <v>22</v>
      </c>
      <c r="G359" s="18" t="s">
        <v>6256</v>
      </c>
      <c r="H359" s="9" t="s">
        <v>78</v>
      </c>
      <c r="I359" s="17" t="s">
        <v>586</v>
      </c>
      <c r="J359" s="62" t="s">
        <v>587</v>
      </c>
      <c r="K359" s="23">
        <v>1</v>
      </c>
      <c r="L359" s="234">
        <v>1</v>
      </c>
      <c r="M359" s="23">
        <v>0</v>
      </c>
      <c r="N359" s="23">
        <v>0</v>
      </c>
      <c r="O359" s="37">
        <v>0</v>
      </c>
      <c r="P359" s="37">
        <v>0</v>
      </c>
      <c r="Q359" s="23">
        <v>0</v>
      </c>
      <c r="R359" s="24">
        <v>0</v>
      </c>
      <c r="S359" s="7" t="s">
        <v>115</v>
      </c>
      <c r="T359" s="257">
        <f t="shared" si="10"/>
        <v>2</v>
      </c>
      <c r="U359" s="257">
        <f t="shared" si="11"/>
        <v>0</v>
      </c>
      <c r="V359">
        <v>1</v>
      </c>
      <c r="W359">
        <v>0</v>
      </c>
    </row>
    <row r="360" spans="1:23" ht="34.200000000000003" x14ac:dyDescent="0.3">
      <c r="A360" s="129">
        <v>37925</v>
      </c>
      <c r="B360" s="129">
        <v>37925</v>
      </c>
      <c r="C360" s="6">
        <v>10</v>
      </c>
      <c r="D360" s="6">
        <v>1</v>
      </c>
      <c r="E360" s="19">
        <v>2003</v>
      </c>
      <c r="F360" s="15" t="s">
        <v>22</v>
      </c>
      <c r="G360" s="18" t="s">
        <v>6256</v>
      </c>
      <c r="H360" s="9" t="s">
        <v>70</v>
      </c>
      <c r="I360" s="17" t="s">
        <v>588</v>
      </c>
      <c r="J360" s="62" t="s">
        <v>589</v>
      </c>
      <c r="K360" s="23">
        <v>0</v>
      </c>
      <c r="L360" s="234">
        <v>200</v>
      </c>
      <c r="M360" s="23">
        <v>1</v>
      </c>
      <c r="N360" s="23">
        <v>0</v>
      </c>
      <c r="O360" s="37">
        <v>0</v>
      </c>
      <c r="P360" s="37">
        <v>0</v>
      </c>
      <c r="Q360" s="23">
        <v>0</v>
      </c>
      <c r="R360" s="24">
        <v>2.8000000000000001E-2</v>
      </c>
      <c r="S360" s="7" t="s">
        <v>115</v>
      </c>
      <c r="T360" s="257">
        <f t="shared" si="10"/>
        <v>200</v>
      </c>
      <c r="U360" s="257">
        <f t="shared" si="11"/>
        <v>1</v>
      </c>
      <c r="V360">
        <v>1</v>
      </c>
      <c r="W360">
        <v>1</v>
      </c>
    </row>
    <row r="361" spans="1:23" ht="34.200000000000003" x14ac:dyDescent="0.3">
      <c r="A361" s="129">
        <v>37925</v>
      </c>
      <c r="B361" s="129">
        <v>37925</v>
      </c>
      <c r="C361" s="6">
        <v>10</v>
      </c>
      <c r="D361" s="6">
        <v>1</v>
      </c>
      <c r="E361" s="19">
        <v>2003</v>
      </c>
      <c r="F361" s="15" t="s">
        <v>22</v>
      </c>
      <c r="G361" s="18" t="s">
        <v>6256</v>
      </c>
      <c r="H361" s="9" t="s">
        <v>118</v>
      </c>
      <c r="I361" s="17" t="s">
        <v>590</v>
      </c>
      <c r="J361" s="62" t="s">
        <v>591</v>
      </c>
      <c r="K361" s="23">
        <v>0</v>
      </c>
      <c r="L361" s="234">
        <v>500</v>
      </c>
      <c r="M361" s="23">
        <v>100</v>
      </c>
      <c r="N361" s="23">
        <v>0</v>
      </c>
      <c r="O361" s="37">
        <v>0</v>
      </c>
      <c r="P361" s="37">
        <v>0</v>
      </c>
      <c r="Q361" s="23">
        <v>0</v>
      </c>
      <c r="R361" s="24">
        <v>0.28799999999999998</v>
      </c>
      <c r="S361" s="7" t="s">
        <v>115</v>
      </c>
      <c r="T361" s="257">
        <f t="shared" si="10"/>
        <v>500</v>
      </c>
      <c r="U361" s="257">
        <f t="shared" si="11"/>
        <v>100</v>
      </c>
      <c r="V361">
        <v>1</v>
      </c>
      <c r="W361">
        <v>1</v>
      </c>
    </row>
    <row r="362" spans="1:23" ht="45.6" x14ac:dyDescent="0.3">
      <c r="A362" s="129">
        <v>37926</v>
      </c>
      <c r="B362" s="129">
        <v>37926</v>
      </c>
      <c r="C362" s="6">
        <v>11</v>
      </c>
      <c r="D362" s="6">
        <v>1</v>
      </c>
      <c r="E362" s="19">
        <v>2003</v>
      </c>
      <c r="F362" s="15" t="s">
        <v>22</v>
      </c>
      <c r="G362" s="18" t="s">
        <v>6256</v>
      </c>
      <c r="H362" s="9" t="s">
        <v>61</v>
      </c>
      <c r="I362" s="17" t="s">
        <v>592</v>
      </c>
      <c r="J362" s="62" t="s">
        <v>593</v>
      </c>
      <c r="K362" s="23">
        <v>0</v>
      </c>
      <c r="L362" s="234">
        <v>180</v>
      </c>
      <c r="M362" s="23">
        <v>36</v>
      </c>
      <c r="N362" s="23">
        <v>0</v>
      </c>
      <c r="O362" s="37">
        <v>0</v>
      </c>
      <c r="P362" s="37">
        <v>0</v>
      </c>
      <c r="Q362" s="23">
        <v>0</v>
      </c>
      <c r="R362" s="24">
        <v>0.1037</v>
      </c>
      <c r="S362" s="7" t="s">
        <v>115</v>
      </c>
      <c r="T362" s="257">
        <f t="shared" si="10"/>
        <v>180</v>
      </c>
      <c r="U362" s="257">
        <f t="shared" si="11"/>
        <v>36</v>
      </c>
      <c r="V362">
        <v>1</v>
      </c>
      <c r="W362">
        <v>1</v>
      </c>
    </row>
    <row r="363" spans="1:23" ht="45.6" x14ac:dyDescent="0.3">
      <c r="A363" s="129">
        <v>37926</v>
      </c>
      <c r="B363" s="129">
        <v>37926</v>
      </c>
      <c r="C363" s="6">
        <v>11</v>
      </c>
      <c r="D363" s="6">
        <v>1</v>
      </c>
      <c r="E363" s="19">
        <v>2003</v>
      </c>
      <c r="F363" s="15" t="s">
        <v>22</v>
      </c>
      <c r="G363" s="18" t="s">
        <v>6256</v>
      </c>
      <c r="H363" s="9" t="s">
        <v>78</v>
      </c>
      <c r="I363" s="17" t="s">
        <v>594</v>
      </c>
      <c r="J363" s="62" t="s">
        <v>595</v>
      </c>
      <c r="K363" s="23">
        <v>0</v>
      </c>
      <c r="L363" s="234">
        <v>92</v>
      </c>
      <c r="M363" s="23">
        <v>0</v>
      </c>
      <c r="N363" s="23">
        <v>0</v>
      </c>
      <c r="O363" s="37">
        <v>0</v>
      </c>
      <c r="P363" s="37">
        <v>0</v>
      </c>
      <c r="Q363" s="23">
        <v>0</v>
      </c>
      <c r="R363" s="24">
        <v>0</v>
      </c>
      <c r="S363" s="7" t="s">
        <v>115</v>
      </c>
      <c r="T363" s="257">
        <f t="shared" si="10"/>
        <v>92</v>
      </c>
      <c r="U363" s="257">
        <f t="shared" si="11"/>
        <v>0</v>
      </c>
      <c r="V363">
        <v>1</v>
      </c>
      <c r="W363">
        <v>0</v>
      </c>
    </row>
    <row r="364" spans="1:23" ht="57" x14ac:dyDescent="0.3">
      <c r="A364" s="129">
        <v>37926</v>
      </c>
      <c r="B364" s="129">
        <v>37926</v>
      </c>
      <c r="C364" s="6">
        <v>11</v>
      </c>
      <c r="D364" s="6">
        <v>1</v>
      </c>
      <c r="E364" s="19">
        <v>2003</v>
      </c>
      <c r="F364" s="15" t="s">
        <v>22</v>
      </c>
      <c r="G364" s="18" t="s">
        <v>6256</v>
      </c>
      <c r="H364" s="9" t="s">
        <v>174</v>
      </c>
      <c r="I364" s="17" t="s">
        <v>596</v>
      </c>
      <c r="J364" s="62" t="s">
        <v>597</v>
      </c>
      <c r="K364" s="23">
        <v>0</v>
      </c>
      <c r="L364" s="234">
        <v>75</v>
      </c>
      <c r="M364" s="23">
        <v>15</v>
      </c>
      <c r="N364" s="23">
        <v>0</v>
      </c>
      <c r="O364" s="37">
        <v>0</v>
      </c>
      <c r="P364" s="37">
        <v>0</v>
      </c>
      <c r="Q364" s="23">
        <v>0</v>
      </c>
      <c r="R364" s="24">
        <v>4.2999999999999997E-2</v>
      </c>
      <c r="S364" s="7" t="s">
        <v>115</v>
      </c>
      <c r="T364" s="257">
        <f t="shared" si="10"/>
        <v>75</v>
      </c>
      <c r="U364" s="257">
        <f t="shared" si="11"/>
        <v>15</v>
      </c>
      <c r="V364">
        <v>1</v>
      </c>
      <c r="W364">
        <v>1</v>
      </c>
    </row>
    <row r="365" spans="1:23" ht="45.6" x14ac:dyDescent="0.3">
      <c r="A365" s="129">
        <v>37934</v>
      </c>
      <c r="B365" s="129">
        <v>37934</v>
      </c>
      <c r="C365" s="6">
        <v>11</v>
      </c>
      <c r="D365" s="6">
        <v>1</v>
      </c>
      <c r="E365" s="19">
        <v>2003</v>
      </c>
      <c r="F365" s="15" t="s">
        <v>22</v>
      </c>
      <c r="G365" s="18" t="s">
        <v>6256</v>
      </c>
      <c r="H365" s="9" t="s">
        <v>31</v>
      </c>
      <c r="I365" s="17" t="s">
        <v>598</v>
      </c>
      <c r="J365" s="62" t="s">
        <v>599</v>
      </c>
      <c r="K365" s="23">
        <v>0</v>
      </c>
      <c r="L365" s="234">
        <v>145</v>
      </c>
      <c r="M365" s="23">
        <v>29</v>
      </c>
      <c r="N365" s="23">
        <v>2</v>
      </c>
      <c r="O365" s="37">
        <v>0</v>
      </c>
      <c r="P365" s="37">
        <v>0</v>
      </c>
      <c r="Q365" s="23">
        <v>0</v>
      </c>
      <c r="R365" s="24">
        <v>0.08</v>
      </c>
      <c r="S365" s="7" t="s">
        <v>115</v>
      </c>
      <c r="T365" s="257">
        <f t="shared" si="10"/>
        <v>145</v>
      </c>
      <c r="U365" s="257">
        <f t="shared" si="11"/>
        <v>31</v>
      </c>
      <c r="V365">
        <v>1</v>
      </c>
      <c r="W365">
        <v>1</v>
      </c>
    </row>
    <row r="366" spans="1:23" ht="68.400000000000006" x14ac:dyDescent="0.3">
      <c r="A366" s="129">
        <v>37849</v>
      </c>
      <c r="B366" s="129">
        <v>37849</v>
      </c>
      <c r="C366" s="6">
        <v>8</v>
      </c>
      <c r="D366" s="6">
        <v>1</v>
      </c>
      <c r="E366" s="19">
        <v>2003</v>
      </c>
      <c r="F366" s="15" t="s">
        <v>22</v>
      </c>
      <c r="G366" s="18" t="s">
        <v>6256</v>
      </c>
      <c r="H366" s="9" t="s">
        <v>78</v>
      </c>
      <c r="I366" s="53" t="s">
        <v>600</v>
      </c>
      <c r="J366" s="53" t="s">
        <v>601</v>
      </c>
      <c r="K366" s="23">
        <v>0</v>
      </c>
      <c r="L366" s="234">
        <v>2787</v>
      </c>
      <c r="M366" s="23">
        <v>146</v>
      </c>
      <c r="N366" s="23">
        <v>0</v>
      </c>
      <c r="O366" s="37">
        <v>0</v>
      </c>
      <c r="P366" s="37">
        <v>0</v>
      </c>
      <c r="Q366" s="23">
        <v>0</v>
      </c>
      <c r="R366" s="24">
        <v>0.42</v>
      </c>
      <c r="S366" s="7" t="s">
        <v>115</v>
      </c>
      <c r="T366" s="257">
        <f t="shared" si="10"/>
        <v>2787</v>
      </c>
      <c r="U366" s="257">
        <f t="shared" si="11"/>
        <v>146</v>
      </c>
      <c r="V366">
        <v>1</v>
      </c>
      <c r="W366">
        <v>1</v>
      </c>
    </row>
    <row r="367" spans="1:23" ht="57" x14ac:dyDescent="0.3">
      <c r="A367" s="129">
        <v>37954</v>
      </c>
      <c r="B367" s="129">
        <v>37954</v>
      </c>
      <c r="C367" s="6">
        <v>11</v>
      </c>
      <c r="D367" s="6">
        <v>1</v>
      </c>
      <c r="E367" s="19">
        <v>2003</v>
      </c>
      <c r="F367" s="15" t="s">
        <v>22</v>
      </c>
      <c r="G367" s="18" t="s">
        <v>6256</v>
      </c>
      <c r="H367" s="9" t="s">
        <v>31</v>
      </c>
      <c r="I367" s="17" t="s">
        <v>95</v>
      </c>
      <c r="J367" s="62" t="s">
        <v>602</v>
      </c>
      <c r="K367" s="23">
        <v>0</v>
      </c>
      <c r="L367" s="234">
        <v>110</v>
      </c>
      <c r="M367" s="23">
        <v>19</v>
      </c>
      <c r="N367" s="23">
        <v>0</v>
      </c>
      <c r="O367" s="37">
        <v>0</v>
      </c>
      <c r="P367" s="37">
        <v>0</v>
      </c>
      <c r="Q367" s="23">
        <v>0</v>
      </c>
      <c r="R367" s="24">
        <v>5.3999999999999999E-2</v>
      </c>
      <c r="S367" s="7" t="s">
        <v>115</v>
      </c>
      <c r="T367" s="257">
        <f t="shared" si="10"/>
        <v>110</v>
      </c>
      <c r="U367" s="257">
        <f t="shared" si="11"/>
        <v>19</v>
      </c>
      <c r="V367">
        <v>1</v>
      </c>
      <c r="W367">
        <v>1</v>
      </c>
    </row>
    <row r="368" spans="1:23" ht="57" x14ac:dyDescent="0.3">
      <c r="A368" s="129">
        <v>37954</v>
      </c>
      <c r="B368" s="129">
        <v>37954</v>
      </c>
      <c r="C368" s="6">
        <v>11</v>
      </c>
      <c r="D368" s="6">
        <v>1</v>
      </c>
      <c r="E368" s="19">
        <v>2003</v>
      </c>
      <c r="F368" s="15" t="s">
        <v>22</v>
      </c>
      <c r="G368" s="18" t="s">
        <v>6256</v>
      </c>
      <c r="H368" s="17" t="s">
        <v>565</v>
      </c>
      <c r="I368" s="17" t="s">
        <v>95</v>
      </c>
      <c r="J368" s="62" t="s">
        <v>603</v>
      </c>
      <c r="K368" s="23">
        <v>0</v>
      </c>
      <c r="L368" s="234">
        <v>4580</v>
      </c>
      <c r="M368" s="23">
        <v>0</v>
      </c>
      <c r="N368" s="23">
        <v>0</v>
      </c>
      <c r="O368" s="37">
        <v>0</v>
      </c>
      <c r="P368" s="37">
        <v>0</v>
      </c>
      <c r="Q368" s="23">
        <v>0</v>
      </c>
      <c r="R368" s="24">
        <v>0</v>
      </c>
      <c r="S368" s="7" t="s">
        <v>115</v>
      </c>
      <c r="T368" s="257">
        <f t="shared" si="10"/>
        <v>4580</v>
      </c>
      <c r="U368" s="257">
        <f t="shared" si="11"/>
        <v>0</v>
      </c>
      <c r="V368">
        <v>1</v>
      </c>
      <c r="W368">
        <v>0</v>
      </c>
    </row>
    <row r="369" spans="1:23" ht="34.200000000000003" x14ac:dyDescent="0.3">
      <c r="A369" s="129">
        <v>37952</v>
      </c>
      <c r="B369" s="129">
        <v>37952</v>
      </c>
      <c r="C369" s="6">
        <v>11</v>
      </c>
      <c r="D369" s="6">
        <v>1</v>
      </c>
      <c r="E369" s="19">
        <v>2003</v>
      </c>
      <c r="F369" s="15" t="s">
        <v>22</v>
      </c>
      <c r="G369" s="18" t="s">
        <v>6256</v>
      </c>
      <c r="H369" s="9" t="s">
        <v>174</v>
      </c>
      <c r="I369" s="17" t="s">
        <v>317</v>
      </c>
      <c r="J369" s="62" t="s">
        <v>604</v>
      </c>
      <c r="K369" s="23">
        <v>0</v>
      </c>
      <c r="L369" s="234">
        <v>4</v>
      </c>
      <c r="M369" s="23">
        <v>0</v>
      </c>
      <c r="N369" s="23">
        <v>0</v>
      </c>
      <c r="O369" s="37">
        <v>0</v>
      </c>
      <c r="P369" s="37">
        <v>0</v>
      </c>
      <c r="Q369" s="23">
        <v>0</v>
      </c>
      <c r="R369" s="24">
        <v>0</v>
      </c>
      <c r="S369" s="7" t="s">
        <v>115</v>
      </c>
      <c r="T369" s="257">
        <f t="shared" si="10"/>
        <v>4</v>
      </c>
      <c r="U369" s="257">
        <f t="shared" si="11"/>
        <v>0</v>
      </c>
      <c r="V369">
        <v>1</v>
      </c>
      <c r="W369">
        <v>0</v>
      </c>
    </row>
    <row r="370" spans="1:23" ht="45.6" x14ac:dyDescent="0.3">
      <c r="A370" s="129">
        <v>37746</v>
      </c>
      <c r="B370" s="129">
        <v>37746</v>
      </c>
      <c r="C370" s="6">
        <v>5</v>
      </c>
      <c r="D370" s="6">
        <v>1</v>
      </c>
      <c r="E370" s="19">
        <v>2003</v>
      </c>
      <c r="F370" s="15" t="s">
        <v>22</v>
      </c>
      <c r="G370" s="16" t="s">
        <v>23</v>
      </c>
      <c r="H370" s="9" t="s">
        <v>72</v>
      </c>
      <c r="I370" s="63" t="s">
        <v>95</v>
      </c>
      <c r="J370" s="63" t="s">
        <v>605</v>
      </c>
      <c r="K370" s="23">
        <v>0</v>
      </c>
      <c r="L370" s="234">
        <v>0</v>
      </c>
      <c r="M370" s="23">
        <v>0</v>
      </c>
      <c r="N370" s="23">
        <v>0</v>
      </c>
      <c r="O370" s="37">
        <v>0</v>
      </c>
      <c r="P370" s="37">
        <v>0</v>
      </c>
      <c r="Q370" s="23">
        <v>420000</v>
      </c>
      <c r="R370" s="24">
        <v>600</v>
      </c>
      <c r="S370" s="7" t="s">
        <v>115</v>
      </c>
      <c r="T370" s="257">
        <f t="shared" si="10"/>
        <v>0</v>
      </c>
      <c r="U370" s="257">
        <f t="shared" si="11"/>
        <v>0</v>
      </c>
      <c r="V370">
        <v>0</v>
      </c>
      <c r="W370">
        <v>0</v>
      </c>
    </row>
    <row r="371" spans="1:23" ht="34.200000000000003" x14ac:dyDescent="0.3">
      <c r="A371" s="129">
        <v>37766</v>
      </c>
      <c r="B371" s="129">
        <v>37766</v>
      </c>
      <c r="C371" s="6">
        <v>5</v>
      </c>
      <c r="D371" s="6">
        <v>1</v>
      </c>
      <c r="E371" s="19">
        <v>2003</v>
      </c>
      <c r="F371" s="15" t="s">
        <v>22</v>
      </c>
      <c r="G371" s="16" t="s">
        <v>23</v>
      </c>
      <c r="H371" s="9" t="s">
        <v>121</v>
      </c>
      <c r="I371" s="17" t="s">
        <v>606</v>
      </c>
      <c r="J371" s="17" t="s">
        <v>607</v>
      </c>
      <c r="K371" s="23">
        <v>0</v>
      </c>
      <c r="L371" s="234">
        <v>0</v>
      </c>
      <c r="M371" s="23">
        <v>0</v>
      </c>
      <c r="N371" s="23">
        <v>0</v>
      </c>
      <c r="O371" s="37">
        <v>0</v>
      </c>
      <c r="P371" s="37">
        <v>0</v>
      </c>
      <c r="Q371" s="23">
        <v>5000</v>
      </c>
      <c r="R371" s="24">
        <v>0</v>
      </c>
      <c r="S371" s="7" t="s">
        <v>115</v>
      </c>
      <c r="T371" s="257">
        <f t="shared" si="10"/>
        <v>0</v>
      </c>
      <c r="U371" s="257">
        <f t="shared" si="11"/>
        <v>0</v>
      </c>
      <c r="V371">
        <v>0</v>
      </c>
      <c r="W371">
        <v>0</v>
      </c>
    </row>
    <row r="372" spans="1:23" ht="45.6" x14ac:dyDescent="0.3">
      <c r="A372" s="129">
        <v>37774</v>
      </c>
      <c r="B372" s="129">
        <v>37774</v>
      </c>
      <c r="C372" s="6">
        <v>6</v>
      </c>
      <c r="D372" s="6">
        <v>1</v>
      </c>
      <c r="E372" s="19">
        <v>2003</v>
      </c>
      <c r="F372" s="15" t="s">
        <v>22</v>
      </c>
      <c r="G372" s="16" t="s">
        <v>23</v>
      </c>
      <c r="H372" s="9" t="s">
        <v>174</v>
      </c>
      <c r="I372" s="17" t="s">
        <v>317</v>
      </c>
      <c r="J372" s="17" t="s">
        <v>608</v>
      </c>
      <c r="K372" s="23">
        <v>0</v>
      </c>
      <c r="L372" s="234">
        <v>0</v>
      </c>
      <c r="M372" s="23">
        <v>0</v>
      </c>
      <c r="N372" s="23">
        <v>0</v>
      </c>
      <c r="O372" s="37">
        <v>0</v>
      </c>
      <c r="P372" s="37">
        <v>0</v>
      </c>
      <c r="Q372" s="23">
        <v>1421</v>
      </c>
      <c r="R372" s="24">
        <v>30</v>
      </c>
      <c r="S372" s="7" t="s">
        <v>115</v>
      </c>
      <c r="T372" s="257">
        <f t="shared" si="10"/>
        <v>0</v>
      </c>
      <c r="U372" s="257">
        <f t="shared" si="11"/>
        <v>0</v>
      </c>
      <c r="V372">
        <v>0</v>
      </c>
      <c r="W372">
        <v>0</v>
      </c>
    </row>
    <row r="373" spans="1:23" ht="35.4" x14ac:dyDescent="0.3">
      <c r="A373" s="212">
        <v>37884</v>
      </c>
      <c r="B373" s="212">
        <v>37884</v>
      </c>
      <c r="C373" s="6">
        <v>9</v>
      </c>
      <c r="D373" s="6">
        <v>1</v>
      </c>
      <c r="E373" s="19">
        <v>2003</v>
      </c>
      <c r="F373" s="15" t="s">
        <v>22</v>
      </c>
      <c r="G373" s="16" t="s">
        <v>23</v>
      </c>
      <c r="H373" s="9" t="s">
        <v>34</v>
      </c>
      <c r="I373" s="64" t="s">
        <v>95</v>
      </c>
      <c r="J373" s="65" t="s">
        <v>609</v>
      </c>
      <c r="K373" s="23">
        <v>0</v>
      </c>
      <c r="L373" s="234">
        <v>0</v>
      </c>
      <c r="M373" s="23">
        <v>0</v>
      </c>
      <c r="N373" s="23">
        <v>0</v>
      </c>
      <c r="O373" s="37">
        <v>0</v>
      </c>
      <c r="P373" s="37">
        <v>0</v>
      </c>
      <c r="Q373" s="23">
        <v>200000</v>
      </c>
      <c r="R373" s="24">
        <v>0</v>
      </c>
      <c r="S373" s="7" t="s">
        <v>115</v>
      </c>
      <c r="T373" s="257">
        <f t="shared" si="10"/>
        <v>0</v>
      </c>
      <c r="U373" s="257">
        <f t="shared" si="11"/>
        <v>0</v>
      </c>
      <c r="V373">
        <v>0</v>
      </c>
      <c r="W373">
        <v>0</v>
      </c>
    </row>
    <row r="374" spans="1:23" ht="34.200000000000003" x14ac:dyDescent="0.3">
      <c r="A374" s="212">
        <v>37950</v>
      </c>
      <c r="B374" s="212">
        <v>37950</v>
      </c>
      <c r="C374" s="6">
        <v>11</v>
      </c>
      <c r="D374" s="6">
        <v>1</v>
      </c>
      <c r="E374" s="19">
        <v>2003</v>
      </c>
      <c r="F374" s="15" t="s">
        <v>22</v>
      </c>
      <c r="G374" s="16" t="s">
        <v>23</v>
      </c>
      <c r="H374" s="9" t="s">
        <v>74</v>
      </c>
      <c r="I374" s="53" t="s">
        <v>95</v>
      </c>
      <c r="J374" s="53" t="s">
        <v>610</v>
      </c>
      <c r="K374" s="23">
        <v>0</v>
      </c>
      <c r="L374" s="234">
        <v>0</v>
      </c>
      <c r="M374" s="23">
        <v>0</v>
      </c>
      <c r="N374" s="23">
        <v>0</v>
      </c>
      <c r="O374" s="37">
        <v>0</v>
      </c>
      <c r="P374" s="37">
        <v>0</v>
      </c>
      <c r="Q374" s="23">
        <v>180000</v>
      </c>
      <c r="R374" s="24">
        <v>0</v>
      </c>
      <c r="S374" s="7" t="s">
        <v>115</v>
      </c>
      <c r="T374" s="257">
        <f t="shared" si="10"/>
        <v>0</v>
      </c>
      <c r="U374" s="257">
        <f t="shared" si="11"/>
        <v>0</v>
      </c>
      <c r="V374">
        <v>0</v>
      </c>
      <c r="W374">
        <v>0</v>
      </c>
    </row>
    <row r="375" spans="1:23" ht="34.200000000000003" x14ac:dyDescent="0.3">
      <c r="A375" s="129">
        <v>37629</v>
      </c>
      <c r="B375" s="129">
        <v>37629</v>
      </c>
      <c r="C375" s="6">
        <v>1</v>
      </c>
      <c r="D375" s="6">
        <v>1</v>
      </c>
      <c r="E375" s="19">
        <v>2003</v>
      </c>
      <c r="F375" s="15" t="s">
        <v>22</v>
      </c>
      <c r="G375" s="18" t="s">
        <v>6255</v>
      </c>
      <c r="H375" s="9" t="s">
        <v>74</v>
      </c>
      <c r="I375" s="53" t="s">
        <v>611</v>
      </c>
      <c r="J375" s="53" t="s">
        <v>612</v>
      </c>
      <c r="K375" s="19">
        <v>2</v>
      </c>
      <c r="L375" s="234">
        <v>2</v>
      </c>
      <c r="M375" s="23">
        <v>0</v>
      </c>
      <c r="N375" s="23">
        <v>0</v>
      </c>
      <c r="O375" s="37">
        <v>0</v>
      </c>
      <c r="P375" s="37">
        <v>0</v>
      </c>
      <c r="Q375" s="23">
        <v>0</v>
      </c>
      <c r="R375" s="24">
        <v>0</v>
      </c>
      <c r="S375" s="7" t="s">
        <v>115</v>
      </c>
      <c r="T375" s="257">
        <f t="shared" si="10"/>
        <v>4</v>
      </c>
      <c r="U375" s="257">
        <f t="shared" si="11"/>
        <v>0</v>
      </c>
      <c r="V375">
        <v>1</v>
      </c>
      <c r="W375">
        <v>0</v>
      </c>
    </row>
    <row r="376" spans="1:23" ht="45.6" x14ac:dyDescent="0.3">
      <c r="A376" s="129">
        <v>37920</v>
      </c>
      <c r="B376" s="129">
        <v>37922</v>
      </c>
      <c r="C376" s="6">
        <v>10</v>
      </c>
      <c r="D376" s="6">
        <v>3</v>
      </c>
      <c r="E376" s="19">
        <v>2003</v>
      </c>
      <c r="F376" s="15" t="s">
        <v>22</v>
      </c>
      <c r="G376" s="18" t="s">
        <v>6255</v>
      </c>
      <c r="H376" s="9" t="s">
        <v>34</v>
      </c>
      <c r="I376" s="53" t="s">
        <v>613</v>
      </c>
      <c r="J376" s="53" t="s">
        <v>614</v>
      </c>
      <c r="K376" s="19">
        <v>4</v>
      </c>
      <c r="L376" s="234">
        <v>4</v>
      </c>
      <c r="M376" s="23">
        <v>0</v>
      </c>
      <c r="N376" s="23">
        <v>0</v>
      </c>
      <c r="O376" s="37">
        <v>0</v>
      </c>
      <c r="P376" s="37">
        <v>0</v>
      </c>
      <c r="Q376" s="23">
        <v>0</v>
      </c>
      <c r="R376" s="24">
        <v>0</v>
      </c>
      <c r="S376" s="7" t="s">
        <v>115</v>
      </c>
      <c r="T376" s="257">
        <f t="shared" si="10"/>
        <v>8</v>
      </c>
      <c r="U376" s="257">
        <f t="shared" si="11"/>
        <v>0</v>
      </c>
      <c r="V376">
        <v>1</v>
      </c>
      <c r="W376">
        <v>0</v>
      </c>
    </row>
    <row r="377" spans="1:23" ht="45.6" x14ac:dyDescent="0.3">
      <c r="A377" s="129">
        <v>37952</v>
      </c>
      <c r="B377" s="129">
        <v>37952</v>
      </c>
      <c r="C377" s="6">
        <v>11</v>
      </c>
      <c r="D377" s="6">
        <v>1</v>
      </c>
      <c r="E377" s="19">
        <v>2003</v>
      </c>
      <c r="F377" s="15" t="s">
        <v>22</v>
      </c>
      <c r="G377" s="18" t="s">
        <v>6255</v>
      </c>
      <c r="H377" s="9" t="s">
        <v>37</v>
      </c>
      <c r="I377" s="53" t="s">
        <v>615</v>
      </c>
      <c r="J377" s="53" t="s">
        <v>616</v>
      </c>
      <c r="K377" s="19">
        <v>0</v>
      </c>
      <c r="L377" s="234">
        <v>44</v>
      </c>
      <c r="M377" s="23">
        <v>0</v>
      </c>
      <c r="N377" s="23">
        <v>0</v>
      </c>
      <c r="O377" s="37">
        <v>0</v>
      </c>
      <c r="P377" s="37">
        <v>0</v>
      </c>
      <c r="Q377" s="23">
        <v>0</v>
      </c>
      <c r="R377" s="24">
        <v>0</v>
      </c>
      <c r="S377" s="7" t="s">
        <v>115</v>
      </c>
      <c r="T377" s="257">
        <f t="shared" si="10"/>
        <v>44</v>
      </c>
      <c r="U377" s="257">
        <f t="shared" si="11"/>
        <v>0</v>
      </c>
      <c r="V377">
        <v>1</v>
      </c>
      <c r="W377">
        <v>0</v>
      </c>
    </row>
    <row r="378" spans="1:23" ht="57" x14ac:dyDescent="0.3">
      <c r="A378" s="129">
        <v>37956</v>
      </c>
      <c r="B378" s="129">
        <v>37956</v>
      </c>
      <c r="C378" s="6">
        <v>12</v>
      </c>
      <c r="D378" s="6">
        <v>1</v>
      </c>
      <c r="E378" s="19">
        <v>2003</v>
      </c>
      <c r="F378" s="15" t="s">
        <v>22</v>
      </c>
      <c r="G378" s="18" t="s">
        <v>6256</v>
      </c>
      <c r="H378" s="9" t="s">
        <v>31</v>
      </c>
      <c r="I378" s="17" t="s">
        <v>617</v>
      </c>
      <c r="J378" s="62" t="s">
        <v>618</v>
      </c>
      <c r="K378" s="23">
        <v>0</v>
      </c>
      <c r="L378" s="234">
        <v>350</v>
      </c>
      <c r="M378" s="23">
        <v>70</v>
      </c>
      <c r="N378" s="23">
        <v>0</v>
      </c>
      <c r="O378" s="37">
        <v>0</v>
      </c>
      <c r="P378" s="37">
        <v>0</v>
      </c>
      <c r="Q378" s="23">
        <v>0</v>
      </c>
      <c r="R378" s="24">
        <v>0.20100000000000001</v>
      </c>
      <c r="S378" s="7" t="s">
        <v>115</v>
      </c>
      <c r="T378" s="257">
        <f t="shared" si="10"/>
        <v>350</v>
      </c>
      <c r="U378" s="257">
        <f t="shared" si="11"/>
        <v>70</v>
      </c>
      <c r="V378">
        <v>1</v>
      </c>
      <c r="W378">
        <v>1</v>
      </c>
    </row>
    <row r="379" spans="1:23" ht="24" x14ac:dyDescent="0.3">
      <c r="A379" s="210">
        <v>37698</v>
      </c>
      <c r="B379" s="210">
        <v>37698</v>
      </c>
      <c r="C379" s="6">
        <v>3</v>
      </c>
      <c r="D379" s="6">
        <v>1</v>
      </c>
      <c r="E379" s="19">
        <v>2003</v>
      </c>
      <c r="F379" s="15" t="s">
        <v>22</v>
      </c>
      <c r="G379" s="9" t="s">
        <v>6257</v>
      </c>
      <c r="H379" s="9" t="s">
        <v>174</v>
      </c>
      <c r="I379" s="34" t="s">
        <v>95</v>
      </c>
      <c r="J379" s="39" t="s">
        <v>619</v>
      </c>
      <c r="K379" s="7">
        <v>0</v>
      </c>
      <c r="L379" s="238">
        <v>0</v>
      </c>
      <c r="M379" s="37">
        <v>50</v>
      </c>
      <c r="N379" s="37">
        <v>0</v>
      </c>
      <c r="O379" s="37">
        <v>0</v>
      </c>
      <c r="P379" s="37">
        <v>0</v>
      </c>
      <c r="Q379" s="37">
        <v>0</v>
      </c>
      <c r="R379" s="38">
        <v>0.14410000000000001</v>
      </c>
      <c r="S379" s="7" t="s">
        <v>115</v>
      </c>
      <c r="T379" s="257">
        <f t="shared" si="10"/>
        <v>0</v>
      </c>
      <c r="U379" s="257">
        <f t="shared" si="11"/>
        <v>50</v>
      </c>
      <c r="V379">
        <v>0</v>
      </c>
      <c r="W379">
        <v>1</v>
      </c>
    </row>
    <row r="380" spans="1:23" ht="45.6" x14ac:dyDescent="0.3">
      <c r="A380" s="218">
        <v>37642</v>
      </c>
      <c r="B380" s="218">
        <v>37642</v>
      </c>
      <c r="C380" s="6">
        <v>1</v>
      </c>
      <c r="D380" s="6">
        <v>1</v>
      </c>
      <c r="E380" s="19">
        <v>2003</v>
      </c>
      <c r="F380" s="7" t="s">
        <v>17</v>
      </c>
      <c r="G380" s="16" t="s">
        <v>6260</v>
      </c>
      <c r="H380" s="9" t="s">
        <v>39</v>
      </c>
      <c r="I380" s="66" t="s">
        <v>620</v>
      </c>
      <c r="J380" s="66" t="s">
        <v>621</v>
      </c>
      <c r="K380" s="67">
        <v>23</v>
      </c>
      <c r="L380" s="240">
        <v>450000</v>
      </c>
      <c r="M380" s="68">
        <v>25353</v>
      </c>
      <c r="N380" s="68">
        <v>387</v>
      </c>
      <c r="O380" s="37">
        <v>144</v>
      </c>
      <c r="P380" s="37">
        <v>2219</v>
      </c>
      <c r="Q380" s="68">
        <v>0</v>
      </c>
      <c r="R380" s="69">
        <v>1078.9000000000001</v>
      </c>
      <c r="S380" s="7" t="s">
        <v>115</v>
      </c>
      <c r="T380" s="257">
        <f t="shared" si="10"/>
        <v>450023</v>
      </c>
      <c r="U380" s="257">
        <f t="shared" si="11"/>
        <v>28103</v>
      </c>
      <c r="V380">
        <v>3</v>
      </c>
      <c r="W380">
        <v>3</v>
      </c>
    </row>
    <row r="381" spans="1:23" ht="45.6" x14ac:dyDescent="0.3">
      <c r="A381" s="218">
        <v>37642</v>
      </c>
      <c r="B381" s="218">
        <v>37642</v>
      </c>
      <c r="C381" s="6">
        <v>1</v>
      </c>
      <c r="D381" s="6">
        <v>1</v>
      </c>
      <c r="E381" s="19">
        <v>2003</v>
      </c>
      <c r="F381" s="7" t="s">
        <v>17</v>
      </c>
      <c r="G381" s="16" t="s">
        <v>6260</v>
      </c>
      <c r="H381" s="9" t="s">
        <v>51</v>
      </c>
      <c r="I381" s="66" t="s">
        <v>95</v>
      </c>
      <c r="J381" s="66" t="s">
        <v>622</v>
      </c>
      <c r="K381" s="67">
        <v>2</v>
      </c>
      <c r="L381" s="240">
        <v>37000</v>
      </c>
      <c r="M381" s="68">
        <v>5271</v>
      </c>
      <c r="N381" s="68">
        <v>79</v>
      </c>
      <c r="O381" s="37">
        <v>36</v>
      </c>
      <c r="P381" s="37">
        <v>0</v>
      </c>
      <c r="Q381" s="68">
        <v>0</v>
      </c>
      <c r="R381" s="69">
        <v>193.6</v>
      </c>
      <c r="S381" s="7" t="s">
        <v>21</v>
      </c>
      <c r="T381" s="257">
        <f t="shared" si="10"/>
        <v>37002</v>
      </c>
      <c r="U381" s="257">
        <f t="shared" si="11"/>
        <v>5386</v>
      </c>
      <c r="V381">
        <v>2</v>
      </c>
      <c r="W381">
        <v>2</v>
      </c>
    </row>
    <row r="382" spans="1:23" ht="45.6" x14ac:dyDescent="0.3">
      <c r="A382" s="218">
        <v>37642</v>
      </c>
      <c r="B382" s="218">
        <v>37642</v>
      </c>
      <c r="C382" s="6">
        <v>1</v>
      </c>
      <c r="D382" s="6">
        <v>1</v>
      </c>
      <c r="E382" s="19">
        <v>2003</v>
      </c>
      <c r="F382" s="7" t="s">
        <v>17</v>
      </c>
      <c r="G382" s="16" t="s">
        <v>6260</v>
      </c>
      <c r="H382" s="9" t="s">
        <v>52</v>
      </c>
      <c r="I382" s="66" t="s">
        <v>95</v>
      </c>
      <c r="J382" s="66" t="s">
        <v>623</v>
      </c>
      <c r="K382" s="67">
        <v>1</v>
      </c>
      <c r="L382" s="240">
        <v>40000</v>
      </c>
      <c r="M382" s="68">
        <v>855</v>
      </c>
      <c r="N382" s="68">
        <v>25</v>
      </c>
      <c r="O382" s="37">
        <v>2</v>
      </c>
      <c r="P382" s="37">
        <v>0</v>
      </c>
      <c r="Q382" s="68">
        <v>0</v>
      </c>
      <c r="R382" s="69">
        <v>17.3</v>
      </c>
      <c r="S382" s="7" t="s">
        <v>21</v>
      </c>
      <c r="T382" s="257">
        <f t="shared" si="10"/>
        <v>40001</v>
      </c>
      <c r="U382" s="257">
        <f t="shared" si="11"/>
        <v>882</v>
      </c>
      <c r="V382">
        <v>2</v>
      </c>
      <c r="W382">
        <v>1</v>
      </c>
    </row>
    <row r="383" spans="1:23" ht="34.200000000000003" x14ac:dyDescent="0.3">
      <c r="A383" s="218">
        <v>37715</v>
      </c>
      <c r="B383" s="218">
        <v>37715</v>
      </c>
      <c r="C383" s="6">
        <v>4</v>
      </c>
      <c r="D383" s="6">
        <v>1</v>
      </c>
      <c r="E383" s="19">
        <v>2003</v>
      </c>
      <c r="F383" s="7" t="s">
        <v>17</v>
      </c>
      <c r="G383" s="8" t="s">
        <v>6261</v>
      </c>
      <c r="H383" s="9" t="s">
        <v>31</v>
      </c>
      <c r="I383" s="66" t="s">
        <v>231</v>
      </c>
      <c r="J383" s="66" t="s">
        <v>624</v>
      </c>
      <c r="K383" s="67">
        <v>0</v>
      </c>
      <c r="L383" s="240">
        <v>7</v>
      </c>
      <c r="M383" s="68">
        <v>0</v>
      </c>
      <c r="N383" s="68">
        <v>0</v>
      </c>
      <c r="O383" s="37">
        <v>0</v>
      </c>
      <c r="P383" s="37">
        <v>0</v>
      </c>
      <c r="Q383" s="68">
        <v>0</v>
      </c>
      <c r="R383" s="69">
        <v>0</v>
      </c>
      <c r="S383" s="7" t="s">
        <v>115</v>
      </c>
      <c r="T383" s="257">
        <f t="shared" si="10"/>
        <v>7</v>
      </c>
      <c r="U383" s="257">
        <f t="shared" si="11"/>
        <v>0</v>
      </c>
      <c r="V383">
        <v>1</v>
      </c>
      <c r="W383">
        <v>0</v>
      </c>
    </row>
    <row r="384" spans="1:23" ht="34.200000000000003" x14ac:dyDescent="0.3">
      <c r="A384" s="218">
        <v>37722</v>
      </c>
      <c r="B384" s="218">
        <v>37722</v>
      </c>
      <c r="C384" s="6">
        <v>4</v>
      </c>
      <c r="D384" s="6">
        <v>1</v>
      </c>
      <c r="E384" s="19">
        <v>2003</v>
      </c>
      <c r="F384" s="7" t="s">
        <v>17</v>
      </c>
      <c r="G384" s="8" t="s">
        <v>6261</v>
      </c>
      <c r="H384" s="9" t="s">
        <v>27</v>
      </c>
      <c r="I384" s="66" t="s">
        <v>95</v>
      </c>
      <c r="J384" s="66" t="s">
        <v>625</v>
      </c>
      <c r="K384" s="67">
        <v>0</v>
      </c>
      <c r="L384" s="240">
        <v>81</v>
      </c>
      <c r="M384" s="68">
        <v>20</v>
      </c>
      <c r="N384" s="68">
        <v>0</v>
      </c>
      <c r="O384" s="37">
        <v>0</v>
      </c>
      <c r="P384" s="37">
        <v>0</v>
      </c>
      <c r="Q384" s="68">
        <v>0</v>
      </c>
      <c r="R384" s="69">
        <v>0.56499999999999995</v>
      </c>
      <c r="S384" s="7" t="s">
        <v>115</v>
      </c>
      <c r="T384" s="257">
        <f t="shared" si="10"/>
        <v>81</v>
      </c>
      <c r="U384" s="257">
        <f t="shared" si="11"/>
        <v>20</v>
      </c>
      <c r="V384">
        <v>1</v>
      </c>
      <c r="W384">
        <v>1</v>
      </c>
    </row>
    <row r="385" spans="1:23" ht="45.6" x14ac:dyDescent="0.3">
      <c r="A385" s="218">
        <v>37730</v>
      </c>
      <c r="B385" s="218">
        <v>37730</v>
      </c>
      <c r="C385" s="6">
        <v>4</v>
      </c>
      <c r="D385" s="6">
        <v>1</v>
      </c>
      <c r="E385" s="19">
        <v>2003</v>
      </c>
      <c r="F385" s="7" t="s">
        <v>17</v>
      </c>
      <c r="G385" s="8" t="s">
        <v>6261</v>
      </c>
      <c r="H385" s="9" t="s">
        <v>118</v>
      </c>
      <c r="I385" s="66" t="s">
        <v>170</v>
      </c>
      <c r="J385" s="66" t="s">
        <v>626</v>
      </c>
      <c r="K385" s="67">
        <v>1</v>
      </c>
      <c r="L385" s="240">
        <v>1</v>
      </c>
      <c r="M385" s="68">
        <v>1</v>
      </c>
      <c r="N385" s="68">
        <v>0</v>
      </c>
      <c r="O385" s="37">
        <v>0</v>
      </c>
      <c r="P385" s="37">
        <v>0</v>
      </c>
      <c r="Q385" s="68">
        <v>0</v>
      </c>
      <c r="R385" s="69">
        <v>2.8199999999999999E-2</v>
      </c>
      <c r="S385" s="7" t="s">
        <v>115</v>
      </c>
      <c r="T385" s="257">
        <f t="shared" si="10"/>
        <v>2</v>
      </c>
      <c r="U385" s="257">
        <f t="shared" si="11"/>
        <v>1</v>
      </c>
      <c r="V385">
        <v>1</v>
      </c>
      <c r="W385">
        <v>1</v>
      </c>
    </row>
    <row r="386" spans="1:23" ht="34.200000000000003" x14ac:dyDescent="0.3">
      <c r="A386" s="218">
        <v>37776</v>
      </c>
      <c r="B386" s="218">
        <v>37776</v>
      </c>
      <c r="C386" s="6">
        <v>6</v>
      </c>
      <c r="D386" s="6">
        <v>1</v>
      </c>
      <c r="E386" s="19">
        <v>2003</v>
      </c>
      <c r="F386" s="7" t="s">
        <v>17</v>
      </c>
      <c r="G386" s="8" t="s">
        <v>6261</v>
      </c>
      <c r="H386" s="9" t="s">
        <v>43</v>
      </c>
      <c r="I386" s="66" t="s">
        <v>627</v>
      </c>
      <c r="J386" s="66" t="s">
        <v>628</v>
      </c>
      <c r="K386" s="67">
        <v>0</v>
      </c>
      <c r="L386" s="240">
        <v>1</v>
      </c>
      <c r="M386" s="68">
        <v>1</v>
      </c>
      <c r="N386" s="68">
        <v>0</v>
      </c>
      <c r="O386" s="37">
        <v>0</v>
      </c>
      <c r="P386" s="37">
        <v>0</v>
      </c>
      <c r="Q386" s="68">
        <v>0</v>
      </c>
      <c r="R386" s="69">
        <v>2.8199999999999999E-2</v>
      </c>
      <c r="S386" s="7" t="s">
        <v>115</v>
      </c>
      <c r="T386" s="257">
        <f t="shared" si="10"/>
        <v>1</v>
      </c>
      <c r="U386" s="257">
        <f t="shared" si="11"/>
        <v>1</v>
      </c>
      <c r="V386">
        <v>1</v>
      </c>
      <c r="W386">
        <v>1</v>
      </c>
    </row>
    <row r="387" spans="1:23" ht="34.200000000000003" x14ac:dyDescent="0.3">
      <c r="A387" s="218">
        <v>37782</v>
      </c>
      <c r="B387" s="218">
        <v>37782</v>
      </c>
      <c r="C387" s="6">
        <v>6</v>
      </c>
      <c r="D387" s="6">
        <v>1</v>
      </c>
      <c r="E387" s="19">
        <v>2003</v>
      </c>
      <c r="F387" s="7" t="s">
        <v>17</v>
      </c>
      <c r="G387" s="8" t="s">
        <v>6261</v>
      </c>
      <c r="H387" s="9" t="s">
        <v>43</v>
      </c>
      <c r="I387" s="66" t="s">
        <v>629</v>
      </c>
      <c r="J387" s="66" t="s">
        <v>630</v>
      </c>
      <c r="K387" s="67">
        <v>0</v>
      </c>
      <c r="L387" s="240">
        <v>20</v>
      </c>
      <c r="M387" s="68">
        <v>4</v>
      </c>
      <c r="N387" s="68">
        <v>0</v>
      </c>
      <c r="O387" s="37">
        <v>0</v>
      </c>
      <c r="P387" s="37">
        <v>0</v>
      </c>
      <c r="Q387" s="68">
        <v>0</v>
      </c>
      <c r="R387" s="69">
        <v>1.0999999999999999E-2</v>
      </c>
      <c r="S387" s="7" t="s">
        <v>115</v>
      </c>
      <c r="T387" s="257">
        <f t="shared" ref="T387:T450" si="12">SUM(K387:L387)</f>
        <v>20</v>
      </c>
      <c r="U387" s="257">
        <f t="shared" ref="U387:U450" si="13">SUM(M387:P387)</f>
        <v>4</v>
      </c>
      <c r="V387">
        <v>1</v>
      </c>
      <c r="W387">
        <v>1</v>
      </c>
    </row>
    <row r="388" spans="1:23" ht="34.200000000000003" x14ac:dyDescent="0.3">
      <c r="A388" s="218">
        <v>37793</v>
      </c>
      <c r="B388" s="218">
        <v>37793</v>
      </c>
      <c r="C388" s="6">
        <v>6</v>
      </c>
      <c r="D388" s="6">
        <v>1</v>
      </c>
      <c r="E388" s="19">
        <v>2003</v>
      </c>
      <c r="F388" s="7" t="s">
        <v>17</v>
      </c>
      <c r="G388" s="8" t="s">
        <v>6261</v>
      </c>
      <c r="H388" s="9" t="s">
        <v>61</v>
      </c>
      <c r="I388" s="66" t="s">
        <v>95</v>
      </c>
      <c r="J388" s="66" t="s">
        <v>631</v>
      </c>
      <c r="K388" s="67">
        <v>1</v>
      </c>
      <c r="L388" s="240">
        <v>1</v>
      </c>
      <c r="M388" s="68">
        <v>0</v>
      </c>
      <c r="N388" s="68">
        <v>0</v>
      </c>
      <c r="O388" s="37">
        <v>0</v>
      </c>
      <c r="P388" s="37">
        <v>0</v>
      </c>
      <c r="Q388" s="68">
        <v>0</v>
      </c>
      <c r="R388" s="69">
        <v>0</v>
      </c>
      <c r="S388" s="7" t="s">
        <v>115</v>
      </c>
      <c r="T388" s="257">
        <f t="shared" si="12"/>
        <v>2</v>
      </c>
      <c r="U388" s="257">
        <f t="shared" si="13"/>
        <v>0</v>
      </c>
      <c r="V388">
        <v>1</v>
      </c>
      <c r="W388">
        <v>0</v>
      </c>
    </row>
    <row r="389" spans="1:23" ht="68.400000000000006" x14ac:dyDescent="0.3">
      <c r="A389" s="218">
        <v>37802</v>
      </c>
      <c r="B389" s="218">
        <v>37802</v>
      </c>
      <c r="C389" s="6">
        <v>6</v>
      </c>
      <c r="D389" s="6">
        <v>1</v>
      </c>
      <c r="E389" s="19">
        <v>2003</v>
      </c>
      <c r="F389" s="7" t="s">
        <v>17</v>
      </c>
      <c r="G389" s="8" t="s">
        <v>6261</v>
      </c>
      <c r="H389" s="9" t="s">
        <v>61</v>
      </c>
      <c r="I389" s="66" t="s">
        <v>632</v>
      </c>
      <c r="J389" s="66" t="s">
        <v>633</v>
      </c>
      <c r="K389" s="67">
        <v>7</v>
      </c>
      <c r="L389" s="240">
        <v>8</v>
      </c>
      <c r="M389" s="68">
        <v>0</v>
      </c>
      <c r="N389" s="68">
        <v>1</v>
      </c>
      <c r="O389" s="37">
        <v>0</v>
      </c>
      <c r="P389" s="37">
        <v>0</v>
      </c>
      <c r="Q389" s="68">
        <v>0</v>
      </c>
      <c r="R389" s="69">
        <v>0</v>
      </c>
      <c r="S389" s="7" t="s">
        <v>115</v>
      </c>
      <c r="T389" s="257">
        <f t="shared" si="12"/>
        <v>15</v>
      </c>
      <c r="U389" s="257">
        <f t="shared" si="13"/>
        <v>1</v>
      </c>
      <c r="V389">
        <v>1</v>
      </c>
      <c r="W389">
        <v>1</v>
      </c>
    </row>
    <row r="390" spans="1:23" ht="45.6" x14ac:dyDescent="0.3">
      <c r="A390" s="218">
        <v>37802</v>
      </c>
      <c r="B390" s="218">
        <v>37802</v>
      </c>
      <c r="C390" s="6">
        <v>6</v>
      </c>
      <c r="D390" s="6">
        <v>1</v>
      </c>
      <c r="E390" s="19">
        <v>2003</v>
      </c>
      <c r="F390" s="7" t="s">
        <v>17</v>
      </c>
      <c r="G390" s="8" t="s">
        <v>6261</v>
      </c>
      <c r="H390" s="9" t="s">
        <v>52</v>
      </c>
      <c r="I390" s="66" t="s">
        <v>121</v>
      </c>
      <c r="J390" s="66" t="s">
        <v>634</v>
      </c>
      <c r="K390" s="67">
        <v>0</v>
      </c>
      <c r="L390" s="240">
        <v>60</v>
      </c>
      <c r="M390" s="68">
        <v>8</v>
      </c>
      <c r="N390" s="68">
        <v>0</v>
      </c>
      <c r="O390" s="37">
        <v>0</v>
      </c>
      <c r="P390" s="37">
        <v>0</v>
      </c>
      <c r="Q390" s="68">
        <v>0</v>
      </c>
      <c r="R390" s="69">
        <v>0.2263</v>
      </c>
      <c r="S390" s="7" t="s">
        <v>115</v>
      </c>
      <c r="T390" s="257">
        <f t="shared" si="12"/>
        <v>60</v>
      </c>
      <c r="U390" s="257">
        <f t="shared" si="13"/>
        <v>8</v>
      </c>
      <c r="V390">
        <v>1</v>
      </c>
      <c r="W390">
        <v>1</v>
      </c>
    </row>
    <row r="391" spans="1:23" ht="45.6" x14ac:dyDescent="0.3">
      <c r="A391" s="218">
        <v>37802</v>
      </c>
      <c r="B391" s="218">
        <v>37802</v>
      </c>
      <c r="C391" s="6">
        <v>6</v>
      </c>
      <c r="D391" s="6">
        <v>1</v>
      </c>
      <c r="E391" s="19">
        <v>2003</v>
      </c>
      <c r="F391" s="7" t="s">
        <v>17</v>
      </c>
      <c r="G391" s="8" t="s">
        <v>6261</v>
      </c>
      <c r="H391" s="9" t="s">
        <v>118</v>
      </c>
      <c r="I391" s="66" t="s">
        <v>119</v>
      </c>
      <c r="J391" s="66" t="s">
        <v>635</v>
      </c>
      <c r="K391" s="67">
        <v>0</v>
      </c>
      <c r="L391" s="240">
        <v>10</v>
      </c>
      <c r="M391" s="68">
        <v>2</v>
      </c>
      <c r="N391" s="68">
        <v>0</v>
      </c>
      <c r="O391" s="37">
        <v>0</v>
      </c>
      <c r="P391" s="37">
        <v>0</v>
      </c>
      <c r="Q391" s="68">
        <v>0</v>
      </c>
      <c r="R391" s="69">
        <v>5.6500000000000002E-2</v>
      </c>
      <c r="S391" s="7" t="s">
        <v>115</v>
      </c>
      <c r="T391" s="257">
        <f t="shared" si="12"/>
        <v>10</v>
      </c>
      <c r="U391" s="257">
        <f t="shared" si="13"/>
        <v>2</v>
      </c>
      <c r="V391">
        <v>1</v>
      </c>
      <c r="W391">
        <v>1</v>
      </c>
    </row>
    <row r="392" spans="1:23" ht="34.200000000000003" x14ac:dyDescent="0.3">
      <c r="A392" s="218">
        <v>37817</v>
      </c>
      <c r="B392" s="218">
        <v>37817</v>
      </c>
      <c r="C392" s="6">
        <v>7</v>
      </c>
      <c r="D392" s="6">
        <v>1</v>
      </c>
      <c r="E392" s="19">
        <v>2003</v>
      </c>
      <c r="F392" s="7" t="s">
        <v>17</v>
      </c>
      <c r="G392" s="8" t="s">
        <v>6261</v>
      </c>
      <c r="H392" s="9" t="s">
        <v>31</v>
      </c>
      <c r="I392" s="66" t="s">
        <v>636</v>
      </c>
      <c r="J392" s="66" t="s">
        <v>637</v>
      </c>
      <c r="K392" s="67">
        <v>0</v>
      </c>
      <c r="L392" s="240">
        <v>3</v>
      </c>
      <c r="M392" s="68">
        <v>0</v>
      </c>
      <c r="N392" s="68">
        <v>0</v>
      </c>
      <c r="O392" s="37">
        <v>0</v>
      </c>
      <c r="P392" s="37">
        <v>0</v>
      </c>
      <c r="Q392" s="68">
        <v>0</v>
      </c>
      <c r="R392" s="69">
        <v>0</v>
      </c>
      <c r="S392" s="7" t="s">
        <v>115</v>
      </c>
      <c r="T392" s="257">
        <f t="shared" si="12"/>
        <v>3</v>
      </c>
      <c r="U392" s="257">
        <f t="shared" si="13"/>
        <v>0</v>
      </c>
      <c r="V392">
        <v>1</v>
      </c>
      <c r="W392">
        <v>0</v>
      </c>
    </row>
    <row r="393" spans="1:23" ht="45.6" x14ac:dyDescent="0.3">
      <c r="A393" s="218">
        <v>37826</v>
      </c>
      <c r="B393" s="218">
        <v>37826</v>
      </c>
      <c r="C393" s="6">
        <v>7</v>
      </c>
      <c r="D393" s="6">
        <v>1</v>
      </c>
      <c r="E393" s="19">
        <v>2003</v>
      </c>
      <c r="F393" s="7" t="s">
        <v>17</v>
      </c>
      <c r="G393" s="8" t="s">
        <v>6261</v>
      </c>
      <c r="H393" s="9" t="s">
        <v>43</v>
      </c>
      <c r="I393" s="66" t="s">
        <v>311</v>
      </c>
      <c r="J393" s="66" t="s">
        <v>638</v>
      </c>
      <c r="K393" s="67">
        <v>0</v>
      </c>
      <c r="L393" s="240">
        <v>0</v>
      </c>
      <c r="M393" s="68">
        <v>0</v>
      </c>
      <c r="N393" s="68">
        <v>0</v>
      </c>
      <c r="O393" s="37">
        <v>0</v>
      </c>
      <c r="P393" s="37">
        <v>0</v>
      </c>
      <c r="Q393" s="68">
        <v>0</v>
      </c>
      <c r="R393" s="69">
        <v>0</v>
      </c>
      <c r="S393" s="7" t="s">
        <v>115</v>
      </c>
      <c r="T393" s="257">
        <f t="shared" si="12"/>
        <v>0</v>
      </c>
      <c r="U393" s="257">
        <f t="shared" si="13"/>
        <v>0</v>
      </c>
      <c r="V393">
        <v>0</v>
      </c>
      <c r="W393">
        <v>0</v>
      </c>
    </row>
    <row r="394" spans="1:23" ht="57" x14ac:dyDescent="0.3">
      <c r="A394" s="218">
        <v>37835</v>
      </c>
      <c r="B394" s="218">
        <v>37835</v>
      </c>
      <c r="C394" s="6">
        <v>8</v>
      </c>
      <c r="D394" s="6">
        <v>1</v>
      </c>
      <c r="E394" s="19">
        <v>2003</v>
      </c>
      <c r="F394" s="7" t="s">
        <v>17</v>
      </c>
      <c r="G394" s="8" t="s">
        <v>6261</v>
      </c>
      <c r="H394" s="9" t="s">
        <v>118</v>
      </c>
      <c r="I394" s="66" t="s">
        <v>639</v>
      </c>
      <c r="J394" s="66" t="s">
        <v>640</v>
      </c>
      <c r="K394" s="67">
        <v>0</v>
      </c>
      <c r="L394" s="240">
        <v>2</v>
      </c>
      <c r="M394" s="68">
        <v>1</v>
      </c>
      <c r="N394" s="68">
        <v>0</v>
      </c>
      <c r="O394" s="37">
        <v>0</v>
      </c>
      <c r="P394" s="37">
        <v>0</v>
      </c>
      <c r="Q394" s="68">
        <v>0</v>
      </c>
      <c r="R394" s="69">
        <v>2.8199999999999999E-2</v>
      </c>
      <c r="S394" s="7" t="s">
        <v>115</v>
      </c>
      <c r="T394" s="257">
        <f t="shared" si="12"/>
        <v>2</v>
      </c>
      <c r="U394" s="257">
        <f t="shared" si="13"/>
        <v>1</v>
      </c>
      <c r="V394">
        <v>1</v>
      </c>
      <c r="W394">
        <v>1</v>
      </c>
    </row>
    <row r="395" spans="1:23" ht="45.6" x14ac:dyDescent="0.3">
      <c r="A395" s="218">
        <v>37857</v>
      </c>
      <c r="B395" s="218">
        <v>37857</v>
      </c>
      <c r="C395" s="6">
        <v>8</v>
      </c>
      <c r="D395" s="6">
        <v>1</v>
      </c>
      <c r="E395" s="19">
        <v>2003</v>
      </c>
      <c r="F395" s="7" t="s">
        <v>17</v>
      </c>
      <c r="G395" s="8" t="s">
        <v>6261</v>
      </c>
      <c r="H395" s="9" t="s">
        <v>118</v>
      </c>
      <c r="I395" s="66" t="s">
        <v>641</v>
      </c>
      <c r="J395" s="66" t="s">
        <v>642</v>
      </c>
      <c r="K395" s="67">
        <v>2</v>
      </c>
      <c r="L395" s="240">
        <v>4</v>
      </c>
      <c r="M395" s="68">
        <v>0</v>
      </c>
      <c r="N395" s="68">
        <v>0</v>
      </c>
      <c r="O395" s="37">
        <v>0</v>
      </c>
      <c r="P395" s="37">
        <v>0</v>
      </c>
      <c r="Q395" s="68">
        <v>0</v>
      </c>
      <c r="R395" s="69">
        <v>0</v>
      </c>
      <c r="S395" s="7" t="s">
        <v>115</v>
      </c>
      <c r="T395" s="257">
        <f t="shared" si="12"/>
        <v>6</v>
      </c>
      <c r="U395" s="257">
        <f t="shared" si="13"/>
        <v>0</v>
      </c>
      <c r="V395">
        <v>1</v>
      </c>
      <c r="W395">
        <v>0</v>
      </c>
    </row>
    <row r="396" spans="1:23" ht="34.200000000000003" x14ac:dyDescent="0.3">
      <c r="A396" s="218">
        <v>37865</v>
      </c>
      <c r="B396" s="218">
        <v>37865</v>
      </c>
      <c r="C396" s="6">
        <v>9</v>
      </c>
      <c r="D396" s="6">
        <v>1</v>
      </c>
      <c r="E396" s="19">
        <v>2003</v>
      </c>
      <c r="F396" s="7" t="s">
        <v>17</v>
      </c>
      <c r="G396" s="8" t="s">
        <v>6261</v>
      </c>
      <c r="H396" s="9" t="s">
        <v>52</v>
      </c>
      <c r="I396" s="66" t="s">
        <v>95</v>
      </c>
      <c r="J396" s="66" t="s">
        <v>643</v>
      </c>
      <c r="K396" s="67">
        <v>0</v>
      </c>
      <c r="L396" s="240">
        <v>6</v>
      </c>
      <c r="M396" s="68">
        <v>0</v>
      </c>
      <c r="N396" s="68">
        <v>0</v>
      </c>
      <c r="O396" s="37">
        <v>0</v>
      </c>
      <c r="P396" s="37">
        <v>0</v>
      </c>
      <c r="Q396" s="68">
        <v>0</v>
      </c>
      <c r="R396" s="69">
        <v>0</v>
      </c>
      <c r="S396" s="7" t="s">
        <v>115</v>
      </c>
      <c r="T396" s="257">
        <f t="shared" si="12"/>
        <v>6</v>
      </c>
      <c r="U396" s="257">
        <f t="shared" si="13"/>
        <v>0</v>
      </c>
      <c r="V396">
        <v>1</v>
      </c>
      <c r="W396">
        <v>0</v>
      </c>
    </row>
    <row r="397" spans="1:23" ht="45.6" x14ac:dyDescent="0.3">
      <c r="A397" s="218">
        <v>37878</v>
      </c>
      <c r="B397" s="218">
        <v>37878</v>
      </c>
      <c r="C397" s="6">
        <v>9</v>
      </c>
      <c r="D397" s="6">
        <v>1</v>
      </c>
      <c r="E397" s="19">
        <v>2003</v>
      </c>
      <c r="F397" s="7" t="s">
        <v>17</v>
      </c>
      <c r="G397" s="8" t="s">
        <v>6261</v>
      </c>
      <c r="H397" s="9" t="s">
        <v>43</v>
      </c>
      <c r="I397" s="66" t="s">
        <v>644</v>
      </c>
      <c r="J397" s="66" t="s">
        <v>645</v>
      </c>
      <c r="K397" s="67">
        <v>2</v>
      </c>
      <c r="L397" s="240">
        <v>5</v>
      </c>
      <c r="M397" s="68">
        <v>1</v>
      </c>
      <c r="N397" s="68">
        <v>0</v>
      </c>
      <c r="O397" s="37">
        <v>0</v>
      </c>
      <c r="P397" s="37">
        <v>0</v>
      </c>
      <c r="Q397" s="68">
        <v>0</v>
      </c>
      <c r="R397" s="69">
        <v>2.8199999999999999E-2</v>
      </c>
      <c r="S397" s="7" t="s">
        <v>115</v>
      </c>
      <c r="T397" s="257">
        <f t="shared" si="12"/>
        <v>7</v>
      </c>
      <c r="U397" s="257">
        <f t="shared" si="13"/>
        <v>1</v>
      </c>
      <c r="V397">
        <v>1</v>
      </c>
      <c r="W397">
        <v>1</v>
      </c>
    </row>
    <row r="398" spans="1:23" ht="45.6" x14ac:dyDescent="0.3">
      <c r="A398" s="218">
        <v>37893</v>
      </c>
      <c r="B398" s="218">
        <v>37893</v>
      </c>
      <c r="C398" s="6">
        <v>9</v>
      </c>
      <c r="D398" s="6">
        <v>1</v>
      </c>
      <c r="E398" s="19">
        <v>2003</v>
      </c>
      <c r="F398" s="7" t="s">
        <v>17</v>
      </c>
      <c r="G398" s="8" t="s">
        <v>6261</v>
      </c>
      <c r="H398" s="9" t="s">
        <v>43</v>
      </c>
      <c r="I398" s="66" t="s">
        <v>629</v>
      </c>
      <c r="J398" s="66" t="s">
        <v>646</v>
      </c>
      <c r="K398" s="67">
        <v>2</v>
      </c>
      <c r="L398" s="240">
        <v>2</v>
      </c>
      <c r="M398" s="68">
        <v>2</v>
      </c>
      <c r="N398" s="68">
        <v>0</v>
      </c>
      <c r="O398" s="37">
        <v>0</v>
      </c>
      <c r="P398" s="37">
        <v>0</v>
      </c>
      <c r="Q398" s="68">
        <v>0</v>
      </c>
      <c r="R398" s="69">
        <v>1.7000000000000001E-2</v>
      </c>
      <c r="S398" s="7" t="s">
        <v>115</v>
      </c>
      <c r="T398" s="257">
        <f t="shared" si="12"/>
        <v>4</v>
      </c>
      <c r="U398" s="257">
        <f t="shared" si="13"/>
        <v>2</v>
      </c>
      <c r="V398">
        <v>1</v>
      </c>
      <c r="W398">
        <v>1</v>
      </c>
    </row>
    <row r="399" spans="1:23" ht="79.8" x14ac:dyDescent="0.3">
      <c r="A399" s="212">
        <v>37996</v>
      </c>
      <c r="B399" s="212">
        <v>37996</v>
      </c>
      <c r="C399" s="6">
        <v>1</v>
      </c>
      <c r="D399" s="6">
        <v>1</v>
      </c>
      <c r="E399" s="6">
        <v>2004</v>
      </c>
      <c r="F399" s="15" t="s">
        <v>22</v>
      </c>
      <c r="G399" s="18" t="s">
        <v>6256</v>
      </c>
      <c r="H399" s="9" t="s">
        <v>31</v>
      </c>
      <c r="I399" s="17" t="s">
        <v>274</v>
      </c>
      <c r="J399" s="62" t="s">
        <v>692</v>
      </c>
      <c r="K399" s="13">
        <v>2</v>
      </c>
      <c r="L399" s="233">
        <v>975</v>
      </c>
      <c r="M399" s="13">
        <v>195</v>
      </c>
      <c r="N399" s="13">
        <v>0</v>
      </c>
      <c r="O399" s="13">
        <v>0</v>
      </c>
      <c r="P399" s="13">
        <v>0</v>
      </c>
      <c r="Q399" s="13">
        <v>0</v>
      </c>
      <c r="R399" s="26">
        <v>1.2</v>
      </c>
      <c r="S399" s="7" t="s">
        <v>115</v>
      </c>
      <c r="T399" s="257">
        <f t="shared" si="12"/>
        <v>977</v>
      </c>
      <c r="U399" s="257">
        <f t="shared" si="13"/>
        <v>195</v>
      </c>
      <c r="V399">
        <v>1</v>
      </c>
      <c r="W399">
        <v>1</v>
      </c>
    </row>
    <row r="400" spans="1:23" ht="57" x14ac:dyDescent="0.3">
      <c r="A400" s="212">
        <v>37996</v>
      </c>
      <c r="B400" s="212">
        <v>37996</v>
      </c>
      <c r="C400" s="6">
        <v>1</v>
      </c>
      <c r="D400" s="6">
        <v>1</v>
      </c>
      <c r="E400" s="6">
        <v>2004</v>
      </c>
      <c r="F400" s="15" t="s">
        <v>22</v>
      </c>
      <c r="G400" s="18" t="s">
        <v>6256</v>
      </c>
      <c r="H400" s="9" t="s">
        <v>51</v>
      </c>
      <c r="I400" s="17" t="s">
        <v>693</v>
      </c>
      <c r="J400" s="62" t="s">
        <v>694</v>
      </c>
      <c r="K400" s="13">
        <v>0</v>
      </c>
      <c r="L400" s="233">
        <v>32</v>
      </c>
      <c r="M400" s="13">
        <v>0</v>
      </c>
      <c r="N400" s="13">
        <v>0</v>
      </c>
      <c r="O400" s="13">
        <v>0</v>
      </c>
      <c r="P400" s="13">
        <v>0</v>
      </c>
      <c r="Q400" s="13">
        <v>0</v>
      </c>
      <c r="R400" s="26">
        <v>0</v>
      </c>
      <c r="S400" s="7" t="s">
        <v>115</v>
      </c>
      <c r="T400" s="257">
        <f t="shared" si="12"/>
        <v>32</v>
      </c>
      <c r="U400" s="257">
        <f t="shared" si="13"/>
        <v>0</v>
      </c>
      <c r="V400">
        <v>1</v>
      </c>
      <c r="W400">
        <v>0</v>
      </c>
    </row>
    <row r="401" spans="1:23" ht="57" x14ac:dyDescent="0.3">
      <c r="A401" s="212">
        <v>38016</v>
      </c>
      <c r="B401" s="212">
        <v>38016</v>
      </c>
      <c r="C401" s="6">
        <v>1</v>
      </c>
      <c r="D401" s="6">
        <v>1</v>
      </c>
      <c r="E401" s="6">
        <v>2004</v>
      </c>
      <c r="F401" s="15" t="s">
        <v>22</v>
      </c>
      <c r="G401" s="18" t="s">
        <v>6256</v>
      </c>
      <c r="H401" s="9" t="s">
        <v>118</v>
      </c>
      <c r="I401" s="17" t="s">
        <v>119</v>
      </c>
      <c r="J401" s="62" t="s">
        <v>695</v>
      </c>
      <c r="K401" s="13">
        <v>0</v>
      </c>
      <c r="L401" s="233">
        <v>29</v>
      </c>
      <c r="M401" s="13">
        <v>0</v>
      </c>
      <c r="N401" s="13">
        <v>0</v>
      </c>
      <c r="O401" s="13">
        <v>0</v>
      </c>
      <c r="P401" s="13">
        <v>0</v>
      </c>
      <c r="Q401" s="13">
        <v>0</v>
      </c>
      <c r="R401" s="26">
        <v>0</v>
      </c>
      <c r="S401" s="7" t="s">
        <v>115</v>
      </c>
      <c r="T401" s="257">
        <f t="shared" si="12"/>
        <v>29</v>
      </c>
      <c r="U401" s="257">
        <f t="shared" si="13"/>
        <v>0</v>
      </c>
      <c r="V401">
        <v>1</v>
      </c>
      <c r="W401">
        <v>0</v>
      </c>
    </row>
    <row r="402" spans="1:23" ht="57" x14ac:dyDescent="0.3">
      <c r="A402" s="212">
        <v>38038</v>
      </c>
      <c r="B402" s="212">
        <v>38038</v>
      </c>
      <c r="C402" s="6">
        <v>2</v>
      </c>
      <c r="D402" s="6">
        <v>1</v>
      </c>
      <c r="E402" s="6">
        <v>2004</v>
      </c>
      <c r="F402" s="15" t="s">
        <v>22</v>
      </c>
      <c r="G402" s="18" t="s">
        <v>6256</v>
      </c>
      <c r="H402" s="9" t="s">
        <v>27</v>
      </c>
      <c r="I402" s="17" t="s">
        <v>696</v>
      </c>
      <c r="J402" s="62" t="s">
        <v>697</v>
      </c>
      <c r="K402" s="13">
        <v>1</v>
      </c>
      <c r="L402" s="233">
        <v>301</v>
      </c>
      <c r="M402" s="13">
        <v>0</v>
      </c>
      <c r="N402" s="13">
        <v>0</v>
      </c>
      <c r="O402" s="13">
        <v>0</v>
      </c>
      <c r="P402" s="13">
        <v>0</v>
      </c>
      <c r="Q402" s="13">
        <v>0</v>
      </c>
      <c r="R402" s="26">
        <v>0</v>
      </c>
      <c r="S402" s="7" t="s">
        <v>115</v>
      </c>
      <c r="T402" s="257">
        <f t="shared" si="12"/>
        <v>302</v>
      </c>
      <c r="U402" s="257">
        <f t="shared" si="13"/>
        <v>0</v>
      </c>
      <c r="V402">
        <v>1</v>
      </c>
      <c r="W402">
        <v>0</v>
      </c>
    </row>
    <row r="403" spans="1:23" ht="45.6" x14ac:dyDescent="0.3">
      <c r="A403" s="212">
        <v>38070</v>
      </c>
      <c r="B403" s="212">
        <v>38070</v>
      </c>
      <c r="C403" s="6">
        <v>3</v>
      </c>
      <c r="D403" s="6">
        <v>1</v>
      </c>
      <c r="E403" s="6">
        <v>2004</v>
      </c>
      <c r="F403" s="15" t="s">
        <v>22</v>
      </c>
      <c r="G403" s="18" t="s">
        <v>6256</v>
      </c>
      <c r="H403" s="9" t="s">
        <v>70</v>
      </c>
      <c r="I403" s="17" t="s">
        <v>698</v>
      </c>
      <c r="J403" s="62" t="s">
        <v>699</v>
      </c>
      <c r="K403" s="13">
        <v>0</v>
      </c>
      <c r="L403" s="233">
        <v>50</v>
      </c>
      <c r="M403" s="13">
        <v>10</v>
      </c>
      <c r="N403" s="13">
        <v>0</v>
      </c>
      <c r="O403" s="13">
        <v>0</v>
      </c>
      <c r="P403" s="13">
        <v>0</v>
      </c>
      <c r="Q403" s="13">
        <v>0</v>
      </c>
      <c r="R403" s="26">
        <v>0.04</v>
      </c>
      <c r="S403" s="7" t="s">
        <v>115</v>
      </c>
      <c r="T403" s="257">
        <f t="shared" si="12"/>
        <v>50</v>
      </c>
      <c r="U403" s="257">
        <f t="shared" si="13"/>
        <v>10</v>
      </c>
      <c r="V403">
        <v>1</v>
      </c>
      <c r="W403">
        <v>1</v>
      </c>
    </row>
    <row r="404" spans="1:23" ht="34.200000000000003" x14ac:dyDescent="0.3">
      <c r="A404" s="212">
        <v>38075</v>
      </c>
      <c r="B404" s="212">
        <v>38075</v>
      </c>
      <c r="C404" s="6">
        <v>3</v>
      </c>
      <c r="D404" s="6">
        <v>1</v>
      </c>
      <c r="E404" s="6">
        <v>2004</v>
      </c>
      <c r="F404" s="15" t="s">
        <v>22</v>
      </c>
      <c r="G404" s="18" t="s">
        <v>6256</v>
      </c>
      <c r="H404" s="9" t="s">
        <v>61</v>
      </c>
      <c r="I404" s="17" t="s">
        <v>700</v>
      </c>
      <c r="J404" s="62" t="s">
        <v>701</v>
      </c>
      <c r="K404" s="13">
        <v>2</v>
      </c>
      <c r="L404" s="233">
        <v>2</v>
      </c>
      <c r="M404" s="13">
        <v>0</v>
      </c>
      <c r="N404" s="13">
        <v>0</v>
      </c>
      <c r="O404" s="13">
        <v>0</v>
      </c>
      <c r="P404" s="13">
        <v>0</v>
      </c>
      <c r="Q404" s="13">
        <v>0</v>
      </c>
      <c r="R404" s="26">
        <v>0</v>
      </c>
      <c r="S404" s="7" t="s">
        <v>115</v>
      </c>
      <c r="T404" s="257">
        <f t="shared" si="12"/>
        <v>4</v>
      </c>
      <c r="U404" s="257">
        <f t="shared" si="13"/>
        <v>0</v>
      </c>
      <c r="V404">
        <v>1</v>
      </c>
      <c r="W404">
        <v>0</v>
      </c>
    </row>
    <row r="405" spans="1:23" ht="45.6" x14ac:dyDescent="0.3">
      <c r="A405" s="212">
        <v>38079</v>
      </c>
      <c r="B405" s="212">
        <v>38079</v>
      </c>
      <c r="C405" s="6">
        <v>4</v>
      </c>
      <c r="D405" s="6">
        <v>1</v>
      </c>
      <c r="E405" s="6">
        <v>2004</v>
      </c>
      <c r="F405" s="15" t="s">
        <v>22</v>
      </c>
      <c r="G405" s="18" t="s">
        <v>6256</v>
      </c>
      <c r="H405" s="9" t="s">
        <v>124</v>
      </c>
      <c r="I405" s="17" t="s">
        <v>95</v>
      </c>
      <c r="J405" s="62" t="s">
        <v>702</v>
      </c>
      <c r="K405" s="13">
        <v>0</v>
      </c>
      <c r="L405" s="233">
        <v>30</v>
      </c>
      <c r="M405" s="13">
        <v>6</v>
      </c>
      <c r="N405" s="13">
        <v>0</v>
      </c>
      <c r="O405" s="13">
        <v>0</v>
      </c>
      <c r="P405" s="13">
        <v>0</v>
      </c>
      <c r="Q405" s="13">
        <v>0</v>
      </c>
      <c r="R405" s="26">
        <v>0.06</v>
      </c>
      <c r="S405" s="7" t="s">
        <v>115</v>
      </c>
      <c r="T405" s="257">
        <f t="shared" si="12"/>
        <v>30</v>
      </c>
      <c r="U405" s="257">
        <f t="shared" si="13"/>
        <v>6</v>
      </c>
      <c r="V405">
        <v>1</v>
      </c>
      <c r="W405">
        <v>1</v>
      </c>
    </row>
    <row r="406" spans="1:23" ht="102.6" x14ac:dyDescent="0.3">
      <c r="A406" s="212">
        <v>38079</v>
      </c>
      <c r="B406" s="212">
        <v>38079</v>
      </c>
      <c r="C406" s="6">
        <v>4</v>
      </c>
      <c r="D406" s="6">
        <v>1</v>
      </c>
      <c r="E406" s="6">
        <v>2004</v>
      </c>
      <c r="F406" s="15" t="s">
        <v>22</v>
      </c>
      <c r="G406" s="18" t="s">
        <v>6256</v>
      </c>
      <c r="H406" s="9" t="s">
        <v>78</v>
      </c>
      <c r="I406" s="17" t="s">
        <v>703</v>
      </c>
      <c r="J406" s="62" t="s">
        <v>704</v>
      </c>
      <c r="K406" s="13">
        <v>0</v>
      </c>
      <c r="L406" s="233">
        <v>275</v>
      </c>
      <c r="M406" s="13">
        <v>55</v>
      </c>
      <c r="N406" s="13">
        <v>0</v>
      </c>
      <c r="O406" s="13">
        <v>0</v>
      </c>
      <c r="P406" s="13">
        <v>0</v>
      </c>
      <c r="Q406" s="13">
        <v>0</v>
      </c>
      <c r="R406" s="26">
        <v>0.22</v>
      </c>
      <c r="S406" s="7" t="s">
        <v>115</v>
      </c>
      <c r="T406" s="257">
        <f t="shared" si="12"/>
        <v>275</v>
      </c>
      <c r="U406" s="257">
        <f t="shared" si="13"/>
        <v>55</v>
      </c>
      <c r="V406">
        <v>1</v>
      </c>
      <c r="W406">
        <v>1</v>
      </c>
    </row>
    <row r="407" spans="1:23" ht="34.200000000000003" x14ac:dyDescent="0.3">
      <c r="A407" s="212">
        <v>38080</v>
      </c>
      <c r="B407" s="212">
        <v>38080</v>
      </c>
      <c r="C407" s="6">
        <v>4</v>
      </c>
      <c r="D407" s="6">
        <v>1</v>
      </c>
      <c r="E407" s="6">
        <v>2004</v>
      </c>
      <c r="F407" s="15" t="s">
        <v>22</v>
      </c>
      <c r="G407" s="18" t="s">
        <v>6256</v>
      </c>
      <c r="H407" s="9" t="s">
        <v>61</v>
      </c>
      <c r="I407" s="17" t="s">
        <v>95</v>
      </c>
      <c r="J407" s="62" t="s">
        <v>705</v>
      </c>
      <c r="K407" s="13">
        <v>0</v>
      </c>
      <c r="L407" s="233">
        <v>485</v>
      </c>
      <c r="M407" s="13">
        <v>97</v>
      </c>
      <c r="N407" s="13">
        <v>0</v>
      </c>
      <c r="O407" s="13">
        <v>0</v>
      </c>
      <c r="P407" s="13">
        <v>0</v>
      </c>
      <c r="Q407" s="13">
        <v>0</v>
      </c>
      <c r="R407" s="26">
        <v>0.39</v>
      </c>
      <c r="S407" s="7" t="s">
        <v>115</v>
      </c>
      <c r="T407" s="257">
        <f t="shared" si="12"/>
        <v>485</v>
      </c>
      <c r="U407" s="257">
        <f t="shared" si="13"/>
        <v>97</v>
      </c>
      <c r="V407">
        <v>1</v>
      </c>
      <c r="W407">
        <v>1</v>
      </c>
    </row>
    <row r="408" spans="1:23" ht="91.2" x14ac:dyDescent="0.3">
      <c r="A408" s="212">
        <v>38081</v>
      </c>
      <c r="B408" s="212">
        <v>38081</v>
      </c>
      <c r="C408" s="6">
        <v>4</v>
      </c>
      <c r="D408" s="6">
        <v>1</v>
      </c>
      <c r="E408" s="6">
        <v>2004</v>
      </c>
      <c r="F408" s="15" t="s">
        <v>22</v>
      </c>
      <c r="G408" s="18" t="s">
        <v>6256</v>
      </c>
      <c r="H408" s="9" t="s">
        <v>37</v>
      </c>
      <c r="I408" s="17" t="s">
        <v>706</v>
      </c>
      <c r="J408" s="62" t="s">
        <v>707</v>
      </c>
      <c r="K408" s="13">
        <v>38</v>
      </c>
      <c r="L408" s="233">
        <v>6692</v>
      </c>
      <c r="M408" s="13">
        <v>1673</v>
      </c>
      <c r="N408" s="13">
        <v>20</v>
      </c>
      <c r="O408" s="13">
        <v>1</v>
      </c>
      <c r="P408" s="13">
        <v>31</v>
      </c>
      <c r="Q408" s="13">
        <v>129</v>
      </c>
      <c r="R408" s="26">
        <v>156.38</v>
      </c>
      <c r="S408" s="7" t="s">
        <v>21</v>
      </c>
      <c r="T408" s="257">
        <f t="shared" si="12"/>
        <v>6730</v>
      </c>
      <c r="U408" s="257">
        <f t="shared" si="13"/>
        <v>1725</v>
      </c>
      <c r="V408">
        <v>1</v>
      </c>
      <c r="W408">
        <v>2</v>
      </c>
    </row>
    <row r="409" spans="1:23" ht="79.8" x14ac:dyDescent="0.3">
      <c r="A409" s="212">
        <v>38081</v>
      </c>
      <c r="B409" s="212">
        <v>38081</v>
      </c>
      <c r="C409" s="6">
        <v>4</v>
      </c>
      <c r="D409" s="6">
        <v>1</v>
      </c>
      <c r="E409" s="6">
        <v>2004</v>
      </c>
      <c r="F409" s="15" t="s">
        <v>22</v>
      </c>
      <c r="G409" s="18" t="s">
        <v>6256</v>
      </c>
      <c r="H409" s="9" t="s">
        <v>57</v>
      </c>
      <c r="I409" s="17" t="s">
        <v>708</v>
      </c>
      <c r="J409" s="62" t="s">
        <v>709</v>
      </c>
      <c r="K409" s="13">
        <v>0</v>
      </c>
      <c r="L409" s="233">
        <v>600</v>
      </c>
      <c r="M409" s="13">
        <v>120</v>
      </c>
      <c r="N409" s="13">
        <v>0</v>
      </c>
      <c r="O409" s="13">
        <v>0</v>
      </c>
      <c r="P409" s="13">
        <v>0</v>
      </c>
      <c r="Q409" s="13">
        <v>0</v>
      </c>
      <c r="R409" s="26">
        <v>4.5199999999999996</v>
      </c>
      <c r="S409" s="7" t="s">
        <v>115</v>
      </c>
      <c r="T409" s="257">
        <f t="shared" si="12"/>
        <v>600</v>
      </c>
      <c r="U409" s="257">
        <f t="shared" si="13"/>
        <v>120</v>
      </c>
      <c r="V409">
        <v>1</v>
      </c>
      <c r="W409">
        <v>1</v>
      </c>
    </row>
    <row r="410" spans="1:23" ht="34.200000000000003" x14ac:dyDescent="0.3">
      <c r="A410" s="212">
        <v>38084</v>
      </c>
      <c r="B410" s="212">
        <v>38084</v>
      </c>
      <c r="C410" s="6">
        <v>4</v>
      </c>
      <c r="D410" s="6">
        <v>1</v>
      </c>
      <c r="E410" s="6">
        <v>2004</v>
      </c>
      <c r="F410" s="15" t="s">
        <v>22</v>
      </c>
      <c r="G410" s="18" t="s">
        <v>6256</v>
      </c>
      <c r="H410" s="9" t="s">
        <v>78</v>
      </c>
      <c r="I410" s="17" t="s">
        <v>219</v>
      </c>
      <c r="J410" s="62" t="s">
        <v>710</v>
      </c>
      <c r="K410" s="13">
        <v>2</v>
      </c>
      <c r="L410" s="233">
        <v>2</v>
      </c>
      <c r="M410" s="13">
        <v>0</v>
      </c>
      <c r="N410" s="13">
        <v>0</v>
      </c>
      <c r="O410" s="13">
        <v>0</v>
      </c>
      <c r="P410" s="13">
        <v>0</v>
      </c>
      <c r="Q410" s="13">
        <v>0</v>
      </c>
      <c r="R410" s="26">
        <v>0</v>
      </c>
      <c r="S410" s="7" t="s">
        <v>115</v>
      </c>
      <c r="T410" s="257">
        <f t="shared" si="12"/>
        <v>4</v>
      </c>
      <c r="U410" s="257">
        <f t="shared" si="13"/>
        <v>0</v>
      </c>
      <c r="V410">
        <v>1</v>
      </c>
      <c r="W410">
        <v>0</v>
      </c>
    </row>
    <row r="411" spans="1:23" ht="68.400000000000006" x14ac:dyDescent="0.3">
      <c r="A411" s="212">
        <v>38084</v>
      </c>
      <c r="B411" s="212">
        <v>38084</v>
      </c>
      <c r="C411" s="6">
        <v>4</v>
      </c>
      <c r="D411" s="6">
        <v>1</v>
      </c>
      <c r="E411" s="6">
        <v>2004</v>
      </c>
      <c r="F411" s="15" t="s">
        <v>22</v>
      </c>
      <c r="G411" s="18" t="s">
        <v>6256</v>
      </c>
      <c r="H411" s="9" t="s">
        <v>174</v>
      </c>
      <c r="I411" s="17" t="s">
        <v>711</v>
      </c>
      <c r="J411" s="62" t="s">
        <v>712</v>
      </c>
      <c r="K411" s="13">
        <v>0</v>
      </c>
      <c r="L411" s="233">
        <v>4000</v>
      </c>
      <c r="M411" s="13">
        <v>800</v>
      </c>
      <c r="N411" s="13">
        <v>0</v>
      </c>
      <c r="O411" s="13">
        <v>0</v>
      </c>
      <c r="P411" s="13">
        <v>0</v>
      </c>
      <c r="Q411" s="13"/>
      <c r="R411" s="26">
        <v>8.08</v>
      </c>
      <c r="S411" s="7" t="s">
        <v>115</v>
      </c>
      <c r="T411" s="257">
        <f t="shared" si="12"/>
        <v>4000</v>
      </c>
      <c r="U411" s="257">
        <f t="shared" si="13"/>
        <v>800</v>
      </c>
      <c r="V411">
        <v>1</v>
      </c>
      <c r="W411">
        <v>1</v>
      </c>
    </row>
    <row r="412" spans="1:23" ht="34.200000000000003" x14ac:dyDescent="0.3">
      <c r="A412" s="212">
        <v>38085</v>
      </c>
      <c r="B412" s="212">
        <v>38086</v>
      </c>
      <c r="C412" s="6">
        <v>4</v>
      </c>
      <c r="D412" s="6">
        <v>2</v>
      </c>
      <c r="E412" s="6">
        <v>2004</v>
      </c>
      <c r="F412" s="15" t="s">
        <v>22</v>
      </c>
      <c r="G412" s="18" t="s">
        <v>6256</v>
      </c>
      <c r="H412" s="9" t="s">
        <v>124</v>
      </c>
      <c r="I412" s="17" t="s">
        <v>713</v>
      </c>
      <c r="J412" s="62" t="s">
        <v>714</v>
      </c>
      <c r="K412" s="13">
        <v>0</v>
      </c>
      <c r="L412" s="233">
        <v>350</v>
      </c>
      <c r="M412" s="13">
        <v>70</v>
      </c>
      <c r="N412" s="13">
        <v>0</v>
      </c>
      <c r="O412" s="13">
        <v>0</v>
      </c>
      <c r="P412" s="13">
        <v>0</v>
      </c>
      <c r="Q412" s="13">
        <v>0</v>
      </c>
      <c r="R412" s="26">
        <v>0.28000000000000003</v>
      </c>
      <c r="S412" s="7" t="s">
        <v>115</v>
      </c>
      <c r="T412" s="257">
        <f t="shared" si="12"/>
        <v>350</v>
      </c>
      <c r="U412" s="257">
        <f t="shared" si="13"/>
        <v>70</v>
      </c>
      <c r="V412">
        <v>1</v>
      </c>
      <c r="W412">
        <v>1</v>
      </c>
    </row>
    <row r="413" spans="1:23" ht="102.6" x14ac:dyDescent="0.3">
      <c r="A413" s="212">
        <v>38099</v>
      </c>
      <c r="B413" s="212">
        <v>38100</v>
      </c>
      <c r="C413" s="6">
        <v>4</v>
      </c>
      <c r="D413" s="6">
        <v>2</v>
      </c>
      <c r="E413" s="6">
        <v>2004</v>
      </c>
      <c r="F413" s="15" t="s">
        <v>22</v>
      </c>
      <c r="G413" s="18" t="s">
        <v>6256</v>
      </c>
      <c r="H413" s="9" t="s">
        <v>174</v>
      </c>
      <c r="I413" s="17" t="s">
        <v>715</v>
      </c>
      <c r="J413" s="62" t="s">
        <v>716</v>
      </c>
      <c r="K413" s="13">
        <v>0</v>
      </c>
      <c r="L413" s="233">
        <v>15530</v>
      </c>
      <c r="M413" s="13">
        <v>3106</v>
      </c>
      <c r="N413" s="13">
        <v>0</v>
      </c>
      <c r="O413" s="13">
        <v>0</v>
      </c>
      <c r="P413" s="13">
        <v>0</v>
      </c>
      <c r="Q413" s="13">
        <v>0</v>
      </c>
      <c r="R413" s="26">
        <v>12.62</v>
      </c>
      <c r="S413" s="7" t="s">
        <v>115</v>
      </c>
      <c r="T413" s="257">
        <f t="shared" si="12"/>
        <v>15530</v>
      </c>
      <c r="U413" s="257">
        <f t="shared" si="13"/>
        <v>3106</v>
      </c>
      <c r="V413">
        <v>2</v>
      </c>
      <c r="W413">
        <v>2</v>
      </c>
    </row>
    <row r="414" spans="1:23" ht="45.6" x14ac:dyDescent="0.3">
      <c r="A414" s="212">
        <v>38101</v>
      </c>
      <c r="B414" s="212">
        <v>38102</v>
      </c>
      <c r="C414" s="6">
        <v>4</v>
      </c>
      <c r="D414" s="6">
        <v>2</v>
      </c>
      <c r="E414" s="6">
        <v>2004</v>
      </c>
      <c r="F414" s="15" t="s">
        <v>22</v>
      </c>
      <c r="G414" s="18" t="s">
        <v>6256</v>
      </c>
      <c r="H414" s="9" t="s">
        <v>78</v>
      </c>
      <c r="I414" s="17" t="s">
        <v>717</v>
      </c>
      <c r="J414" s="62" t="s">
        <v>718</v>
      </c>
      <c r="K414" s="13">
        <v>0</v>
      </c>
      <c r="L414" s="233">
        <v>1587</v>
      </c>
      <c r="M414" s="13">
        <v>0</v>
      </c>
      <c r="N414" s="13">
        <v>0</v>
      </c>
      <c r="O414" s="13">
        <v>0</v>
      </c>
      <c r="P414" s="13">
        <v>0</v>
      </c>
      <c r="Q414" s="13">
        <v>0</v>
      </c>
      <c r="R414" s="26">
        <v>0</v>
      </c>
      <c r="S414" s="7" t="s">
        <v>115</v>
      </c>
      <c r="T414" s="257">
        <f t="shared" si="12"/>
        <v>1587</v>
      </c>
      <c r="U414" s="257">
        <f t="shared" si="13"/>
        <v>0</v>
      </c>
      <c r="V414">
        <v>1</v>
      </c>
      <c r="W414">
        <v>0</v>
      </c>
    </row>
    <row r="415" spans="1:23" ht="34.200000000000003" x14ac:dyDescent="0.3">
      <c r="A415" s="212">
        <v>38103</v>
      </c>
      <c r="B415" s="212">
        <v>38103</v>
      </c>
      <c r="C415" s="6">
        <v>4</v>
      </c>
      <c r="D415" s="6">
        <v>1</v>
      </c>
      <c r="E415" s="6">
        <v>2004</v>
      </c>
      <c r="F415" s="15" t="s">
        <v>22</v>
      </c>
      <c r="G415" s="18" t="s">
        <v>6256</v>
      </c>
      <c r="H415" s="9" t="s">
        <v>31</v>
      </c>
      <c r="I415" s="17" t="s">
        <v>719</v>
      </c>
      <c r="J415" s="62" t="s">
        <v>720</v>
      </c>
      <c r="K415" s="13">
        <v>0</v>
      </c>
      <c r="L415" s="233">
        <v>245</v>
      </c>
      <c r="M415" s="13">
        <v>49</v>
      </c>
      <c r="N415" s="13">
        <v>0</v>
      </c>
      <c r="O415" s="13">
        <v>0</v>
      </c>
      <c r="P415" s="13">
        <v>0</v>
      </c>
      <c r="Q415" s="13">
        <v>0</v>
      </c>
      <c r="R415" s="26">
        <v>0.19</v>
      </c>
      <c r="S415" s="7" t="s">
        <v>115</v>
      </c>
      <c r="T415" s="257">
        <f t="shared" si="12"/>
        <v>245</v>
      </c>
      <c r="U415" s="257">
        <f t="shared" si="13"/>
        <v>49</v>
      </c>
      <c r="V415">
        <v>1</v>
      </c>
      <c r="W415">
        <v>1</v>
      </c>
    </row>
    <row r="416" spans="1:23" ht="57" x14ac:dyDescent="0.3">
      <c r="A416" s="212">
        <v>38103</v>
      </c>
      <c r="B416" s="212">
        <v>38103</v>
      </c>
      <c r="C416" s="6">
        <v>4</v>
      </c>
      <c r="D416" s="6">
        <v>1</v>
      </c>
      <c r="E416" s="6">
        <v>2004</v>
      </c>
      <c r="F416" s="15" t="s">
        <v>22</v>
      </c>
      <c r="G416" s="18" t="s">
        <v>6256</v>
      </c>
      <c r="H416" s="9" t="s">
        <v>43</v>
      </c>
      <c r="I416" s="17" t="s">
        <v>721</v>
      </c>
      <c r="J416" s="62" t="s">
        <v>722</v>
      </c>
      <c r="K416" s="13">
        <v>0</v>
      </c>
      <c r="L416" s="233">
        <v>250</v>
      </c>
      <c r="M416" s="13">
        <v>50</v>
      </c>
      <c r="N416" s="13">
        <v>0</v>
      </c>
      <c r="O416" s="13">
        <v>0</v>
      </c>
      <c r="P416" s="13">
        <v>0</v>
      </c>
      <c r="Q416" s="13">
        <v>0</v>
      </c>
      <c r="R416" s="26">
        <v>0.2</v>
      </c>
      <c r="S416" s="7" t="s">
        <v>115</v>
      </c>
      <c r="T416" s="257">
        <f t="shared" si="12"/>
        <v>250</v>
      </c>
      <c r="U416" s="257">
        <f t="shared" si="13"/>
        <v>50</v>
      </c>
      <c r="V416">
        <v>1</v>
      </c>
      <c r="W416">
        <v>1</v>
      </c>
    </row>
    <row r="417" spans="1:23" ht="57" x14ac:dyDescent="0.3">
      <c r="A417" s="212">
        <v>38103</v>
      </c>
      <c r="B417" s="212">
        <v>38103</v>
      </c>
      <c r="C417" s="6">
        <v>4</v>
      </c>
      <c r="D417" s="6">
        <v>1</v>
      </c>
      <c r="E417" s="6">
        <v>2004</v>
      </c>
      <c r="F417" s="15" t="s">
        <v>22</v>
      </c>
      <c r="G417" s="18" t="s">
        <v>6256</v>
      </c>
      <c r="H417" s="9" t="s">
        <v>121</v>
      </c>
      <c r="I417" s="17" t="s">
        <v>723</v>
      </c>
      <c r="J417" s="62" t="s">
        <v>724</v>
      </c>
      <c r="K417" s="13">
        <v>0</v>
      </c>
      <c r="L417" s="233">
        <v>110</v>
      </c>
      <c r="M417" s="13">
        <v>4</v>
      </c>
      <c r="N417" s="13">
        <v>0</v>
      </c>
      <c r="O417" s="13">
        <v>0</v>
      </c>
      <c r="P417" s="13">
        <v>0</v>
      </c>
      <c r="Q417" s="13">
        <v>0</v>
      </c>
      <c r="R417" s="26">
        <v>0.46</v>
      </c>
      <c r="S417" s="7" t="s">
        <v>115</v>
      </c>
      <c r="T417" s="257">
        <f t="shared" si="12"/>
        <v>110</v>
      </c>
      <c r="U417" s="257">
        <f t="shared" si="13"/>
        <v>4</v>
      </c>
      <c r="V417">
        <v>1</v>
      </c>
      <c r="W417">
        <v>1</v>
      </c>
    </row>
    <row r="418" spans="1:23" ht="45.6" x14ac:dyDescent="0.3">
      <c r="A418" s="212">
        <v>38104</v>
      </c>
      <c r="B418" s="212">
        <v>38104</v>
      </c>
      <c r="C418" s="6">
        <v>4</v>
      </c>
      <c r="D418" s="6">
        <v>1</v>
      </c>
      <c r="E418" s="6">
        <v>2004</v>
      </c>
      <c r="F418" s="15" t="s">
        <v>22</v>
      </c>
      <c r="G418" s="18" t="s">
        <v>6256</v>
      </c>
      <c r="H418" s="9" t="s">
        <v>70</v>
      </c>
      <c r="I418" s="17" t="s">
        <v>725</v>
      </c>
      <c r="J418" s="62" t="s">
        <v>726</v>
      </c>
      <c r="K418" s="13">
        <v>0</v>
      </c>
      <c r="L418" s="233">
        <v>0</v>
      </c>
      <c r="M418" s="13">
        <v>0</v>
      </c>
      <c r="N418" s="13">
        <v>0</v>
      </c>
      <c r="O418" s="13">
        <v>0</v>
      </c>
      <c r="P418" s="13">
        <v>0</v>
      </c>
      <c r="Q418" s="13">
        <v>0</v>
      </c>
      <c r="R418" s="26">
        <v>0.7</v>
      </c>
      <c r="S418" s="7" t="s">
        <v>115</v>
      </c>
      <c r="T418" s="257">
        <f t="shared" si="12"/>
        <v>0</v>
      </c>
      <c r="U418" s="257">
        <f t="shared" si="13"/>
        <v>0</v>
      </c>
      <c r="V418">
        <v>0</v>
      </c>
      <c r="W418">
        <v>0</v>
      </c>
    </row>
    <row r="419" spans="1:23" ht="79.8" x14ac:dyDescent="0.3">
      <c r="A419" s="212">
        <v>38104</v>
      </c>
      <c r="B419" s="212">
        <v>38104</v>
      </c>
      <c r="C419" s="6">
        <v>4</v>
      </c>
      <c r="D419" s="6">
        <v>1</v>
      </c>
      <c r="E419" s="6">
        <v>2004</v>
      </c>
      <c r="F419" s="15" t="s">
        <v>22</v>
      </c>
      <c r="G419" s="18" t="s">
        <v>6256</v>
      </c>
      <c r="H419" s="9" t="s">
        <v>174</v>
      </c>
      <c r="I419" s="17" t="s">
        <v>727</v>
      </c>
      <c r="J419" s="66" t="s">
        <v>728</v>
      </c>
      <c r="K419" s="13">
        <v>0</v>
      </c>
      <c r="L419" s="233">
        <v>515</v>
      </c>
      <c r="M419" s="13">
        <v>0</v>
      </c>
      <c r="N419" s="13">
        <v>0</v>
      </c>
      <c r="O419" s="13">
        <v>0</v>
      </c>
      <c r="P419" s="13">
        <v>0</v>
      </c>
      <c r="Q419" s="13">
        <v>0</v>
      </c>
      <c r="R419" s="26">
        <v>0.05</v>
      </c>
      <c r="S419" s="7" t="s">
        <v>115</v>
      </c>
      <c r="T419" s="257">
        <f t="shared" si="12"/>
        <v>515</v>
      </c>
      <c r="U419" s="257">
        <f t="shared" si="13"/>
        <v>0</v>
      </c>
      <c r="V419">
        <v>1</v>
      </c>
      <c r="W419">
        <v>0</v>
      </c>
    </row>
    <row r="420" spans="1:23" ht="68.400000000000006" x14ac:dyDescent="0.3">
      <c r="A420" s="212">
        <v>38106</v>
      </c>
      <c r="B420" s="212">
        <v>38108</v>
      </c>
      <c r="C420" s="6">
        <v>4</v>
      </c>
      <c r="D420" s="6">
        <v>3</v>
      </c>
      <c r="E420" s="6">
        <v>2004</v>
      </c>
      <c r="F420" s="15" t="s">
        <v>22</v>
      </c>
      <c r="G420" s="18" t="s">
        <v>6256</v>
      </c>
      <c r="H420" s="9" t="s">
        <v>174</v>
      </c>
      <c r="I420" s="17" t="s">
        <v>729</v>
      </c>
      <c r="J420" s="66" t="s">
        <v>730</v>
      </c>
      <c r="K420" s="13">
        <v>0</v>
      </c>
      <c r="L420" s="233">
        <v>6250</v>
      </c>
      <c r="M420" s="13">
        <v>1250</v>
      </c>
      <c r="N420" s="13">
        <v>0</v>
      </c>
      <c r="O420" s="13">
        <v>0</v>
      </c>
      <c r="P420" s="13">
        <v>0</v>
      </c>
      <c r="Q420" s="13">
        <v>165</v>
      </c>
      <c r="R420" s="26">
        <v>5.26</v>
      </c>
      <c r="S420" s="7" t="s">
        <v>115</v>
      </c>
      <c r="T420" s="257">
        <f t="shared" si="12"/>
        <v>6250</v>
      </c>
      <c r="U420" s="257">
        <f t="shared" si="13"/>
        <v>1250</v>
      </c>
      <c r="V420">
        <v>1</v>
      </c>
      <c r="W420">
        <v>2</v>
      </c>
    </row>
    <row r="421" spans="1:23" ht="91.2" x14ac:dyDescent="0.3">
      <c r="A421" s="212">
        <v>38108</v>
      </c>
      <c r="B421" s="212">
        <v>38115</v>
      </c>
      <c r="C421" s="6">
        <v>5</v>
      </c>
      <c r="D421" s="6">
        <v>8</v>
      </c>
      <c r="E421" s="6">
        <v>2004</v>
      </c>
      <c r="F421" s="15" t="s">
        <v>22</v>
      </c>
      <c r="G421" s="18" t="s">
        <v>6256</v>
      </c>
      <c r="H421" s="9" t="s">
        <v>174</v>
      </c>
      <c r="I421" s="17" t="s">
        <v>731</v>
      </c>
      <c r="J421" s="66" t="s">
        <v>732</v>
      </c>
      <c r="K421" s="13">
        <v>0</v>
      </c>
      <c r="L421" s="233">
        <v>2200</v>
      </c>
      <c r="M421" s="13">
        <v>440</v>
      </c>
      <c r="N421" s="13">
        <v>1</v>
      </c>
      <c r="O421" s="13">
        <v>0</v>
      </c>
      <c r="P421" s="13">
        <v>0</v>
      </c>
      <c r="Q421" s="13">
        <v>80</v>
      </c>
      <c r="R421" s="26">
        <v>4.9800000000000004</v>
      </c>
      <c r="S421" s="7" t="s">
        <v>115</v>
      </c>
      <c r="T421" s="257">
        <f t="shared" si="12"/>
        <v>2200</v>
      </c>
      <c r="U421" s="257">
        <f t="shared" si="13"/>
        <v>441</v>
      </c>
      <c r="V421">
        <v>1</v>
      </c>
      <c r="W421">
        <v>1</v>
      </c>
    </row>
    <row r="422" spans="1:23" ht="102.6" x14ac:dyDescent="0.3">
      <c r="A422" s="212">
        <v>38109</v>
      </c>
      <c r="B422" s="212">
        <v>38109</v>
      </c>
      <c r="C422" s="6">
        <v>5</v>
      </c>
      <c r="D422" s="6">
        <v>1</v>
      </c>
      <c r="E422" s="6">
        <v>2004</v>
      </c>
      <c r="F422" s="15" t="s">
        <v>22</v>
      </c>
      <c r="G422" s="18" t="s">
        <v>6256</v>
      </c>
      <c r="H422" s="9" t="s">
        <v>43</v>
      </c>
      <c r="I422" s="17" t="s">
        <v>733</v>
      </c>
      <c r="J422" s="66" t="s">
        <v>734</v>
      </c>
      <c r="K422" s="13">
        <v>1</v>
      </c>
      <c r="L422" s="233">
        <v>1209</v>
      </c>
      <c r="M422" s="13">
        <v>203</v>
      </c>
      <c r="N422" s="13">
        <v>2</v>
      </c>
      <c r="O422" s="13">
        <v>0</v>
      </c>
      <c r="P422" s="13">
        <v>10</v>
      </c>
      <c r="Q422" s="13">
        <v>300</v>
      </c>
      <c r="R422" s="26">
        <v>3.32</v>
      </c>
      <c r="S422" s="7" t="s">
        <v>115</v>
      </c>
      <c r="T422" s="257">
        <f t="shared" si="12"/>
        <v>1210</v>
      </c>
      <c r="U422" s="257">
        <f t="shared" si="13"/>
        <v>215</v>
      </c>
      <c r="V422">
        <v>1</v>
      </c>
      <c r="W422">
        <v>1</v>
      </c>
    </row>
    <row r="423" spans="1:23" ht="45.6" x14ac:dyDescent="0.3">
      <c r="A423" s="212">
        <v>38110</v>
      </c>
      <c r="B423" s="212">
        <v>38110</v>
      </c>
      <c r="C423" s="6">
        <v>5</v>
      </c>
      <c r="D423" s="6">
        <v>1</v>
      </c>
      <c r="E423" s="6">
        <v>2004</v>
      </c>
      <c r="F423" s="15" t="s">
        <v>22</v>
      </c>
      <c r="G423" s="18" t="s">
        <v>6256</v>
      </c>
      <c r="H423" s="9" t="s">
        <v>31</v>
      </c>
      <c r="I423" s="17" t="s">
        <v>735</v>
      </c>
      <c r="J423" s="66" t="s">
        <v>736</v>
      </c>
      <c r="K423" s="13">
        <v>0</v>
      </c>
      <c r="L423" s="233">
        <v>335</v>
      </c>
      <c r="M423" s="13">
        <v>67</v>
      </c>
      <c r="N423" s="13">
        <v>0</v>
      </c>
      <c r="O423" s="13">
        <v>0</v>
      </c>
      <c r="P423" s="13">
        <v>0</v>
      </c>
      <c r="Q423" s="13">
        <v>0</v>
      </c>
      <c r="R423" s="26">
        <v>0.4</v>
      </c>
      <c r="S423" s="7" t="s">
        <v>115</v>
      </c>
      <c r="T423" s="257">
        <f t="shared" si="12"/>
        <v>335</v>
      </c>
      <c r="U423" s="257">
        <f t="shared" si="13"/>
        <v>67</v>
      </c>
      <c r="V423">
        <v>1</v>
      </c>
      <c r="W423">
        <v>1</v>
      </c>
    </row>
    <row r="424" spans="1:23" ht="45.6" x14ac:dyDescent="0.3">
      <c r="A424" s="212">
        <v>38112</v>
      </c>
      <c r="B424" s="212">
        <v>38112</v>
      </c>
      <c r="C424" s="6">
        <v>5</v>
      </c>
      <c r="D424" s="6">
        <v>1</v>
      </c>
      <c r="E424" s="6">
        <v>2004</v>
      </c>
      <c r="F424" s="15" t="s">
        <v>22</v>
      </c>
      <c r="G424" s="18" t="s">
        <v>6256</v>
      </c>
      <c r="H424" s="9" t="s">
        <v>52</v>
      </c>
      <c r="I424" s="17" t="s">
        <v>737</v>
      </c>
      <c r="J424" s="66" t="s">
        <v>738</v>
      </c>
      <c r="K424" s="13">
        <v>0</v>
      </c>
      <c r="L424" s="233">
        <v>140</v>
      </c>
      <c r="M424" s="13">
        <v>28</v>
      </c>
      <c r="N424" s="13">
        <v>0</v>
      </c>
      <c r="O424" s="13">
        <v>0</v>
      </c>
      <c r="P424" s="13">
        <v>0</v>
      </c>
      <c r="Q424" s="13">
        <v>0</v>
      </c>
      <c r="R424" s="26">
        <v>0.11</v>
      </c>
      <c r="S424" s="7" t="s">
        <v>115</v>
      </c>
      <c r="T424" s="257">
        <f t="shared" si="12"/>
        <v>140</v>
      </c>
      <c r="U424" s="257">
        <f t="shared" si="13"/>
        <v>28</v>
      </c>
      <c r="V424">
        <v>1</v>
      </c>
      <c r="W424">
        <v>1</v>
      </c>
    </row>
    <row r="425" spans="1:23" ht="45.6" x14ac:dyDescent="0.3">
      <c r="A425" s="212">
        <v>38113</v>
      </c>
      <c r="B425" s="212">
        <v>38113</v>
      </c>
      <c r="C425" s="6">
        <v>5</v>
      </c>
      <c r="D425" s="6">
        <v>1</v>
      </c>
      <c r="E425" s="6">
        <v>2004</v>
      </c>
      <c r="F425" s="15" t="s">
        <v>22</v>
      </c>
      <c r="G425" s="18" t="s">
        <v>6256</v>
      </c>
      <c r="H425" s="9" t="s">
        <v>64</v>
      </c>
      <c r="I425" s="17" t="s">
        <v>739</v>
      </c>
      <c r="J425" s="66" t="s">
        <v>740</v>
      </c>
      <c r="K425" s="13">
        <v>0</v>
      </c>
      <c r="L425" s="233">
        <v>14</v>
      </c>
      <c r="M425" s="13">
        <v>0</v>
      </c>
      <c r="N425" s="13">
        <v>0</v>
      </c>
      <c r="O425" s="13">
        <v>0</v>
      </c>
      <c r="P425" s="13">
        <v>0</v>
      </c>
      <c r="Q425" s="13">
        <v>0</v>
      </c>
      <c r="R425" s="26">
        <v>0</v>
      </c>
      <c r="S425" s="7" t="s">
        <v>115</v>
      </c>
      <c r="T425" s="257">
        <f t="shared" si="12"/>
        <v>14</v>
      </c>
      <c r="U425" s="257">
        <f t="shared" si="13"/>
        <v>0</v>
      </c>
      <c r="V425">
        <v>1</v>
      </c>
      <c r="W425">
        <v>0</v>
      </c>
    </row>
    <row r="426" spans="1:23" ht="45.6" x14ac:dyDescent="0.3">
      <c r="A426" s="212">
        <v>38114</v>
      </c>
      <c r="B426" s="212">
        <v>38114</v>
      </c>
      <c r="C426" s="6">
        <v>5</v>
      </c>
      <c r="D426" s="6">
        <v>1</v>
      </c>
      <c r="E426" s="6">
        <v>2004</v>
      </c>
      <c r="F426" s="15" t="s">
        <v>22</v>
      </c>
      <c r="G426" s="18" t="s">
        <v>6256</v>
      </c>
      <c r="H426" s="9" t="s">
        <v>66</v>
      </c>
      <c r="I426" s="17" t="s">
        <v>741</v>
      </c>
      <c r="J426" s="66" t="s">
        <v>742</v>
      </c>
      <c r="K426" s="13">
        <v>0</v>
      </c>
      <c r="L426" s="233">
        <v>405</v>
      </c>
      <c r="M426" s="13">
        <v>81</v>
      </c>
      <c r="N426" s="13">
        <v>0</v>
      </c>
      <c r="O426" s="13">
        <v>0</v>
      </c>
      <c r="P426" s="13">
        <v>0</v>
      </c>
      <c r="Q426" s="13">
        <v>0</v>
      </c>
      <c r="R426" s="26">
        <v>0.81</v>
      </c>
      <c r="S426" s="7" t="s">
        <v>115</v>
      </c>
      <c r="T426" s="257">
        <f t="shared" si="12"/>
        <v>405</v>
      </c>
      <c r="U426" s="257">
        <f t="shared" si="13"/>
        <v>81</v>
      </c>
      <c r="V426">
        <v>1</v>
      </c>
      <c r="W426">
        <v>1</v>
      </c>
    </row>
    <row r="427" spans="1:23" ht="68.400000000000006" x14ac:dyDescent="0.3">
      <c r="A427" s="212">
        <v>38114</v>
      </c>
      <c r="B427" s="212">
        <v>38114</v>
      </c>
      <c r="C427" s="6">
        <v>5</v>
      </c>
      <c r="D427" s="6">
        <v>1</v>
      </c>
      <c r="E427" s="6">
        <v>2004</v>
      </c>
      <c r="F427" s="15" t="s">
        <v>22</v>
      </c>
      <c r="G427" s="18" t="s">
        <v>6256</v>
      </c>
      <c r="H427" s="9" t="s">
        <v>121</v>
      </c>
      <c r="I427" s="17" t="s">
        <v>743</v>
      </c>
      <c r="J427" s="66" t="s">
        <v>744</v>
      </c>
      <c r="K427" s="13">
        <v>0</v>
      </c>
      <c r="L427" s="233">
        <v>645</v>
      </c>
      <c r="M427" s="13">
        <v>129</v>
      </c>
      <c r="N427" s="13">
        <v>0</v>
      </c>
      <c r="O427" s="13">
        <v>0</v>
      </c>
      <c r="P427" s="13">
        <v>0</v>
      </c>
      <c r="Q427" s="13">
        <v>0</v>
      </c>
      <c r="R427" s="26">
        <v>1.29</v>
      </c>
      <c r="S427" s="7" t="s">
        <v>115</v>
      </c>
      <c r="T427" s="257">
        <f t="shared" si="12"/>
        <v>645</v>
      </c>
      <c r="U427" s="257">
        <f t="shared" si="13"/>
        <v>129</v>
      </c>
      <c r="V427">
        <v>1</v>
      </c>
      <c r="W427">
        <v>1</v>
      </c>
    </row>
    <row r="428" spans="1:23" ht="34.200000000000003" x14ac:dyDescent="0.3">
      <c r="A428" s="212">
        <v>38114</v>
      </c>
      <c r="B428" s="212">
        <v>38114</v>
      </c>
      <c r="C428" s="6">
        <v>5</v>
      </c>
      <c r="D428" s="6">
        <v>1</v>
      </c>
      <c r="E428" s="6">
        <v>2004</v>
      </c>
      <c r="F428" s="15" t="s">
        <v>22</v>
      </c>
      <c r="G428" s="18" t="s">
        <v>6256</v>
      </c>
      <c r="H428" s="9" t="s">
        <v>52</v>
      </c>
      <c r="I428" s="17" t="s">
        <v>745</v>
      </c>
      <c r="J428" s="66" t="s">
        <v>746</v>
      </c>
      <c r="K428" s="13">
        <v>0</v>
      </c>
      <c r="L428" s="233">
        <v>180</v>
      </c>
      <c r="M428" s="13">
        <v>36</v>
      </c>
      <c r="N428" s="13">
        <v>0</v>
      </c>
      <c r="O428" s="13">
        <v>0</v>
      </c>
      <c r="P428" s="13">
        <v>0</v>
      </c>
      <c r="Q428" s="13">
        <v>0</v>
      </c>
      <c r="R428" s="26">
        <v>0.36</v>
      </c>
      <c r="S428" s="7" t="s">
        <v>115</v>
      </c>
      <c r="T428" s="257">
        <f t="shared" si="12"/>
        <v>180</v>
      </c>
      <c r="U428" s="257">
        <f t="shared" si="13"/>
        <v>36</v>
      </c>
      <c r="V428">
        <v>1</v>
      </c>
      <c r="W428">
        <v>1</v>
      </c>
    </row>
    <row r="429" spans="1:23" ht="57" x14ac:dyDescent="0.3">
      <c r="A429" s="212">
        <v>38114</v>
      </c>
      <c r="B429" s="212">
        <v>38116</v>
      </c>
      <c r="C429" s="6">
        <v>5</v>
      </c>
      <c r="D429" s="6">
        <v>3</v>
      </c>
      <c r="E429" s="6">
        <v>2004</v>
      </c>
      <c r="F429" s="15" t="s">
        <v>22</v>
      </c>
      <c r="G429" s="18" t="s">
        <v>6256</v>
      </c>
      <c r="H429" s="9" t="s">
        <v>46</v>
      </c>
      <c r="I429" s="17" t="s">
        <v>182</v>
      </c>
      <c r="J429" s="66" t="s">
        <v>747</v>
      </c>
      <c r="K429" s="13">
        <v>0</v>
      </c>
      <c r="L429" s="233">
        <v>51</v>
      </c>
      <c r="M429" s="13">
        <v>12</v>
      </c>
      <c r="N429" s="13">
        <v>0</v>
      </c>
      <c r="O429" s="13">
        <v>0</v>
      </c>
      <c r="P429" s="13">
        <v>0</v>
      </c>
      <c r="Q429" s="13">
        <v>0</v>
      </c>
      <c r="R429" s="26">
        <v>0.12</v>
      </c>
      <c r="S429" s="7" t="s">
        <v>115</v>
      </c>
      <c r="T429" s="257">
        <f t="shared" si="12"/>
        <v>51</v>
      </c>
      <c r="U429" s="257">
        <f t="shared" si="13"/>
        <v>12</v>
      </c>
      <c r="V429">
        <v>1</v>
      </c>
      <c r="W429">
        <v>1</v>
      </c>
    </row>
    <row r="430" spans="1:23" ht="34.200000000000003" x14ac:dyDescent="0.3">
      <c r="A430" s="212">
        <v>38118</v>
      </c>
      <c r="B430" s="212">
        <v>38118</v>
      </c>
      <c r="C430" s="6">
        <v>5</v>
      </c>
      <c r="D430" s="6">
        <v>1</v>
      </c>
      <c r="E430" s="6">
        <v>2004</v>
      </c>
      <c r="F430" s="15" t="s">
        <v>22</v>
      </c>
      <c r="G430" s="18" t="s">
        <v>6256</v>
      </c>
      <c r="H430" s="9" t="s">
        <v>121</v>
      </c>
      <c r="I430" s="17" t="s">
        <v>748</v>
      </c>
      <c r="J430" s="66" t="s">
        <v>749</v>
      </c>
      <c r="K430" s="13">
        <v>0</v>
      </c>
      <c r="L430" s="233">
        <v>30</v>
      </c>
      <c r="M430" s="13">
        <v>6</v>
      </c>
      <c r="N430" s="13">
        <v>0</v>
      </c>
      <c r="O430" s="13">
        <v>0</v>
      </c>
      <c r="P430" s="13">
        <v>0</v>
      </c>
      <c r="Q430" s="13">
        <v>0</v>
      </c>
      <c r="R430" s="26">
        <v>0.06</v>
      </c>
      <c r="S430" s="7" t="s">
        <v>115</v>
      </c>
      <c r="T430" s="257">
        <f t="shared" si="12"/>
        <v>30</v>
      </c>
      <c r="U430" s="257">
        <f t="shared" si="13"/>
        <v>6</v>
      </c>
      <c r="V430">
        <v>1</v>
      </c>
      <c r="W430">
        <v>1</v>
      </c>
    </row>
    <row r="431" spans="1:23" ht="45.6" x14ac:dyDescent="0.3">
      <c r="A431" s="212">
        <v>38120</v>
      </c>
      <c r="B431" s="212">
        <v>38120</v>
      </c>
      <c r="C431" s="6">
        <v>5</v>
      </c>
      <c r="D431" s="6">
        <v>1</v>
      </c>
      <c r="E431" s="6">
        <v>2004</v>
      </c>
      <c r="F431" s="15" t="s">
        <v>22</v>
      </c>
      <c r="G431" s="18" t="s">
        <v>6256</v>
      </c>
      <c r="H431" s="9" t="s">
        <v>121</v>
      </c>
      <c r="I431" s="17" t="s">
        <v>750</v>
      </c>
      <c r="J431" s="66" t="s">
        <v>751</v>
      </c>
      <c r="K431" s="13">
        <v>0</v>
      </c>
      <c r="L431" s="233">
        <v>500</v>
      </c>
      <c r="M431" s="13">
        <v>100</v>
      </c>
      <c r="N431" s="13">
        <v>0</v>
      </c>
      <c r="O431" s="13">
        <v>0</v>
      </c>
      <c r="P431" s="13">
        <v>0</v>
      </c>
      <c r="Q431" s="13">
        <v>0</v>
      </c>
      <c r="R431" s="26">
        <v>1</v>
      </c>
      <c r="S431" s="7" t="s">
        <v>115</v>
      </c>
      <c r="T431" s="257">
        <f t="shared" si="12"/>
        <v>500</v>
      </c>
      <c r="U431" s="257">
        <f t="shared" si="13"/>
        <v>100</v>
      </c>
      <c r="V431">
        <v>1</v>
      </c>
      <c r="W431">
        <v>1</v>
      </c>
    </row>
    <row r="432" spans="1:23" ht="45.6" x14ac:dyDescent="0.3">
      <c r="A432" s="212">
        <v>38122</v>
      </c>
      <c r="B432" s="212">
        <v>38122</v>
      </c>
      <c r="C432" s="6">
        <v>5</v>
      </c>
      <c r="D432" s="6">
        <v>1</v>
      </c>
      <c r="E432" s="6">
        <v>2004</v>
      </c>
      <c r="F432" s="15" t="s">
        <v>22</v>
      </c>
      <c r="G432" s="18" t="s">
        <v>6256</v>
      </c>
      <c r="H432" s="9" t="s">
        <v>70</v>
      </c>
      <c r="I432" s="17" t="s">
        <v>752</v>
      </c>
      <c r="J432" s="66" t="s">
        <v>753</v>
      </c>
      <c r="K432" s="13">
        <v>0</v>
      </c>
      <c r="L432" s="233">
        <v>425</v>
      </c>
      <c r="M432" s="13">
        <v>85</v>
      </c>
      <c r="N432" s="13">
        <v>0</v>
      </c>
      <c r="O432" s="13">
        <v>0</v>
      </c>
      <c r="P432" s="13">
        <v>0</v>
      </c>
      <c r="Q432" s="13">
        <v>0</v>
      </c>
      <c r="R432" s="26">
        <v>0.85</v>
      </c>
      <c r="S432" s="7" t="s">
        <v>115</v>
      </c>
      <c r="T432" s="257">
        <f t="shared" si="12"/>
        <v>425</v>
      </c>
      <c r="U432" s="257">
        <f t="shared" si="13"/>
        <v>85</v>
      </c>
      <c r="V432">
        <v>1</v>
      </c>
      <c r="W432">
        <v>1</v>
      </c>
    </row>
    <row r="433" spans="1:23" ht="57" x14ac:dyDescent="0.3">
      <c r="A433" s="212">
        <v>38123</v>
      </c>
      <c r="B433" s="212">
        <v>38123</v>
      </c>
      <c r="C433" s="6">
        <v>5</v>
      </c>
      <c r="D433" s="6">
        <v>1</v>
      </c>
      <c r="E433" s="6">
        <v>2004</v>
      </c>
      <c r="F433" s="15" t="s">
        <v>22</v>
      </c>
      <c r="G433" s="18" t="s">
        <v>6256</v>
      </c>
      <c r="H433" s="9" t="s">
        <v>31</v>
      </c>
      <c r="I433" s="17" t="s">
        <v>754</v>
      </c>
      <c r="J433" s="66" t="s">
        <v>755</v>
      </c>
      <c r="K433" s="13">
        <v>0</v>
      </c>
      <c r="L433" s="233">
        <v>5</v>
      </c>
      <c r="M433" s="13">
        <v>1</v>
      </c>
      <c r="N433" s="13">
        <v>0</v>
      </c>
      <c r="O433" s="13">
        <v>0</v>
      </c>
      <c r="P433" s="13">
        <v>0</v>
      </c>
      <c r="Q433" s="13">
        <v>0</v>
      </c>
      <c r="R433" s="26">
        <v>0.04</v>
      </c>
      <c r="S433" s="7" t="s">
        <v>115</v>
      </c>
      <c r="T433" s="257">
        <f t="shared" si="12"/>
        <v>5</v>
      </c>
      <c r="U433" s="257">
        <f t="shared" si="13"/>
        <v>1</v>
      </c>
      <c r="V433">
        <v>1</v>
      </c>
      <c r="W433">
        <v>1</v>
      </c>
    </row>
    <row r="434" spans="1:23" ht="45.6" x14ac:dyDescent="0.3">
      <c r="A434" s="212">
        <v>38124</v>
      </c>
      <c r="B434" s="212">
        <v>38124</v>
      </c>
      <c r="C434" s="6">
        <v>5</v>
      </c>
      <c r="D434" s="6">
        <v>1</v>
      </c>
      <c r="E434" s="6">
        <v>2004</v>
      </c>
      <c r="F434" s="15" t="s">
        <v>22</v>
      </c>
      <c r="G434" s="18" t="s">
        <v>6256</v>
      </c>
      <c r="H434" s="9" t="s">
        <v>46</v>
      </c>
      <c r="I434" s="17" t="s">
        <v>756</v>
      </c>
      <c r="J434" s="66" t="s">
        <v>757</v>
      </c>
      <c r="K434" s="13">
        <v>0</v>
      </c>
      <c r="L434" s="233">
        <v>40</v>
      </c>
      <c r="M434" s="13">
        <v>8</v>
      </c>
      <c r="N434" s="13">
        <v>0</v>
      </c>
      <c r="O434" s="13">
        <v>0</v>
      </c>
      <c r="P434" s="13">
        <v>0</v>
      </c>
      <c r="Q434" s="13">
        <v>0</v>
      </c>
      <c r="R434" s="26">
        <v>0.04</v>
      </c>
      <c r="S434" s="7" t="s">
        <v>115</v>
      </c>
      <c r="T434" s="257">
        <f t="shared" si="12"/>
        <v>40</v>
      </c>
      <c r="U434" s="257">
        <f t="shared" si="13"/>
        <v>8</v>
      </c>
      <c r="V434">
        <v>1</v>
      </c>
      <c r="W434">
        <v>1</v>
      </c>
    </row>
    <row r="435" spans="1:23" ht="45.6" x14ac:dyDescent="0.3">
      <c r="A435" s="212">
        <v>38125</v>
      </c>
      <c r="B435" s="212">
        <v>38125</v>
      </c>
      <c r="C435" s="6">
        <v>5</v>
      </c>
      <c r="D435" s="6">
        <v>1</v>
      </c>
      <c r="E435" s="6">
        <v>2004</v>
      </c>
      <c r="F435" s="15" t="s">
        <v>22</v>
      </c>
      <c r="G435" s="18" t="s">
        <v>6256</v>
      </c>
      <c r="H435" s="9" t="s">
        <v>70</v>
      </c>
      <c r="I435" s="17" t="s">
        <v>758</v>
      </c>
      <c r="J435" s="66" t="s">
        <v>759</v>
      </c>
      <c r="K435" s="13">
        <v>0</v>
      </c>
      <c r="L435" s="233">
        <v>15</v>
      </c>
      <c r="M435" s="13">
        <v>3</v>
      </c>
      <c r="N435" s="13">
        <v>0</v>
      </c>
      <c r="O435" s="13">
        <v>0</v>
      </c>
      <c r="P435" s="13">
        <v>0</v>
      </c>
      <c r="Q435" s="13">
        <v>400</v>
      </c>
      <c r="R435" s="26">
        <v>0.03</v>
      </c>
      <c r="S435" s="7" t="s">
        <v>115</v>
      </c>
      <c r="T435" s="257">
        <f t="shared" si="12"/>
        <v>15</v>
      </c>
      <c r="U435" s="257">
        <f t="shared" si="13"/>
        <v>3</v>
      </c>
      <c r="V435">
        <v>1</v>
      </c>
      <c r="W435">
        <v>1</v>
      </c>
    </row>
    <row r="436" spans="1:23" ht="45.6" x14ac:dyDescent="0.3">
      <c r="A436" s="212">
        <v>38127</v>
      </c>
      <c r="B436" s="212">
        <v>38127</v>
      </c>
      <c r="C436" s="6">
        <v>5</v>
      </c>
      <c r="D436" s="6">
        <v>1</v>
      </c>
      <c r="E436" s="6">
        <v>2004</v>
      </c>
      <c r="F436" s="15" t="s">
        <v>22</v>
      </c>
      <c r="G436" s="18" t="s">
        <v>6256</v>
      </c>
      <c r="H436" s="9" t="s">
        <v>43</v>
      </c>
      <c r="I436" s="17" t="s">
        <v>760</v>
      </c>
      <c r="J436" s="66" t="s">
        <v>761</v>
      </c>
      <c r="K436" s="13">
        <v>0</v>
      </c>
      <c r="L436" s="233">
        <v>300</v>
      </c>
      <c r="M436" s="13">
        <v>60</v>
      </c>
      <c r="N436" s="13">
        <v>0</v>
      </c>
      <c r="O436" s="13">
        <v>0</v>
      </c>
      <c r="P436" s="13">
        <v>0</v>
      </c>
      <c r="Q436" s="13">
        <v>0</v>
      </c>
      <c r="R436" s="26">
        <v>0.6</v>
      </c>
      <c r="S436" s="7" t="s">
        <v>115</v>
      </c>
      <c r="T436" s="257">
        <f t="shared" si="12"/>
        <v>300</v>
      </c>
      <c r="U436" s="257">
        <f t="shared" si="13"/>
        <v>60</v>
      </c>
      <c r="V436">
        <v>1</v>
      </c>
      <c r="W436">
        <v>1</v>
      </c>
    </row>
    <row r="437" spans="1:23" ht="45.6" x14ac:dyDescent="0.3">
      <c r="A437" s="212">
        <v>38131</v>
      </c>
      <c r="B437" s="212">
        <v>38131</v>
      </c>
      <c r="C437" s="6">
        <v>5</v>
      </c>
      <c r="D437" s="6">
        <v>1</v>
      </c>
      <c r="E437" s="6">
        <v>2004</v>
      </c>
      <c r="F437" s="15" t="s">
        <v>22</v>
      </c>
      <c r="G437" s="18" t="s">
        <v>6256</v>
      </c>
      <c r="H437" s="9" t="s">
        <v>43</v>
      </c>
      <c r="I437" s="17" t="s">
        <v>677</v>
      </c>
      <c r="J437" s="66" t="s">
        <v>762</v>
      </c>
      <c r="K437" s="13">
        <v>0</v>
      </c>
      <c r="L437" s="233">
        <v>125</v>
      </c>
      <c r="M437" s="13">
        <v>25</v>
      </c>
      <c r="N437" s="13">
        <v>0</v>
      </c>
      <c r="O437" s="13">
        <v>0</v>
      </c>
      <c r="P437" s="13">
        <v>0</v>
      </c>
      <c r="Q437" s="13">
        <v>0</v>
      </c>
      <c r="R437" s="26">
        <v>0.1</v>
      </c>
      <c r="S437" s="7" t="s">
        <v>115</v>
      </c>
      <c r="T437" s="257">
        <f t="shared" si="12"/>
        <v>125</v>
      </c>
      <c r="U437" s="257">
        <f t="shared" si="13"/>
        <v>25</v>
      </c>
      <c r="V437">
        <v>1</v>
      </c>
      <c r="W437">
        <v>1</v>
      </c>
    </row>
    <row r="438" spans="1:23" ht="34.200000000000003" x14ac:dyDescent="0.3">
      <c r="A438" s="212">
        <v>38134</v>
      </c>
      <c r="B438" s="212">
        <v>38134</v>
      </c>
      <c r="C438" s="6">
        <v>5</v>
      </c>
      <c r="D438" s="6">
        <v>1</v>
      </c>
      <c r="E438" s="6">
        <v>2004</v>
      </c>
      <c r="F438" s="15" t="s">
        <v>22</v>
      </c>
      <c r="G438" s="18" t="s">
        <v>6256</v>
      </c>
      <c r="H438" s="9" t="s">
        <v>55</v>
      </c>
      <c r="I438" s="17" t="s">
        <v>763</v>
      </c>
      <c r="J438" s="66" t="s">
        <v>764</v>
      </c>
      <c r="K438" s="13">
        <v>0</v>
      </c>
      <c r="L438" s="233">
        <v>60</v>
      </c>
      <c r="M438" s="13">
        <v>12</v>
      </c>
      <c r="N438" s="13">
        <v>0</v>
      </c>
      <c r="O438" s="13">
        <v>0</v>
      </c>
      <c r="P438" s="13">
        <v>0</v>
      </c>
      <c r="Q438" s="13">
        <v>0</v>
      </c>
      <c r="R438" s="26">
        <v>0.04</v>
      </c>
      <c r="S438" s="7" t="s">
        <v>115</v>
      </c>
      <c r="T438" s="257">
        <f t="shared" si="12"/>
        <v>60</v>
      </c>
      <c r="U438" s="257">
        <f t="shared" si="13"/>
        <v>12</v>
      </c>
      <c r="V438">
        <v>1</v>
      </c>
      <c r="W438">
        <v>1</v>
      </c>
    </row>
    <row r="439" spans="1:23" ht="45.6" x14ac:dyDescent="0.3">
      <c r="A439" s="212">
        <v>38135</v>
      </c>
      <c r="B439" s="212">
        <v>38135</v>
      </c>
      <c r="C439" s="6">
        <v>5</v>
      </c>
      <c r="D439" s="6">
        <v>1</v>
      </c>
      <c r="E439" s="6">
        <v>2004</v>
      </c>
      <c r="F439" s="15" t="s">
        <v>22</v>
      </c>
      <c r="G439" s="18" t="s">
        <v>6256</v>
      </c>
      <c r="H439" s="9" t="s">
        <v>46</v>
      </c>
      <c r="I439" s="17" t="s">
        <v>765</v>
      </c>
      <c r="J439" s="66" t="s">
        <v>766</v>
      </c>
      <c r="K439" s="13">
        <v>0</v>
      </c>
      <c r="L439" s="233">
        <v>35</v>
      </c>
      <c r="M439" s="13">
        <v>7</v>
      </c>
      <c r="N439" s="13">
        <v>0</v>
      </c>
      <c r="O439" s="13">
        <v>0</v>
      </c>
      <c r="P439" s="13">
        <v>0</v>
      </c>
      <c r="Q439" s="13">
        <v>0</v>
      </c>
      <c r="R439" s="26">
        <v>7.0000000000000007E-2</v>
      </c>
      <c r="S439" s="7" t="s">
        <v>115</v>
      </c>
      <c r="T439" s="257">
        <f t="shared" si="12"/>
        <v>35</v>
      </c>
      <c r="U439" s="257">
        <f t="shared" si="13"/>
        <v>7</v>
      </c>
      <c r="V439">
        <v>1</v>
      </c>
      <c r="W439">
        <v>1</v>
      </c>
    </row>
    <row r="440" spans="1:23" ht="34.200000000000003" x14ac:dyDescent="0.3">
      <c r="A440" s="212">
        <v>38137</v>
      </c>
      <c r="B440" s="212">
        <v>38137</v>
      </c>
      <c r="C440" s="6">
        <v>5</v>
      </c>
      <c r="D440" s="6">
        <v>1</v>
      </c>
      <c r="E440" s="6">
        <v>2004</v>
      </c>
      <c r="F440" s="15" t="s">
        <v>22</v>
      </c>
      <c r="G440" s="18" t="s">
        <v>6256</v>
      </c>
      <c r="H440" s="9" t="s">
        <v>121</v>
      </c>
      <c r="I440" s="17" t="s">
        <v>767</v>
      </c>
      <c r="J440" s="66" t="s">
        <v>768</v>
      </c>
      <c r="K440" s="13">
        <v>0</v>
      </c>
      <c r="L440" s="233">
        <v>200</v>
      </c>
      <c r="M440" s="13">
        <v>40</v>
      </c>
      <c r="N440" s="13">
        <v>0</v>
      </c>
      <c r="O440" s="13">
        <v>0</v>
      </c>
      <c r="P440" s="13">
        <v>0</v>
      </c>
      <c r="Q440" s="13">
        <v>0</v>
      </c>
      <c r="R440" s="26">
        <v>0.16</v>
      </c>
      <c r="S440" s="7" t="s">
        <v>115</v>
      </c>
      <c r="T440" s="257">
        <f t="shared" si="12"/>
        <v>200</v>
      </c>
      <c r="U440" s="257">
        <f t="shared" si="13"/>
        <v>40</v>
      </c>
      <c r="V440">
        <v>1</v>
      </c>
      <c r="W440">
        <v>1</v>
      </c>
    </row>
    <row r="441" spans="1:23" ht="22.8" x14ac:dyDescent="0.3">
      <c r="A441" s="211">
        <v>41228</v>
      </c>
      <c r="B441" s="211">
        <v>41228</v>
      </c>
      <c r="C441" s="6">
        <v>11</v>
      </c>
      <c r="D441" s="6">
        <v>1</v>
      </c>
      <c r="E441" s="19">
        <v>2012</v>
      </c>
      <c r="F441" s="7" t="s">
        <v>17</v>
      </c>
      <c r="G441" s="16" t="s">
        <v>6260</v>
      </c>
      <c r="H441" s="9" t="s">
        <v>48</v>
      </c>
      <c r="I441" s="20" t="s">
        <v>769</v>
      </c>
      <c r="J441" s="21" t="s">
        <v>770</v>
      </c>
      <c r="K441" s="43">
        <v>0</v>
      </c>
      <c r="L441" s="234">
        <v>350</v>
      </c>
      <c r="M441" s="23">
        <v>31</v>
      </c>
      <c r="N441" s="23">
        <v>25</v>
      </c>
      <c r="O441" s="23">
        <v>4</v>
      </c>
      <c r="P441" s="23">
        <v>0</v>
      </c>
      <c r="Q441" s="23">
        <v>0</v>
      </c>
      <c r="R441" s="24">
        <v>54.896999999999998</v>
      </c>
      <c r="S441" s="6" t="s">
        <v>149</v>
      </c>
      <c r="T441" s="257">
        <f t="shared" si="12"/>
        <v>350</v>
      </c>
      <c r="U441" s="257">
        <f t="shared" si="13"/>
        <v>60</v>
      </c>
      <c r="V441">
        <v>1</v>
      </c>
      <c r="W441">
        <v>1</v>
      </c>
    </row>
    <row r="442" spans="1:23" ht="45.6" x14ac:dyDescent="0.3">
      <c r="A442" s="212">
        <v>38140</v>
      </c>
      <c r="B442" s="212">
        <v>38140</v>
      </c>
      <c r="C442" s="6">
        <v>6</v>
      </c>
      <c r="D442" s="6">
        <v>1</v>
      </c>
      <c r="E442" s="6">
        <v>2004</v>
      </c>
      <c r="F442" s="15" t="s">
        <v>22</v>
      </c>
      <c r="G442" s="18" t="s">
        <v>6256</v>
      </c>
      <c r="H442" s="9" t="s">
        <v>52</v>
      </c>
      <c r="I442" s="17" t="s">
        <v>771</v>
      </c>
      <c r="J442" s="66" t="s">
        <v>772</v>
      </c>
      <c r="K442" s="13">
        <v>0</v>
      </c>
      <c r="L442" s="233">
        <v>1000</v>
      </c>
      <c r="M442" s="13">
        <v>200</v>
      </c>
      <c r="N442" s="13">
        <v>0</v>
      </c>
      <c r="O442" s="13">
        <v>0</v>
      </c>
      <c r="P442" s="13">
        <v>0</v>
      </c>
      <c r="Q442" s="13">
        <v>0</v>
      </c>
      <c r="R442" s="26">
        <v>1.2</v>
      </c>
      <c r="S442" s="7" t="s">
        <v>115</v>
      </c>
      <c r="T442" s="257">
        <f t="shared" si="12"/>
        <v>1000</v>
      </c>
      <c r="U442" s="257">
        <f t="shared" si="13"/>
        <v>200</v>
      </c>
      <c r="V442">
        <v>1</v>
      </c>
      <c r="W442">
        <v>1</v>
      </c>
    </row>
    <row r="443" spans="1:23" ht="45.6" x14ac:dyDescent="0.3">
      <c r="A443" s="212">
        <v>38140</v>
      </c>
      <c r="B443" s="212">
        <v>38140</v>
      </c>
      <c r="C443" s="6">
        <v>6</v>
      </c>
      <c r="D443" s="6">
        <v>1</v>
      </c>
      <c r="E443" s="6">
        <v>2004</v>
      </c>
      <c r="F443" s="15" t="s">
        <v>22</v>
      </c>
      <c r="G443" s="18" t="s">
        <v>6256</v>
      </c>
      <c r="H443" s="9" t="s">
        <v>66</v>
      </c>
      <c r="I443" s="17" t="s">
        <v>66</v>
      </c>
      <c r="J443" s="66" t="s">
        <v>773</v>
      </c>
      <c r="K443" s="13">
        <v>0</v>
      </c>
      <c r="L443" s="233">
        <v>35</v>
      </c>
      <c r="M443" s="13">
        <v>7</v>
      </c>
      <c r="N443" s="13">
        <v>0</v>
      </c>
      <c r="O443" s="13">
        <v>0</v>
      </c>
      <c r="P443" s="13">
        <v>0</v>
      </c>
      <c r="Q443" s="13">
        <v>0</v>
      </c>
      <c r="R443" s="26">
        <v>0.04</v>
      </c>
      <c r="S443" s="7" t="s">
        <v>115</v>
      </c>
      <c r="T443" s="257">
        <f t="shared" si="12"/>
        <v>35</v>
      </c>
      <c r="U443" s="257">
        <f t="shared" si="13"/>
        <v>7</v>
      </c>
      <c r="V443">
        <v>1</v>
      </c>
      <c r="W443">
        <v>1</v>
      </c>
    </row>
    <row r="444" spans="1:23" ht="57" x14ac:dyDescent="0.3">
      <c r="A444" s="212">
        <v>38142</v>
      </c>
      <c r="B444" s="212">
        <v>38142</v>
      </c>
      <c r="C444" s="6">
        <v>6</v>
      </c>
      <c r="D444" s="6">
        <v>1</v>
      </c>
      <c r="E444" s="6">
        <v>2004</v>
      </c>
      <c r="F444" s="15" t="s">
        <v>22</v>
      </c>
      <c r="G444" s="18" t="s">
        <v>6256</v>
      </c>
      <c r="H444" s="9" t="s">
        <v>52</v>
      </c>
      <c r="I444" s="17" t="s">
        <v>774</v>
      </c>
      <c r="J444" s="66" t="s">
        <v>775</v>
      </c>
      <c r="K444" s="13">
        <v>0</v>
      </c>
      <c r="L444" s="233">
        <v>0</v>
      </c>
      <c r="M444" s="13">
        <v>0</v>
      </c>
      <c r="N444" s="13">
        <v>0</v>
      </c>
      <c r="O444" s="13">
        <v>0</v>
      </c>
      <c r="P444" s="13">
        <v>0</v>
      </c>
      <c r="Q444" s="13">
        <v>0</v>
      </c>
      <c r="R444" s="26">
        <v>0</v>
      </c>
      <c r="S444" s="7" t="s">
        <v>115</v>
      </c>
      <c r="T444" s="257">
        <f t="shared" si="12"/>
        <v>0</v>
      </c>
      <c r="U444" s="257">
        <f t="shared" si="13"/>
        <v>0</v>
      </c>
      <c r="V444">
        <v>0</v>
      </c>
      <c r="W444">
        <v>0</v>
      </c>
    </row>
    <row r="445" spans="1:23" ht="57" x14ac:dyDescent="0.3">
      <c r="A445" s="212">
        <v>38142</v>
      </c>
      <c r="B445" s="212">
        <v>38142</v>
      </c>
      <c r="C445" s="6">
        <v>6</v>
      </c>
      <c r="D445" s="6">
        <v>1</v>
      </c>
      <c r="E445" s="6">
        <v>2004</v>
      </c>
      <c r="F445" s="15" t="s">
        <v>22</v>
      </c>
      <c r="G445" s="18" t="s">
        <v>6256</v>
      </c>
      <c r="H445" s="9" t="s">
        <v>124</v>
      </c>
      <c r="I445" s="17" t="s">
        <v>776</v>
      </c>
      <c r="J445" s="66" t="s">
        <v>777</v>
      </c>
      <c r="K445" s="13">
        <v>0</v>
      </c>
      <c r="L445" s="233">
        <v>50</v>
      </c>
      <c r="M445" s="13">
        <v>10</v>
      </c>
      <c r="N445" s="13">
        <v>0</v>
      </c>
      <c r="O445" s="13">
        <v>0</v>
      </c>
      <c r="P445" s="13">
        <v>0</v>
      </c>
      <c r="Q445" s="13">
        <v>0</v>
      </c>
      <c r="R445" s="26">
        <v>0.04</v>
      </c>
      <c r="S445" s="7" t="s">
        <v>115</v>
      </c>
      <c r="T445" s="257">
        <f t="shared" si="12"/>
        <v>50</v>
      </c>
      <c r="U445" s="257">
        <f t="shared" si="13"/>
        <v>10</v>
      </c>
      <c r="V445">
        <v>1</v>
      </c>
      <c r="W445">
        <v>1</v>
      </c>
    </row>
    <row r="446" spans="1:23" ht="45.6" x14ac:dyDescent="0.3">
      <c r="A446" s="212">
        <v>38142</v>
      </c>
      <c r="B446" s="212">
        <v>38142</v>
      </c>
      <c r="C446" s="6">
        <v>6</v>
      </c>
      <c r="D446" s="6">
        <v>1</v>
      </c>
      <c r="E446" s="6">
        <v>2004</v>
      </c>
      <c r="F446" s="15" t="s">
        <v>22</v>
      </c>
      <c r="G446" s="18" t="s">
        <v>6256</v>
      </c>
      <c r="H446" s="9" t="s">
        <v>61</v>
      </c>
      <c r="I446" s="17" t="s">
        <v>778</v>
      </c>
      <c r="J446" s="66" t="s">
        <v>779</v>
      </c>
      <c r="K446" s="13">
        <v>0</v>
      </c>
      <c r="L446" s="233">
        <v>1000</v>
      </c>
      <c r="M446" s="13">
        <v>200</v>
      </c>
      <c r="N446" s="13">
        <v>0</v>
      </c>
      <c r="O446" s="13">
        <v>0</v>
      </c>
      <c r="P446" s="13">
        <v>0</v>
      </c>
      <c r="Q446" s="13">
        <v>400</v>
      </c>
      <c r="R446" s="26">
        <v>1.29</v>
      </c>
      <c r="S446" s="7" t="s">
        <v>115</v>
      </c>
      <c r="T446" s="257">
        <f t="shared" si="12"/>
        <v>1000</v>
      </c>
      <c r="U446" s="257">
        <f t="shared" si="13"/>
        <v>200</v>
      </c>
      <c r="V446">
        <v>1</v>
      </c>
      <c r="W446">
        <v>1</v>
      </c>
    </row>
    <row r="447" spans="1:23" ht="102.6" x14ac:dyDescent="0.3">
      <c r="A447" s="211">
        <v>41077</v>
      </c>
      <c r="B447" s="211">
        <v>41077</v>
      </c>
      <c r="C447" s="6">
        <v>6</v>
      </c>
      <c r="D447" s="6">
        <v>1</v>
      </c>
      <c r="E447" s="19">
        <v>2012</v>
      </c>
      <c r="F447" s="15" t="s">
        <v>22</v>
      </c>
      <c r="G447" s="16" t="s">
        <v>6254</v>
      </c>
      <c r="H447" s="9" t="s">
        <v>48</v>
      </c>
      <c r="I447" s="20" t="s">
        <v>780</v>
      </c>
      <c r="J447" s="21" t="s">
        <v>781</v>
      </c>
      <c r="K447" s="43">
        <v>2</v>
      </c>
      <c r="L447" s="234">
        <v>45708</v>
      </c>
      <c r="M447" s="23">
        <v>81</v>
      </c>
      <c r="N447" s="23">
        <v>0</v>
      </c>
      <c r="O447" s="23">
        <v>0</v>
      </c>
      <c r="P447" s="23">
        <v>0</v>
      </c>
      <c r="Q447" s="23">
        <v>0</v>
      </c>
      <c r="R447" s="24">
        <v>46.1</v>
      </c>
      <c r="S447" s="25" t="s">
        <v>149</v>
      </c>
      <c r="T447" s="257">
        <f t="shared" si="12"/>
        <v>45710</v>
      </c>
      <c r="U447" s="257">
        <f t="shared" si="13"/>
        <v>81</v>
      </c>
      <c r="V447">
        <v>2</v>
      </c>
      <c r="W447">
        <v>1</v>
      </c>
    </row>
    <row r="448" spans="1:23" ht="45.6" x14ac:dyDescent="0.3">
      <c r="A448" s="212">
        <v>38143</v>
      </c>
      <c r="B448" s="212">
        <v>38144</v>
      </c>
      <c r="C448" s="6">
        <v>6</v>
      </c>
      <c r="D448" s="6">
        <v>2</v>
      </c>
      <c r="E448" s="6">
        <v>2004</v>
      </c>
      <c r="F448" s="15" t="s">
        <v>22</v>
      </c>
      <c r="G448" s="18" t="s">
        <v>6256</v>
      </c>
      <c r="H448" s="9" t="s">
        <v>51</v>
      </c>
      <c r="I448" s="17" t="s">
        <v>782</v>
      </c>
      <c r="J448" s="66" t="s">
        <v>783</v>
      </c>
      <c r="K448" s="13">
        <v>0</v>
      </c>
      <c r="L448" s="233">
        <v>15</v>
      </c>
      <c r="M448" s="13">
        <v>3</v>
      </c>
      <c r="N448" s="13">
        <v>0</v>
      </c>
      <c r="O448" s="13">
        <v>0</v>
      </c>
      <c r="P448" s="13">
        <v>0</v>
      </c>
      <c r="Q448" s="13">
        <v>15</v>
      </c>
      <c r="R448" s="26">
        <v>0.01</v>
      </c>
      <c r="S448" s="7" t="s">
        <v>115</v>
      </c>
      <c r="T448" s="257">
        <f t="shared" si="12"/>
        <v>15</v>
      </c>
      <c r="U448" s="257">
        <f t="shared" si="13"/>
        <v>3</v>
      </c>
      <c r="V448">
        <v>1</v>
      </c>
      <c r="W448">
        <v>1</v>
      </c>
    </row>
    <row r="449" spans="1:23" ht="102.6" x14ac:dyDescent="0.3">
      <c r="A449" s="212">
        <v>38145</v>
      </c>
      <c r="B449" s="212">
        <v>38145</v>
      </c>
      <c r="C449" s="6">
        <v>6</v>
      </c>
      <c r="D449" s="6">
        <v>1</v>
      </c>
      <c r="E449" s="6">
        <v>2004</v>
      </c>
      <c r="F449" s="15" t="s">
        <v>22</v>
      </c>
      <c r="G449" s="18" t="s">
        <v>6256</v>
      </c>
      <c r="H449" s="9" t="s">
        <v>51</v>
      </c>
      <c r="I449" s="17" t="s">
        <v>784</v>
      </c>
      <c r="J449" s="66" t="s">
        <v>785</v>
      </c>
      <c r="K449" s="13">
        <v>0</v>
      </c>
      <c r="L449" s="233">
        <v>249</v>
      </c>
      <c r="M449" s="13">
        <v>126</v>
      </c>
      <c r="N449" s="13">
        <v>3</v>
      </c>
      <c r="O449" s="13">
        <v>0</v>
      </c>
      <c r="P449" s="13">
        <v>0</v>
      </c>
      <c r="Q449" s="13">
        <v>0</v>
      </c>
      <c r="R449" s="26">
        <v>2</v>
      </c>
      <c r="S449" s="7" t="s">
        <v>115</v>
      </c>
      <c r="T449" s="257">
        <f t="shared" si="12"/>
        <v>249</v>
      </c>
      <c r="U449" s="257">
        <f t="shared" si="13"/>
        <v>129</v>
      </c>
      <c r="V449">
        <v>1</v>
      </c>
      <c r="W449">
        <v>1</v>
      </c>
    </row>
    <row r="450" spans="1:23" ht="45.6" x14ac:dyDescent="0.3">
      <c r="A450" s="212">
        <v>38145</v>
      </c>
      <c r="B450" s="212">
        <v>38145</v>
      </c>
      <c r="C450" s="6">
        <v>6</v>
      </c>
      <c r="D450" s="6">
        <v>1</v>
      </c>
      <c r="E450" s="6">
        <v>2004</v>
      </c>
      <c r="F450" s="15" t="s">
        <v>22</v>
      </c>
      <c r="G450" s="18" t="s">
        <v>6256</v>
      </c>
      <c r="H450" s="9" t="s">
        <v>46</v>
      </c>
      <c r="I450" s="17" t="s">
        <v>786</v>
      </c>
      <c r="J450" s="66" t="s">
        <v>787</v>
      </c>
      <c r="K450" s="13">
        <v>0</v>
      </c>
      <c r="L450" s="233">
        <v>1500</v>
      </c>
      <c r="M450" s="13">
        <v>300</v>
      </c>
      <c r="N450" s="13">
        <v>0</v>
      </c>
      <c r="O450" s="13">
        <v>0</v>
      </c>
      <c r="P450" s="13">
        <v>0</v>
      </c>
      <c r="Q450" s="13">
        <v>0</v>
      </c>
      <c r="R450" s="26">
        <v>1.21</v>
      </c>
      <c r="S450" s="7" t="s">
        <v>115</v>
      </c>
      <c r="T450" s="257">
        <f t="shared" si="12"/>
        <v>1500</v>
      </c>
      <c r="U450" s="257">
        <f t="shared" si="13"/>
        <v>300</v>
      </c>
      <c r="V450">
        <v>1</v>
      </c>
      <c r="W450">
        <v>1</v>
      </c>
    </row>
    <row r="451" spans="1:23" ht="34.200000000000003" x14ac:dyDescent="0.3">
      <c r="A451" s="212">
        <v>38145</v>
      </c>
      <c r="B451" s="212">
        <v>38145</v>
      </c>
      <c r="C451" s="6">
        <v>6</v>
      </c>
      <c r="D451" s="6">
        <v>1</v>
      </c>
      <c r="E451" s="6">
        <v>2004</v>
      </c>
      <c r="F451" s="15" t="s">
        <v>22</v>
      </c>
      <c r="G451" s="18" t="s">
        <v>6256</v>
      </c>
      <c r="H451" s="9" t="s">
        <v>56</v>
      </c>
      <c r="I451" s="17" t="s">
        <v>788</v>
      </c>
      <c r="J451" s="66" t="s">
        <v>789</v>
      </c>
      <c r="K451" s="13">
        <v>0</v>
      </c>
      <c r="L451" s="233">
        <v>120</v>
      </c>
      <c r="M451" s="13">
        <v>24</v>
      </c>
      <c r="N451" s="13">
        <v>0</v>
      </c>
      <c r="O451" s="13">
        <v>0</v>
      </c>
      <c r="P451" s="13">
        <v>0</v>
      </c>
      <c r="Q451" s="13">
        <v>0</v>
      </c>
      <c r="R451" s="26">
        <v>0.09</v>
      </c>
      <c r="S451" s="7" t="s">
        <v>115</v>
      </c>
      <c r="T451" s="257">
        <f t="shared" ref="T451:T514" si="14">SUM(K451:L451)</f>
        <v>120</v>
      </c>
      <c r="U451" s="257">
        <f t="shared" ref="U451:U514" si="15">SUM(M451:P451)</f>
        <v>24</v>
      </c>
      <c r="V451">
        <v>1</v>
      </c>
      <c r="W451">
        <v>1</v>
      </c>
    </row>
    <row r="452" spans="1:23" ht="79.8" x14ac:dyDescent="0.3">
      <c r="A452" s="212">
        <v>38146</v>
      </c>
      <c r="B452" s="212">
        <v>38146</v>
      </c>
      <c r="C452" s="6">
        <v>6</v>
      </c>
      <c r="D452" s="6">
        <v>1</v>
      </c>
      <c r="E452" s="6">
        <v>2004</v>
      </c>
      <c r="F452" s="15" t="s">
        <v>22</v>
      </c>
      <c r="G452" s="18" t="s">
        <v>6256</v>
      </c>
      <c r="H452" s="9" t="s">
        <v>78</v>
      </c>
      <c r="I452" s="17" t="s">
        <v>790</v>
      </c>
      <c r="J452" s="66" t="s">
        <v>791</v>
      </c>
      <c r="K452" s="13">
        <v>0</v>
      </c>
      <c r="L452" s="233">
        <v>250</v>
      </c>
      <c r="M452" s="13">
        <v>16</v>
      </c>
      <c r="N452" s="13">
        <v>0</v>
      </c>
      <c r="O452" s="13">
        <v>0</v>
      </c>
      <c r="P452" s="13">
        <v>0</v>
      </c>
      <c r="Q452" s="13">
        <v>0</v>
      </c>
      <c r="R452" s="26">
        <v>0.06</v>
      </c>
      <c r="S452" s="7" t="s">
        <v>115</v>
      </c>
      <c r="T452" s="257">
        <f t="shared" si="14"/>
        <v>250</v>
      </c>
      <c r="U452" s="257">
        <f t="shared" si="15"/>
        <v>16</v>
      </c>
      <c r="V452">
        <v>1</v>
      </c>
      <c r="W452">
        <v>1</v>
      </c>
    </row>
    <row r="453" spans="1:23" ht="68.400000000000006" x14ac:dyDescent="0.3">
      <c r="A453" s="212">
        <v>38147</v>
      </c>
      <c r="B453" s="212">
        <v>38147</v>
      </c>
      <c r="C453" s="6">
        <v>6</v>
      </c>
      <c r="D453" s="6">
        <v>1</v>
      </c>
      <c r="E453" s="6">
        <v>2004</v>
      </c>
      <c r="F453" s="15" t="s">
        <v>22</v>
      </c>
      <c r="G453" s="18" t="s">
        <v>6256</v>
      </c>
      <c r="H453" s="9" t="s">
        <v>70</v>
      </c>
      <c r="I453" s="17" t="s">
        <v>792</v>
      </c>
      <c r="J453" s="53" t="s">
        <v>793</v>
      </c>
      <c r="K453" s="13">
        <v>0</v>
      </c>
      <c r="L453" s="233">
        <v>300</v>
      </c>
      <c r="M453" s="13">
        <v>80</v>
      </c>
      <c r="N453" s="13">
        <v>0</v>
      </c>
      <c r="O453" s="13">
        <v>0</v>
      </c>
      <c r="P453" s="13">
        <v>0</v>
      </c>
      <c r="Q453" s="13">
        <v>0</v>
      </c>
      <c r="R453" s="26">
        <v>0.48</v>
      </c>
      <c r="S453" s="7" t="s">
        <v>115</v>
      </c>
      <c r="T453" s="257">
        <f t="shared" si="14"/>
        <v>300</v>
      </c>
      <c r="U453" s="257">
        <f t="shared" si="15"/>
        <v>80</v>
      </c>
      <c r="V453">
        <v>1</v>
      </c>
      <c r="W453">
        <v>1</v>
      </c>
    </row>
    <row r="454" spans="1:23" ht="136.80000000000001" x14ac:dyDescent="0.3">
      <c r="A454" s="212">
        <v>38147</v>
      </c>
      <c r="B454" s="212">
        <v>38147</v>
      </c>
      <c r="C454" s="6">
        <v>6</v>
      </c>
      <c r="D454" s="6">
        <v>1</v>
      </c>
      <c r="E454" s="6">
        <v>2004</v>
      </c>
      <c r="F454" s="15" t="s">
        <v>22</v>
      </c>
      <c r="G454" s="18" t="s">
        <v>6256</v>
      </c>
      <c r="H454" s="9" t="s">
        <v>70</v>
      </c>
      <c r="I454" s="17" t="s">
        <v>794</v>
      </c>
      <c r="J454" s="53" t="s">
        <v>795</v>
      </c>
      <c r="K454" s="13">
        <v>0</v>
      </c>
      <c r="L454" s="233">
        <v>1200</v>
      </c>
      <c r="M454" s="13">
        <v>0</v>
      </c>
      <c r="N454" s="13">
        <v>0</v>
      </c>
      <c r="O454" s="13">
        <v>0</v>
      </c>
      <c r="P454" s="13">
        <v>0</v>
      </c>
      <c r="Q454" s="13">
        <v>0</v>
      </c>
      <c r="R454" s="26">
        <v>0.24</v>
      </c>
      <c r="S454" s="7" t="s">
        <v>115</v>
      </c>
      <c r="T454" s="257">
        <f t="shared" si="14"/>
        <v>1200</v>
      </c>
      <c r="U454" s="257">
        <f t="shared" si="15"/>
        <v>0</v>
      </c>
      <c r="V454">
        <v>1</v>
      </c>
      <c r="W454">
        <v>0</v>
      </c>
    </row>
    <row r="455" spans="1:23" ht="57" x14ac:dyDescent="0.3">
      <c r="A455" s="212">
        <v>38148</v>
      </c>
      <c r="B455" s="212">
        <v>38148</v>
      </c>
      <c r="C455" s="6">
        <v>6</v>
      </c>
      <c r="D455" s="6">
        <v>1</v>
      </c>
      <c r="E455" s="6">
        <v>2004</v>
      </c>
      <c r="F455" s="15" t="s">
        <v>22</v>
      </c>
      <c r="G455" s="18" t="s">
        <v>6256</v>
      </c>
      <c r="H455" s="9" t="s">
        <v>31</v>
      </c>
      <c r="I455" s="17" t="s">
        <v>95</v>
      </c>
      <c r="J455" s="53" t="s">
        <v>796</v>
      </c>
      <c r="K455" s="13">
        <v>0</v>
      </c>
      <c r="L455" s="233">
        <v>50</v>
      </c>
      <c r="M455" s="13">
        <v>10</v>
      </c>
      <c r="N455" s="13">
        <v>0</v>
      </c>
      <c r="O455" s="13">
        <v>0</v>
      </c>
      <c r="P455" s="13">
        <v>0</v>
      </c>
      <c r="Q455" s="13">
        <v>0</v>
      </c>
      <c r="R455" s="26">
        <v>0.06</v>
      </c>
      <c r="S455" s="7" t="s">
        <v>115</v>
      </c>
      <c r="T455" s="257">
        <f t="shared" si="14"/>
        <v>50</v>
      </c>
      <c r="U455" s="257">
        <f t="shared" si="15"/>
        <v>10</v>
      </c>
      <c r="V455">
        <v>1</v>
      </c>
      <c r="W455">
        <v>1</v>
      </c>
    </row>
    <row r="456" spans="1:23" ht="45.6" x14ac:dyDescent="0.3">
      <c r="A456" s="212">
        <v>38148</v>
      </c>
      <c r="B456" s="212">
        <v>38148</v>
      </c>
      <c r="C456" s="6">
        <v>6</v>
      </c>
      <c r="D456" s="6">
        <v>1</v>
      </c>
      <c r="E456" s="6">
        <v>2004</v>
      </c>
      <c r="F456" s="15" t="s">
        <v>22</v>
      </c>
      <c r="G456" s="18" t="s">
        <v>6256</v>
      </c>
      <c r="H456" s="9" t="s">
        <v>64</v>
      </c>
      <c r="I456" s="17" t="s">
        <v>797</v>
      </c>
      <c r="J456" s="53" t="s">
        <v>798</v>
      </c>
      <c r="K456" s="13">
        <v>0</v>
      </c>
      <c r="L456" s="233">
        <v>125</v>
      </c>
      <c r="M456" s="13">
        <v>25</v>
      </c>
      <c r="N456" s="13">
        <v>0</v>
      </c>
      <c r="O456" s="13">
        <v>0</v>
      </c>
      <c r="P456" s="13">
        <v>0</v>
      </c>
      <c r="Q456" s="13">
        <v>0</v>
      </c>
      <c r="R456" s="26">
        <v>0.13</v>
      </c>
      <c r="S456" s="7" t="s">
        <v>115</v>
      </c>
      <c r="T456" s="257">
        <f t="shared" si="14"/>
        <v>125</v>
      </c>
      <c r="U456" s="257">
        <f t="shared" si="15"/>
        <v>25</v>
      </c>
      <c r="V456">
        <v>1</v>
      </c>
      <c r="W456">
        <v>1</v>
      </c>
    </row>
    <row r="457" spans="1:23" ht="68.400000000000006" x14ac:dyDescent="0.3">
      <c r="A457" s="212">
        <v>38148</v>
      </c>
      <c r="B457" s="212">
        <v>38148</v>
      </c>
      <c r="C457" s="6">
        <v>6</v>
      </c>
      <c r="D457" s="6">
        <v>1</v>
      </c>
      <c r="E457" s="6">
        <v>2004</v>
      </c>
      <c r="F457" s="15" t="s">
        <v>22</v>
      </c>
      <c r="G457" s="18" t="s">
        <v>6256</v>
      </c>
      <c r="H457" s="9" t="s">
        <v>43</v>
      </c>
      <c r="I457" s="17" t="s">
        <v>799</v>
      </c>
      <c r="J457" s="53" t="s">
        <v>800</v>
      </c>
      <c r="K457" s="13">
        <v>0</v>
      </c>
      <c r="L457" s="233">
        <v>145</v>
      </c>
      <c r="M457" s="13">
        <v>29</v>
      </c>
      <c r="N457" s="13">
        <v>0</v>
      </c>
      <c r="O457" s="13">
        <v>0</v>
      </c>
      <c r="P457" s="13">
        <v>0</v>
      </c>
      <c r="Q457" s="13">
        <v>0</v>
      </c>
      <c r="R457" s="26">
        <v>0.17</v>
      </c>
      <c r="S457" s="7" t="s">
        <v>115</v>
      </c>
      <c r="T457" s="257">
        <f t="shared" si="14"/>
        <v>145</v>
      </c>
      <c r="U457" s="257">
        <f t="shared" si="15"/>
        <v>29</v>
      </c>
      <c r="V457">
        <v>1</v>
      </c>
      <c r="W457">
        <v>1</v>
      </c>
    </row>
    <row r="458" spans="1:23" ht="45.6" x14ac:dyDescent="0.3">
      <c r="A458" s="212">
        <v>38150</v>
      </c>
      <c r="B458" s="212">
        <v>38150</v>
      </c>
      <c r="C458" s="6">
        <v>6</v>
      </c>
      <c r="D458" s="6">
        <v>1</v>
      </c>
      <c r="E458" s="6">
        <v>2004</v>
      </c>
      <c r="F458" s="15" t="s">
        <v>22</v>
      </c>
      <c r="G458" s="18" t="s">
        <v>6256</v>
      </c>
      <c r="H458" s="9" t="s">
        <v>69</v>
      </c>
      <c r="I458" s="17" t="s">
        <v>801</v>
      </c>
      <c r="J458" s="53" t="s">
        <v>802</v>
      </c>
      <c r="K458" s="13">
        <v>1</v>
      </c>
      <c r="L458" s="233">
        <v>20000</v>
      </c>
      <c r="M458" s="13">
        <v>98</v>
      </c>
      <c r="N458" s="13">
        <v>17</v>
      </c>
      <c r="O458" s="13">
        <v>0</v>
      </c>
      <c r="P458" s="13">
        <v>75</v>
      </c>
      <c r="Q458" s="13">
        <v>0</v>
      </c>
      <c r="R458" s="26">
        <v>14.13</v>
      </c>
      <c r="S458" s="7" t="s">
        <v>115</v>
      </c>
      <c r="T458" s="257">
        <f t="shared" si="14"/>
        <v>20001</v>
      </c>
      <c r="U458" s="257">
        <f t="shared" si="15"/>
        <v>190</v>
      </c>
      <c r="V458">
        <v>2</v>
      </c>
      <c r="W458">
        <v>1</v>
      </c>
    </row>
    <row r="459" spans="1:23" ht="45.6" x14ac:dyDescent="0.3">
      <c r="A459" s="212">
        <v>38151</v>
      </c>
      <c r="B459" s="212">
        <v>38151</v>
      </c>
      <c r="C459" s="6">
        <v>6</v>
      </c>
      <c r="D459" s="6">
        <v>1</v>
      </c>
      <c r="E459" s="6">
        <v>2004</v>
      </c>
      <c r="F459" s="15" t="s">
        <v>22</v>
      </c>
      <c r="G459" s="18" t="s">
        <v>6256</v>
      </c>
      <c r="H459" s="9" t="s">
        <v>84</v>
      </c>
      <c r="I459" s="17" t="s">
        <v>803</v>
      </c>
      <c r="J459" s="53" t="s">
        <v>804</v>
      </c>
      <c r="K459" s="13">
        <v>0</v>
      </c>
      <c r="L459" s="233">
        <v>45</v>
      </c>
      <c r="M459" s="13">
        <v>9</v>
      </c>
      <c r="N459" s="13">
        <v>0</v>
      </c>
      <c r="O459" s="13">
        <v>0</v>
      </c>
      <c r="P459" s="13">
        <v>0</v>
      </c>
      <c r="Q459" s="13">
        <v>0</v>
      </c>
      <c r="R459" s="26">
        <v>0.1</v>
      </c>
      <c r="S459" s="7" t="s">
        <v>115</v>
      </c>
      <c r="T459" s="257">
        <f t="shared" si="14"/>
        <v>45</v>
      </c>
      <c r="U459" s="257">
        <f t="shared" si="15"/>
        <v>9</v>
      </c>
      <c r="V459">
        <v>1</v>
      </c>
      <c r="W459">
        <v>1</v>
      </c>
    </row>
    <row r="460" spans="1:23" ht="79.8" x14ac:dyDescent="0.3">
      <c r="A460" s="212">
        <v>38151</v>
      </c>
      <c r="B460" s="212">
        <v>38151</v>
      </c>
      <c r="C460" s="6">
        <v>6</v>
      </c>
      <c r="D460" s="6">
        <v>1</v>
      </c>
      <c r="E460" s="6">
        <v>2004</v>
      </c>
      <c r="F460" s="15" t="s">
        <v>22</v>
      </c>
      <c r="G460" s="18" t="s">
        <v>6256</v>
      </c>
      <c r="H460" s="9" t="s">
        <v>51</v>
      </c>
      <c r="I460" s="17" t="s">
        <v>805</v>
      </c>
      <c r="J460" s="53" t="s">
        <v>806</v>
      </c>
      <c r="K460" s="13">
        <v>1</v>
      </c>
      <c r="L460" s="233">
        <v>6</v>
      </c>
      <c r="M460" s="13">
        <v>0</v>
      </c>
      <c r="N460" s="13">
        <v>0</v>
      </c>
      <c r="O460" s="13">
        <v>0</v>
      </c>
      <c r="P460" s="13">
        <v>0</v>
      </c>
      <c r="Q460" s="13">
        <v>0</v>
      </c>
      <c r="R460" s="26">
        <v>0.03</v>
      </c>
      <c r="S460" s="7" t="s">
        <v>115</v>
      </c>
      <c r="T460" s="257">
        <f t="shared" si="14"/>
        <v>7</v>
      </c>
      <c r="U460" s="257">
        <f t="shared" si="15"/>
        <v>0</v>
      </c>
      <c r="V460">
        <v>1</v>
      </c>
      <c r="W460">
        <v>0</v>
      </c>
    </row>
    <row r="461" spans="1:23" ht="22.8" x14ac:dyDescent="0.3">
      <c r="A461" s="212">
        <v>38153</v>
      </c>
      <c r="B461" s="212">
        <v>38153</v>
      </c>
      <c r="C461" s="6">
        <v>6</v>
      </c>
      <c r="D461" s="6">
        <v>1</v>
      </c>
      <c r="E461" s="6">
        <v>2004</v>
      </c>
      <c r="F461" s="15" t="s">
        <v>22</v>
      </c>
      <c r="G461" s="18" t="s">
        <v>6256</v>
      </c>
      <c r="H461" s="9" t="s">
        <v>24</v>
      </c>
      <c r="I461" s="17" t="s">
        <v>807</v>
      </c>
      <c r="J461" s="53" t="s">
        <v>808</v>
      </c>
      <c r="K461" s="13">
        <v>0</v>
      </c>
      <c r="L461" s="233">
        <v>50</v>
      </c>
      <c r="M461" s="13">
        <v>10</v>
      </c>
      <c r="N461" s="13">
        <v>0</v>
      </c>
      <c r="O461" s="13">
        <v>0</v>
      </c>
      <c r="P461" s="13">
        <v>0</v>
      </c>
      <c r="Q461" s="13">
        <v>0</v>
      </c>
      <c r="R461" s="26">
        <v>0.04</v>
      </c>
      <c r="S461" s="7" t="s">
        <v>115</v>
      </c>
      <c r="T461" s="257">
        <f t="shared" si="14"/>
        <v>50</v>
      </c>
      <c r="U461" s="257">
        <f t="shared" si="15"/>
        <v>10</v>
      </c>
      <c r="V461">
        <v>1</v>
      </c>
      <c r="W461">
        <v>1</v>
      </c>
    </row>
    <row r="462" spans="1:23" ht="136.80000000000001" x14ac:dyDescent="0.3">
      <c r="A462" s="212">
        <v>38153</v>
      </c>
      <c r="B462" s="212">
        <v>38153</v>
      </c>
      <c r="C462" s="6">
        <v>6</v>
      </c>
      <c r="D462" s="6">
        <v>1</v>
      </c>
      <c r="E462" s="6">
        <v>2004</v>
      </c>
      <c r="F462" s="15" t="s">
        <v>22</v>
      </c>
      <c r="G462" s="18" t="s">
        <v>6256</v>
      </c>
      <c r="H462" s="9" t="s">
        <v>51</v>
      </c>
      <c r="I462" s="17" t="s">
        <v>809</v>
      </c>
      <c r="J462" s="53" t="s">
        <v>810</v>
      </c>
      <c r="K462" s="13">
        <v>0</v>
      </c>
      <c r="L462" s="233">
        <v>170</v>
      </c>
      <c r="M462" s="13">
        <v>0</v>
      </c>
      <c r="N462" s="13">
        <v>1</v>
      </c>
      <c r="O462" s="13">
        <v>0</v>
      </c>
      <c r="P462" s="13">
        <v>0</v>
      </c>
      <c r="Q462" s="13">
        <v>0</v>
      </c>
      <c r="R462" s="26">
        <v>0.23</v>
      </c>
      <c r="S462" s="7" t="s">
        <v>115</v>
      </c>
      <c r="T462" s="257">
        <f t="shared" si="14"/>
        <v>170</v>
      </c>
      <c r="U462" s="257">
        <f t="shared" si="15"/>
        <v>1</v>
      </c>
      <c r="V462">
        <v>1</v>
      </c>
      <c r="W462">
        <v>1</v>
      </c>
    </row>
    <row r="463" spans="1:23" ht="45.6" x14ac:dyDescent="0.3">
      <c r="A463" s="212">
        <v>38157</v>
      </c>
      <c r="B463" s="212">
        <v>38157</v>
      </c>
      <c r="C463" s="6">
        <v>6</v>
      </c>
      <c r="D463" s="6">
        <v>1</v>
      </c>
      <c r="E463" s="6">
        <v>2004</v>
      </c>
      <c r="F463" s="15" t="s">
        <v>22</v>
      </c>
      <c r="G463" s="18" t="s">
        <v>6256</v>
      </c>
      <c r="H463" s="9" t="s">
        <v>118</v>
      </c>
      <c r="I463" s="17" t="s">
        <v>170</v>
      </c>
      <c r="J463" s="53" t="s">
        <v>811</v>
      </c>
      <c r="K463" s="13">
        <v>0</v>
      </c>
      <c r="L463" s="233">
        <v>0</v>
      </c>
      <c r="M463" s="13">
        <v>50</v>
      </c>
      <c r="N463" s="13">
        <v>0</v>
      </c>
      <c r="O463" s="13">
        <v>0</v>
      </c>
      <c r="P463" s="13">
        <v>0</v>
      </c>
      <c r="Q463" s="13">
        <v>0</v>
      </c>
      <c r="R463" s="26">
        <v>0.3</v>
      </c>
      <c r="S463" s="7" t="s">
        <v>115</v>
      </c>
      <c r="T463" s="257">
        <f t="shared" si="14"/>
        <v>0</v>
      </c>
      <c r="U463" s="257">
        <f t="shared" si="15"/>
        <v>50</v>
      </c>
      <c r="V463">
        <v>0</v>
      </c>
      <c r="W463">
        <v>1</v>
      </c>
    </row>
    <row r="464" spans="1:23" ht="45.6" x14ac:dyDescent="0.3">
      <c r="A464" s="212">
        <v>38187</v>
      </c>
      <c r="B464" s="212">
        <v>38187</v>
      </c>
      <c r="C464" s="6">
        <v>7</v>
      </c>
      <c r="D464" s="6">
        <v>1</v>
      </c>
      <c r="E464" s="6">
        <v>2004</v>
      </c>
      <c r="F464" s="15" t="s">
        <v>22</v>
      </c>
      <c r="G464" s="18" t="s">
        <v>6256</v>
      </c>
      <c r="H464" s="9" t="s">
        <v>118</v>
      </c>
      <c r="I464" s="17" t="s">
        <v>812</v>
      </c>
      <c r="J464" s="53" t="s">
        <v>813</v>
      </c>
      <c r="K464" s="13">
        <v>0</v>
      </c>
      <c r="L464" s="233">
        <v>3000</v>
      </c>
      <c r="M464" s="13">
        <v>600</v>
      </c>
      <c r="N464" s="13">
        <v>0</v>
      </c>
      <c r="O464" s="13">
        <v>0</v>
      </c>
      <c r="P464" s="13">
        <v>0</v>
      </c>
      <c r="Q464" s="13">
        <v>0</v>
      </c>
      <c r="R464" s="26">
        <v>3.6</v>
      </c>
      <c r="S464" s="7" t="s">
        <v>115</v>
      </c>
      <c r="T464" s="257">
        <f t="shared" si="14"/>
        <v>3000</v>
      </c>
      <c r="U464" s="257">
        <f t="shared" si="15"/>
        <v>600</v>
      </c>
      <c r="V464">
        <v>1</v>
      </c>
      <c r="W464">
        <v>1</v>
      </c>
    </row>
    <row r="465" spans="1:23" ht="57" x14ac:dyDescent="0.3">
      <c r="A465" s="212">
        <v>38159</v>
      </c>
      <c r="B465" s="212">
        <v>38159</v>
      </c>
      <c r="C465" s="6">
        <v>6</v>
      </c>
      <c r="D465" s="6">
        <v>1</v>
      </c>
      <c r="E465" s="6">
        <v>2004</v>
      </c>
      <c r="F465" s="15" t="s">
        <v>22</v>
      </c>
      <c r="G465" s="18" t="s">
        <v>6256</v>
      </c>
      <c r="H465" s="9" t="s">
        <v>88</v>
      </c>
      <c r="I465" s="17" t="s">
        <v>814</v>
      </c>
      <c r="J465" s="53" t="s">
        <v>815</v>
      </c>
      <c r="K465" s="13">
        <v>0</v>
      </c>
      <c r="L465" s="233">
        <v>126</v>
      </c>
      <c r="M465" s="13">
        <v>50</v>
      </c>
      <c r="N465" s="13">
        <v>0</v>
      </c>
      <c r="O465" s="13">
        <v>0</v>
      </c>
      <c r="P465" s="13">
        <v>0</v>
      </c>
      <c r="Q465" s="13">
        <v>0</v>
      </c>
      <c r="R465" s="26">
        <v>0.3</v>
      </c>
      <c r="S465" s="7" t="s">
        <v>115</v>
      </c>
      <c r="T465" s="257">
        <f t="shared" si="14"/>
        <v>126</v>
      </c>
      <c r="U465" s="257">
        <f t="shared" si="15"/>
        <v>50</v>
      </c>
      <c r="V465">
        <v>1</v>
      </c>
      <c r="W465">
        <v>1</v>
      </c>
    </row>
    <row r="466" spans="1:23" ht="45.6" x14ac:dyDescent="0.3">
      <c r="A466" s="212">
        <v>38158</v>
      </c>
      <c r="B466" s="212">
        <v>38158</v>
      </c>
      <c r="C466" s="6">
        <v>6</v>
      </c>
      <c r="D466" s="6">
        <v>1</v>
      </c>
      <c r="E466" s="6">
        <v>2004</v>
      </c>
      <c r="F466" s="15" t="s">
        <v>22</v>
      </c>
      <c r="G466" s="18" t="s">
        <v>6256</v>
      </c>
      <c r="H466" s="9" t="s">
        <v>52</v>
      </c>
      <c r="I466" s="17" t="s">
        <v>663</v>
      </c>
      <c r="J466" s="53" t="s">
        <v>816</v>
      </c>
      <c r="K466" s="13">
        <v>0</v>
      </c>
      <c r="L466" s="233">
        <v>0</v>
      </c>
      <c r="M466" s="13">
        <v>0</v>
      </c>
      <c r="N466" s="13">
        <v>1</v>
      </c>
      <c r="O466" s="13">
        <v>0</v>
      </c>
      <c r="P466" s="13">
        <v>0</v>
      </c>
      <c r="Q466" s="13">
        <v>0</v>
      </c>
      <c r="R466" s="26">
        <v>0.01</v>
      </c>
      <c r="S466" s="7" t="s">
        <v>115</v>
      </c>
      <c r="T466" s="257">
        <f t="shared" si="14"/>
        <v>0</v>
      </c>
      <c r="U466" s="257">
        <f t="shared" si="15"/>
        <v>1</v>
      </c>
      <c r="V466">
        <v>0</v>
      </c>
      <c r="W466">
        <v>1</v>
      </c>
    </row>
    <row r="467" spans="1:23" ht="34.200000000000003" x14ac:dyDescent="0.3">
      <c r="A467" s="212">
        <v>38160</v>
      </c>
      <c r="B467" s="212">
        <v>38160</v>
      </c>
      <c r="C467" s="6">
        <v>6</v>
      </c>
      <c r="D467" s="6">
        <v>1</v>
      </c>
      <c r="E467" s="6">
        <v>2004</v>
      </c>
      <c r="F467" s="15" t="s">
        <v>22</v>
      </c>
      <c r="G467" s="18" t="s">
        <v>6256</v>
      </c>
      <c r="H467" s="9" t="s">
        <v>24</v>
      </c>
      <c r="I467" s="17" t="s">
        <v>95</v>
      </c>
      <c r="J467" s="53" t="s">
        <v>817</v>
      </c>
      <c r="K467" s="13">
        <v>0</v>
      </c>
      <c r="L467" s="233">
        <v>35</v>
      </c>
      <c r="M467" s="13">
        <v>7</v>
      </c>
      <c r="N467" s="13">
        <v>0</v>
      </c>
      <c r="O467" s="13">
        <v>0</v>
      </c>
      <c r="P467" s="13">
        <v>0</v>
      </c>
      <c r="Q467" s="13">
        <v>0</v>
      </c>
      <c r="R467" s="26">
        <v>0.04</v>
      </c>
      <c r="S467" s="7" t="s">
        <v>115</v>
      </c>
      <c r="T467" s="257">
        <f t="shared" si="14"/>
        <v>35</v>
      </c>
      <c r="U467" s="257">
        <f t="shared" si="15"/>
        <v>7</v>
      </c>
      <c r="V467">
        <v>1</v>
      </c>
      <c r="W467">
        <v>1</v>
      </c>
    </row>
    <row r="468" spans="1:23" ht="57" x14ac:dyDescent="0.3">
      <c r="A468" s="212">
        <v>38191</v>
      </c>
      <c r="B468" s="212">
        <v>38192</v>
      </c>
      <c r="C468" s="6">
        <v>7</v>
      </c>
      <c r="D468" s="6">
        <v>2</v>
      </c>
      <c r="E468" s="6">
        <v>2004</v>
      </c>
      <c r="F468" s="15" t="s">
        <v>22</v>
      </c>
      <c r="G468" s="18" t="s">
        <v>6256</v>
      </c>
      <c r="H468" s="9" t="s">
        <v>43</v>
      </c>
      <c r="I468" s="17" t="s">
        <v>818</v>
      </c>
      <c r="J468" s="53" t="s">
        <v>819</v>
      </c>
      <c r="K468" s="13">
        <v>1</v>
      </c>
      <c r="L468" s="233">
        <v>1</v>
      </c>
      <c r="M468" s="13">
        <v>0</v>
      </c>
      <c r="N468" s="13">
        <v>0</v>
      </c>
      <c r="O468" s="13">
        <v>0</v>
      </c>
      <c r="P468" s="13">
        <v>0</v>
      </c>
      <c r="Q468" s="13">
        <v>0</v>
      </c>
      <c r="R468" s="26">
        <v>0</v>
      </c>
      <c r="S468" s="7" t="s">
        <v>115</v>
      </c>
      <c r="T468" s="257">
        <f t="shared" si="14"/>
        <v>2</v>
      </c>
      <c r="U468" s="257">
        <f t="shared" si="15"/>
        <v>0</v>
      </c>
      <c r="V468">
        <v>1</v>
      </c>
      <c r="W468">
        <v>0</v>
      </c>
    </row>
    <row r="469" spans="1:23" ht="45.6" x14ac:dyDescent="0.3">
      <c r="A469" s="212">
        <v>38163</v>
      </c>
      <c r="B469" s="212">
        <v>38163</v>
      </c>
      <c r="C469" s="6">
        <v>6</v>
      </c>
      <c r="D469" s="6">
        <v>1</v>
      </c>
      <c r="E469" s="6">
        <v>2004</v>
      </c>
      <c r="F469" s="15" t="s">
        <v>22</v>
      </c>
      <c r="G469" s="18" t="s">
        <v>6256</v>
      </c>
      <c r="H469" s="9" t="s">
        <v>61</v>
      </c>
      <c r="I469" s="17" t="s">
        <v>820</v>
      </c>
      <c r="J469" s="53" t="s">
        <v>821</v>
      </c>
      <c r="K469" s="13">
        <v>0</v>
      </c>
      <c r="L469" s="233">
        <v>400</v>
      </c>
      <c r="M469" s="13">
        <v>80</v>
      </c>
      <c r="N469" s="13">
        <v>0</v>
      </c>
      <c r="O469" s="13">
        <v>0</v>
      </c>
      <c r="P469" s="13">
        <v>0</v>
      </c>
      <c r="Q469" s="13">
        <v>0</v>
      </c>
      <c r="R469" s="26">
        <v>0.32</v>
      </c>
      <c r="S469" s="7" t="s">
        <v>115</v>
      </c>
      <c r="T469" s="257">
        <f t="shared" si="14"/>
        <v>400</v>
      </c>
      <c r="U469" s="257">
        <f t="shared" si="15"/>
        <v>80</v>
      </c>
      <c r="V469">
        <v>1</v>
      </c>
      <c r="W469">
        <v>1</v>
      </c>
    </row>
    <row r="470" spans="1:23" ht="68.400000000000006" x14ac:dyDescent="0.3">
      <c r="A470" s="212">
        <v>38163</v>
      </c>
      <c r="B470" s="212">
        <v>38163</v>
      </c>
      <c r="C470" s="6">
        <v>6</v>
      </c>
      <c r="D470" s="6">
        <v>1</v>
      </c>
      <c r="E470" s="6">
        <v>2004</v>
      </c>
      <c r="F470" s="15" t="s">
        <v>22</v>
      </c>
      <c r="G470" s="18" t="s">
        <v>6256</v>
      </c>
      <c r="H470" s="9" t="s">
        <v>31</v>
      </c>
      <c r="I470" s="17" t="s">
        <v>527</v>
      </c>
      <c r="J470" s="53" t="s">
        <v>822</v>
      </c>
      <c r="K470" s="13">
        <v>0</v>
      </c>
      <c r="L470" s="233">
        <v>75</v>
      </c>
      <c r="M470" s="13">
        <v>15</v>
      </c>
      <c r="N470" s="13">
        <v>0</v>
      </c>
      <c r="O470" s="13">
        <v>0</v>
      </c>
      <c r="P470" s="13">
        <v>0</v>
      </c>
      <c r="Q470" s="13">
        <v>0</v>
      </c>
      <c r="R470" s="26">
        <v>0.08</v>
      </c>
      <c r="S470" s="7" t="s">
        <v>115</v>
      </c>
      <c r="T470" s="257">
        <f t="shared" si="14"/>
        <v>75</v>
      </c>
      <c r="U470" s="257">
        <f t="shared" si="15"/>
        <v>15</v>
      </c>
      <c r="V470">
        <v>1</v>
      </c>
      <c r="W470">
        <v>1</v>
      </c>
    </row>
    <row r="471" spans="1:23" ht="34.200000000000003" x14ac:dyDescent="0.3">
      <c r="A471" s="212">
        <v>38163</v>
      </c>
      <c r="B471" s="212">
        <v>38163</v>
      </c>
      <c r="C471" s="6">
        <v>6</v>
      </c>
      <c r="D471" s="6">
        <v>1</v>
      </c>
      <c r="E471" s="6">
        <v>2004</v>
      </c>
      <c r="F471" s="15" t="s">
        <v>22</v>
      </c>
      <c r="G471" s="18" t="s">
        <v>6256</v>
      </c>
      <c r="H471" s="9" t="s">
        <v>31</v>
      </c>
      <c r="I471" s="17" t="s">
        <v>823</v>
      </c>
      <c r="J471" s="53" t="s">
        <v>824</v>
      </c>
      <c r="K471" s="13">
        <v>0</v>
      </c>
      <c r="L471" s="233">
        <v>75</v>
      </c>
      <c r="M471" s="13">
        <v>15</v>
      </c>
      <c r="N471" s="13">
        <v>0</v>
      </c>
      <c r="O471" s="13">
        <v>0</v>
      </c>
      <c r="P471" s="13">
        <v>0</v>
      </c>
      <c r="Q471" s="13">
        <v>0</v>
      </c>
      <c r="R471" s="26">
        <v>0.06</v>
      </c>
      <c r="S471" s="7" t="s">
        <v>115</v>
      </c>
      <c r="T471" s="257">
        <f t="shared" si="14"/>
        <v>75</v>
      </c>
      <c r="U471" s="257">
        <f t="shared" si="15"/>
        <v>15</v>
      </c>
      <c r="V471">
        <v>1</v>
      </c>
      <c r="W471">
        <v>1</v>
      </c>
    </row>
    <row r="472" spans="1:23" ht="45.6" x14ac:dyDescent="0.3">
      <c r="A472" s="212">
        <v>38163</v>
      </c>
      <c r="B472" s="212">
        <v>38163</v>
      </c>
      <c r="C472" s="6">
        <v>6</v>
      </c>
      <c r="D472" s="6">
        <v>1</v>
      </c>
      <c r="E472" s="6">
        <v>2004</v>
      </c>
      <c r="F472" s="15" t="s">
        <v>22</v>
      </c>
      <c r="G472" s="18" t="s">
        <v>6256</v>
      </c>
      <c r="H472" s="9" t="s">
        <v>84</v>
      </c>
      <c r="I472" s="17" t="s">
        <v>825</v>
      </c>
      <c r="J472" s="53" t="s">
        <v>826</v>
      </c>
      <c r="K472" s="13">
        <v>0</v>
      </c>
      <c r="L472" s="233">
        <v>220</v>
      </c>
      <c r="M472" s="13">
        <v>44</v>
      </c>
      <c r="N472" s="13">
        <v>0</v>
      </c>
      <c r="O472" s="13">
        <v>0</v>
      </c>
      <c r="P472" s="13">
        <v>0</v>
      </c>
      <c r="Q472" s="13">
        <v>0</v>
      </c>
      <c r="R472" s="26">
        <v>0.23</v>
      </c>
      <c r="S472" s="7" t="s">
        <v>115</v>
      </c>
      <c r="T472" s="257">
        <f t="shared" si="14"/>
        <v>220</v>
      </c>
      <c r="U472" s="257">
        <f t="shared" si="15"/>
        <v>44</v>
      </c>
      <c r="V472">
        <v>1</v>
      </c>
      <c r="W472">
        <v>1</v>
      </c>
    </row>
    <row r="473" spans="1:23" ht="68.400000000000006" x14ac:dyDescent="0.3">
      <c r="A473" s="212">
        <v>38164</v>
      </c>
      <c r="B473" s="212">
        <v>38164</v>
      </c>
      <c r="C473" s="6">
        <v>6</v>
      </c>
      <c r="D473" s="6">
        <v>1</v>
      </c>
      <c r="E473" s="6">
        <v>2004</v>
      </c>
      <c r="F473" s="15" t="s">
        <v>22</v>
      </c>
      <c r="G473" s="18" t="s">
        <v>6256</v>
      </c>
      <c r="H473" s="9" t="s">
        <v>52</v>
      </c>
      <c r="I473" s="17" t="s">
        <v>827</v>
      </c>
      <c r="J473" s="53" t="s">
        <v>828</v>
      </c>
      <c r="K473" s="13">
        <v>0</v>
      </c>
      <c r="L473" s="233">
        <v>1000</v>
      </c>
      <c r="M473" s="13">
        <v>250</v>
      </c>
      <c r="N473" s="13">
        <v>0</v>
      </c>
      <c r="O473" s="13">
        <v>0</v>
      </c>
      <c r="P473" s="13">
        <v>0</v>
      </c>
      <c r="Q473" s="13">
        <v>0</v>
      </c>
      <c r="R473" s="26">
        <v>1.01</v>
      </c>
      <c r="S473" s="7" t="s">
        <v>115</v>
      </c>
      <c r="T473" s="257">
        <f t="shared" si="14"/>
        <v>1000</v>
      </c>
      <c r="U473" s="257">
        <f t="shared" si="15"/>
        <v>250</v>
      </c>
      <c r="V473">
        <v>1</v>
      </c>
      <c r="W473">
        <v>1</v>
      </c>
    </row>
    <row r="474" spans="1:23" ht="22.8" x14ac:dyDescent="0.3">
      <c r="A474" s="210">
        <v>41825</v>
      </c>
      <c r="B474" s="210">
        <v>41826</v>
      </c>
      <c r="C474" s="6">
        <v>7</v>
      </c>
      <c r="D474" s="6">
        <v>2</v>
      </c>
      <c r="E474" s="33">
        <v>2014</v>
      </c>
      <c r="F474" s="15" t="s">
        <v>22</v>
      </c>
      <c r="G474" s="16" t="s">
        <v>6256</v>
      </c>
      <c r="H474" s="9" t="s">
        <v>48</v>
      </c>
      <c r="I474" s="47" t="s">
        <v>829</v>
      </c>
      <c r="J474" s="48" t="s">
        <v>830</v>
      </c>
      <c r="K474" s="49">
        <v>0</v>
      </c>
      <c r="L474" s="236">
        <v>0</v>
      </c>
      <c r="M474" s="35">
        <v>0</v>
      </c>
      <c r="N474" s="35">
        <v>0</v>
      </c>
      <c r="O474" s="35">
        <v>0</v>
      </c>
      <c r="P474" s="35">
        <v>0</v>
      </c>
      <c r="Q474" s="35">
        <v>0</v>
      </c>
      <c r="R474" s="36">
        <v>44.7</v>
      </c>
      <c r="S474" s="50" t="s">
        <v>149</v>
      </c>
      <c r="T474" s="257">
        <f t="shared" si="14"/>
        <v>0</v>
      </c>
      <c r="U474" s="257">
        <f t="shared" si="15"/>
        <v>0</v>
      </c>
      <c r="V474">
        <v>0</v>
      </c>
      <c r="W474">
        <v>0</v>
      </c>
    </row>
    <row r="475" spans="1:23" ht="34.200000000000003" x14ac:dyDescent="0.3">
      <c r="A475" s="212">
        <v>38165</v>
      </c>
      <c r="B475" s="212">
        <v>38165</v>
      </c>
      <c r="C475" s="6">
        <v>6</v>
      </c>
      <c r="D475" s="6">
        <v>1</v>
      </c>
      <c r="E475" s="6">
        <v>2004</v>
      </c>
      <c r="F475" s="15" t="s">
        <v>22</v>
      </c>
      <c r="G475" s="18" t="s">
        <v>6256</v>
      </c>
      <c r="H475" s="9" t="s">
        <v>46</v>
      </c>
      <c r="I475" s="17" t="s">
        <v>299</v>
      </c>
      <c r="J475" s="53" t="s">
        <v>831</v>
      </c>
      <c r="K475" s="13">
        <v>0</v>
      </c>
      <c r="L475" s="233">
        <v>220</v>
      </c>
      <c r="M475" s="13">
        <v>44</v>
      </c>
      <c r="N475" s="13">
        <v>0</v>
      </c>
      <c r="O475" s="13">
        <v>0</v>
      </c>
      <c r="P475" s="13">
        <v>0</v>
      </c>
      <c r="Q475" s="13">
        <v>0</v>
      </c>
      <c r="R475" s="26">
        <v>0.17</v>
      </c>
      <c r="S475" s="7" t="s">
        <v>115</v>
      </c>
      <c r="T475" s="257">
        <f t="shared" si="14"/>
        <v>220</v>
      </c>
      <c r="U475" s="257">
        <f t="shared" si="15"/>
        <v>44</v>
      </c>
      <c r="V475">
        <v>1</v>
      </c>
      <c r="W475">
        <v>1</v>
      </c>
    </row>
    <row r="476" spans="1:23" ht="57" x14ac:dyDescent="0.3">
      <c r="A476" s="212">
        <v>38165</v>
      </c>
      <c r="B476" s="212">
        <v>38165</v>
      </c>
      <c r="C476" s="6">
        <v>6</v>
      </c>
      <c r="D476" s="6">
        <v>1</v>
      </c>
      <c r="E476" s="6">
        <v>2004</v>
      </c>
      <c r="F476" s="15" t="s">
        <v>22</v>
      </c>
      <c r="G476" s="18" t="s">
        <v>6256</v>
      </c>
      <c r="H476" s="9" t="s">
        <v>51</v>
      </c>
      <c r="I476" s="17" t="s">
        <v>832</v>
      </c>
      <c r="J476" s="53" t="s">
        <v>833</v>
      </c>
      <c r="K476" s="13">
        <v>0</v>
      </c>
      <c r="L476" s="233">
        <v>102</v>
      </c>
      <c r="M476" s="13">
        <v>27</v>
      </c>
      <c r="N476" s="13">
        <v>0</v>
      </c>
      <c r="O476" s="13">
        <v>0</v>
      </c>
      <c r="P476" s="13">
        <v>0</v>
      </c>
      <c r="Q476" s="13">
        <v>50</v>
      </c>
      <c r="R476" s="26">
        <v>0.1</v>
      </c>
      <c r="S476" s="7" t="s">
        <v>115</v>
      </c>
      <c r="T476" s="257">
        <f t="shared" si="14"/>
        <v>102</v>
      </c>
      <c r="U476" s="257">
        <f t="shared" si="15"/>
        <v>27</v>
      </c>
      <c r="V476">
        <v>1</v>
      </c>
      <c r="W476">
        <v>1</v>
      </c>
    </row>
    <row r="477" spans="1:23" ht="45.6" x14ac:dyDescent="0.3">
      <c r="A477" s="212">
        <v>38165</v>
      </c>
      <c r="B477" s="212">
        <v>38165</v>
      </c>
      <c r="C477" s="6">
        <v>6</v>
      </c>
      <c r="D477" s="6">
        <v>1</v>
      </c>
      <c r="E477" s="6">
        <v>2004</v>
      </c>
      <c r="F477" s="15" t="s">
        <v>22</v>
      </c>
      <c r="G477" s="18" t="s">
        <v>6256</v>
      </c>
      <c r="H477" s="9" t="s">
        <v>46</v>
      </c>
      <c r="I477" s="17" t="s">
        <v>834</v>
      </c>
      <c r="J477" s="53" t="s">
        <v>835</v>
      </c>
      <c r="K477" s="13">
        <v>0</v>
      </c>
      <c r="L477" s="233">
        <v>45</v>
      </c>
      <c r="M477" s="13">
        <v>9</v>
      </c>
      <c r="N477" s="13">
        <v>0</v>
      </c>
      <c r="O477" s="13">
        <v>0</v>
      </c>
      <c r="P477" s="13">
        <v>0</v>
      </c>
      <c r="Q477" s="13">
        <v>0</v>
      </c>
      <c r="R477" s="26">
        <v>0.05</v>
      </c>
      <c r="S477" s="7" t="s">
        <v>115</v>
      </c>
      <c r="T477" s="257">
        <f t="shared" si="14"/>
        <v>45</v>
      </c>
      <c r="U477" s="257">
        <f t="shared" si="15"/>
        <v>9</v>
      </c>
      <c r="V477">
        <v>1</v>
      </c>
      <c r="W477">
        <v>1</v>
      </c>
    </row>
    <row r="478" spans="1:23" ht="57" x14ac:dyDescent="0.3">
      <c r="A478" s="212">
        <v>38166</v>
      </c>
      <c r="B478" s="212">
        <v>38166</v>
      </c>
      <c r="C478" s="6">
        <v>6</v>
      </c>
      <c r="D478" s="6">
        <v>1</v>
      </c>
      <c r="E478" s="6">
        <v>2004</v>
      </c>
      <c r="F478" s="15" t="s">
        <v>22</v>
      </c>
      <c r="G478" s="18" t="s">
        <v>6256</v>
      </c>
      <c r="H478" s="9" t="s">
        <v>43</v>
      </c>
      <c r="I478" s="17" t="s">
        <v>721</v>
      </c>
      <c r="J478" s="53" t="s">
        <v>836</v>
      </c>
      <c r="K478" s="13">
        <v>0</v>
      </c>
      <c r="L478" s="233">
        <v>50</v>
      </c>
      <c r="M478" s="13">
        <v>10</v>
      </c>
      <c r="N478" s="13">
        <v>0</v>
      </c>
      <c r="O478" s="13">
        <v>0</v>
      </c>
      <c r="P478" s="13">
        <v>0</v>
      </c>
      <c r="Q478" s="13">
        <v>0</v>
      </c>
      <c r="R478" s="26">
        <v>0.09</v>
      </c>
      <c r="S478" s="7" t="s">
        <v>115</v>
      </c>
      <c r="T478" s="257">
        <f t="shared" si="14"/>
        <v>50</v>
      </c>
      <c r="U478" s="257">
        <f t="shared" si="15"/>
        <v>10</v>
      </c>
      <c r="V478">
        <v>1</v>
      </c>
      <c r="W478">
        <v>1</v>
      </c>
    </row>
    <row r="479" spans="1:23" ht="57" x14ac:dyDescent="0.3">
      <c r="A479" s="212">
        <v>38166</v>
      </c>
      <c r="B479" s="212">
        <v>38166</v>
      </c>
      <c r="C479" s="6">
        <v>6</v>
      </c>
      <c r="D479" s="6">
        <v>1</v>
      </c>
      <c r="E479" s="6">
        <v>2004</v>
      </c>
      <c r="F479" s="15" t="s">
        <v>22</v>
      </c>
      <c r="G479" s="18" t="s">
        <v>6256</v>
      </c>
      <c r="H479" s="9" t="s">
        <v>88</v>
      </c>
      <c r="I479" s="17" t="s">
        <v>837</v>
      </c>
      <c r="J479" s="53" t="s">
        <v>838</v>
      </c>
      <c r="K479" s="13">
        <v>0</v>
      </c>
      <c r="L479" s="233">
        <v>60</v>
      </c>
      <c r="M479" s="13">
        <v>18</v>
      </c>
      <c r="N479" s="13">
        <v>1</v>
      </c>
      <c r="O479" s="13">
        <v>0</v>
      </c>
      <c r="P479" s="13">
        <v>0</v>
      </c>
      <c r="Q479" s="13">
        <v>0</v>
      </c>
      <c r="R479" s="26">
        <v>0.08</v>
      </c>
      <c r="S479" s="7" t="s">
        <v>115</v>
      </c>
      <c r="T479" s="257">
        <f t="shared" si="14"/>
        <v>60</v>
      </c>
      <c r="U479" s="257">
        <f t="shared" si="15"/>
        <v>19</v>
      </c>
      <c r="V479">
        <v>1</v>
      </c>
      <c r="W479">
        <v>1</v>
      </c>
    </row>
    <row r="480" spans="1:23" ht="34.200000000000003" x14ac:dyDescent="0.3">
      <c r="A480" s="212">
        <v>38167</v>
      </c>
      <c r="B480" s="212">
        <v>38167</v>
      </c>
      <c r="C480" s="6">
        <v>6</v>
      </c>
      <c r="D480" s="6">
        <v>1</v>
      </c>
      <c r="E480" s="6">
        <v>2004</v>
      </c>
      <c r="F480" s="15" t="s">
        <v>22</v>
      </c>
      <c r="G480" s="18" t="s">
        <v>6256</v>
      </c>
      <c r="H480" s="9" t="s">
        <v>24</v>
      </c>
      <c r="I480" s="17" t="s">
        <v>839</v>
      </c>
      <c r="J480" s="53" t="s">
        <v>840</v>
      </c>
      <c r="K480" s="13">
        <v>0</v>
      </c>
      <c r="L480" s="233">
        <v>50</v>
      </c>
      <c r="M480" s="13">
        <v>10</v>
      </c>
      <c r="N480" s="13">
        <v>0</v>
      </c>
      <c r="O480" s="13">
        <v>0</v>
      </c>
      <c r="P480" s="13">
        <v>0</v>
      </c>
      <c r="Q480" s="13">
        <v>0</v>
      </c>
      <c r="R480" s="26">
        <v>0.04</v>
      </c>
      <c r="S480" s="7" t="s">
        <v>115</v>
      </c>
      <c r="T480" s="257">
        <f t="shared" si="14"/>
        <v>50</v>
      </c>
      <c r="U480" s="257">
        <f t="shared" si="15"/>
        <v>10</v>
      </c>
      <c r="V480">
        <v>1</v>
      </c>
      <c r="W480">
        <v>1</v>
      </c>
    </row>
    <row r="481" spans="1:23" ht="68.400000000000006" x14ac:dyDescent="0.3">
      <c r="A481" s="212">
        <v>38168</v>
      </c>
      <c r="B481" s="212">
        <v>38168</v>
      </c>
      <c r="C481" s="6">
        <v>6</v>
      </c>
      <c r="D481" s="6">
        <v>1</v>
      </c>
      <c r="E481" s="6">
        <v>2004</v>
      </c>
      <c r="F481" s="15" t="s">
        <v>22</v>
      </c>
      <c r="G481" s="18" t="s">
        <v>6256</v>
      </c>
      <c r="H481" s="9" t="s">
        <v>31</v>
      </c>
      <c r="I481" s="17" t="s">
        <v>841</v>
      </c>
      <c r="J481" s="53" t="s">
        <v>842</v>
      </c>
      <c r="K481" s="13">
        <v>0</v>
      </c>
      <c r="L481" s="233">
        <v>105</v>
      </c>
      <c r="M481" s="13">
        <v>21</v>
      </c>
      <c r="N481" s="13">
        <v>0</v>
      </c>
      <c r="O481" s="13">
        <v>0</v>
      </c>
      <c r="P481" s="13">
        <v>0</v>
      </c>
      <c r="Q481" s="13">
        <v>0</v>
      </c>
      <c r="R481" s="26">
        <v>0.32</v>
      </c>
      <c r="S481" s="7" t="s">
        <v>115</v>
      </c>
      <c r="T481" s="257">
        <f t="shared" si="14"/>
        <v>105</v>
      </c>
      <c r="U481" s="257">
        <f t="shared" si="15"/>
        <v>21</v>
      </c>
      <c r="V481">
        <v>1</v>
      </c>
      <c r="W481">
        <v>1</v>
      </c>
    </row>
    <row r="482" spans="1:23" ht="57" x14ac:dyDescent="0.3">
      <c r="A482" s="212">
        <v>38169</v>
      </c>
      <c r="B482" s="212">
        <v>38169</v>
      </c>
      <c r="C482" s="6">
        <v>7</v>
      </c>
      <c r="D482" s="6">
        <v>1</v>
      </c>
      <c r="E482" s="6">
        <v>2004</v>
      </c>
      <c r="F482" s="15" t="s">
        <v>22</v>
      </c>
      <c r="G482" s="18" t="s">
        <v>6256</v>
      </c>
      <c r="H482" s="9" t="s">
        <v>46</v>
      </c>
      <c r="I482" s="17" t="s">
        <v>843</v>
      </c>
      <c r="J482" s="53" t="s">
        <v>844</v>
      </c>
      <c r="K482" s="13">
        <v>0</v>
      </c>
      <c r="L482" s="233">
        <v>354</v>
      </c>
      <c r="M482" s="13">
        <v>22</v>
      </c>
      <c r="N482" s="13">
        <v>0</v>
      </c>
      <c r="O482" s="13">
        <v>0</v>
      </c>
      <c r="P482" s="13">
        <v>0</v>
      </c>
      <c r="Q482" s="13">
        <v>0</v>
      </c>
      <c r="R482" s="26">
        <v>0.08</v>
      </c>
      <c r="S482" s="7" t="s">
        <v>115</v>
      </c>
      <c r="T482" s="257">
        <f t="shared" si="14"/>
        <v>354</v>
      </c>
      <c r="U482" s="257">
        <f t="shared" si="15"/>
        <v>22</v>
      </c>
      <c r="V482">
        <v>1</v>
      </c>
      <c r="W482">
        <v>1</v>
      </c>
    </row>
    <row r="483" spans="1:23" ht="22.8" x14ac:dyDescent="0.3">
      <c r="A483" s="213">
        <v>42576</v>
      </c>
      <c r="B483" s="213">
        <v>42580</v>
      </c>
      <c r="C483" s="6">
        <v>7</v>
      </c>
      <c r="D483" s="6">
        <v>5</v>
      </c>
      <c r="E483" s="27">
        <v>2016</v>
      </c>
      <c r="F483" s="7" t="s">
        <v>17</v>
      </c>
      <c r="G483" s="28" t="s">
        <v>6261</v>
      </c>
      <c r="H483" s="9" t="s">
        <v>48</v>
      </c>
      <c r="I483" s="29" t="s">
        <v>845</v>
      </c>
      <c r="J483" s="30" t="s">
        <v>846</v>
      </c>
      <c r="K483" s="27">
        <v>0</v>
      </c>
      <c r="L483" s="236">
        <v>183340</v>
      </c>
      <c r="M483" s="27">
        <v>0</v>
      </c>
      <c r="N483" s="27">
        <v>0</v>
      </c>
      <c r="O483" s="27">
        <v>0</v>
      </c>
      <c r="P483" s="27">
        <v>0</v>
      </c>
      <c r="Q483" s="31">
        <v>0</v>
      </c>
      <c r="R483" s="32">
        <v>44.681207000000001</v>
      </c>
      <c r="S483" s="27" t="s">
        <v>115</v>
      </c>
      <c r="T483" s="257">
        <f t="shared" si="14"/>
        <v>183340</v>
      </c>
      <c r="U483" s="257">
        <f t="shared" si="15"/>
        <v>0</v>
      </c>
      <c r="V483">
        <v>3</v>
      </c>
      <c r="W483">
        <v>0</v>
      </c>
    </row>
    <row r="484" spans="1:23" ht="34.200000000000003" x14ac:dyDescent="0.3">
      <c r="A484" s="212">
        <v>38171</v>
      </c>
      <c r="B484" s="212">
        <v>38171</v>
      </c>
      <c r="C484" s="6">
        <v>7</v>
      </c>
      <c r="D484" s="6">
        <v>1</v>
      </c>
      <c r="E484" s="6">
        <v>2004</v>
      </c>
      <c r="F484" s="15" t="s">
        <v>22</v>
      </c>
      <c r="G484" s="18" t="s">
        <v>6256</v>
      </c>
      <c r="H484" s="9" t="s">
        <v>52</v>
      </c>
      <c r="I484" s="17" t="s">
        <v>847</v>
      </c>
      <c r="J484" s="53" t="s">
        <v>848</v>
      </c>
      <c r="K484" s="13">
        <v>0</v>
      </c>
      <c r="L484" s="233">
        <v>50</v>
      </c>
      <c r="M484" s="13">
        <v>10</v>
      </c>
      <c r="N484" s="13">
        <v>0</v>
      </c>
      <c r="O484" s="13">
        <v>0</v>
      </c>
      <c r="P484" s="13">
        <v>0</v>
      </c>
      <c r="Q484" s="13">
        <v>0</v>
      </c>
      <c r="R484" s="26">
        <v>0.06</v>
      </c>
      <c r="S484" s="7" t="s">
        <v>115</v>
      </c>
      <c r="T484" s="257">
        <f t="shared" si="14"/>
        <v>50</v>
      </c>
      <c r="U484" s="257">
        <f t="shared" si="15"/>
        <v>10</v>
      </c>
      <c r="V484">
        <v>1</v>
      </c>
      <c r="W484">
        <v>1</v>
      </c>
    </row>
    <row r="485" spans="1:23" ht="57" x14ac:dyDescent="0.3">
      <c r="A485" s="212">
        <v>38172</v>
      </c>
      <c r="B485" s="212">
        <v>38172</v>
      </c>
      <c r="C485" s="6">
        <v>7</v>
      </c>
      <c r="D485" s="6">
        <v>1</v>
      </c>
      <c r="E485" s="6">
        <v>2004</v>
      </c>
      <c r="F485" s="15" t="s">
        <v>22</v>
      </c>
      <c r="G485" s="18" t="s">
        <v>6256</v>
      </c>
      <c r="H485" s="9" t="s">
        <v>64</v>
      </c>
      <c r="I485" s="17" t="s">
        <v>849</v>
      </c>
      <c r="J485" s="53" t="s">
        <v>850</v>
      </c>
      <c r="K485" s="13">
        <v>0</v>
      </c>
      <c r="L485" s="233">
        <v>700</v>
      </c>
      <c r="M485" s="13">
        <v>140</v>
      </c>
      <c r="N485" s="13">
        <v>0</v>
      </c>
      <c r="O485" s="13">
        <v>0</v>
      </c>
      <c r="P485" s="13">
        <v>0</v>
      </c>
      <c r="Q485" s="13">
        <v>0</v>
      </c>
      <c r="R485" s="26">
        <v>0.56000000000000005</v>
      </c>
      <c r="S485" s="7" t="s">
        <v>115</v>
      </c>
      <c r="T485" s="257">
        <f t="shared" si="14"/>
        <v>700</v>
      </c>
      <c r="U485" s="257">
        <f t="shared" si="15"/>
        <v>140</v>
      </c>
      <c r="V485">
        <v>1</v>
      </c>
      <c r="W485">
        <v>1</v>
      </c>
    </row>
    <row r="486" spans="1:23" ht="68.400000000000006" x14ac:dyDescent="0.3">
      <c r="A486" s="212">
        <v>38175</v>
      </c>
      <c r="B486" s="212">
        <v>38175</v>
      </c>
      <c r="C486" s="6">
        <v>7</v>
      </c>
      <c r="D486" s="6">
        <v>1</v>
      </c>
      <c r="E486" s="6">
        <v>2004</v>
      </c>
      <c r="F486" s="15" t="s">
        <v>22</v>
      </c>
      <c r="G486" s="18" t="s">
        <v>6256</v>
      </c>
      <c r="H486" s="9" t="s">
        <v>46</v>
      </c>
      <c r="I486" s="17" t="s">
        <v>851</v>
      </c>
      <c r="J486" s="53" t="s">
        <v>852</v>
      </c>
      <c r="K486" s="13">
        <v>0</v>
      </c>
      <c r="L486" s="233">
        <v>500</v>
      </c>
      <c r="M486" s="13">
        <v>100</v>
      </c>
      <c r="N486" s="13">
        <v>0</v>
      </c>
      <c r="O486" s="13">
        <v>0</v>
      </c>
      <c r="P486" s="13">
        <v>0</v>
      </c>
      <c r="Q486" s="13">
        <v>0</v>
      </c>
      <c r="R486" s="26">
        <v>0.6</v>
      </c>
      <c r="S486" s="7" t="s">
        <v>115</v>
      </c>
      <c r="T486" s="257">
        <f t="shared" si="14"/>
        <v>500</v>
      </c>
      <c r="U486" s="257">
        <f t="shared" si="15"/>
        <v>100</v>
      </c>
      <c r="V486">
        <v>1</v>
      </c>
      <c r="W486">
        <v>1</v>
      </c>
    </row>
    <row r="487" spans="1:23" ht="57" x14ac:dyDescent="0.3">
      <c r="A487" s="212">
        <v>38177</v>
      </c>
      <c r="B487" s="212">
        <v>38177</v>
      </c>
      <c r="C487" s="6">
        <v>7</v>
      </c>
      <c r="D487" s="6">
        <v>1</v>
      </c>
      <c r="E487" s="6">
        <v>2004</v>
      </c>
      <c r="F487" s="15" t="s">
        <v>22</v>
      </c>
      <c r="G487" s="18" t="s">
        <v>6256</v>
      </c>
      <c r="H487" s="9" t="s">
        <v>118</v>
      </c>
      <c r="I487" s="17" t="s">
        <v>853</v>
      </c>
      <c r="J487" s="53" t="s">
        <v>854</v>
      </c>
      <c r="K487" s="13">
        <v>0</v>
      </c>
      <c r="L487" s="233">
        <v>50</v>
      </c>
      <c r="M487" s="13">
        <v>10</v>
      </c>
      <c r="N487" s="13">
        <v>0</v>
      </c>
      <c r="O487" s="13">
        <v>0</v>
      </c>
      <c r="P487" s="13">
        <v>0</v>
      </c>
      <c r="Q487" s="13">
        <v>0</v>
      </c>
      <c r="R487" s="26">
        <v>0.06</v>
      </c>
      <c r="S487" s="7" t="s">
        <v>115</v>
      </c>
      <c r="T487" s="257">
        <f t="shared" si="14"/>
        <v>50</v>
      </c>
      <c r="U487" s="257">
        <f t="shared" si="15"/>
        <v>10</v>
      </c>
      <c r="V487">
        <v>1</v>
      </c>
      <c r="W487">
        <v>1</v>
      </c>
    </row>
    <row r="488" spans="1:23" ht="68.400000000000006" x14ac:dyDescent="0.3">
      <c r="A488" s="212">
        <v>38180</v>
      </c>
      <c r="B488" s="212">
        <v>38180</v>
      </c>
      <c r="C488" s="6">
        <v>7</v>
      </c>
      <c r="D488" s="6">
        <v>1</v>
      </c>
      <c r="E488" s="6">
        <v>2004</v>
      </c>
      <c r="F488" s="15" t="s">
        <v>22</v>
      </c>
      <c r="G488" s="18" t="s">
        <v>6256</v>
      </c>
      <c r="H488" s="9" t="s">
        <v>74</v>
      </c>
      <c r="I488" s="17" t="s">
        <v>855</v>
      </c>
      <c r="J488" s="53" t="s">
        <v>856</v>
      </c>
      <c r="K488" s="13">
        <v>0</v>
      </c>
      <c r="L488" s="233">
        <v>165</v>
      </c>
      <c r="M488" s="13">
        <v>33</v>
      </c>
      <c r="N488" s="13">
        <v>0</v>
      </c>
      <c r="O488" s="13">
        <v>0</v>
      </c>
      <c r="P488" s="13">
        <v>0</v>
      </c>
      <c r="Q488" s="13">
        <v>300</v>
      </c>
      <c r="R488" s="26">
        <v>4.7</v>
      </c>
      <c r="S488" s="7" t="s">
        <v>115</v>
      </c>
      <c r="T488" s="257">
        <f t="shared" si="14"/>
        <v>165</v>
      </c>
      <c r="U488" s="257">
        <f t="shared" si="15"/>
        <v>33</v>
      </c>
      <c r="V488">
        <v>1</v>
      </c>
      <c r="W488">
        <v>1</v>
      </c>
    </row>
    <row r="489" spans="1:23" ht="34.200000000000003" x14ac:dyDescent="0.3">
      <c r="A489" s="212">
        <v>38181</v>
      </c>
      <c r="B489" s="212">
        <v>38181</v>
      </c>
      <c r="C489" s="6">
        <v>7</v>
      </c>
      <c r="D489" s="6">
        <v>1</v>
      </c>
      <c r="E489" s="6">
        <v>2004</v>
      </c>
      <c r="F489" s="15" t="s">
        <v>22</v>
      </c>
      <c r="G489" s="18" t="s">
        <v>6256</v>
      </c>
      <c r="H489" s="9" t="s">
        <v>41</v>
      </c>
      <c r="I489" s="17" t="s">
        <v>857</v>
      </c>
      <c r="J489" s="53" t="s">
        <v>858</v>
      </c>
      <c r="K489" s="13">
        <v>0</v>
      </c>
      <c r="L489" s="233">
        <v>576</v>
      </c>
      <c r="M489" s="13">
        <v>144</v>
      </c>
      <c r="N489" s="13">
        <v>0</v>
      </c>
      <c r="O489" s="13">
        <v>0</v>
      </c>
      <c r="P489" s="13">
        <v>0</v>
      </c>
      <c r="Q489" s="13">
        <v>0</v>
      </c>
      <c r="R489" s="26">
        <v>0.86</v>
      </c>
      <c r="S489" s="7" t="s">
        <v>115</v>
      </c>
      <c r="T489" s="257">
        <f t="shared" si="14"/>
        <v>576</v>
      </c>
      <c r="U489" s="257">
        <f t="shared" si="15"/>
        <v>144</v>
      </c>
      <c r="V489">
        <v>1</v>
      </c>
      <c r="W489">
        <v>1</v>
      </c>
    </row>
    <row r="490" spans="1:23" ht="57" x14ac:dyDescent="0.3">
      <c r="A490" s="212">
        <v>38183</v>
      </c>
      <c r="B490" s="212">
        <v>38183</v>
      </c>
      <c r="C490" s="6">
        <v>7</v>
      </c>
      <c r="D490" s="6">
        <v>1</v>
      </c>
      <c r="E490" s="6">
        <v>2004</v>
      </c>
      <c r="F490" s="15" t="s">
        <v>22</v>
      </c>
      <c r="G490" s="18" t="s">
        <v>6256</v>
      </c>
      <c r="H490" s="9" t="s">
        <v>74</v>
      </c>
      <c r="I490" s="17" t="s">
        <v>350</v>
      </c>
      <c r="J490" s="53" t="s">
        <v>859</v>
      </c>
      <c r="K490" s="13">
        <v>0</v>
      </c>
      <c r="L490" s="233">
        <v>125</v>
      </c>
      <c r="M490" s="13">
        <v>25</v>
      </c>
      <c r="N490" s="13">
        <v>0</v>
      </c>
      <c r="O490" s="13">
        <v>0</v>
      </c>
      <c r="P490" s="13">
        <v>0</v>
      </c>
      <c r="Q490" s="13">
        <v>0</v>
      </c>
      <c r="R490" s="26">
        <v>0.17</v>
      </c>
      <c r="S490" s="7" t="s">
        <v>115</v>
      </c>
      <c r="T490" s="257">
        <f t="shared" si="14"/>
        <v>125</v>
      </c>
      <c r="U490" s="257">
        <f t="shared" si="15"/>
        <v>25</v>
      </c>
      <c r="V490">
        <v>1</v>
      </c>
      <c r="W490">
        <v>1</v>
      </c>
    </row>
    <row r="491" spans="1:23" ht="45.6" x14ac:dyDescent="0.3">
      <c r="A491" s="212">
        <v>38185</v>
      </c>
      <c r="B491" s="212">
        <v>38185</v>
      </c>
      <c r="C491" s="6">
        <v>7</v>
      </c>
      <c r="D491" s="6">
        <v>1</v>
      </c>
      <c r="E491" s="6">
        <v>2004</v>
      </c>
      <c r="F491" s="15" t="s">
        <v>22</v>
      </c>
      <c r="G491" s="18" t="s">
        <v>6256</v>
      </c>
      <c r="H491" s="9" t="s">
        <v>118</v>
      </c>
      <c r="I491" s="17" t="s">
        <v>860</v>
      </c>
      <c r="J491" s="53" t="s">
        <v>861</v>
      </c>
      <c r="K491" s="13">
        <v>0</v>
      </c>
      <c r="L491" s="233">
        <v>350</v>
      </c>
      <c r="M491" s="13">
        <v>70</v>
      </c>
      <c r="N491" s="13">
        <v>0</v>
      </c>
      <c r="O491" s="13">
        <v>0</v>
      </c>
      <c r="P491" s="13">
        <v>0</v>
      </c>
      <c r="Q491" s="13">
        <v>0</v>
      </c>
      <c r="R491" s="26">
        <v>0.42</v>
      </c>
      <c r="S491" s="7" t="s">
        <v>115</v>
      </c>
      <c r="T491" s="257">
        <f t="shared" si="14"/>
        <v>350</v>
      </c>
      <c r="U491" s="257">
        <f t="shared" si="15"/>
        <v>70</v>
      </c>
      <c r="V491">
        <v>1</v>
      </c>
      <c r="W491">
        <v>1</v>
      </c>
    </row>
    <row r="492" spans="1:23" ht="45.6" x14ac:dyDescent="0.3">
      <c r="A492" s="212">
        <v>38190</v>
      </c>
      <c r="B492" s="212">
        <v>38190</v>
      </c>
      <c r="C492" s="6">
        <v>7</v>
      </c>
      <c r="D492" s="6">
        <v>1</v>
      </c>
      <c r="E492" s="6">
        <v>2004</v>
      </c>
      <c r="F492" s="15" t="s">
        <v>22</v>
      </c>
      <c r="G492" s="18" t="s">
        <v>6256</v>
      </c>
      <c r="H492" s="9" t="s">
        <v>41</v>
      </c>
      <c r="I492" s="17" t="s">
        <v>862</v>
      </c>
      <c r="J492" s="53" t="s">
        <v>863</v>
      </c>
      <c r="K492" s="13">
        <v>0</v>
      </c>
      <c r="L492" s="233">
        <v>150</v>
      </c>
      <c r="M492" s="13">
        <v>30</v>
      </c>
      <c r="N492" s="13">
        <v>0</v>
      </c>
      <c r="O492" s="13">
        <v>0</v>
      </c>
      <c r="P492" s="13">
        <v>0</v>
      </c>
      <c r="Q492" s="13">
        <v>0</v>
      </c>
      <c r="R492" s="26">
        <v>0.3</v>
      </c>
      <c r="S492" s="7" t="s">
        <v>115</v>
      </c>
      <c r="T492" s="257">
        <f t="shared" si="14"/>
        <v>150</v>
      </c>
      <c r="U492" s="257">
        <f t="shared" si="15"/>
        <v>30</v>
      </c>
      <c r="V492">
        <v>1</v>
      </c>
      <c r="W492">
        <v>1</v>
      </c>
    </row>
    <row r="493" spans="1:23" ht="68.400000000000006" x14ac:dyDescent="0.3">
      <c r="A493" s="212">
        <v>38190</v>
      </c>
      <c r="B493" s="212">
        <v>38190</v>
      </c>
      <c r="C493" s="6">
        <v>7</v>
      </c>
      <c r="D493" s="6">
        <v>1</v>
      </c>
      <c r="E493" s="6">
        <v>2004</v>
      </c>
      <c r="F493" s="15" t="s">
        <v>22</v>
      </c>
      <c r="G493" s="18" t="s">
        <v>6256</v>
      </c>
      <c r="H493" s="9" t="s">
        <v>74</v>
      </c>
      <c r="I493" s="17" t="s">
        <v>95</v>
      </c>
      <c r="J493" s="53" t="s">
        <v>864</v>
      </c>
      <c r="K493" s="13">
        <v>3</v>
      </c>
      <c r="L493" s="233">
        <v>3</v>
      </c>
      <c r="M493" s="13">
        <v>0</v>
      </c>
      <c r="N493" s="13">
        <v>0</v>
      </c>
      <c r="O493" s="13">
        <v>0</v>
      </c>
      <c r="P493" s="13">
        <v>0</v>
      </c>
      <c r="Q493" s="13">
        <v>0</v>
      </c>
      <c r="R493" s="26">
        <v>0</v>
      </c>
      <c r="S493" s="7" t="s">
        <v>115</v>
      </c>
      <c r="T493" s="257">
        <f t="shared" si="14"/>
        <v>6</v>
      </c>
      <c r="U493" s="257">
        <f t="shared" si="15"/>
        <v>0</v>
      </c>
      <c r="V493">
        <v>1</v>
      </c>
      <c r="W493">
        <v>0</v>
      </c>
    </row>
    <row r="494" spans="1:23" ht="57" x14ac:dyDescent="0.3">
      <c r="A494" s="212">
        <v>38191</v>
      </c>
      <c r="B494" s="212">
        <v>38191</v>
      </c>
      <c r="C494" s="6">
        <v>7</v>
      </c>
      <c r="D494" s="6">
        <v>1</v>
      </c>
      <c r="E494" s="6">
        <v>2004</v>
      </c>
      <c r="F494" s="15" t="s">
        <v>22</v>
      </c>
      <c r="G494" s="18" t="s">
        <v>6256</v>
      </c>
      <c r="H494" s="9" t="s">
        <v>55</v>
      </c>
      <c r="I494" s="17" t="s">
        <v>865</v>
      </c>
      <c r="J494" s="53" t="s">
        <v>866</v>
      </c>
      <c r="K494" s="13">
        <v>2</v>
      </c>
      <c r="L494" s="233">
        <v>704</v>
      </c>
      <c r="M494" s="13">
        <v>140</v>
      </c>
      <c r="N494" s="13">
        <v>0</v>
      </c>
      <c r="O494" s="13">
        <v>0</v>
      </c>
      <c r="P494" s="13">
        <v>0</v>
      </c>
      <c r="Q494" s="13">
        <v>0</v>
      </c>
      <c r="R494" s="26">
        <v>0.56000000000000005</v>
      </c>
      <c r="S494" s="7" t="s">
        <v>115</v>
      </c>
      <c r="T494" s="257">
        <f t="shared" si="14"/>
        <v>706</v>
      </c>
      <c r="U494" s="257">
        <f t="shared" si="15"/>
        <v>140</v>
      </c>
      <c r="V494">
        <v>1</v>
      </c>
      <c r="W494">
        <v>1</v>
      </c>
    </row>
    <row r="495" spans="1:23" ht="34.200000000000003" x14ac:dyDescent="0.3">
      <c r="A495" s="212">
        <v>38195</v>
      </c>
      <c r="B495" s="212">
        <v>38195</v>
      </c>
      <c r="C495" s="6">
        <v>7</v>
      </c>
      <c r="D495" s="6">
        <v>1</v>
      </c>
      <c r="E495" s="6">
        <v>2004</v>
      </c>
      <c r="F495" s="15" t="s">
        <v>22</v>
      </c>
      <c r="G495" s="18" t="s">
        <v>6256</v>
      </c>
      <c r="H495" s="9" t="s">
        <v>34</v>
      </c>
      <c r="I495" s="17" t="s">
        <v>34</v>
      </c>
      <c r="J495" s="53" t="s">
        <v>867</v>
      </c>
      <c r="K495" s="13">
        <v>0</v>
      </c>
      <c r="L495" s="233">
        <v>300</v>
      </c>
      <c r="M495" s="13">
        <v>60</v>
      </c>
      <c r="N495" s="13">
        <v>0</v>
      </c>
      <c r="O495" s="13">
        <v>0</v>
      </c>
      <c r="P495" s="13">
        <v>0</v>
      </c>
      <c r="Q495" s="13">
        <v>0</v>
      </c>
      <c r="R495" s="26">
        <v>0.36</v>
      </c>
      <c r="S495" s="7" t="s">
        <v>115</v>
      </c>
      <c r="T495" s="257">
        <f t="shared" si="14"/>
        <v>300</v>
      </c>
      <c r="U495" s="257">
        <f t="shared" si="15"/>
        <v>60</v>
      </c>
      <c r="V495">
        <v>1</v>
      </c>
      <c r="W495">
        <v>1</v>
      </c>
    </row>
    <row r="496" spans="1:23" ht="45.6" x14ac:dyDescent="0.3">
      <c r="A496" s="212">
        <v>38195</v>
      </c>
      <c r="B496" s="212">
        <v>38195</v>
      </c>
      <c r="C496" s="6">
        <v>7</v>
      </c>
      <c r="D496" s="6">
        <v>1</v>
      </c>
      <c r="E496" s="6">
        <v>2004</v>
      </c>
      <c r="F496" s="15" t="s">
        <v>22</v>
      </c>
      <c r="G496" s="18" t="s">
        <v>6256</v>
      </c>
      <c r="H496" s="9" t="s">
        <v>43</v>
      </c>
      <c r="I496" s="17" t="s">
        <v>868</v>
      </c>
      <c r="J496" s="53" t="s">
        <v>869</v>
      </c>
      <c r="K496" s="13">
        <v>0</v>
      </c>
      <c r="L496" s="233">
        <v>25</v>
      </c>
      <c r="M496" s="13">
        <v>5</v>
      </c>
      <c r="N496" s="13">
        <v>0</v>
      </c>
      <c r="O496" s="13">
        <v>0</v>
      </c>
      <c r="P496" s="13">
        <v>0</v>
      </c>
      <c r="Q496" s="13">
        <v>0</v>
      </c>
      <c r="R496" s="26">
        <v>0.05</v>
      </c>
      <c r="S496" s="7" t="s">
        <v>115</v>
      </c>
      <c r="T496" s="257">
        <f t="shared" si="14"/>
        <v>25</v>
      </c>
      <c r="U496" s="257">
        <f t="shared" si="15"/>
        <v>5</v>
      </c>
      <c r="V496">
        <v>1</v>
      </c>
      <c r="W496">
        <v>1</v>
      </c>
    </row>
    <row r="497" spans="1:23" ht="45.6" x14ac:dyDescent="0.3">
      <c r="A497" s="212">
        <v>38195</v>
      </c>
      <c r="B497" s="212">
        <v>38195</v>
      </c>
      <c r="C497" s="6">
        <v>7</v>
      </c>
      <c r="D497" s="6">
        <v>1</v>
      </c>
      <c r="E497" s="6">
        <v>2004</v>
      </c>
      <c r="F497" s="15" t="s">
        <v>22</v>
      </c>
      <c r="G497" s="18" t="s">
        <v>6256</v>
      </c>
      <c r="H497" s="9" t="s">
        <v>72</v>
      </c>
      <c r="I497" s="17" t="s">
        <v>870</v>
      </c>
      <c r="J497" s="53" t="s">
        <v>871</v>
      </c>
      <c r="K497" s="13">
        <v>1</v>
      </c>
      <c r="L497" s="233">
        <v>1</v>
      </c>
      <c r="M497" s="13">
        <v>0</v>
      </c>
      <c r="N497" s="13">
        <v>0</v>
      </c>
      <c r="O497" s="13">
        <v>0</v>
      </c>
      <c r="P497" s="13">
        <v>0</v>
      </c>
      <c r="Q497" s="13">
        <v>0</v>
      </c>
      <c r="R497" s="26">
        <v>0</v>
      </c>
      <c r="S497" s="7" t="s">
        <v>115</v>
      </c>
      <c r="T497" s="257">
        <f t="shared" si="14"/>
        <v>2</v>
      </c>
      <c r="U497" s="257">
        <f t="shared" si="15"/>
        <v>0</v>
      </c>
      <c r="V497">
        <v>1</v>
      </c>
      <c r="W497">
        <v>0</v>
      </c>
    </row>
    <row r="498" spans="1:23" ht="34.200000000000003" x14ac:dyDescent="0.3">
      <c r="A498" s="212">
        <v>38196</v>
      </c>
      <c r="B498" s="212">
        <v>38196</v>
      </c>
      <c r="C498" s="6">
        <v>7</v>
      </c>
      <c r="D498" s="6">
        <v>1</v>
      </c>
      <c r="E498" s="6">
        <v>2004</v>
      </c>
      <c r="F498" s="15" t="s">
        <v>22</v>
      </c>
      <c r="G498" s="18" t="s">
        <v>6256</v>
      </c>
      <c r="H498" s="9" t="s">
        <v>24</v>
      </c>
      <c r="I498" s="17" t="s">
        <v>872</v>
      </c>
      <c r="J498" s="53" t="s">
        <v>873</v>
      </c>
      <c r="K498" s="13">
        <v>0</v>
      </c>
      <c r="L498" s="233">
        <v>240</v>
      </c>
      <c r="M498" s="13">
        <v>48</v>
      </c>
      <c r="N498" s="13">
        <v>0</v>
      </c>
      <c r="O498" s="13">
        <v>0</v>
      </c>
      <c r="P498" s="13">
        <v>0</v>
      </c>
      <c r="Q498" s="13">
        <v>0</v>
      </c>
      <c r="R498" s="26">
        <v>0.19</v>
      </c>
      <c r="S498" s="7" t="s">
        <v>115</v>
      </c>
      <c r="T498" s="257">
        <f t="shared" si="14"/>
        <v>240</v>
      </c>
      <c r="U498" s="257">
        <f t="shared" si="15"/>
        <v>48</v>
      </c>
      <c r="V498">
        <v>1</v>
      </c>
      <c r="W498">
        <v>1</v>
      </c>
    </row>
    <row r="499" spans="1:23" ht="45.6" x14ac:dyDescent="0.3">
      <c r="A499" s="212">
        <v>38196</v>
      </c>
      <c r="B499" s="212">
        <v>38196</v>
      </c>
      <c r="C499" s="6">
        <v>7</v>
      </c>
      <c r="D499" s="6">
        <v>1</v>
      </c>
      <c r="E499" s="6">
        <v>2004</v>
      </c>
      <c r="F499" s="15" t="s">
        <v>22</v>
      </c>
      <c r="G499" s="18" t="s">
        <v>6256</v>
      </c>
      <c r="H499" s="9" t="s">
        <v>74</v>
      </c>
      <c r="I499" s="17" t="s">
        <v>874</v>
      </c>
      <c r="J499" s="53" t="s">
        <v>875</v>
      </c>
      <c r="K499" s="13">
        <v>0</v>
      </c>
      <c r="L499" s="233">
        <v>17</v>
      </c>
      <c r="M499" s="13">
        <v>7</v>
      </c>
      <c r="N499" s="13">
        <v>0</v>
      </c>
      <c r="O499" s="13">
        <v>0</v>
      </c>
      <c r="P499" s="13">
        <v>0</v>
      </c>
      <c r="Q499" s="13">
        <v>0</v>
      </c>
      <c r="R499" s="26">
        <v>0.02</v>
      </c>
      <c r="S499" s="7" t="s">
        <v>115</v>
      </c>
      <c r="T499" s="257">
        <f t="shared" si="14"/>
        <v>17</v>
      </c>
      <c r="U499" s="257">
        <f t="shared" si="15"/>
        <v>7</v>
      </c>
      <c r="V499">
        <v>1</v>
      </c>
      <c r="W499">
        <v>1</v>
      </c>
    </row>
    <row r="500" spans="1:23" ht="57" x14ac:dyDescent="0.3">
      <c r="A500" s="212">
        <v>38196</v>
      </c>
      <c r="B500" s="212">
        <v>38196</v>
      </c>
      <c r="C500" s="6">
        <v>7</v>
      </c>
      <c r="D500" s="6">
        <v>1</v>
      </c>
      <c r="E500" s="6">
        <v>2004</v>
      </c>
      <c r="F500" s="15" t="s">
        <v>22</v>
      </c>
      <c r="G500" s="18" t="s">
        <v>6256</v>
      </c>
      <c r="H500" s="9" t="s">
        <v>55</v>
      </c>
      <c r="I500" s="17" t="s">
        <v>876</v>
      </c>
      <c r="J500" s="53" t="s">
        <v>877</v>
      </c>
      <c r="K500" s="13">
        <v>0</v>
      </c>
      <c r="L500" s="233">
        <v>150</v>
      </c>
      <c r="M500" s="13">
        <v>30</v>
      </c>
      <c r="N500" s="13">
        <v>0</v>
      </c>
      <c r="O500" s="13">
        <v>0</v>
      </c>
      <c r="P500" s="13">
        <v>0</v>
      </c>
      <c r="Q500" s="13">
        <v>0</v>
      </c>
      <c r="R500" s="26">
        <v>0.14000000000000001</v>
      </c>
      <c r="S500" s="7" t="s">
        <v>115</v>
      </c>
      <c r="T500" s="257">
        <f t="shared" si="14"/>
        <v>150</v>
      </c>
      <c r="U500" s="257">
        <f t="shared" si="15"/>
        <v>30</v>
      </c>
      <c r="V500">
        <v>1</v>
      </c>
      <c r="W500">
        <v>1</v>
      </c>
    </row>
    <row r="501" spans="1:23" ht="34.200000000000003" x14ac:dyDescent="0.3">
      <c r="A501" s="212">
        <v>38197</v>
      </c>
      <c r="B501" s="212">
        <v>38197</v>
      </c>
      <c r="C501" s="6">
        <v>7</v>
      </c>
      <c r="D501" s="6">
        <v>1</v>
      </c>
      <c r="E501" s="6">
        <v>2004</v>
      </c>
      <c r="F501" s="15" t="s">
        <v>22</v>
      </c>
      <c r="G501" s="18" t="s">
        <v>6256</v>
      </c>
      <c r="H501" s="9" t="s">
        <v>88</v>
      </c>
      <c r="I501" s="17" t="s">
        <v>878</v>
      </c>
      <c r="J501" s="53" t="s">
        <v>879</v>
      </c>
      <c r="K501" s="13">
        <v>1</v>
      </c>
      <c r="L501" s="233">
        <v>0</v>
      </c>
      <c r="M501" s="13">
        <v>0</v>
      </c>
      <c r="N501" s="13">
        <v>0</v>
      </c>
      <c r="O501" s="13">
        <v>0</v>
      </c>
      <c r="P501" s="13">
        <v>0</v>
      </c>
      <c r="Q501" s="13">
        <v>0</v>
      </c>
      <c r="R501" s="26">
        <v>0</v>
      </c>
      <c r="S501" s="7" t="s">
        <v>115</v>
      </c>
      <c r="T501" s="257">
        <f t="shared" si="14"/>
        <v>1</v>
      </c>
      <c r="U501" s="257">
        <f t="shared" si="15"/>
        <v>0</v>
      </c>
      <c r="V501">
        <v>1</v>
      </c>
      <c r="W501">
        <v>0</v>
      </c>
    </row>
    <row r="502" spans="1:23" ht="45.6" x14ac:dyDescent="0.3">
      <c r="A502" s="212">
        <v>38218</v>
      </c>
      <c r="B502" s="212">
        <v>38219</v>
      </c>
      <c r="C502" s="6">
        <v>8</v>
      </c>
      <c r="D502" s="6">
        <v>2</v>
      </c>
      <c r="E502" s="6">
        <v>2004</v>
      </c>
      <c r="F502" s="15" t="s">
        <v>22</v>
      </c>
      <c r="G502" s="18" t="s">
        <v>6256</v>
      </c>
      <c r="H502" s="9" t="s">
        <v>43</v>
      </c>
      <c r="I502" s="53" t="s">
        <v>880</v>
      </c>
      <c r="J502" s="53" t="s">
        <v>881</v>
      </c>
      <c r="K502" s="13">
        <v>0</v>
      </c>
      <c r="L502" s="233">
        <v>64</v>
      </c>
      <c r="M502" s="13">
        <v>16</v>
      </c>
      <c r="N502" s="13">
        <v>0</v>
      </c>
      <c r="O502" s="13">
        <v>0</v>
      </c>
      <c r="P502" s="13">
        <v>0</v>
      </c>
      <c r="Q502" s="13">
        <v>0</v>
      </c>
      <c r="R502" s="26">
        <v>0.16</v>
      </c>
      <c r="S502" s="7" t="s">
        <v>115</v>
      </c>
      <c r="T502" s="257">
        <f t="shared" si="14"/>
        <v>64</v>
      </c>
      <c r="U502" s="257">
        <f t="shared" si="15"/>
        <v>16</v>
      </c>
      <c r="V502">
        <v>1</v>
      </c>
      <c r="W502">
        <v>1</v>
      </c>
    </row>
    <row r="503" spans="1:23" ht="136.80000000000001" x14ac:dyDescent="0.3">
      <c r="A503" s="212">
        <v>38215</v>
      </c>
      <c r="B503" s="212">
        <v>38215</v>
      </c>
      <c r="C503" s="6">
        <v>8</v>
      </c>
      <c r="D503" s="6">
        <v>1</v>
      </c>
      <c r="E503" s="6">
        <v>2004</v>
      </c>
      <c r="F503" s="15" t="s">
        <v>22</v>
      </c>
      <c r="G503" s="18" t="s">
        <v>6256</v>
      </c>
      <c r="H503" s="9" t="s">
        <v>34</v>
      </c>
      <c r="I503" s="17" t="s">
        <v>882</v>
      </c>
      <c r="J503" s="53" t="s">
        <v>883</v>
      </c>
      <c r="K503" s="13">
        <v>2</v>
      </c>
      <c r="L503" s="233">
        <v>500</v>
      </c>
      <c r="M503" s="13">
        <v>168</v>
      </c>
      <c r="N503" s="13">
        <v>0</v>
      </c>
      <c r="O503" s="13">
        <v>0</v>
      </c>
      <c r="P503" s="13">
        <v>0</v>
      </c>
      <c r="Q503" s="13">
        <v>219</v>
      </c>
      <c r="R503" s="26">
        <v>30.53</v>
      </c>
      <c r="S503" s="7" t="s">
        <v>115</v>
      </c>
      <c r="T503" s="257">
        <f t="shared" si="14"/>
        <v>502</v>
      </c>
      <c r="U503" s="257">
        <f t="shared" si="15"/>
        <v>168</v>
      </c>
      <c r="V503">
        <v>1</v>
      </c>
      <c r="W503">
        <v>1</v>
      </c>
    </row>
    <row r="504" spans="1:23" ht="45.6" x14ac:dyDescent="0.3">
      <c r="A504" s="212">
        <v>38218</v>
      </c>
      <c r="B504" s="212">
        <v>38218</v>
      </c>
      <c r="C504" s="6">
        <v>8</v>
      </c>
      <c r="D504" s="6">
        <v>1</v>
      </c>
      <c r="E504" s="6">
        <v>2004</v>
      </c>
      <c r="F504" s="15" t="s">
        <v>22</v>
      </c>
      <c r="G504" s="18" t="s">
        <v>6256</v>
      </c>
      <c r="H504" s="9" t="s">
        <v>51</v>
      </c>
      <c r="I504" s="17" t="s">
        <v>884</v>
      </c>
      <c r="J504" s="53" t="s">
        <v>885</v>
      </c>
      <c r="K504" s="13">
        <v>0</v>
      </c>
      <c r="L504" s="233">
        <v>7</v>
      </c>
      <c r="M504" s="13">
        <v>1</v>
      </c>
      <c r="N504" s="13">
        <v>0</v>
      </c>
      <c r="O504" s="13">
        <v>0</v>
      </c>
      <c r="P504" s="13">
        <v>0</v>
      </c>
      <c r="Q504" s="13">
        <v>0</v>
      </c>
      <c r="R504" s="26">
        <v>0.01</v>
      </c>
      <c r="S504" s="7" t="s">
        <v>115</v>
      </c>
      <c r="T504" s="257">
        <f t="shared" si="14"/>
        <v>7</v>
      </c>
      <c r="U504" s="257">
        <f t="shared" si="15"/>
        <v>1</v>
      </c>
      <c r="V504">
        <v>1</v>
      </c>
      <c r="W504">
        <v>1</v>
      </c>
    </row>
    <row r="505" spans="1:23" ht="45.6" x14ac:dyDescent="0.3">
      <c r="A505" s="212">
        <v>38219</v>
      </c>
      <c r="B505" s="212">
        <v>38219</v>
      </c>
      <c r="C505" s="6">
        <v>8</v>
      </c>
      <c r="D505" s="6">
        <v>1</v>
      </c>
      <c r="E505" s="6">
        <v>2004</v>
      </c>
      <c r="F505" s="15" t="s">
        <v>22</v>
      </c>
      <c r="G505" s="18" t="s">
        <v>6256</v>
      </c>
      <c r="H505" s="9" t="s">
        <v>52</v>
      </c>
      <c r="I505" s="17" t="s">
        <v>639</v>
      </c>
      <c r="J505" s="53" t="s">
        <v>886</v>
      </c>
      <c r="K505" s="13">
        <v>0</v>
      </c>
      <c r="L505" s="233">
        <v>100</v>
      </c>
      <c r="M505" s="13">
        <v>20</v>
      </c>
      <c r="N505" s="13">
        <v>0</v>
      </c>
      <c r="O505" s="13">
        <v>0</v>
      </c>
      <c r="P505" s="13">
        <v>0</v>
      </c>
      <c r="Q505" s="13">
        <v>0</v>
      </c>
      <c r="R505" s="26">
        <v>0.08</v>
      </c>
      <c r="S505" s="7" t="s">
        <v>115</v>
      </c>
      <c r="T505" s="257">
        <f t="shared" si="14"/>
        <v>100</v>
      </c>
      <c r="U505" s="257">
        <f t="shared" si="15"/>
        <v>20</v>
      </c>
      <c r="V505">
        <v>1</v>
      </c>
      <c r="W505">
        <v>1</v>
      </c>
    </row>
    <row r="506" spans="1:23" ht="45.6" x14ac:dyDescent="0.3">
      <c r="A506" s="212">
        <v>38221</v>
      </c>
      <c r="B506" s="212">
        <v>38221</v>
      </c>
      <c r="C506" s="6">
        <v>8</v>
      </c>
      <c r="D506" s="6">
        <v>1</v>
      </c>
      <c r="E506" s="6">
        <v>2004</v>
      </c>
      <c r="F506" s="15" t="s">
        <v>22</v>
      </c>
      <c r="G506" s="18" t="s">
        <v>6256</v>
      </c>
      <c r="H506" s="9" t="s">
        <v>70</v>
      </c>
      <c r="I506" s="17" t="s">
        <v>887</v>
      </c>
      <c r="J506" s="53" t="s">
        <v>888</v>
      </c>
      <c r="K506" s="13">
        <v>0</v>
      </c>
      <c r="L506" s="233">
        <v>85</v>
      </c>
      <c r="M506" s="13">
        <v>17</v>
      </c>
      <c r="N506" s="13">
        <v>0</v>
      </c>
      <c r="O506" s="13">
        <v>0</v>
      </c>
      <c r="P506" s="13">
        <v>0</v>
      </c>
      <c r="Q506" s="13">
        <v>0</v>
      </c>
      <c r="R506" s="26">
        <v>0.06</v>
      </c>
      <c r="S506" s="7" t="s">
        <v>115</v>
      </c>
      <c r="T506" s="257">
        <f t="shared" si="14"/>
        <v>85</v>
      </c>
      <c r="U506" s="257">
        <f t="shared" si="15"/>
        <v>17</v>
      </c>
      <c r="V506">
        <v>1</v>
      </c>
      <c r="W506">
        <v>1</v>
      </c>
    </row>
    <row r="507" spans="1:23" ht="79.8" x14ac:dyDescent="0.3">
      <c r="A507" s="212">
        <v>38222</v>
      </c>
      <c r="B507" s="212">
        <v>38222</v>
      </c>
      <c r="C507" s="6">
        <v>8</v>
      </c>
      <c r="D507" s="6">
        <v>1</v>
      </c>
      <c r="E507" s="6">
        <v>2004</v>
      </c>
      <c r="F507" s="15" t="s">
        <v>22</v>
      </c>
      <c r="G507" s="18" t="s">
        <v>6256</v>
      </c>
      <c r="H507" s="9" t="s">
        <v>51</v>
      </c>
      <c r="I507" s="17" t="s">
        <v>889</v>
      </c>
      <c r="J507" s="53" t="s">
        <v>890</v>
      </c>
      <c r="K507" s="13">
        <v>0</v>
      </c>
      <c r="L507" s="233">
        <v>25</v>
      </c>
      <c r="M507" s="13">
        <v>5</v>
      </c>
      <c r="N507" s="13">
        <v>0</v>
      </c>
      <c r="O507" s="13">
        <v>0</v>
      </c>
      <c r="P507" s="13">
        <v>0</v>
      </c>
      <c r="Q507" s="13">
        <v>0</v>
      </c>
      <c r="R507" s="26">
        <v>0.23</v>
      </c>
      <c r="S507" s="7" t="s">
        <v>115</v>
      </c>
      <c r="T507" s="257">
        <f t="shared" si="14"/>
        <v>25</v>
      </c>
      <c r="U507" s="257">
        <f t="shared" si="15"/>
        <v>5</v>
      </c>
      <c r="V507">
        <v>1</v>
      </c>
      <c r="W507">
        <v>1</v>
      </c>
    </row>
    <row r="508" spans="1:23" ht="45.6" x14ac:dyDescent="0.3">
      <c r="A508" s="212">
        <v>38224</v>
      </c>
      <c r="B508" s="212">
        <v>38224</v>
      </c>
      <c r="C508" s="6">
        <v>8</v>
      </c>
      <c r="D508" s="6">
        <v>1</v>
      </c>
      <c r="E508" s="6">
        <v>2004</v>
      </c>
      <c r="F508" s="15" t="s">
        <v>22</v>
      </c>
      <c r="G508" s="18" t="s">
        <v>6256</v>
      </c>
      <c r="H508" s="9" t="s">
        <v>52</v>
      </c>
      <c r="I508" s="17" t="s">
        <v>448</v>
      </c>
      <c r="J508" s="53" t="s">
        <v>891</v>
      </c>
      <c r="K508" s="13">
        <v>0</v>
      </c>
      <c r="L508" s="233">
        <v>45</v>
      </c>
      <c r="M508" s="13">
        <v>9</v>
      </c>
      <c r="N508" s="13">
        <v>0</v>
      </c>
      <c r="O508" s="13">
        <v>0</v>
      </c>
      <c r="P508" s="13">
        <v>0</v>
      </c>
      <c r="Q508" s="13">
        <v>0</v>
      </c>
      <c r="R508" s="26">
        <v>0.05</v>
      </c>
      <c r="S508" s="7" t="s">
        <v>115</v>
      </c>
      <c r="T508" s="257">
        <f t="shared" si="14"/>
        <v>45</v>
      </c>
      <c r="U508" s="257">
        <f t="shared" si="15"/>
        <v>9</v>
      </c>
      <c r="V508">
        <v>1</v>
      </c>
      <c r="W508">
        <v>1</v>
      </c>
    </row>
    <row r="509" spans="1:23" ht="45.6" x14ac:dyDescent="0.3">
      <c r="A509" s="212">
        <v>38225</v>
      </c>
      <c r="B509" s="212">
        <v>38225</v>
      </c>
      <c r="C509" s="6">
        <v>8</v>
      </c>
      <c r="D509" s="6">
        <v>1</v>
      </c>
      <c r="E509" s="6">
        <v>2004</v>
      </c>
      <c r="F509" s="15" t="s">
        <v>22</v>
      </c>
      <c r="G509" s="18" t="s">
        <v>6256</v>
      </c>
      <c r="H509" s="9" t="s">
        <v>112</v>
      </c>
      <c r="I509" s="17" t="s">
        <v>892</v>
      </c>
      <c r="J509" s="53" t="s">
        <v>893</v>
      </c>
      <c r="K509" s="13">
        <v>0</v>
      </c>
      <c r="L509" s="233">
        <v>75</v>
      </c>
      <c r="M509" s="13">
        <v>15</v>
      </c>
      <c r="N509" s="13">
        <v>0</v>
      </c>
      <c r="O509" s="13">
        <v>0</v>
      </c>
      <c r="P509" s="13">
        <v>0</v>
      </c>
      <c r="Q509" s="13">
        <v>0</v>
      </c>
      <c r="R509" s="26">
        <v>0.06</v>
      </c>
      <c r="S509" s="7" t="s">
        <v>115</v>
      </c>
      <c r="T509" s="257">
        <f t="shared" si="14"/>
        <v>75</v>
      </c>
      <c r="U509" s="257">
        <f t="shared" si="15"/>
        <v>15</v>
      </c>
      <c r="V509">
        <v>1</v>
      </c>
      <c r="W509">
        <v>1</v>
      </c>
    </row>
    <row r="510" spans="1:23" ht="45.6" x14ac:dyDescent="0.3">
      <c r="A510" s="212">
        <v>38226</v>
      </c>
      <c r="B510" s="212">
        <v>38226</v>
      </c>
      <c r="C510" s="6">
        <v>8</v>
      </c>
      <c r="D510" s="6">
        <v>1</v>
      </c>
      <c r="E510" s="6">
        <v>2004</v>
      </c>
      <c r="F510" s="15" t="s">
        <v>22</v>
      </c>
      <c r="G510" s="18" t="s">
        <v>6256</v>
      </c>
      <c r="H510" s="9" t="s">
        <v>34</v>
      </c>
      <c r="I510" s="17" t="s">
        <v>894</v>
      </c>
      <c r="J510" s="53" t="s">
        <v>895</v>
      </c>
      <c r="K510" s="13">
        <v>0</v>
      </c>
      <c r="L510" s="233">
        <v>50</v>
      </c>
      <c r="M510" s="13">
        <v>10</v>
      </c>
      <c r="N510" s="13">
        <v>0</v>
      </c>
      <c r="O510" s="13">
        <v>0</v>
      </c>
      <c r="P510" s="13">
        <v>0</v>
      </c>
      <c r="Q510" s="13">
        <v>0</v>
      </c>
      <c r="R510" s="26">
        <v>0.06</v>
      </c>
      <c r="S510" s="7" t="s">
        <v>115</v>
      </c>
      <c r="T510" s="257">
        <f t="shared" si="14"/>
        <v>50</v>
      </c>
      <c r="U510" s="257">
        <f t="shared" si="15"/>
        <v>10</v>
      </c>
      <c r="V510">
        <v>1</v>
      </c>
      <c r="W510">
        <v>1</v>
      </c>
    </row>
    <row r="511" spans="1:23" ht="79.8" x14ac:dyDescent="0.3">
      <c r="A511" s="212">
        <v>38227</v>
      </c>
      <c r="B511" s="212">
        <v>38227</v>
      </c>
      <c r="C511" s="6">
        <v>8</v>
      </c>
      <c r="D511" s="6">
        <v>1</v>
      </c>
      <c r="E511" s="6">
        <v>2004</v>
      </c>
      <c r="F511" s="15" t="s">
        <v>22</v>
      </c>
      <c r="G511" s="18" t="s">
        <v>6256</v>
      </c>
      <c r="H511" s="9" t="s">
        <v>74</v>
      </c>
      <c r="I511" s="17" t="s">
        <v>896</v>
      </c>
      <c r="J511" s="53" t="s">
        <v>897</v>
      </c>
      <c r="K511" s="13">
        <v>0</v>
      </c>
      <c r="L511" s="233">
        <v>180</v>
      </c>
      <c r="M511" s="13">
        <v>36</v>
      </c>
      <c r="N511" s="13">
        <v>0</v>
      </c>
      <c r="O511" s="13">
        <v>0</v>
      </c>
      <c r="P511" s="13">
        <v>0</v>
      </c>
      <c r="Q511" s="13">
        <v>0</v>
      </c>
      <c r="R511" s="26">
        <v>0.14000000000000001</v>
      </c>
      <c r="S511" s="7" t="s">
        <v>115</v>
      </c>
      <c r="T511" s="257">
        <f t="shared" si="14"/>
        <v>180</v>
      </c>
      <c r="U511" s="257">
        <f t="shared" si="15"/>
        <v>36</v>
      </c>
      <c r="V511">
        <v>1</v>
      </c>
      <c r="W511">
        <v>1</v>
      </c>
    </row>
    <row r="512" spans="1:23" ht="57" x14ac:dyDescent="0.3">
      <c r="A512" s="212">
        <v>38231</v>
      </c>
      <c r="B512" s="212">
        <v>38232</v>
      </c>
      <c r="C512" s="6">
        <v>9</v>
      </c>
      <c r="D512" s="6">
        <v>2</v>
      </c>
      <c r="E512" s="6">
        <v>2004</v>
      </c>
      <c r="F512" s="15" t="s">
        <v>22</v>
      </c>
      <c r="G512" s="18" t="s">
        <v>6256</v>
      </c>
      <c r="H512" s="9" t="s">
        <v>57</v>
      </c>
      <c r="I512" s="17" t="s">
        <v>898</v>
      </c>
      <c r="J512" s="53" t="s">
        <v>899</v>
      </c>
      <c r="K512" s="13">
        <v>0</v>
      </c>
      <c r="L512" s="233">
        <v>21</v>
      </c>
      <c r="M512" s="13">
        <v>0</v>
      </c>
      <c r="N512" s="13">
        <v>0</v>
      </c>
      <c r="O512" s="13">
        <v>0</v>
      </c>
      <c r="P512" s="13">
        <v>0</v>
      </c>
      <c r="Q512" s="13">
        <v>0</v>
      </c>
      <c r="R512" s="26">
        <v>0</v>
      </c>
      <c r="S512" s="7" t="s">
        <v>115</v>
      </c>
      <c r="T512" s="257">
        <f t="shared" si="14"/>
        <v>21</v>
      </c>
      <c r="U512" s="257">
        <f t="shared" si="15"/>
        <v>0</v>
      </c>
      <c r="V512">
        <v>1</v>
      </c>
      <c r="W512">
        <v>0</v>
      </c>
    </row>
    <row r="513" spans="1:23" ht="91.2" x14ac:dyDescent="0.3">
      <c r="A513" s="212">
        <v>38232</v>
      </c>
      <c r="B513" s="212">
        <v>38234</v>
      </c>
      <c r="C513" s="6">
        <v>9</v>
      </c>
      <c r="D513" s="6">
        <v>3</v>
      </c>
      <c r="E513" s="6">
        <v>2004</v>
      </c>
      <c r="F513" s="15" t="s">
        <v>22</v>
      </c>
      <c r="G513" s="18" t="s">
        <v>6256</v>
      </c>
      <c r="H513" s="9" t="s">
        <v>46</v>
      </c>
      <c r="I513" s="17" t="s">
        <v>900</v>
      </c>
      <c r="J513" s="53" t="s">
        <v>901</v>
      </c>
      <c r="K513" s="13">
        <v>0</v>
      </c>
      <c r="L513" s="233">
        <v>770</v>
      </c>
      <c r="M513" s="13">
        <v>283</v>
      </c>
      <c r="N513" s="13">
        <v>0</v>
      </c>
      <c r="O513" s="13">
        <v>0</v>
      </c>
      <c r="P513" s="13">
        <v>0</v>
      </c>
      <c r="Q513" s="13">
        <v>0</v>
      </c>
      <c r="R513" s="26">
        <v>2.94</v>
      </c>
      <c r="S513" s="7" t="s">
        <v>115</v>
      </c>
      <c r="T513" s="257">
        <f t="shared" si="14"/>
        <v>770</v>
      </c>
      <c r="U513" s="257">
        <f t="shared" si="15"/>
        <v>283</v>
      </c>
      <c r="V513">
        <v>1</v>
      </c>
      <c r="W513">
        <v>1</v>
      </c>
    </row>
    <row r="514" spans="1:23" ht="57" x14ac:dyDescent="0.3">
      <c r="A514" s="212">
        <v>38232</v>
      </c>
      <c r="B514" s="212">
        <v>38232</v>
      </c>
      <c r="C514" s="6">
        <v>9</v>
      </c>
      <c r="D514" s="6">
        <v>1</v>
      </c>
      <c r="E514" s="6">
        <v>2004</v>
      </c>
      <c r="F514" s="15" t="s">
        <v>22</v>
      </c>
      <c r="G514" s="18" t="s">
        <v>6256</v>
      </c>
      <c r="H514" s="9" t="s">
        <v>78</v>
      </c>
      <c r="I514" s="17" t="s">
        <v>121</v>
      </c>
      <c r="J514" s="53" t="s">
        <v>902</v>
      </c>
      <c r="K514" s="13">
        <v>0</v>
      </c>
      <c r="L514" s="233">
        <v>200</v>
      </c>
      <c r="M514" s="13">
        <v>0</v>
      </c>
      <c r="N514" s="13">
        <v>0</v>
      </c>
      <c r="O514" s="13">
        <v>0</v>
      </c>
      <c r="P514" s="13">
        <v>0</v>
      </c>
      <c r="Q514" s="13">
        <v>0</v>
      </c>
      <c r="R514" s="26">
        <v>0.06</v>
      </c>
      <c r="S514" s="7" t="s">
        <v>115</v>
      </c>
      <c r="T514" s="257">
        <f t="shared" si="14"/>
        <v>200</v>
      </c>
      <c r="U514" s="257">
        <f t="shared" si="15"/>
        <v>0</v>
      </c>
      <c r="V514">
        <v>1</v>
      </c>
      <c r="W514">
        <v>0</v>
      </c>
    </row>
    <row r="515" spans="1:23" ht="45.6" x14ac:dyDescent="0.3">
      <c r="A515" s="212">
        <v>38233</v>
      </c>
      <c r="B515" s="212">
        <v>38233</v>
      </c>
      <c r="C515" s="6">
        <v>9</v>
      </c>
      <c r="D515" s="6">
        <v>1</v>
      </c>
      <c r="E515" s="6">
        <v>2004</v>
      </c>
      <c r="F515" s="15" t="s">
        <v>22</v>
      </c>
      <c r="G515" s="18" t="s">
        <v>6256</v>
      </c>
      <c r="H515" s="9" t="s">
        <v>88</v>
      </c>
      <c r="I515" s="17" t="s">
        <v>878</v>
      </c>
      <c r="J515" s="53" t="s">
        <v>903</v>
      </c>
      <c r="K515" s="13">
        <v>0</v>
      </c>
      <c r="L515" s="233">
        <v>140</v>
      </c>
      <c r="M515" s="13">
        <v>47</v>
      </c>
      <c r="N515" s="13">
        <v>0</v>
      </c>
      <c r="O515" s="13">
        <v>0</v>
      </c>
      <c r="P515" s="13">
        <v>0</v>
      </c>
      <c r="Q515" s="13">
        <v>0</v>
      </c>
      <c r="R515" s="26">
        <v>0.28000000000000003</v>
      </c>
      <c r="S515" s="7" t="s">
        <v>115</v>
      </c>
      <c r="T515" s="257">
        <f t="shared" ref="T515:T578" si="16">SUM(K515:L515)</f>
        <v>140</v>
      </c>
      <c r="U515" s="257">
        <f t="shared" ref="U515:U578" si="17">SUM(M515:P515)</f>
        <v>47</v>
      </c>
      <c r="V515">
        <v>1</v>
      </c>
      <c r="W515">
        <v>1</v>
      </c>
    </row>
    <row r="516" spans="1:23" ht="45.6" x14ac:dyDescent="0.3">
      <c r="A516" s="212">
        <v>38234</v>
      </c>
      <c r="B516" s="212">
        <v>38234</v>
      </c>
      <c r="C516" s="6">
        <v>9</v>
      </c>
      <c r="D516" s="6">
        <v>1</v>
      </c>
      <c r="E516" s="6">
        <v>2004</v>
      </c>
      <c r="F516" s="15" t="s">
        <v>22</v>
      </c>
      <c r="G516" s="18" t="s">
        <v>6256</v>
      </c>
      <c r="H516" s="9" t="s">
        <v>72</v>
      </c>
      <c r="I516" s="17" t="s">
        <v>904</v>
      </c>
      <c r="J516" s="53" t="s">
        <v>905</v>
      </c>
      <c r="K516" s="13">
        <v>0</v>
      </c>
      <c r="L516" s="233">
        <v>180</v>
      </c>
      <c r="M516" s="13">
        <v>45</v>
      </c>
      <c r="N516" s="13">
        <v>0</v>
      </c>
      <c r="O516" s="13">
        <v>0</v>
      </c>
      <c r="P516" s="13">
        <v>0</v>
      </c>
      <c r="Q516" s="13">
        <v>0</v>
      </c>
      <c r="R516" s="26">
        <v>0.45</v>
      </c>
      <c r="S516" s="7" t="s">
        <v>115</v>
      </c>
      <c r="T516" s="257">
        <f t="shared" si="16"/>
        <v>180</v>
      </c>
      <c r="U516" s="257">
        <f t="shared" si="17"/>
        <v>45</v>
      </c>
      <c r="V516">
        <v>1</v>
      </c>
      <c r="W516">
        <v>1</v>
      </c>
    </row>
    <row r="517" spans="1:23" ht="68.400000000000006" x14ac:dyDescent="0.3">
      <c r="A517" s="212">
        <v>38234</v>
      </c>
      <c r="B517" s="212">
        <v>38234</v>
      </c>
      <c r="C517" s="6">
        <v>9</v>
      </c>
      <c r="D517" s="6">
        <v>1</v>
      </c>
      <c r="E517" s="6">
        <v>2004</v>
      </c>
      <c r="F517" s="15" t="s">
        <v>22</v>
      </c>
      <c r="G517" s="18" t="s">
        <v>6256</v>
      </c>
      <c r="H517" s="9" t="s">
        <v>51</v>
      </c>
      <c r="I517" s="53" t="s">
        <v>906</v>
      </c>
      <c r="J517" s="53" t="s">
        <v>907</v>
      </c>
      <c r="K517" s="13">
        <v>0</v>
      </c>
      <c r="L517" s="233">
        <v>600</v>
      </c>
      <c r="M517" s="13">
        <v>150</v>
      </c>
      <c r="N517" s="13">
        <v>0</v>
      </c>
      <c r="O517" s="13">
        <v>0</v>
      </c>
      <c r="P517" s="13">
        <v>0</v>
      </c>
      <c r="Q517" s="13">
        <v>0</v>
      </c>
      <c r="R517" s="26">
        <v>0.9</v>
      </c>
      <c r="S517" s="7" t="s">
        <v>115</v>
      </c>
      <c r="T517" s="257">
        <f t="shared" si="16"/>
        <v>600</v>
      </c>
      <c r="U517" s="257">
        <f t="shared" si="17"/>
        <v>150</v>
      </c>
      <c r="V517">
        <v>1</v>
      </c>
      <c r="W517">
        <v>1</v>
      </c>
    </row>
    <row r="518" spans="1:23" ht="102.6" x14ac:dyDescent="0.3">
      <c r="A518" s="212">
        <v>38235</v>
      </c>
      <c r="B518" s="212">
        <v>38235</v>
      </c>
      <c r="C518" s="6">
        <v>9</v>
      </c>
      <c r="D518" s="6">
        <v>1</v>
      </c>
      <c r="E518" s="6">
        <v>2004</v>
      </c>
      <c r="F518" s="15" t="s">
        <v>22</v>
      </c>
      <c r="G518" s="16" t="s">
        <v>6254</v>
      </c>
      <c r="H518" s="9" t="s">
        <v>74</v>
      </c>
      <c r="I518" s="17" t="s">
        <v>908</v>
      </c>
      <c r="J518" s="53" t="s">
        <v>909</v>
      </c>
      <c r="K518" s="13">
        <v>0</v>
      </c>
      <c r="L518" s="233">
        <v>2654</v>
      </c>
      <c r="M518" s="13">
        <v>284</v>
      </c>
      <c r="N518" s="13">
        <v>0</v>
      </c>
      <c r="O518" s="13">
        <v>0</v>
      </c>
      <c r="P518" s="13">
        <v>0</v>
      </c>
      <c r="Q518" s="13">
        <v>0</v>
      </c>
      <c r="R518" s="26">
        <v>1.1499999999999999</v>
      </c>
      <c r="S518" s="7" t="s">
        <v>115</v>
      </c>
      <c r="T518" s="257">
        <f t="shared" si="16"/>
        <v>2654</v>
      </c>
      <c r="U518" s="257">
        <f t="shared" si="17"/>
        <v>284</v>
      </c>
      <c r="V518">
        <v>1</v>
      </c>
      <c r="W518">
        <v>1</v>
      </c>
    </row>
    <row r="519" spans="1:23" ht="34.200000000000003" x14ac:dyDescent="0.3">
      <c r="A519" s="212">
        <v>38235</v>
      </c>
      <c r="B519" s="212">
        <v>38235</v>
      </c>
      <c r="C519" s="6">
        <v>9</v>
      </c>
      <c r="D519" s="6">
        <v>1</v>
      </c>
      <c r="E519" s="6">
        <v>2004</v>
      </c>
      <c r="F519" s="15" t="s">
        <v>22</v>
      </c>
      <c r="G519" s="18" t="s">
        <v>6256</v>
      </c>
      <c r="H519" s="9" t="s">
        <v>46</v>
      </c>
      <c r="I519" s="17" t="s">
        <v>910</v>
      </c>
      <c r="J519" s="53" t="s">
        <v>911</v>
      </c>
      <c r="K519" s="13">
        <v>0</v>
      </c>
      <c r="L519" s="233">
        <v>15</v>
      </c>
      <c r="M519" s="13">
        <v>3</v>
      </c>
      <c r="N519" s="13">
        <v>0</v>
      </c>
      <c r="O519" s="13">
        <v>0</v>
      </c>
      <c r="P519" s="13">
        <v>0</v>
      </c>
      <c r="Q519" s="13">
        <v>0</v>
      </c>
      <c r="R519" s="26">
        <v>0.1</v>
      </c>
      <c r="S519" s="7" t="s">
        <v>115</v>
      </c>
      <c r="T519" s="257">
        <f t="shared" si="16"/>
        <v>15</v>
      </c>
      <c r="U519" s="257">
        <f t="shared" si="17"/>
        <v>3</v>
      </c>
      <c r="V519">
        <v>1</v>
      </c>
      <c r="W519">
        <v>1</v>
      </c>
    </row>
    <row r="520" spans="1:23" ht="91.2" x14ac:dyDescent="0.3">
      <c r="A520" s="212">
        <v>38236</v>
      </c>
      <c r="B520" s="212">
        <v>38236</v>
      </c>
      <c r="C520" s="6">
        <v>9</v>
      </c>
      <c r="D520" s="6">
        <v>1</v>
      </c>
      <c r="E520" s="6">
        <v>2004</v>
      </c>
      <c r="F520" s="15" t="s">
        <v>22</v>
      </c>
      <c r="G520" s="18" t="s">
        <v>6256</v>
      </c>
      <c r="H520" s="9" t="s">
        <v>52</v>
      </c>
      <c r="I520" s="17" t="s">
        <v>658</v>
      </c>
      <c r="J520" s="53" t="s">
        <v>912</v>
      </c>
      <c r="K520" s="13">
        <v>0</v>
      </c>
      <c r="L520" s="233">
        <v>8535</v>
      </c>
      <c r="M520" s="13">
        <v>1707</v>
      </c>
      <c r="N520" s="13">
        <v>0</v>
      </c>
      <c r="O520" s="13">
        <v>0</v>
      </c>
      <c r="P520" s="13">
        <v>0</v>
      </c>
      <c r="Q520" s="13">
        <v>0</v>
      </c>
      <c r="R520" s="26">
        <v>10.28</v>
      </c>
      <c r="S520" s="7" t="s">
        <v>115</v>
      </c>
      <c r="T520" s="257">
        <f t="shared" si="16"/>
        <v>8535</v>
      </c>
      <c r="U520" s="257">
        <f t="shared" si="17"/>
        <v>1707</v>
      </c>
      <c r="V520">
        <v>1</v>
      </c>
      <c r="W520">
        <v>2</v>
      </c>
    </row>
    <row r="521" spans="1:23" ht="34.200000000000003" x14ac:dyDescent="0.3">
      <c r="A521" s="212">
        <v>38236</v>
      </c>
      <c r="B521" s="212">
        <v>38236</v>
      </c>
      <c r="C521" s="6">
        <v>9</v>
      </c>
      <c r="D521" s="6">
        <v>1</v>
      </c>
      <c r="E521" s="6">
        <v>2004</v>
      </c>
      <c r="F521" s="15" t="s">
        <v>22</v>
      </c>
      <c r="G521" s="18" t="s">
        <v>6256</v>
      </c>
      <c r="H521" s="9" t="s">
        <v>41</v>
      </c>
      <c r="I521" s="17" t="s">
        <v>913</v>
      </c>
      <c r="J521" s="53" t="s">
        <v>914</v>
      </c>
      <c r="K521" s="13">
        <v>0</v>
      </c>
      <c r="L521" s="233">
        <v>0</v>
      </c>
      <c r="M521" s="13">
        <v>15</v>
      </c>
      <c r="N521" s="13">
        <v>0</v>
      </c>
      <c r="O521" s="13">
        <v>0</v>
      </c>
      <c r="P521" s="13">
        <v>0</v>
      </c>
      <c r="Q521" s="13">
        <v>0</v>
      </c>
      <c r="R521" s="26">
        <v>0.09</v>
      </c>
      <c r="S521" s="7" t="s">
        <v>115</v>
      </c>
      <c r="T521" s="257">
        <f t="shared" si="16"/>
        <v>0</v>
      </c>
      <c r="U521" s="257">
        <f t="shared" si="17"/>
        <v>15</v>
      </c>
      <c r="V521">
        <v>0</v>
      </c>
      <c r="W521">
        <v>1</v>
      </c>
    </row>
    <row r="522" spans="1:23" ht="34.200000000000003" x14ac:dyDescent="0.3">
      <c r="A522" s="212">
        <v>38237</v>
      </c>
      <c r="B522" s="212">
        <v>38237</v>
      </c>
      <c r="C522" s="6">
        <v>9</v>
      </c>
      <c r="D522" s="6">
        <v>1</v>
      </c>
      <c r="E522" s="6">
        <v>2004</v>
      </c>
      <c r="F522" s="15" t="s">
        <v>22</v>
      </c>
      <c r="G522" s="18" t="s">
        <v>6256</v>
      </c>
      <c r="H522" s="9" t="s">
        <v>31</v>
      </c>
      <c r="I522" s="17" t="s">
        <v>915</v>
      </c>
      <c r="J522" s="53" t="s">
        <v>916</v>
      </c>
      <c r="K522" s="13">
        <v>3</v>
      </c>
      <c r="L522" s="233">
        <v>3</v>
      </c>
      <c r="M522" s="13">
        <v>0</v>
      </c>
      <c r="N522" s="13">
        <v>0</v>
      </c>
      <c r="O522" s="13">
        <v>0</v>
      </c>
      <c r="P522" s="13">
        <v>0</v>
      </c>
      <c r="Q522" s="13">
        <v>0</v>
      </c>
      <c r="R522" s="26">
        <v>0</v>
      </c>
      <c r="S522" s="7" t="s">
        <v>115</v>
      </c>
      <c r="T522" s="257">
        <f t="shared" si="16"/>
        <v>6</v>
      </c>
      <c r="U522" s="257">
        <f t="shared" si="17"/>
        <v>0</v>
      </c>
      <c r="V522">
        <v>1</v>
      </c>
      <c r="W522">
        <v>0</v>
      </c>
    </row>
    <row r="523" spans="1:23" ht="34.200000000000003" x14ac:dyDescent="0.3">
      <c r="A523" s="212">
        <v>38238</v>
      </c>
      <c r="B523" s="212">
        <v>38238</v>
      </c>
      <c r="C523" s="6">
        <v>9</v>
      </c>
      <c r="D523" s="6">
        <v>1</v>
      </c>
      <c r="E523" s="6">
        <v>2004</v>
      </c>
      <c r="F523" s="15" t="s">
        <v>22</v>
      </c>
      <c r="G523" s="18" t="s">
        <v>6256</v>
      </c>
      <c r="H523" s="9" t="s">
        <v>43</v>
      </c>
      <c r="I523" s="17" t="s">
        <v>917</v>
      </c>
      <c r="J523" s="53" t="s">
        <v>918</v>
      </c>
      <c r="K523" s="13">
        <v>0</v>
      </c>
      <c r="L523" s="233">
        <v>140</v>
      </c>
      <c r="M523" s="13">
        <v>35</v>
      </c>
      <c r="N523" s="13">
        <v>0</v>
      </c>
      <c r="O523" s="13">
        <v>0</v>
      </c>
      <c r="P523" s="13">
        <v>0</v>
      </c>
      <c r="Q523" s="13">
        <v>0</v>
      </c>
      <c r="R523" s="26">
        <v>0.21</v>
      </c>
      <c r="S523" s="7" t="s">
        <v>115</v>
      </c>
      <c r="T523" s="257">
        <f t="shared" si="16"/>
        <v>140</v>
      </c>
      <c r="U523" s="257">
        <f t="shared" si="17"/>
        <v>35</v>
      </c>
      <c r="V523">
        <v>1</v>
      </c>
      <c r="W523">
        <v>1</v>
      </c>
    </row>
    <row r="524" spans="1:23" ht="57" x14ac:dyDescent="0.3">
      <c r="A524" s="212">
        <v>38238</v>
      </c>
      <c r="B524" s="212">
        <v>38238</v>
      </c>
      <c r="C524" s="6">
        <v>9</v>
      </c>
      <c r="D524" s="6">
        <v>1</v>
      </c>
      <c r="E524" s="6">
        <v>2004</v>
      </c>
      <c r="F524" s="15" t="s">
        <v>22</v>
      </c>
      <c r="G524" s="18" t="s">
        <v>6256</v>
      </c>
      <c r="H524" s="9" t="s">
        <v>51</v>
      </c>
      <c r="I524" s="17" t="s">
        <v>271</v>
      </c>
      <c r="J524" s="53" t="s">
        <v>919</v>
      </c>
      <c r="K524" s="13">
        <v>0</v>
      </c>
      <c r="L524" s="233">
        <v>1</v>
      </c>
      <c r="M524" s="13">
        <v>0</v>
      </c>
      <c r="N524" s="13">
        <v>0</v>
      </c>
      <c r="O524" s="13">
        <v>0</v>
      </c>
      <c r="P524" s="13">
        <v>0</v>
      </c>
      <c r="Q524" s="13">
        <v>0</v>
      </c>
      <c r="R524" s="26">
        <v>0</v>
      </c>
      <c r="S524" s="7" t="s">
        <v>115</v>
      </c>
      <c r="T524" s="257">
        <f t="shared" si="16"/>
        <v>1</v>
      </c>
      <c r="U524" s="257">
        <f t="shared" si="17"/>
        <v>0</v>
      </c>
      <c r="V524">
        <v>1</v>
      </c>
      <c r="W524">
        <v>0</v>
      </c>
    </row>
    <row r="525" spans="1:23" ht="68.400000000000006" x14ac:dyDescent="0.3">
      <c r="A525" s="212">
        <v>38239</v>
      </c>
      <c r="B525" s="212">
        <v>38239</v>
      </c>
      <c r="C525" s="6">
        <v>9</v>
      </c>
      <c r="D525" s="6">
        <v>1</v>
      </c>
      <c r="E525" s="6">
        <v>2004</v>
      </c>
      <c r="F525" s="15" t="s">
        <v>22</v>
      </c>
      <c r="G525" s="18" t="s">
        <v>6256</v>
      </c>
      <c r="H525" s="9" t="s">
        <v>61</v>
      </c>
      <c r="I525" s="17" t="s">
        <v>632</v>
      </c>
      <c r="J525" s="53" t="s">
        <v>920</v>
      </c>
      <c r="K525" s="13">
        <v>4</v>
      </c>
      <c r="L525" s="233">
        <v>56</v>
      </c>
      <c r="M525" s="13">
        <v>10</v>
      </c>
      <c r="N525" s="13">
        <v>0</v>
      </c>
      <c r="O525" s="13">
        <v>0</v>
      </c>
      <c r="P525" s="13">
        <v>0</v>
      </c>
      <c r="Q525" s="13">
        <v>0</v>
      </c>
      <c r="R525" s="26">
        <v>0.04</v>
      </c>
      <c r="S525" s="7" t="s">
        <v>115</v>
      </c>
      <c r="T525" s="257">
        <f t="shared" si="16"/>
        <v>60</v>
      </c>
      <c r="U525" s="257">
        <f t="shared" si="17"/>
        <v>10</v>
      </c>
      <c r="V525">
        <v>1</v>
      </c>
      <c r="W525">
        <v>1</v>
      </c>
    </row>
    <row r="526" spans="1:23" ht="79.8" x14ac:dyDescent="0.3">
      <c r="A526" s="212">
        <v>38241</v>
      </c>
      <c r="B526" s="212">
        <v>38241</v>
      </c>
      <c r="C526" s="6">
        <v>9</v>
      </c>
      <c r="D526" s="6">
        <v>1</v>
      </c>
      <c r="E526" s="6">
        <v>2004</v>
      </c>
      <c r="F526" s="15" t="s">
        <v>22</v>
      </c>
      <c r="G526" s="16" t="s">
        <v>6254</v>
      </c>
      <c r="H526" s="9" t="s">
        <v>69</v>
      </c>
      <c r="I526" s="17" t="s">
        <v>95</v>
      </c>
      <c r="J526" s="53" t="s">
        <v>921</v>
      </c>
      <c r="K526" s="13">
        <v>0</v>
      </c>
      <c r="L526" s="233">
        <v>4140</v>
      </c>
      <c r="M526" s="13">
        <v>0</v>
      </c>
      <c r="N526" s="13">
        <v>0</v>
      </c>
      <c r="O526" s="13">
        <v>0</v>
      </c>
      <c r="P526" s="13">
        <v>0</v>
      </c>
      <c r="Q526" s="13">
        <v>0</v>
      </c>
      <c r="R526" s="26">
        <v>0.24</v>
      </c>
      <c r="S526" s="7" t="s">
        <v>115</v>
      </c>
      <c r="T526" s="257">
        <f t="shared" si="16"/>
        <v>4140</v>
      </c>
      <c r="U526" s="257">
        <f t="shared" si="17"/>
        <v>0</v>
      </c>
      <c r="V526">
        <v>1</v>
      </c>
      <c r="W526">
        <v>0</v>
      </c>
    </row>
    <row r="527" spans="1:23" ht="79.8" x14ac:dyDescent="0.3">
      <c r="A527" s="212">
        <v>38243</v>
      </c>
      <c r="B527" s="212">
        <v>38243</v>
      </c>
      <c r="C527" s="6">
        <v>9</v>
      </c>
      <c r="D527" s="6">
        <v>1</v>
      </c>
      <c r="E527" s="6">
        <v>2004</v>
      </c>
      <c r="F527" s="15" t="s">
        <v>22</v>
      </c>
      <c r="G527" s="18" t="s">
        <v>6256</v>
      </c>
      <c r="H527" s="9" t="s">
        <v>52</v>
      </c>
      <c r="I527" s="17" t="s">
        <v>922</v>
      </c>
      <c r="J527" s="53" t="s">
        <v>923</v>
      </c>
      <c r="K527" s="13">
        <v>0</v>
      </c>
      <c r="L527" s="233">
        <v>250</v>
      </c>
      <c r="M527" s="13">
        <v>50</v>
      </c>
      <c r="N527" s="13">
        <v>0</v>
      </c>
      <c r="O527" s="13">
        <v>0</v>
      </c>
      <c r="P527" s="13">
        <v>0</v>
      </c>
      <c r="Q527" s="13">
        <v>0</v>
      </c>
      <c r="R527" s="26">
        <v>0.2</v>
      </c>
      <c r="S527" s="7" t="s">
        <v>115</v>
      </c>
      <c r="T527" s="257">
        <f t="shared" si="16"/>
        <v>250</v>
      </c>
      <c r="U527" s="257">
        <f t="shared" si="17"/>
        <v>50</v>
      </c>
      <c r="V527">
        <v>1</v>
      </c>
      <c r="W527">
        <v>1</v>
      </c>
    </row>
    <row r="528" spans="1:23" ht="34.200000000000003" x14ac:dyDescent="0.3">
      <c r="A528" s="212">
        <v>38244</v>
      </c>
      <c r="B528" s="212">
        <v>38244</v>
      </c>
      <c r="C528" s="6">
        <v>9</v>
      </c>
      <c r="D528" s="6">
        <v>1</v>
      </c>
      <c r="E528" s="6">
        <v>2004</v>
      </c>
      <c r="F528" s="15" t="s">
        <v>22</v>
      </c>
      <c r="G528" s="18" t="s">
        <v>6256</v>
      </c>
      <c r="H528" s="9" t="s">
        <v>46</v>
      </c>
      <c r="I528" s="17" t="s">
        <v>924</v>
      </c>
      <c r="J528" s="53" t="s">
        <v>925</v>
      </c>
      <c r="K528" s="13">
        <v>0</v>
      </c>
      <c r="L528" s="233">
        <v>85</v>
      </c>
      <c r="M528" s="13">
        <v>17</v>
      </c>
      <c r="N528" s="13">
        <v>0</v>
      </c>
      <c r="O528" s="13">
        <v>0</v>
      </c>
      <c r="P528" s="13">
        <v>0</v>
      </c>
      <c r="Q528" s="13">
        <v>0</v>
      </c>
      <c r="R528" s="26">
        <v>0.06</v>
      </c>
      <c r="S528" s="7" t="s">
        <v>115</v>
      </c>
      <c r="T528" s="257">
        <f t="shared" si="16"/>
        <v>85</v>
      </c>
      <c r="U528" s="257">
        <f t="shared" si="17"/>
        <v>17</v>
      </c>
      <c r="V528">
        <v>1</v>
      </c>
      <c r="W528">
        <v>1</v>
      </c>
    </row>
    <row r="529" spans="1:23" ht="45.6" x14ac:dyDescent="0.3">
      <c r="A529" s="212">
        <v>38247</v>
      </c>
      <c r="B529" s="212">
        <v>38247</v>
      </c>
      <c r="C529" s="6">
        <v>9</v>
      </c>
      <c r="D529" s="6">
        <v>1</v>
      </c>
      <c r="E529" s="6">
        <v>2004</v>
      </c>
      <c r="F529" s="15" t="s">
        <v>22</v>
      </c>
      <c r="G529" s="18" t="s">
        <v>6256</v>
      </c>
      <c r="H529" s="9" t="s">
        <v>55</v>
      </c>
      <c r="I529" s="17" t="s">
        <v>926</v>
      </c>
      <c r="J529" s="53" t="s">
        <v>927</v>
      </c>
      <c r="K529" s="13">
        <v>0</v>
      </c>
      <c r="L529" s="233">
        <v>110</v>
      </c>
      <c r="M529" s="13">
        <v>22</v>
      </c>
      <c r="N529" s="13">
        <v>0</v>
      </c>
      <c r="O529" s="13">
        <v>0</v>
      </c>
      <c r="P529" s="13">
        <v>0</v>
      </c>
      <c r="Q529" s="13">
        <v>0</v>
      </c>
      <c r="R529" s="26">
        <v>0.08</v>
      </c>
      <c r="S529" s="7" t="s">
        <v>115</v>
      </c>
      <c r="T529" s="257">
        <f t="shared" si="16"/>
        <v>110</v>
      </c>
      <c r="U529" s="257">
        <f t="shared" si="17"/>
        <v>22</v>
      </c>
      <c r="V529">
        <v>1</v>
      </c>
      <c r="W529">
        <v>1</v>
      </c>
    </row>
    <row r="530" spans="1:23" ht="34.200000000000003" x14ac:dyDescent="0.3">
      <c r="A530" s="212">
        <v>38250</v>
      </c>
      <c r="B530" s="212">
        <v>38250</v>
      </c>
      <c r="C530" s="6">
        <v>9</v>
      </c>
      <c r="D530" s="6">
        <v>1</v>
      </c>
      <c r="E530" s="6">
        <v>2004</v>
      </c>
      <c r="F530" s="15" t="s">
        <v>22</v>
      </c>
      <c r="G530" s="18" t="s">
        <v>6256</v>
      </c>
      <c r="H530" s="9" t="s">
        <v>31</v>
      </c>
      <c r="I530" s="17" t="s">
        <v>928</v>
      </c>
      <c r="J530" s="53" t="s">
        <v>929</v>
      </c>
      <c r="K530" s="13">
        <v>0</v>
      </c>
      <c r="L530" s="233">
        <v>35</v>
      </c>
      <c r="M530" s="13">
        <v>7</v>
      </c>
      <c r="N530" s="13">
        <v>0</v>
      </c>
      <c r="O530" s="13">
        <v>0</v>
      </c>
      <c r="P530" s="13">
        <v>0</v>
      </c>
      <c r="Q530" s="13">
        <v>0</v>
      </c>
      <c r="R530" s="26">
        <v>0.02</v>
      </c>
      <c r="S530" s="7" t="s">
        <v>115</v>
      </c>
      <c r="T530" s="257">
        <f t="shared" si="16"/>
        <v>35</v>
      </c>
      <c r="U530" s="257">
        <f t="shared" si="17"/>
        <v>7</v>
      </c>
      <c r="V530">
        <v>1</v>
      </c>
      <c r="W530">
        <v>1</v>
      </c>
    </row>
    <row r="531" spans="1:23" ht="34.200000000000003" x14ac:dyDescent="0.3">
      <c r="A531" s="212">
        <v>38251</v>
      </c>
      <c r="B531" s="212">
        <v>38251</v>
      </c>
      <c r="C531" s="6">
        <v>9</v>
      </c>
      <c r="D531" s="6">
        <v>1</v>
      </c>
      <c r="E531" s="6">
        <v>2004</v>
      </c>
      <c r="F531" s="15" t="s">
        <v>22</v>
      </c>
      <c r="G531" s="18" t="s">
        <v>6256</v>
      </c>
      <c r="H531" s="9" t="s">
        <v>31</v>
      </c>
      <c r="I531" s="17" t="s">
        <v>636</v>
      </c>
      <c r="J531" s="53" t="s">
        <v>930</v>
      </c>
      <c r="K531" s="13">
        <v>0</v>
      </c>
      <c r="L531" s="233">
        <v>355</v>
      </c>
      <c r="M531" s="13">
        <v>71</v>
      </c>
      <c r="N531" s="13">
        <v>0</v>
      </c>
      <c r="O531" s="13">
        <v>0</v>
      </c>
      <c r="P531" s="13">
        <v>0</v>
      </c>
      <c r="Q531" s="13">
        <v>0</v>
      </c>
      <c r="R531" s="26">
        <v>0.28000000000000003</v>
      </c>
      <c r="S531" s="7" t="s">
        <v>115</v>
      </c>
      <c r="T531" s="257">
        <f t="shared" si="16"/>
        <v>355</v>
      </c>
      <c r="U531" s="257">
        <f t="shared" si="17"/>
        <v>71</v>
      </c>
      <c r="V531">
        <v>1</v>
      </c>
      <c r="W531">
        <v>1</v>
      </c>
    </row>
    <row r="532" spans="1:23" ht="45.6" x14ac:dyDescent="0.3">
      <c r="A532" s="212">
        <v>38252</v>
      </c>
      <c r="B532" s="212">
        <v>38252</v>
      </c>
      <c r="C532" s="6">
        <v>9</v>
      </c>
      <c r="D532" s="6">
        <v>1</v>
      </c>
      <c r="E532" s="6">
        <v>2004</v>
      </c>
      <c r="F532" s="15" t="s">
        <v>22</v>
      </c>
      <c r="G532" s="18" t="s">
        <v>6256</v>
      </c>
      <c r="H532" s="9" t="s">
        <v>51</v>
      </c>
      <c r="I532" s="17" t="s">
        <v>931</v>
      </c>
      <c r="J532" s="53" t="s">
        <v>932</v>
      </c>
      <c r="K532" s="13">
        <v>0</v>
      </c>
      <c r="L532" s="233">
        <v>500</v>
      </c>
      <c r="M532" s="13">
        <v>100</v>
      </c>
      <c r="N532" s="13">
        <v>0</v>
      </c>
      <c r="O532" s="13">
        <v>0</v>
      </c>
      <c r="P532" s="13">
        <v>0</v>
      </c>
      <c r="Q532" s="13">
        <v>0</v>
      </c>
      <c r="R532" s="26">
        <v>0.4</v>
      </c>
      <c r="S532" s="7" t="s">
        <v>115</v>
      </c>
      <c r="T532" s="257">
        <f t="shared" si="16"/>
        <v>500</v>
      </c>
      <c r="U532" s="257">
        <f t="shared" si="17"/>
        <v>100</v>
      </c>
      <c r="V532">
        <v>1</v>
      </c>
      <c r="W532">
        <v>1</v>
      </c>
    </row>
    <row r="533" spans="1:23" ht="79.8" x14ac:dyDescent="0.3">
      <c r="A533" s="212">
        <v>38254</v>
      </c>
      <c r="B533" s="212">
        <v>38254</v>
      </c>
      <c r="C533" s="6">
        <v>9</v>
      </c>
      <c r="D533" s="6">
        <v>1</v>
      </c>
      <c r="E533" s="6">
        <v>2004</v>
      </c>
      <c r="F533" s="15" t="s">
        <v>22</v>
      </c>
      <c r="G533" s="18" t="s">
        <v>6256</v>
      </c>
      <c r="H533" s="9" t="s">
        <v>51</v>
      </c>
      <c r="I533" s="17" t="s">
        <v>933</v>
      </c>
      <c r="J533" s="53" t="s">
        <v>934</v>
      </c>
      <c r="K533" s="13">
        <v>0</v>
      </c>
      <c r="L533" s="233">
        <v>327</v>
      </c>
      <c r="M533" s="13">
        <v>26</v>
      </c>
      <c r="N533" s="13">
        <v>3</v>
      </c>
      <c r="O533" s="13">
        <v>0</v>
      </c>
      <c r="P533" s="13">
        <v>0</v>
      </c>
      <c r="Q533" s="13">
        <v>0</v>
      </c>
      <c r="R533" s="26">
        <v>0.3</v>
      </c>
      <c r="S533" s="7" t="s">
        <v>115</v>
      </c>
      <c r="T533" s="257">
        <f t="shared" si="16"/>
        <v>327</v>
      </c>
      <c r="U533" s="257">
        <f t="shared" si="17"/>
        <v>29</v>
      </c>
      <c r="V533">
        <v>1</v>
      </c>
      <c r="W533">
        <v>1</v>
      </c>
    </row>
    <row r="534" spans="1:23" ht="45.6" x14ac:dyDescent="0.3">
      <c r="A534" s="212">
        <v>38255</v>
      </c>
      <c r="B534" s="212">
        <v>38255</v>
      </c>
      <c r="C534" s="6">
        <v>9</v>
      </c>
      <c r="D534" s="6">
        <v>1</v>
      </c>
      <c r="E534" s="6">
        <v>2004</v>
      </c>
      <c r="F534" s="15" t="s">
        <v>22</v>
      </c>
      <c r="G534" s="18" t="s">
        <v>6256</v>
      </c>
      <c r="H534" s="9" t="s">
        <v>41</v>
      </c>
      <c r="I534" s="17" t="s">
        <v>41</v>
      </c>
      <c r="J534" s="53" t="s">
        <v>935</v>
      </c>
      <c r="K534" s="13">
        <v>0</v>
      </c>
      <c r="L534" s="233">
        <v>4455</v>
      </c>
      <c r="M534" s="13">
        <v>1023</v>
      </c>
      <c r="N534" s="13">
        <v>32</v>
      </c>
      <c r="O534" s="13">
        <v>0</v>
      </c>
      <c r="P534" s="13">
        <v>0</v>
      </c>
      <c r="Q534" s="13">
        <v>1771</v>
      </c>
      <c r="R534" s="26">
        <v>120.05</v>
      </c>
      <c r="S534" s="7" t="s">
        <v>115</v>
      </c>
      <c r="T534" s="257">
        <f t="shared" si="16"/>
        <v>4455</v>
      </c>
      <c r="U534" s="257">
        <f t="shared" si="17"/>
        <v>1055</v>
      </c>
      <c r="V534">
        <v>1</v>
      </c>
      <c r="W534">
        <v>2</v>
      </c>
    </row>
    <row r="535" spans="1:23" ht="45.6" x14ac:dyDescent="0.3">
      <c r="A535" s="212">
        <v>38255</v>
      </c>
      <c r="B535" s="212">
        <v>38255</v>
      </c>
      <c r="C535" s="6">
        <v>9</v>
      </c>
      <c r="D535" s="6">
        <v>1</v>
      </c>
      <c r="E535" s="6">
        <v>2004</v>
      </c>
      <c r="F535" s="15" t="s">
        <v>22</v>
      </c>
      <c r="G535" s="18" t="s">
        <v>6256</v>
      </c>
      <c r="H535" s="9" t="s">
        <v>46</v>
      </c>
      <c r="I535" s="17" t="s">
        <v>299</v>
      </c>
      <c r="J535" s="53" t="s">
        <v>936</v>
      </c>
      <c r="K535" s="13">
        <v>0</v>
      </c>
      <c r="L535" s="233">
        <v>200</v>
      </c>
      <c r="M535" s="13">
        <v>40</v>
      </c>
      <c r="N535" s="13">
        <v>0</v>
      </c>
      <c r="O535" s="13">
        <v>0</v>
      </c>
      <c r="P535" s="13">
        <v>0</v>
      </c>
      <c r="Q535" s="13">
        <v>0</v>
      </c>
      <c r="R535" s="26">
        <v>0.16</v>
      </c>
      <c r="S535" s="7" t="s">
        <v>115</v>
      </c>
      <c r="T535" s="257">
        <f t="shared" si="16"/>
        <v>200</v>
      </c>
      <c r="U535" s="257">
        <f t="shared" si="17"/>
        <v>40</v>
      </c>
      <c r="V535">
        <v>1</v>
      </c>
      <c r="W535">
        <v>1</v>
      </c>
    </row>
    <row r="536" spans="1:23" ht="34.200000000000003" x14ac:dyDescent="0.3">
      <c r="A536" s="212">
        <v>38256</v>
      </c>
      <c r="B536" s="212">
        <v>38256</v>
      </c>
      <c r="C536" s="6">
        <v>9</v>
      </c>
      <c r="D536" s="6">
        <v>1</v>
      </c>
      <c r="E536" s="6">
        <v>2004</v>
      </c>
      <c r="F536" s="15" t="s">
        <v>22</v>
      </c>
      <c r="G536" s="18" t="s">
        <v>6256</v>
      </c>
      <c r="H536" s="9" t="s">
        <v>46</v>
      </c>
      <c r="I536" s="17" t="s">
        <v>937</v>
      </c>
      <c r="J536" s="53" t="s">
        <v>938</v>
      </c>
      <c r="K536" s="13">
        <v>0</v>
      </c>
      <c r="L536" s="233">
        <v>225</v>
      </c>
      <c r="M536" s="13">
        <v>45</v>
      </c>
      <c r="N536" s="13">
        <v>0</v>
      </c>
      <c r="O536" s="13">
        <v>0</v>
      </c>
      <c r="P536" s="13">
        <v>0</v>
      </c>
      <c r="Q536" s="13">
        <v>0</v>
      </c>
      <c r="R536" s="26">
        <v>0.18</v>
      </c>
      <c r="S536" s="7" t="s">
        <v>115</v>
      </c>
      <c r="T536" s="257">
        <f t="shared" si="16"/>
        <v>225</v>
      </c>
      <c r="U536" s="257">
        <f t="shared" si="17"/>
        <v>45</v>
      </c>
      <c r="V536">
        <v>1</v>
      </c>
      <c r="W536">
        <v>1</v>
      </c>
    </row>
    <row r="537" spans="1:23" ht="68.400000000000006" x14ac:dyDescent="0.3">
      <c r="A537" s="212">
        <v>38258</v>
      </c>
      <c r="B537" s="212">
        <v>38267</v>
      </c>
      <c r="C537" s="6">
        <v>9</v>
      </c>
      <c r="D537" s="6">
        <v>10</v>
      </c>
      <c r="E537" s="6">
        <v>2004</v>
      </c>
      <c r="F537" s="15" t="s">
        <v>22</v>
      </c>
      <c r="G537" s="18" t="s">
        <v>6256</v>
      </c>
      <c r="H537" s="9" t="s">
        <v>174</v>
      </c>
      <c r="I537" s="17" t="s">
        <v>939</v>
      </c>
      <c r="J537" s="53" t="s">
        <v>940</v>
      </c>
      <c r="K537" s="13">
        <v>0</v>
      </c>
      <c r="L537" s="233">
        <v>3500</v>
      </c>
      <c r="M537" s="13">
        <v>700</v>
      </c>
      <c r="N537" s="13">
        <v>0</v>
      </c>
      <c r="O537" s="13">
        <v>0</v>
      </c>
      <c r="P537" s="13">
        <v>0</v>
      </c>
      <c r="Q537" s="13">
        <v>0</v>
      </c>
      <c r="R537" s="26">
        <v>4.2</v>
      </c>
      <c r="S537" s="7" t="s">
        <v>115</v>
      </c>
      <c r="T537" s="257">
        <f t="shared" si="16"/>
        <v>3500</v>
      </c>
      <c r="U537" s="257">
        <f t="shared" si="17"/>
        <v>700</v>
      </c>
      <c r="V537">
        <v>1</v>
      </c>
      <c r="W537">
        <v>1</v>
      </c>
    </row>
    <row r="538" spans="1:23" ht="68.400000000000006" x14ac:dyDescent="0.3">
      <c r="A538" s="212">
        <v>38259</v>
      </c>
      <c r="B538" s="212">
        <v>38259</v>
      </c>
      <c r="C538" s="6">
        <v>9</v>
      </c>
      <c r="D538" s="6">
        <v>1</v>
      </c>
      <c r="E538" s="6">
        <v>2004</v>
      </c>
      <c r="F538" s="15" t="s">
        <v>22</v>
      </c>
      <c r="G538" s="18" t="s">
        <v>6256</v>
      </c>
      <c r="H538" s="9" t="s">
        <v>46</v>
      </c>
      <c r="I538" s="17" t="s">
        <v>941</v>
      </c>
      <c r="J538" s="53" t="s">
        <v>942</v>
      </c>
      <c r="K538" s="13">
        <v>2</v>
      </c>
      <c r="L538" s="233">
        <v>325</v>
      </c>
      <c r="M538" s="13">
        <v>65</v>
      </c>
      <c r="N538" s="13">
        <v>2</v>
      </c>
      <c r="O538" s="13">
        <v>0</v>
      </c>
      <c r="P538" s="13">
        <v>0</v>
      </c>
      <c r="Q538" s="13">
        <v>0</v>
      </c>
      <c r="R538" s="26">
        <v>0.28999999999999998</v>
      </c>
      <c r="S538" s="7" t="s">
        <v>115</v>
      </c>
      <c r="T538" s="257">
        <f t="shared" si="16"/>
        <v>327</v>
      </c>
      <c r="U538" s="257">
        <f t="shared" si="17"/>
        <v>67</v>
      </c>
      <c r="V538">
        <v>1</v>
      </c>
      <c r="W538">
        <v>1</v>
      </c>
    </row>
    <row r="539" spans="1:23" ht="34.200000000000003" x14ac:dyDescent="0.3">
      <c r="A539" s="212">
        <v>38259</v>
      </c>
      <c r="B539" s="212">
        <v>38259</v>
      </c>
      <c r="C539" s="6">
        <v>9</v>
      </c>
      <c r="D539" s="6">
        <v>1</v>
      </c>
      <c r="E539" s="6">
        <v>2004</v>
      </c>
      <c r="F539" s="15" t="s">
        <v>22</v>
      </c>
      <c r="G539" s="18" t="s">
        <v>6256</v>
      </c>
      <c r="H539" s="9" t="s">
        <v>46</v>
      </c>
      <c r="I539" s="17" t="s">
        <v>943</v>
      </c>
      <c r="J539" s="53" t="s">
        <v>944</v>
      </c>
      <c r="K539" s="13">
        <v>0</v>
      </c>
      <c r="L539" s="233">
        <v>115</v>
      </c>
      <c r="M539" s="13">
        <v>23</v>
      </c>
      <c r="N539" s="13">
        <v>0</v>
      </c>
      <c r="O539" s="13">
        <v>0</v>
      </c>
      <c r="P539" s="13">
        <v>0</v>
      </c>
      <c r="Q539" s="13">
        <v>0</v>
      </c>
      <c r="R539" s="26">
        <v>0.09</v>
      </c>
      <c r="S539" s="7" t="s">
        <v>115</v>
      </c>
      <c r="T539" s="257">
        <f t="shared" si="16"/>
        <v>115</v>
      </c>
      <c r="U539" s="257">
        <f t="shared" si="17"/>
        <v>23</v>
      </c>
      <c r="V539">
        <v>1</v>
      </c>
      <c r="W539">
        <v>1</v>
      </c>
    </row>
    <row r="540" spans="1:23" ht="22.8" x14ac:dyDescent="0.3">
      <c r="A540" s="212">
        <v>38260</v>
      </c>
      <c r="B540" s="212">
        <v>38260</v>
      </c>
      <c r="C540" s="6">
        <v>9</v>
      </c>
      <c r="D540" s="6">
        <v>1</v>
      </c>
      <c r="E540" s="6">
        <v>2004</v>
      </c>
      <c r="F540" s="15" t="s">
        <v>22</v>
      </c>
      <c r="G540" s="18" t="s">
        <v>6256</v>
      </c>
      <c r="H540" s="9" t="s">
        <v>46</v>
      </c>
      <c r="I540" s="53" t="s">
        <v>95</v>
      </c>
      <c r="J540" s="53" t="s">
        <v>945</v>
      </c>
      <c r="K540" s="13">
        <v>0</v>
      </c>
      <c r="L540" s="233">
        <v>470</v>
      </c>
      <c r="M540" s="13">
        <v>94</v>
      </c>
      <c r="N540" s="13">
        <v>0</v>
      </c>
      <c r="O540" s="13">
        <v>0</v>
      </c>
      <c r="P540" s="13">
        <v>0</v>
      </c>
      <c r="Q540" s="13">
        <v>0</v>
      </c>
      <c r="R540" s="26">
        <v>0.31</v>
      </c>
      <c r="S540" s="7" t="s">
        <v>115</v>
      </c>
      <c r="T540" s="257">
        <f t="shared" si="16"/>
        <v>470</v>
      </c>
      <c r="U540" s="257">
        <f t="shared" si="17"/>
        <v>94</v>
      </c>
      <c r="V540">
        <v>1</v>
      </c>
      <c r="W540">
        <v>1</v>
      </c>
    </row>
    <row r="541" spans="1:23" ht="57" x14ac:dyDescent="0.3">
      <c r="A541" s="212">
        <v>38262</v>
      </c>
      <c r="B541" s="212">
        <v>38262</v>
      </c>
      <c r="C541" s="6">
        <v>10</v>
      </c>
      <c r="D541" s="6">
        <v>1</v>
      </c>
      <c r="E541" s="6">
        <v>2004</v>
      </c>
      <c r="F541" s="15" t="s">
        <v>22</v>
      </c>
      <c r="G541" s="18" t="s">
        <v>6256</v>
      </c>
      <c r="H541" s="9" t="s">
        <v>46</v>
      </c>
      <c r="I541" s="17" t="s">
        <v>946</v>
      </c>
      <c r="J541" s="53" t="s">
        <v>947</v>
      </c>
      <c r="K541" s="13">
        <v>0</v>
      </c>
      <c r="L541" s="233">
        <v>345</v>
      </c>
      <c r="M541" s="13">
        <v>69</v>
      </c>
      <c r="N541" s="13">
        <v>0</v>
      </c>
      <c r="O541" s="13">
        <v>0</v>
      </c>
      <c r="P541" s="13">
        <v>0</v>
      </c>
      <c r="Q541" s="13">
        <v>0</v>
      </c>
      <c r="R541" s="26">
        <v>0.27</v>
      </c>
      <c r="S541" s="7" t="s">
        <v>115</v>
      </c>
      <c r="T541" s="257">
        <f t="shared" si="16"/>
        <v>345</v>
      </c>
      <c r="U541" s="257">
        <f t="shared" si="17"/>
        <v>69</v>
      </c>
      <c r="V541">
        <v>1</v>
      </c>
      <c r="W541">
        <v>1</v>
      </c>
    </row>
    <row r="542" spans="1:23" ht="45.6" x14ac:dyDescent="0.3">
      <c r="A542" s="212">
        <v>38265</v>
      </c>
      <c r="B542" s="212">
        <v>38265</v>
      </c>
      <c r="C542" s="6">
        <v>10</v>
      </c>
      <c r="D542" s="6">
        <v>1</v>
      </c>
      <c r="E542" s="6">
        <v>2004</v>
      </c>
      <c r="F542" s="15" t="s">
        <v>22</v>
      </c>
      <c r="G542" s="18" t="s">
        <v>6256</v>
      </c>
      <c r="H542" s="9" t="s">
        <v>52</v>
      </c>
      <c r="I542" s="17" t="s">
        <v>948</v>
      </c>
      <c r="J542" s="53" t="s">
        <v>949</v>
      </c>
      <c r="K542" s="13">
        <v>0</v>
      </c>
      <c r="L542" s="233">
        <v>255</v>
      </c>
      <c r="M542" s="13">
        <v>51</v>
      </c>
      <c r="N542" s="13">
        <v>0</v>
      </c>
      <c r="O542" s="13">
        <v>0</v>
      </c>
      <c r="P542" s="13">
        <v>0</v>
      </c>
      <c r="Q542" s="13">
        <v>0</v>
      </c>
      <c r="R542" s="26">
        <v>0.2</v>
      </c>
      <c r="S542" s="7" t="s">
        <v>115</v>
      </c>
      <c r="T542" s="257">
        <f t="shared" si="16"/>
        <v>255</v>
      </c>
      <c r="U542" s="257">
        <f t="shared" si="17"/>
        <v>51</v>
      </c>
      <c r="V542">
        <v>1</v>
      </c>
      <c r="W542">
        <v>1</v>
      </c>
    </row>
    <row r="543" spans="1:23" ht="45.6" x14ac:dyDescent="0.3">
      <c r="A543" s="212">
        <v>38269</v>
      </c>
      <c r="B543" s="212">
        <v>38269</v>
      </c>
      <c r="C543" s="6">
        <v>10</v>
      </c>
      <c r="D543" s="6">
        <v>1</v>
      </c>
      <c r="E543" s="6">
        <v>2004</v>
      </c>
      <c r="F543" s="15" t="s">
        <v>22</v>
      </c>
      <c r="G543" s="18" t="s">
        <v>6256</v>
      </c>
      <c r="H543" s="9" t="s">
        <v>70</v>
      </c>
      <c r="I543" s="17" t="s">
        <v>950</v>
      </c>
      <c r="J543" s="53" t="s">
        <v>951</v>
      </c>
      <c r="K543" s="13">
        <v>0</v>
      </c>
      <c r="L543" s="233">
        <v>100</v>
      </c>
      <c r="M543" s="13">
        <v>20</v>
      </c>
      <c r="N543" s="13">
        <v>0</v>
      </c>
      <c r="O543" s="13">
        <v>0</v>
      </c>
      <c r="P543" s="13">
        <v>0</v>
      </c>
      <c r="Q543" s="13">
        <v>0</v>
      </c>
      <c r="R543" s="26">
        <v>0.12</v>
      </c>
      <c r="S543" s="7" t="s">
        <v>115</v>
      </c>
      <c r="T543" s="257">
        <f t="shared" si="16"/>
        <v>100</v>
      </c>
      <c r="U543" s="257">
        <f t="shared" si="17"/>
        <v>20</v>
      </c>
      <c r="V543">
        <v>1</v>
      </c>
      <c r="W543">
        <v>1</v>
      </c>
    </row>
    <row r="544" spans="1:23" ht="57" x14ac:dyDescent="0.3">
      <c r="A544" s="212">
        <v>38269</v>
      </c>
      <c r="B544" s="212">
        <v>38269</v>
      </c>
      <c r="C544" s="6">
        <v>10</v>
      </c>
      <c r="D544" s="6">
        <v>1</v>
      </c>
      <c r="E544" s="6">
        <v>2004</v>
      </c>
      <c r="F544" s="15" t="s">
        <v>22</v>
      </c>
      <c r="G544" s="18" t="s">
        <v>6256</v>
      </c>
      <c r="H544" s="9" t="s">
        <v>55</v>
      </c>
      <c r="I544" s="17" t="s">
        <v>952</v>
      </c>
      <c r="J544" s="53" t="s">
        <v>953</v>
      </c>
      <c r="K544" s="13">
        <v>0</v>
      </c>
      <c r="L544" s="233">
        <v>55</v>
      </c>
      <c r="M544" s="13">
        <v>11</v>
      </c>
      <c r="N544" s="13">
        <v>0</v>
      </c>
      <c r="O544" s="13">
        <v>0</v>
      </c>
      <c r="P544" s="13">
        <v>0</v>
      </c>
      <c r="Q544" s="13">
        <v>0</v>
      </c>
      <c r="R544" s="26">
        <v>7.0000000000000007E-2</v>
      </c>
      <c r="S544" s="7" t="s">
        <v>115</v>
      </c>
      <c r="T544" s="257">
        <f t="shared" si="16"/>
        <v>55</v>
      </c>
      <c r="U544" s="257">
        <f t="shared" si="17"/>
        <v>11</v>
      </c>
      <c r="V544">
        <v>1</v>
      </c>
      <c r="W544">
        <v>1</v>
      </c>
    </row>
    <row r="545" spans="1:23" ht="45.6" x14ac:dyDescent="0.3">
      <c r="A545" s="212">
        <v>38269</v>
      </c>
      <c r="B545" s="212">
        <v>38269</v>
      </c>
      <c r="C545" s="6">
        <v>10</v>
      </c>
      <c r="D545" s="6">
        <v>1</v>
      </c>
      <c r="E545" s="6">
        <v>2004</v>
      </c>
      <c r="F545" s="15" t="s">
        <v>22</v>
      </c>
      <c r="G545" s="18" t="s">
        <v>6256</v>
      </c>
      <c r="H545" s="9" t="s">
        <v>31</v>
      </c>
      <c r="I545" s="17" t="s">
        <v>456</v>
      </c>
      <c r="J545" s="53" t="s">
        <v>954</v>
      </c>
      <c r="K545" s="13">
        <v>0</v>
      </c>
      <c r="L545" s="233">
        <v>350</v>
      </c>
      <c r="M545" s="13">
        <v>70</v>
      </c>
      <c r="N545" s="13">
        <v>0</v>
      </c>
      <c r="O545" s="13">
        <v>0</v>
      </c>
      <c r="P545" s="13">
        <v>0</v>
      </c>
      <c r="Q545" s="13">
        <v>0</v>
      </c>
      <c r="R545" s="26">
        <v>0.28000000000000003</v>
      </c>
      <c r="S545" s="7" t="s">
        <v>115</v>
      </c>
      <c r="T545" s="257">
        <f t="shared" si="16"/>
        <v>350</v>
      </c>
      <c r="U545" s="257">
        <f t="shared" si="17"/>
        <v>70</v>
      </c>
      <c r="V545">
        <v>1</v>
      </c>
      <c r="W545">
        <v>1</v>
      </c>
    </row>
    <row r="546" spans="1:23" ht="34.200000000000003" x14ac:dyDescent="0.3">
      <c r="A546" s="212">
        <v>38273</v>
      </c>
      <c r="B546" s="212">
        <v>38273</v>
      </c>
      <c r="C546" s="6">
        <v>10</v>
      </c>
      <c r="D546" s="6">
        <v>1</v>
      </c>
      <c r="E546" s="6">
        <v>2004</v>
      </c>
      <c r="F546" s="15" t="s">
        <v>22</v>
      </c>
      <c r="G546" s="18" t="s">
        <v>6256</v>
      </c>
      <c r="H546" s="9" t="s">
        <v>31</v>
      </c>
      <c r="I546" s="17" t="s">
        <v>955</v>
      </c>
      <c r="J546" s="53" t="s">
        <v>956</v>
      </c>
      <c r="K546" s="13">
        <v>0</v>
      </c>
      <c r="L546" s="233">
        <v>360</v>
      </c>
      <c r="M546" s="13">
        <v>72</v>
      </c>
      <c r="N546" s="13">
        <v>0</v>
      </c>
      <c r="O546" s="13">
        <v>0</v>
      </c>
      <c r="P546" s="13">
        <v>0</v>
      </c>
      <c r="Q546" s="13">
        <v>0</v>
      </c>
      <c r="R546" s="26">
        <v>0.28999999999999998</v>
      </c>
      <c r="S546" s="7" t="s">
        <v>115</v>
      </c>
      <c r="T546" s="257">
        <f t="shared" si="16"/>
        <v>360</v>
      </c>
      <c r="U546" s="257">
        <f t="shared" si="17"/>
        <v>72</v>
      </c>
      <c r="V546">
        <v>1</v>
      </c>
      <c r="W546">
        <v>1</v>
      </c>
    </row>
    <row r="547" spans="1:23" ht="34.200000000000003" x14ac:dyDescent="0.3">
      <c r="A547" s="212">
        <v>38276</v>
      </c>
      <c r="B547" s="212">
        <v>38276</v>
      </c>
      <c r="C547" s="6">
        <v>10</v>
      </c>
      <c r="D547" s="6">
        <v>1</v>
      </c>
      <c r="E547" s="6">
        <v>2004</v>
      </c>
      <c r="F547" s="15" t="s">
        <v>22</v>
      </c>
      <c r="G547" s="18" t="s">
        <v>6256</v>
      </c>
      <c r="H547" s="9" t="s">
        <v>31</v>
      </c>
      <c r="I547" s="17" t="s">
        <v>957</v>
      </c>
      <c r="J547" s="53" t="s">
        <v>958</v>
      </c>
      <c r="K547" s="13">
        <v>0</v>
      </c>
      <c r="L547" s="233">
        <v>325</v>
      </c>
      <c r="M547" s="13">
        <v>65</v>
      </c>
      <c r="N547" s="13">
        <v>0</v>
      </c>
      <c r="O547" s="13">
        <v>0</v>
      </c>
      <c r="P547" s="13">
        <v>0</v>
      </c>
      <c r="Q547" s="13">
        <v>0</v>
      </c>
      <c r="R547" s="26">
        <v>0.26</v>
      </c>
      <c r="S547" s="7" t="s">
        <v>115</v>
      </c>
      <c r="T547" s="257">
        <f t="shared" si="16"/>
        <v>325</v>
      </c>
      <c r="U547" s="257">
        <f t="shared" si="17"/>
        <v>65</v>
      </c>
      <c r="V547">
        <v>1</v>
      </c>
      <c r="W547">
        <v>1</v>
      </c>
    </row>
    <row r="548" spans="1:23" ht="34.200000000000003" x14ac:dyDescent="0.3">
      <c r="A548" s="212">
        <v>38280</v>
      </c>
      <c r="B548" s="212">
        <v>38280</v>
      </c>
      <c r="C548" s="6">
        <v>10</v>
      </c>
      <c r="D548" s="6">
        <v>1</v>
      </c>
      <c r="E548" s="6">
        <v>2004</v>
      </c>
      <c r="F548" s="15" t="s">
        <v>22</v>
      </c>
      <c r="G548" s="18" t="s">
        <v>6256</v>
      </c>
      <c r="H548" s="9" t="s">
        <v>27</v>
      </c>
      <c r="I548" s="17" t="s">
        <v>671</v>
      </c>
      <c r="J548" s="53" t="s">
        <v>959</v>
      </c>
      <c r="K548" s="13">
        <v>0</v>
      </c>
      <c r="L548" s="233">
        <v>100</v>
      </c>
      <c r="M548" s="13">
        <v>20</v>
      </c>
      <c r="N548" s="13">
        <v>0</v>
      </c>
      <c r="O548" s="13">
        <v>0</v>
      </c>
      <c r="P548" s="13">
        <v>0</v>
      </c>
      <c r="Q548" s="13">
        <v>0</v>
      </c>
      <c r="R548" s="26">
        <v>0.08</v>
      </c>
      <c r="S548" s="7" t="s">
        <v>115</v>
      </c>
      <c r="T548" s="257">
        <f t="shared" si="16"/>
        <v>100</v>
      </c>
      <c r="U548" s="257">
        <f t="shared" si="17"/>
        <v>20</v>
      </c>
      <c r="V548">
        <v>1</v>
      </c>
      <c r="W548">
        <v>1</v>
      </c>
    </row>
    <row r="549" spans="1:23" ht="34.200000000000003" x14ac:dyDescent="0.3">
      <c r="A549" s="212">
        <v>38284</v>
      </c>
      <c r="B549" s="212">
        <v>38284</v>
      </c>
      <c r="C549" s="6">
        <v>10</v>
      </c>
      <c r="D549" s="6">
        <v>1</v>
      </c>
      <c r="E549" s="6">
        <v>2004</v>
      </c>
      <c r="F549" s="15" t="s">
        <v>22</v>
      </c>
      <c r="G549" s="18" t="s">
        <v>6256</v>
      </c>
      <c r="H549" s="9" t="s">
        <v>74</v>
      </c>
      <c r="I549" s="17" t="s">
        <v>960</v>
      </c>
      <c r="J549" s="53" t="s">
        <v>961</v>
      </c>
      <c r="K549" s="13">
        <v>0</v>
      </c>
      <c r="L549" s="233">
        <v>50</v>
      </c>
      <c r="M549" s="13">
        <v>10</v>
      </c>
      <c r="N549" s="13">
        <v>0</v>
      </c>
      <c r="O549" s="13">
        <v>0</v>
      </c>
      <c r="P549" s="13">
        <v>0</v>
      </c>
      <c r="Q549" s="13">
        <v>0</v>
      </c>
      <c r="R549" s="26">
        <v>0.04</v>
      </c>
      <c r="S549" s="7" t="s">
        <v>115</v>
      </c>
      <c r="T549" s="257">
        <f t="shared" si="16"/>
        <v>50</v>
      </c>
      <c r="U549" s="257">
        <f t="shared" si="17"/>
        <v>10</v>
      </c>
      <c r="V549">
        <v>1</v>
      </c>
      <c r="W549">
        <v>1</v>
      </c>
    </row>
    <row r="550" spans="1:23" ht="79.8" x14ac:dyDescent="0.3">
      <c r="A550" s="212">
        <v>38285</v>
      </c>
      <c r="B550" s="212">
        <v>38285</v>
      </c>
      <c r="C550" s="6">
        <v>10</v>
      </c>
      <c r="D550" s="6">
        <v>1</v>
      </c>
      <c r="E550" s="6">
        <v>2004</v>
      </c>
      <c r="F550" s="15" t="s">
        <v>22</v>
      </c>
      <c r="G550" s="18" t="s">
        <v>6256</v>
      </c>
      <c r="H550" s="9" t="s">
        <v>72</v>
      </c>
      <c r="I550" s="17" t="s">
        <v>962</v>
      </c>
      <c r="J550" s="53" t="s">
        <v>963</v>
      </c>
      <c r="K550" s="13">
        <v>2</v>
      </c>
      <c r="L550" s="233">
        <v>1329</v>
      </c>
      <c r="M550" s="13">
        <v>0</v>
      </c>
      <c r="N550" s="13">
        <v>0</v>
      </c>
      <c r="O550" s="13">
        <v>0</v>
      </c>
      <c r="P550" s="13">
        <v>0</v>
      </c>
      <c r="Q550" s="13">
        <v>0</v>
      </c>
      <c r="R550" s="26">
        <v>0</v>
      </c>
      <c r="S550" s="7" t="s">
        <v>115</v>
      </c>
      <c r="T550" s="257">
        <f t="shared" si="16"/>
        <v>1331</v>
      </c>
      <c r="U550" s="257">
        <f t="shared" si="17"/>
        <v>0</v>
      </c>
      <c r="V550">
        <v>1</v>
      </c>
      <c r="W550">
        <v>0</v>
      </c>
    </row>
    <row r="551" spans="1:23" ht="68.400000000000006" x14ac:dyDescent="0.3">
      <c r="A551" s="212">
        <v>38286</v>
      </c>
      <c r="B551" s="212">
        <v>38286</v>
      </c>
      <c r="C551" s="6">
        <v>10</v>
      </c>
      <c r="D551" s="6">
        <v>1</v>
      </c>
      <c r="E551" s="6">
        <v>2004</v>
      </c>
      <c r="F551" s="15" t="s">
        <v>22</v>
      </c>
      <c r="G551" s="18" t="s">
        <v>6256</v>
      </c>
      <c r="H551" s="9" t="s">
        <v>27</v>
      </c>
      <c r="I551" s="17" t="s">
        <v>964</v>
      </c>
      <c r="J551" s="53" t="s">
        <v>965</v>
      </c>
      <c r="K551" s="13">
        <v>0</v>
      </c>
      <c r="L551" s="233">
        <v>156</v>
      </c>
      <c r="M551" s="13">
        <v>31</v>
      </c>
      <c r="N551" s="13">
        <v>0</v>
      </c>
      <c r="O551" s="13">
        <v>0</v>
      </c>
      <c r="P551" s="13">
        <v>0</v>
      </c>
      <c r="Q551" s="13">
        <v>0</v>
      </c>
      <c r="R551" s="26">
        <v>0.12</v>
      </c>
      <c r="S551" s="7" t="s">
        <v>115</v>
      </c>
      <c r="T551" s="257">
        <f t="shared" si="16"/>
        <v>156</v>
      </c>
      <c r="U551" s="257">
        <f t="shared" si="17"/>
        <v>31</v>
      </c>
      <c r="V551">
        <v>1</v>
      </c>
      <c r="W551">
        <v>1</v>
      </c>
    </row>
    <row r="552" spans="1:23" ht="148.19999999999999" x14ac:dyDescent="0.3">
      <c r="A552" s="212">
        <v>38294</v>
      </c>
      <c r="B552" s="212">
        <v>38295</v>
      </c>
      <c r="C552" s="6">
        <v>11</v>
      </c>
      <c r="D552" s="6">
        <v>2</v>
      </c>
      <c r="E552" s="6">
        <v>2004</v>
      </c>
      <c r="F552" s="15" t="s">
        <v>22</v>
      </c>
      <c r="G552" s="18" t="s">
        <v>6256</v>
      </c>
      <c r="H552" s="9" t="s">
        <v>174</v>
      </c>
      <c r="I552" s="17" t="s">
        <v>966</v>
      </c>
      <c r="J552" s="53" t="s">
        <v>967</v>
      </c>
      <c r="K552" s="13">
        <v>0</v>
      </c>
      <c r="L552" s="233">
        <v>1302</v>
      </c>
      <c r="M552" s="13">
        <v>10</v>
      </c>
      <c r="N552" s="13">
        <v>3</v>
      </c>
      <c r="O552" s="13">
        <v>0</v>
      </c>
      <c r="P552" s="13">
        <v>0</v>
      </c>
      <c r="Q552" s="13">
        <v>0</v>
      </c>
      <c r="R552" s="26">
        <v>4.41</v>
      </c>
      <c r="S552" s="7" t="s">
        <v>115</v>
      </c>
      <c r="T552" s="257">
        <f t="shared" si="16"/>
        <v>1302</v>
      </c>
      <c r="U552" s="257">
        <f t="shared" si="17"/>
        <v>13</v>
      </c>
      <c r="V552">
        <v>1</v>
      </c>
      <c r="W552">
        <v>1</v>
      </c>
    </row>
    <row r="553" spans="1:23" ht="57" x14ac:dyDescent="0.3">
      <c r="A553" s="212">
        <v>38296</v>
      </c>
      <c r="B553" s="212">
        <v>38296</v>
      </c>
      <c r="C553" s="6">
        <v>11</v>
      </c>
      <c r="D553" s="6">
        <v>1</v>
      </c>
      <c r="E553" s="6">
        <v>2004</v>
      </c>
      <c r="F553" s="15" t="s">
        <v>22</v>
      </c>
      <c r="G553" s="18" t="s">
        <v>6256</v>
      </c>
      <c r="H553" s="9" t="s">
        <v>31</v>
      </c>
      <c r="I553" s="17" t="s">
        <v>968</v>
      </c>
      <c r="J553" s="53" t="s">
        <v>969</v>
      </c>
      <c r="K553" s="13">
        <v>0</v>
      </c>
      <c r="L553" s="233">
        <v>170</v>
      </c>
      <c r="M553" s="13">
        <v>34</v>
      </c>
      <c r="N553" s="13">
        <v>0</v>
      </c>
      <c r="O553" s="13">
        <v>0</v>
      </c>
      <c r="P553" s="13">
        <v>0</v>
      </c>
      <c r="Q553" s="13">
        <v>0</v>
      </c>
      <c r="R553" s="26">
        <v>3.63</v>
      </c>
      <c r="S553" s="7" t="s">
        <v>115</v>
      </c>
      <c r="T553" s="257">
        <f t="shared" si="16"/>
        <v>170</v>
      </c>
      <c r="U553" s="257">
        <f t="shared" si="17"/>
        <v>34</v>
      </c>
      <c r="V553">
        <v>1</v>
      </c>
      <c r="W553">
        <v>1</v>
      </c>
    </row>
    <row r="554" spans="1:23" ht="34.200000000000003" x14ac:dyDescent="0.3">
      <c r="A554" s="212">
        <v>38297</v>
      </c>
      <c r="B554" s="212">
        <v>38297</v>
      </c>
      <c r="C554" s="6">
        <v>11</v>
      </c>
      <c r="D554" s="6">
        <v>1</v>
      </c>
      <c r="E554" s="6">
        <v>2004</v>
      </c>
      <c r="F554" s="15" t="s">
        <v>22</v>
      </c>
      <c r="G554" s="18" t="s">
        <v>6256</v>
      </c>
      <c r="H554" s="17" t="s">
        <v>565</v>
      </c>
      <c r="I554" s="17" t="s">
        <v>970</v>
      </c>
      <c r="J554" s="53" t="s">
        <v>971</v>
      </c>
      <c r="K554" s="13">
        <v>0</v>
      </c>
      <c r="L554" s="233">
        <v>1260</v>
      </c>
      <c r="M554" s="13">
        <v>252</v>
      </c>
      <c r="N554" s="13">
        <v>0</v>
      </c>
      <c r="O554" s="13">
        <v>0</v>
      </c>
      <c r="P554" s="13">
        <v>0</v>
      </c>
      <c r="Q554" s="13">
        <v>0</v>
      </c>
      <c r="R554" s="26">
        <v>1.02</v>
      </c>
      <c r="S554" s="7" t="s">
        <v>115</v>
      </c>
      <c r="T554" s="257">
        <f t="shared" si="16"/>
        <v>1260</v>
      </c>
      <c r="U554" s="257">
        <f t="shared" si="17"/>
        <v>252</v>
      </c>
      <c r="V554">
        <v>1</v>
      </c>
      <c r="W554">
        <v>1</v>
      </c>
    </row>
    <row r="555" spans="1:23" ht="57" x14ac:dyDescent="0.3">
      <c r="A555" s="212">
        <v>38244</v>
      </c>
      <c r="B555" s="212">
        <v>38245</v>
      </c>
      <c r="C555" s="6">
        <v>9</v>
      </c>
      <c r="D555" s="6">
        <v>2</v>
      </c>
      <c r="E555" s="6">
        <v>2004</v>
      </c>
      <c r="F555" s="15" t="s">
        <v>22</v>
      </c>
      <c r="G555" s="18" t="s">
        <v>6256</v>
      </c>
      <c r="H555" s="9" t="s">
        <v>34</v>
      </c>
      <c r="I555" s="17" t="s">
        <v>972</v>
      </c>
      <c r="J555" s="53" t="s">
        <v>973</v>
      </c>
      <c r="K555" s="13">
        <v>0</v>
      </c>
      <c r="L555" s="233">
        <v>7850</v>
      </c>
      <c r="M555" s="13">
        <v>1570</v>
      </c>
      <c r="N555" s="13">
        <v>0</v>
      </c>
      <c r="O555" s="13">
        <v>0</v>
      </c>
      <c r="P555" s="13">
        <v>0</v>
      </c>
      <c r="Q555" s="13">
        <v>0</v>
      </c>
      <c r="R555" s="26">
        <v>9.42</v>
      </c>
      <c r="S555" s="7" t="s">
        <v>115</v>
      </c>
      <c r="T555" s="257">
        <f t="shared" si="16"/>
        <v>7850</v>
      </c>
      <c r="U555" s="257">
        <f t="shared" si="17"/>
        <v>1570</v>
      </c>
      <c r="V555">
        <v>1</v>
      </c>
      <c r="W555">
        <v>2</v>
      </c>
    </row>
    <row r="556" spans="1:23" ht="57" x14ac:dyDescent="0.3">
      <c r="A556" s="212">
        <v>38306</v>
      </c>
      <c r="B556" s="212">
        <v>38306</v>
      </c>
      <c r="C556" s="6">
        <v>11</v>
      </c>
      <c r="D556" s="6">
        <v>1</v>
      </c>
      <c r="E556" s="6">
        <v>2004</v>
      </c>
      <c r="F556" s="15" t="s">
        <v>22</v>
      </c>
      <c r="G556" s="18" t="s">
        <v>6256</v>
      </c>
      <c r="H556" s="9" t="s">
        <v>72</v>
      </c>
      <c r="I556" s="17" t="s">
        <v>974</v>
      </c>
      <c r="J556" s="53" t="s">
        <v>975</v>
      </c>
      <c r="K556" s="13">
        <v>0</v>
      </c>
      <c r="L556" s="233">
        <v>379</v>
      </c>
      <c r="M556" s="13">
        <v>0</v>
      </c>
      <c r="N556" s="13">
        <v>0</v>
      </c>
      <c r="O556" s="13">
        <v>0</v>
      </c>
      <c r="P556" s="13">
        <v>0</v>
      </c>
      <c r="Q556" s="13">
        <v>0</v>
      </c>
      <c r="R556" s="26">
        <v>0</v>
      </c>
      <c r="S556" s="7" t="s">
        <v>115</v>
      </c>
      <c r="T556" s="257">
        <f t="shared" si="16"/>
        <v>379</v>
      </c>
      <c r="U556" s="257">
        <f t="shared" si="17"/>
        <v>0</v>
      </c>
      <c r="V556">
        <v>1</v>
      </c>
      <c r="W556">
        <v>0</v>
      </c>
    </row>
    <row r="557" spans="1:23" ht="22.8" x14ac:dyDescent="0.3">
      <c r="A557" s="212">
        <v>38052</v>
      </c>
      <c r="B557" s="212">
        <v>38052</v>
      </c>
      <c r="C557" s="6">
        <v>3</v>
      </c>
      <c r="D557" s="6">
        <v>1</v>
      </c>
      <c r="E557" s="6">
        <v>2004</v>
      </c>
      <c r="F557" s="15" t="s">
        <v>22</v>
      </c>
      <c r="G557" s="16" t="s">
        <v>23</v>
      </c>
      <c r="H557" s="9" t="s">
        <v>34</v>
      </c>
      <c r="I557" s="17" t="s">
        <v>25</v>
      </c>
      <c r="J557" s="17" t="s">
        <v>976</v>
      </c>
      <c r="K557" s="13">
        <v>0</v>
      </c>
      <c r="L557" s="233">
        <v>0</v>
      </c>
      <c r="M557" s="13">
        <v>0</v>
      </c>
      <c r="N557" s="13">
        <v>0</v>
      </c>
      <c r="O557" s="13">
        <v>0</v>
      </c>
      <c r="P557" s="13">
        <v>0</v>
      </c>
      <c r="Q557" s="13">
        <v>0</v>
      </c>
      <c r="R557" s="26">
        <v>118</v>
      </c>
      <c r="S557" s="7" t="s">
        <v>115</v>
      </c>
      <c r="T557" s="257">
        <f t="shared" si="16"/>
        <v>0</v>
      </c>
      <c r="U557" s="257">
        <f t="shared" si="17"/>
        <v>0</v>
      </c>
      <c r="V557">
        <v>0</v>
      </c>
      <c r="W557">
        <v>0</v>
      </c>
    </row>
    <row r="558" spans="1:23" ht="46.8" x14ac:dyDescent="0.3">
      <c r="A558" s="212">
        <v>38119</v>
      </c>
      <c r="B558" s="212">
        <v>38119</v>
      </c>
      <c r="C558" s="6">
        <v>5</v>
      </c>
      <c r="D558" s="6">
        <v>1</v>
      </c>
      <c r="E558" s="6">
        <v>2004</v>
      </c>
      <c r="F558" s="15" t="s">
        <v>22</v>
      </c>
      <c r="G558" s="16" t="s">
        <v>23</v>
      </c>
      <c r="H558" s="9" t="s">
        <v>72</v>
      </c>
      <c r="I558" s="17" t="s">
        <v>25</v>
      </c>
      <c r="J558" s="65" t="s">
        <v>977</v>
      </c>
      <c r="K558" s="13">
        <v>0</v>
      </c>
      <c r="L558" s="233">
        <v>0</v>
      </c>
      <c r="M558" s="13">
        <v>0</v>
      </c>
      <c r="N558" s="13">
        <v>0</v>
      </c>
      <c r="O558" s="13">
        <v>0</v>
      </c>
      <c r="P558" s="13">
        <v>0</v>
      </c>
      <c r="Q558" s="13">
        <v>0</v>
      </c>
      <c r="R558" s="26">
        <v>29</v>
      </c>
      <c r="S558" s="7" t="s">
        <v>115</v>
      </c>
      <c r="T558" s="257">
        <f t="shared" si="16"/>
        <v>0</v>
      </c>
      <c r="U558" s="257">
        <f t="shared" si="17"/>
        <v>0</v>
      </c>
      <c r="V558">
        <v>0</v>
      </c>
      <c r="W558">
        <v>0</v>
      </c>
    </row>
    <row r="559" spans="1:23" ht="57" x14ac:dyDescent="0.3">
      <c r="A559" s="212">
        <v>38145</v>
      </c>
      <c r="B559" s="212">
        <v>38145</v>
      </c>
      <c r="C559" s="6">
        <v>6</v>
      </c>
      <c r="D559" s="6">
        <v>1</v>
      </c>
      <c r="E559" s="6">
        <v>2004</v>
      </c>
      <c r="F559" s="15" t="s">
        <v>22</v>
      </c>
      <c r="G559" s="18" t="s">
        <v>6255</v>
      </c>
      <c r="H559" s="9" t="s">
        <v>56</v>
      </c>
      <c r="I559" s="53" t="s">
        <v>95</v>
      </c>
      <c r="J559" s="53" t="s">
        <v>978</v>
      </c>
      <c r="K559" s="6">
        <v>0</v>
      </c>
      <c r="L559" s="233">
        <v>4500</v>
      </c>
      <c r="M559" s="13">
        <v>0</v>
      </c>
      <c r="N559" s="13">
        <v>0</v>
      </c>
      <c r="O559" s="13">
        <v>0</v>
      </c>
      <c r="P559" s="13">
        <v>0</v>
      </c>
      <c r="Q559" s="13">
        <v>10000</v>
      </c>
      <c r="R559" s="26">
        <v>128</v>
      </c>
      <c r="S559" s="7" t="s">
        <v>115</v>
      </c>
      <c r="T559" s="257">
        <f t="shared" si="16"/>
        <v>4500</v>
      </c>
      <c r="U559" s="257">
        <f t="shared" si="17"/>
        <v>0</v>
      </c>
      <c r="V559">
        <v>1</v>
      </c>
      <c r="W559">
        <v>0</v>
      </c>
    </row>
    <row r="560" spans="1:23" ht="34.200000000000003" x14ac:dyDescent="0.3">
      <c r="A560" s="212">
        <v>38261</v>
      </c>
      <c r="B560" s="212">
        <v>38352</v>
      </c>
      <c r="C560" s="6">
        <v>10</v>
      </c>
      <c r="D560" s="6">
        <v>92</v>
      </c>
      <c r="E560" s="6">
        <v>2004</v>
      </c>
      <c r="F560" s="15" t="s">
        <v>22</v>
      </c>
      <c r="G560" s="18" t="s">
        <v>6255</v>
      </c>
      <c r="H560" s="9" t="s">
        <v>34</v>
      </c>
      <c r="I560" s="53" t="s">
        <v>95</v>
      </c>
      <c r="J560" s="53" t="s">
        <v>979</v>
      </c>
      <c r="K560" s="6">
        <v>23</v>
      </c>
      <c r="L560" s="233">
        <v>23</v>
      </c>
      <c r="M560" s="13">
        <v>0</v>
      </c>
      <c r="N560" s="13">
        <v>0</v>
      </c>
      <c r="O560" s="13">
        <v>0</v>
      </c>
      <c r="P560" s="13">
        <v>0</v>
      </c>
      <c r="Q560" s="13">
        <v>0</v>
      </c>
      <c r="R560" s="26">
        <v>0</v>
      </c>
      <c r="S560" s="7" t="s">
        <v>115</v>
      </c>
      <c r="T560" s="257">
        <f t="shared" si="16"/>
        <v>46</v>
      </c>
      <c r="U560" s="257">
        <f t="shared" si="17"/>
        <v>0</v>
      </c>
      <c r="V560">
        <v>1</v>
      </c>
      <c r="W560">
        <v>0</v>
      </c>
    </row>
    <row r="561" spans="1:23" ht="34.200000000000003" x14ac:dyDescent="0.3">
      <c r="A561" s="212">
        <v>38016</v>
      </c>
      <c r="B561" s="212">
        <v>38016</v>
      </c>
      <c r="C561" s="6">
        <v>1</v>
      </c>
      <c r="D561" s="6">
        <v>1</v>
      </c>
      <c r="E561" s="6">
        <v>2004</v>
      </c>
      <c r="F561" s="15" t="s">
        <v>22</v>
      </c>
      <c r="G561" s="16" t="s">
        <v>6255</v>
      </c>
      <c r="H561" s="9" t="s">
        <v>118</v>
      </c>
      <c r="I561" s="53" t="s">
        <v>119</v>
      </c>
      <c r="J561" s="53" t="s">
        <v>980</v>
      </c>
      <c r="K561" s="6">
        <v>0</v>
      </c>
      <c r="L561" s="233">
        <v>29</v>
      </c>
      <c r="M561" s="13">
        <v>0</v>
      </c>
      <c r="N561" s="13">
        <v>0</v>
      </c>
      <c r="O561" s="13">
        <v>0</v>
      </c>
      <c r="P561" s="13">
        <v>0</v>
      </c>
      <c r="Q561" s="13">
        <v>0</v>
      </c>
      <c r="R561" s="26">
        <v>0</v>
      </c>
      <c r="S561" s="7" t="s">
        <v>115</v>
      </c>
      <c r="T561" s="257">
        <f t="shared" si="16"/>
        <v>29</v>
      </c>
      <c r="U561" s="257">
        <f t="shared" si="17"/>
        <v>0</v>
      </c>
      <c r="V561">
        <v>1</v>
      </c>
      <c r="W561">
        <v>0</v>
      </c>
    </row>
    <row r="562" spans="1:23" ht="45.6" x14ac:dyDescent="0.3">
      <c r="A562" s="212">
        <v>38038</v>
      </c>
      <c r="B562" s="212">
        <v>38038</v>
      </c>
      <c r="C562" s="6">
        <v>2</v>
      </c>
      <c r="D562" s="6">
        <v>1</v>
      </c>
      <c r="E562" s="6">
        <v>2004</v>
      </c>
      <c r="F562" s="15" t="s">
        <v>22</v>
      </c>
      <c r="G562" s="9" t="s">
        <v>6257</v>
      </c>
      <c r="H562" s="9" t="s">
        <v>118</v>
      </c>
      <c r="I562" s="53" t="s">
        <v>119</v>
      </c>
      <c r="J562" s="53" t="s">
        <v>981</v>
      </c>
      <c r="K562" s="6">
        <v>0</v>
      </c>
      <c r="L562" s="233">
        <v>0</v>
      </c>
      <c r="M562" s="13">
        <v>1</v>
      </c>
      <c r="N562" s="13">
        <v>0</v>
      </c>
      <c r="O562" s="13">
        <v>0</v>
      </c>
      <c r="P562" s="13">
        <v>0</v>
      </c>
      <c r="Q562" s="13">
        <v>0</v>
      </c>
      <c r="R562" s="26">
        <v>0.01</v>
      </c>
      <c r="S562" s="7" t="s">
        <v>115</v>
      </c>
      <c r="T562" s="257">
        <f t="shared" si="16"/>
        <v>0</v>
      </c>
      <c r="U562" s="257">
        <f t="shared" si="17"/>
        <v>1</v>
      </c>
      <c r="V562">
        <v>0</v>
      </c>
      <c r="W562">
        <v>1</v>
      </c>
    </row>
    <row r="563" spans="1:23" ht="34.200000000000003" x14ac:dyDescent="0.3">
      <c r="A563" s="212">
        <v>38039</v>
      </c>
      <c r="B563" s="212">
        <v>38039</v>
      </c>
      <c r="C563" s="6">
        <v>2</v>
      </c>
      <c r="D563" s="6">
        <v>1</v>
      </c>
      <c r="E563" s="6">
        <v>2004</v>
      </c>
      <c r="F563" s="15" t="s">
        <v>22</v>
      </c>
      <c r="G563" s="16" t="s">
        <v>6255</v>
      </c>
      <c r="H563" s="9" t="s">
        <v>74</v>
      </c>
      <c r="I563" s="53" t="s">
        <v>982</v>
      </c>
      <c r="J563" s="53" t="s">
        <v>983</v>
      </c>
      <c r="K563" s="6">
        <v>0</v>
      </c>
      <c r="L563" s="233">
        <v>0</v>
      </c>
      <c r="M563" s="13">
        <v>0</v>
      </c>
      <c r="N563" s="13">
        <v>0</v>
      </c>
      <c r="O563" s="13">
        <v>0</v>
      </c>
      <c r="P563" s="13">
        <v>0</v>
      </c>
      <c r="Q563" s="13">
        <v>0</v>
      </c>
      <c r="R563" s="26">
        <v>0</v>
      </c>
      <c r="S563" s="7" t="s">
        <v>115</v>
      </c>
      <c r="T563" s="257">
        <f t="shared" si="16"/>
        <v>0</v>
      </c>
      <c r="U563" s="257">
        <f t="shared" si="17"/>
        <v>0</v>
      </c>
      <c r="V563">
        <v>0</v>
      </c>
      <c r="W563">
        <v>0</v>
      </c>
    </row>
    <row r="564" spans="1:23" ht="68.400000000000006" x14ac:dyDescent="0.3">
      <c r="A564" s="212">
        <v>38040</v>
      </c>
      <c r="B564" s="212">
        <v>38040</v>
      </c>
      <c r="C564" s="6">
        <v>2</v>
      </c>
      <c r="D564" s="6">
        <v>1</v>
      </c>
      <c r="E564" s="6">
        <v>2004</v>
      </c>
      <c r="F564" s="15" t="s">
        <v>22</v>
      </c>
      <c r="G564" s="16" t="s">
        <v>6255</v>
      </c>
      <c r="H564" s="9" t="s">
        <v>34</v>
      </c>
      <c r="I564" s="53" t="s">
        <v>984</v>
      </c>
      <c r="J564" s="53" t="s">
        <v>985</v>
      </c>
      <c r="K564" s="6">
        <v>0</v>
      </c>
      <c r="L564" s="233">
        <v>0</v>
      </c>
      <c r="M564" s="13">
        <v>0</v>
      </c>
      <c r="N564" s="13">
        <v>0</v>
      </c>
      <c r="O564" s="13">
        <v>0</v>
      </c>
      <c r="P564" s="13">
        <v>0</v>
      </c>
      <c r="Q564" s="13">
        <v>0</v>
      </c>
      <c r="R564" s="26">
        <v>0</v>
      </c>
      <c r="S564" s="7" t="s">
        <v>115</v>
      </c>
      <c r="T564" s="257">
        <f t="shared" si="16"/>
        <v>0</v>
      </c>
      <c r="U564" s="257">
        <f t="shared" si="17"/>
        <v>0</v>
      </c>
      <c r="V564">
        <v>0</v>
      </c>
      <c r="W564">
        <v>0</v>
      </c>
    </row>
    <row r="565" spans="1:23" ht="34.200000000000003" x14ac:dyDescent="0.3">
      <c r="A565" s="212">
        <v>38044</v>
      </c>
      <c r="B565" s="212">
        <v>38044</v>
      </c>
      <c r="C565" s="6">
        <v>2</v>
      </c>
      <c r="D565" s="6">
        <v>1</v>
      </c>
      <c r="E565" s="6">
        <v>2004</v>
      </c>
      <c r="F565" s="15" t="s">
        <v>22</v>
      </c>
      <c r="G565" s="16" t="s">
        <v>6255</v>
      </c>
      <c r="H565" s="9" t="s">
        <v>27</v>
      </c>
      <c r="I565" s="53" t="s">
        <v>986</v>
      </c>
      <c r="J565" s="53" t="s">
        <v>987</v>
      </c>
      <c r="K565" s="6">
        <v>0</v>
      </c>
      <c r="L565" s="233">
        <v>0</v>
      </c>
      <c r="M565" s="13">
        <v>0</v>
      </c>
      <c r="N565" s="13">
        <v>0</v>
      </c>
      <c r="O565" s="13">
        <v>0</v>
      </c>
      <c r="P565" s="13">
        <v>0</v>
      </c>
      <c r="Q565" s="13">
        <v>0</v>
      </c>
      <c r="R565" s="26">
        <v>0</v>
      </c>
      <c r="S565" s="7" t="s">
        <v>115</v>
      </c>
      <c r="T565" s="257">
        <f t="shared" si="16"/>
        <v>0</v>
      </c>
      <c r="U565" s="257">
        <f t="shared" si="17"/>
        <v>0</v>
      </c>
      <c r="V565">
        <v>0</v>
      </c>
      <c r="W565">
        <v>0</v>
      </c>
    </row>
    <row r="566" spans="1:23" ht="34.200000000000003" x14ac:dyDescent="0.3">
      <c r="A566" s="212">
        <v>38099</v>
      </c>
      <c r="B566" s="212">
        <v>38099</v>
      </c>
      <c r="C566" s="6">
        <v>4</v>
      </c>
      <c r="D566" s="6">
        <v>1</v>
      </c>
      <c r="E566" s="6">
        <v>2004</v>
      </c>
      <c r="F566" s="15" t="s">
        <v>22</v>
      </c>
      <c r="G566" s="9" t="s">
        <v>6257</v>
      </c>
      <c r="H566" s="9" t="s">
        <v>174</v>
      </c>
      <c r="I566" s="53" t="s">
        <v>988</v>
      </c>
      <c r="J566" s="53" t="s">
        <v>989</v>
      </c>
      <c r="K566" s="6">
        <v>0</v>
      </c>
      <c r="L566" s="233">
        <v>150</v>
      </c>
      <c r="M566" s="13">
        <v>30</v>
      </c>
      <c r="N566" s="13">
        <v>0</v>
      </c>
      <c r="O566" s="13">
        <v>0</v>
      </c>
      <c r="P566" s="13">
        <v>0</v>
      </c>
      <c r="Q566" s="13">
        <v>0</v>
      </c>
      <c r="R566" s="26">
        <v>0.12</v>
      </c>
      <c r="S566" s="7" t="s">
        <v>115</v>
      </c>
      <c r="T566" s="257">
        <f t="shared" si="16"/>
        <v>150</v>
      </c>
      <c r="U566" s="257">
        <f t="shared" si="17"/>
        <v>30</v>
      </c>
      <c r="V566">
        <v>1</v>
      </c>
      <c r="W566">
        <v>1</v>
      </c>
    </row>
    <row r="567" spans="1:23" ht="45.6" x14ac:dyDescent="0.3">
      <c r="A567" s="212">
        <v>38109</v>
      </c>
      <c r="B567" s="212">
        <v>38109</v>
      </c>
      <c r="C567" s="6">
        <v>5</v>
      </c>
      <c r="D567" s="6">
        <v>1</v>
      </c>
      <c r="E567" s="6">
        <v>2004</v>
      </c>
      <c r="F567" s="15" t="s">
        <v>22</v>
      </c>
      <c r="G567" s="9" t="s">
        <v>6257</v>
      </c>
      <c r="H567" s="9" t="s">
        <v>78</v>
      </c>
      <c r="I567" s="53" t="s">
        <v>688</v>
      </c>
      <c r="J567" s="53" t="s">
        <v>990</v>
      </c>
      <c r="K567" s="6">
        <v>3</v>
      </c>
      <c r="L567" s="233">
        <v>3</v>
      </c>
      <c r="M567" s="13">
        <v>0</v>
      </c>
      <c r="N567" s="13">
        <v>0</v>
      </c>
      <c r="O567" s="13">
        <v>0</v>
      </c>
      <c r="P567" s="13">
        <v>0</v>
      </c>
      <c r="Q567" s="13">
        <v>0</v>
      </c>
      <c r="R567" s="26">
        <v>0</v>
      </c>
      <c r="S567" s="7" t="s">
        <v>115</v>
      </c>
      <c r="T567" s="257">
        <f t="shared" si="16"/>
        <v>6</v>
      </c>
      <c r="U567" s="257">
        <f t="shared" si="17"/>
        <v>0</v>
      </c>
      <c r="V567">
        <v>1</v>
      </c>
      <c r="W567">
        <v>0</v>
      </c>
    </row>
    <row r="568" spans="1:23" ht="68.400000000000006" x14ac:dyDescent="0.3">
      <c r="A568" s="212">
        <v>38114</v>
      </c>
      <c r="B568" s="212">
        <v>38114</v>
      </c>
      <c r="C568" s="6">
        <v>5</v>
      </c>
      <c r="D568" s="6">
        <v>1</v>
      </c>
      <c r="E568" s="6">
        <v>2004</v>
      </c>
      <c r="F568" s="15" t="s">
        <v>22</v>
      </c>
      <c r="G568" s="9" t="s">
        <v>6257</v>
      </c>
      <c r="H568" s="9" t="s">
        <v>84</v>
      </c>
      <c r="I568" s="53" t="s">
        <v>95</v>
      </c>
      <c r="J568" s="53" t="s">
        <v>991</v>
      </c>
      <c r="K568" s="6">
        <v>0</v>
      </c>
      <c r="L568" s="233">
        <v>3</v>
      </c>
      <c r="M568" s="13">
        <v>0</v>
      </c>
      <c r="N568" s="13">
        <v>1</v>
      </c>
      <c r="O568" s="13">
        <v>0</v>
      </c>
      <c r="P568" s="13">
        <v>0</v>
      </c>
      <c r="Q568" s="13">
        <v>0</v>
      </c>
      <c r="R568" s="26">
        <v>0</v>
      </c>
      <c r="S568" s="7" t="s">
        <v>115</v>
      </c>
      <c r="T568" s="257">
        <f t="shared" si="16"/>
        <v>3</v>
      </c>
      <c r="U568" s="257">
        <f t="shared" si="17"/>
        <v>1</v>
      </c>
      <c r="V568">
        <v>1</v>
      </c>
      <c r="W568">
        <v>1</v>
      </c>
    </row>
    <row r="569" spans="1:23" ht="34.200000000000003" x14ac:dyDescent="0.3">
      <c r="A569" s="212">
        <v>38119</v>
      </c>
      <c r="B569" s="212">
        <v>38119</v>
      </c>
      <c r="C569" s="6">
        <v>5</v>
      </c>
      <c r="D569" s="6">
        <v>1</v>
      </c>
      <c r="E569" s="6">
        <v>2004</v>
      </c>
      <c r="F569" s="15" t="s">
        <v>22</v>
      </c>
      <c r="G569" s="9" t="s">
        <v>6257</v>
      </c>
      <c r="H569" s="9" t="s">
        <v>31</v>
      </c>
      <c r="I569" s="53" t="s">
        <v>928</v>
      </c>
      <c r="J569" s="53" t="s">
        <v>992</v>
      </c>
      <c r="K569" s="6">
        <v>0</v>
      </c>
      <c r="L569" s="233">
        <v>145</v>
      </c>
      <c r="M569" s="13">
        <v>29</v>
      </c>
      <c r="N569" s="13">
        <v>0</v>
      </c>
      <c r="O569" s="13">
        <v>0</v>
      </c>
      <c r="P569" s="13">
        <v>0</v>
      </c>
      <c r="Q569" s="13">
        <v>0</v>
      </c>
      <c r="R569" s="26">
        <v>0.11</v>
      </c>
      <c r="S569" s="7" t="s">
        <v>115</v>
      </c>
      <c r="T569" s="257">
        <f t="shared" si="16"/>
        <v>145</v>
      </c>
      <c r="U569" s="257">
        <f t="shared" si="17"/>
        <v>29</v>
      </c>
      <c r="V569">
        <v>1</v>
      </c>
      <c r="W569">
        <v>1</v>
      </c>
    </row>
    <row r="570" spans="1:23" ht="45.6" x14ac:dyDescent="0.3">
      <c r="A570" s="212">
        <v>38121</v>
      </c>
      <c r="B570" s="212">
        <v>38121</v>
      </c>
      <c r="C570" s="6">
        <v>5</v>
      </c>
      <c r="D570" s="6">
        <v>1</v>
      </c>
      <c r="E570" s="6">
        <v>2004</v>
      </c>
      <c r="F570" s="15" t="s">
        <v>22</v>
      </c>
      <c r="G570" s="9" t="s">
        <v>6257</v>
      </c>
      <c r="H570" s="17" t="s">
        <v>565</v>
      </c>
      <c r="I570" s="53" t="s">
        <v>993</v>
      </c>
      <c r="J570" s="53" t="s">
        <v>994</v>
      </c>
      <c r="K570" s="6">
        <v>0</v>
      </c>
      <c r="L570" s="233">
        <v>400</v>
      </c>
      <c r="M570" s="13">
        <v>100</v>
      </c>
      <c r="N570" s="13">
        <v>0</v>
      </c>
      <c r="O570" s="13">
        <v>0</v>
      </c>
      <c r="P570" s="13">
        <v>0</v>
      </c>
      <c r="Q570" s="13">
        <v>0</v>
      </c>
      <c r="R570" s="26">
        <v>0.4</v>
      </c>
      <c r="S570" s="7" t="s">
        <v>115</v>
      </c>
      <c r="T570" s="257">
        <f t="shared" si="16"/>
        <v>400</v>
      </c>
      <c r="U570" s="257">
        <f t="shared" si="17"/>
        <v>100</v>
      </c>
      <c r="V570">
        <v>1</v>
      </c>
      <c r="W570">
        <v>1</v>
      </c>
    </row>
    <row r="571" spans="1:23" ht="39.6" x14ac:dyDescent="0.3">
      <c r="A571" s="219">
        <v>40212</v>
      </c>
      <c r="B571" s="219">
        <v>40212</v>
      </c>
      <c r="C571" s="6">
        <v>2</v>
      </c>
      <c r="D571" s="6">
        <v>1</v>
      </c>
      <c r="E571" s="73">
        <v>2010</v>
      </c>
      <c r="F571" s="15" t="s">
        <v>22</v>
      </c>
      <c r="G571" s="18" t="s">
        <v>6256</v>
      </c>
      <c r="H571" s="9" t="s">
        <v>48</v>
      </c>
      <c r="I571" s="74" t="s">
        <v>995</v>
      </c>
      <c r="J571" s="74" t="s">
        <v>996</v>
      </c>
      <c r="K571" s="75">
        <v>0</v>
      </c>
      <c r="L571" s="241">
        <v>920</v>
      </c>
      <c r="M571" s="75">
        <v>184</v>
      </c>
      <c r="N571" s="75">
        <v>0</v>
      </c>
      <c r="O571" s="75">
        <v>0</v>
      </c>
      <c r="P571" s="75">
        <v>0</v>
      </c>
      <c r="Q571" s="75">
        <v>0</v>
      </c>
      <c r="R571" s="61">
        <v>36.442999999999998</v>
      </c>
      <c r="S571" s="73" t="s">
        <v>149</v>
      </c>
      <c r="T571" s="257">
        <f t="shared" si="16"/>
        <v>920</v>
      </c>
      <c r="U571" s="257">
        <f t="shared" si="17"/>
        <v>184</v>
      </c>
      <c r="V571">
        <v>1</v>
      </c>
      <c r="W571">
        <v>1</v>
      </c>
    </row>
    <row r="572" spans="1:23" ht="34.200000000000003" x14ac:dyDescent="0.3">
      <c r="A572" s="212">
        <v>38153</v>
      </c>
      <c r="B572" s="212">
        <v>38153</v>
      </c>
      <c r="C572" s="6">
        <v>6</v>
      </c>
      <c r="D572" s="6">
        <v>1</v>
      </c>
      <c r="E572" s="6">
        <v>2004</v>
      </c>
      <c r="F572" s="15" t="s">
        <v>22</v>
      </c>
      <c r="G572" s="9" t="s">
        <v>6257</v>
      </c>
      <c r="H572" s="9" t="s">
        <v>24</v>
      </c>
      <c r="I572" s="53" t="s">
        <v>997</v>
      </c>
      <c r="J572" s="53" t="s">
        <v>998</v>
      </c>
      <c r="K572" s="6">
        <v>0</v>
      </c>
      <c r="L572" s="233">
        <v>50</v>
      </c>
      <c r="M572" s="13">
        <v>10</v>
      </c>
      <c r="N572" s="13">
        <v>0</v>
      </c>
      <c r="O572" s="13">
        <v>0</v>
      </c>
      <c r="P572" s="13">
        <v>0</v>
      </c>
      <c r="Q572" s="13">
        <v>0</v>
      </c>
      <c r="R572" s="26">
        <v>0.04</v>
      </c>
      <c r="S572" s="7" t="s">
        <v>115</v>
      </c>
      <c r="T572" s="257">
        <f t="shared" si="16"/>
        <v>50</v>
      </c>
      <c r="U572" s="257">
        <f t="shared" si="17"/>
        <v>10</v>
      </c>
      <c r="V572">
        <v>1</v>
      </c>
      <c r="W572">
        <v>1</v>
      </c>
    </row>
    <row r="573" spans="1:23" ht="45.6" x14ac:dyDescent="0.3">
      <c r="A573" s="212">
        <v>38167</v>
      </c>
      <c r="B573" s="212">
        <v>38167</v>
      </c>
      <c r="C573" s="6">
        <v>6</v>
      </c>
      <c r="D573" s="6">
        <v>1</v>
      </c>
      <c r="E573" s="6">
        <v>2004</v>
      </c>
      <c r="F573" s="15" t="s">
        <v>22</v>
      </c>
      <c r="G573" s="9" t="s">
        <v>6257</v>
      </c>
      <c r="H573" s="9" t="s">
        <v>31</v>
      </c>
      <c r="I573" s="53" t="s">
        <v>456</v>
      </c>
      <c r="J573" s="53" t="s">
        <v>999</v>
      </c>
      <c r="K573" s="6">
        <v>0</v>
      </c>
      <c r="L573" s="233">
        <v>51</v>
      </c>
      <c r="M573" s="13">
        <v>10</v>
      </c>
      <c r="N573" s="13">
        <v>0</v>
      </c>
      <c r="O573" s="13">
        <v>0</v>
      </c>
      <c r="P573" s="13">
        <v>0</v>
      </c>
      <c r="Q573" s="13">
        <v>0</v>
      </c>
      <c r="R573" s="26">
        <v>0.04</v>
      </c>
      <c r="S573" s="7" t="s">
        <v>115</v>
      </c>
      <c r="T573" s="257">
        <f t="shared" si="16"/>
        <v>51</v>
      </c>
      <c r="U573" s="257">
        <f t="shared" si="17"/>
        <v>10</v>
      </c>
      <c r="V573">
        <v>1</v>
      </c>
      <c r="W573">
        <v>1</v>
      </c>
    </row>
    <row r="574" spans="1:23" ht="34.200000000000003" x14ac:dyDescent="0.3">
      <c r="A574" s="212">
        <v>38173</v>
      </c>
      <c r="B574" s="212">
        <v>38173</v>
      </c>
      <c r="C574" s="6">
        <v>7</v>
      </c>
      <c r="D574" s="6">
        <v>1</v>
      </c>
      <c r="E574" s="6">
        <v>2004</v>
      </c>
      <c r="F574" s="15" t="s">
        <v>22</v>
      </c>
      <c r="G574" s="9" t="s">
        <v>6257</v>
      </c>
      <c r="H574" s="17" t="s">
        <v>565</v>
      </c>
      <c r="I574" s="53" t="s">
        <v>970</v>
      </c>
      <c r="J574" s="53" t="s">
        <v>1000</v>
      </c>
      <c r="K574" s="6">
        <v>0</v>
      </c>
      <c r="L574" s="233">
        <v>100</v>
      </c>
      <c r="M574" s="13">
        <v>20</v>
      </c>
      <c r="N574" s="13">
        <v>0</v>
      </c>
      <c r="O574" s="13">
        <v>0</v>
      </c>
      <c r="P574" s="13">
        <v>0</v>
      </c>
      <c r="Q574" s="13">
        <v>0</v>
      </c>
      <c r="R574" s="26">
        <v>0.2</v>
      </c>
      <c r="S574" s="7" t="s">
        <v>115</v>
      </c>
      <c r="T574" s="257">
        <f t="shared" si="16"/>
        <v>100</v>
      </c>
      <c r="U574" s="257">
        <f t="shared" si="17"/>
        <v>20</v>
      </c>
      <c r="V574">
        <v>1</v>
      </c>
      <c r="W574">
        <v>1</v>
      </c>
    </row>
    <row r="575" spans="1:23" ht="45.6" x14ac:dyDescent="0.3">
      <c r="A575" s="212">
        <v>38190</v>
      </c>
      <c r="B575" s="212">
        <v>38190</v>
      </c>
      <c r="C575" s="6">
        <v>7</v>
      </c>
      <c r="D575" s="6">
        <v>1</v>
      </c>
      <c r="E575" s="6">
        <v>2004</v>
      </c>
      <c r="F575" s="15" t="s">
        <v>22</v>
      </c>
      <c r="G575" s="9" t="s">
        <v>6257</v>
      </c>
      <c r="H575" s="9" t="s">
        <v>43</v>
      </c>
      <c r="I575" s="53" t="s">
        <v>1001</v>
      </c>
      <c r="J575" s="53" t="s">
        <v>1002</v>
      </c>
      <c r="K575" s="6">
        <v>0</v>
      </c>
      <c r="L575" s="233">
        <v>200</v>
      </c>
      <c r="M575" s="13">
        <v>40</v>
      </c>
      <c r="N575" s="13">
        <v>0</v>
      </c>
      <c r="O575" s="13">
        <v>0</v>
      </c>
      <c r="P575" s="13">
        <v>0</v>
      </c>
      <c r="Q575" s="13">
        <v>0</v>
      </c>
      <c r="R575" s="26">
        <v>0.16</v>
      </c>
      <c r="S575" s="7" t="s">
        <v>115</v>
      </c>
      <c r="T575" s="257">
        <f t="shared" si="16"/>
        <v>200</v>
      </c>
      <c r="U575" s="257">
        <f t="shared" si="17"/>
        <v>40</v>
      </c>
      <c r="V575">
        <v>1</v>
      </c>
      <c r="W575">
        <v>1</v>
      </c>
    </row>
    <row r="576" spans="1:23" ht="45.6" x14ac:dyDescent="0.3">
      <c r="A576" s="212">
        <v>38197</v>
      </c>
      <c r="B576" s="212">
        <v>38197</v>
      </c>
      <c r="C576" s="6">
        <v>7</v>
      </c>
      <c r="D576" s="6">
        <v>1</v>
      </c>
      <c r="E576" s="6">
        <v>2004</v>
      </c>
      <c r="F576" s="15" t="s">
        <v>22</v>
      </c>
      <c r="G576" s="9" t="s">
        <v>6257</v>
      </c>
      <c r="H576" s="9" t="s">
        <v>43</v>
      </c>
      <c r="I576" s="53" t="s">
        <v>1003</v>
      </c>
      <c r="J576" s="53" t="s">
        <v>1004</v>
      </c>
      <c r="K576" s="6">
        <v>0</v>
      </c>
      <c r="L576" s="233">
        <v>525</v>
      </c>
      <c r="M576" s="13">
        <v>105</v>
      </c>
      <c r="N576" s="13">
        <v>0</v>
      </c>
      <c r="O576" s="13">
        <v>0</v>
      </c>
      <c r="P576" s="13">
        <v>0</v>
      </c>
      <c r="Q576" s="13">
        <v>0</v>
      </c>
      <c r="R576" s="26">
        <v>0.42</v>
      </c>
      <c r="S576" s="7" t="s">
        <v>115</v>
      </c>
      <c r="T576" s="257">
        <f t="shared" si="16"/>
        <v>525</v>
      </c>
      <c r="U576" s="257">
        <f t="shared" si="17"/>
        <v>105</v>
      </c>
      <c r="V576">
        <v>1</v>
      </c>
      <c r="W576">
        <v>1</v>
      </c>
    </row>
    <row r="577" spans="1:23" ht="45.6" x14ac:dyDescent="0.3">
      <c r="A577" s="212">
        <v>38282</v>
      </c>
      <c r="B577" s="212">
        <v>38282</v>
      </c>
      <c r="C577" s="6">
        <v>10</v>
      </c>
      <c r="D577" s="6">
        <v>1</v>
      </c>
      <c r="E577" s="6">
        <v>2004</v>
      </c>
      <c r="F577" s="15" t="s">
        <v>22</v>
      </c>
      <c r="G577" s="9" t="s">
        <v>6257</v>
      </c>
      <c r="H577" s="9" t="s">
        <v>31</v>
      </c>
      <c r="I577" s="53" t="s">
        <v>1005</v>
      </c>
      <c r="J577" s="53" t="s">
        <v>1006</v>
      </c>
      <c r="K577" s="6">
        <v>1</v>
      </c>
      <c r="L577" s="233">
        <v>23</v>
      </c>
      <c r="M577" s="13">
        <v>4</v>
      </c>
      <c r="N577" s="13">
        <v>0</v>
      </c>
      <c r="O577" s="13">
        <v>0</v>
      </c>
      <c r="P577" s="13">
        <v>0</v>
      </c>
      <c r="Q577" s="13">
        <v>0</v>
      </c>
      <c r="R577" s="26">
        <v>0.04</v>
      </c>
      <c r="S577" s="7" t="s">
        <v>115</v>
      </c>
      <c r="T577" s="257">
        <f t="shared" si="16"/>
        <v>24</v>
      </c>
      <c r="U577" s="257">
        <f t="shared" si="17"/>
        <v>4</v>
      </c>
      <c r="V577">
        <v>1</v>
      </c>
      <c r="W577">
        <v>1</v>
      </c>
    </row>
    <row r="578" spans="1:23" ht="102.6" x14ac:dyDescent="0.3">
      <c r="A578" s="215">
        <v>38142</v>
      </c>
      <c r="B578" s="215">
        <v>38142</v>
      </c>
      <c r="C578" s="6">
        <v>6</v>
      </c>
      <c r="D578" s="6">
        <v>1</v>
      </c>
      <c r="E578" s="6">
        <v>2004</v>
      </c>
      <c r="F578" s="7" t="s">
        <v>17</v>
      </c>
      <c r="G578" s="28" t="s">
        <v>6261</v>
      </c>
      <c r="H578" s="9" t="s">
        <v>31</v>
      </c>
      <c r="I578" s="66" t="s">
        <v>1007</v>
      </c>
      <c r="J578" s="53" t="s">
        <v>1008</v>
      </c>
      <c r="K578" s="6">
        <v>0</v>
      </c>
      <c r="L578" s="233">
        <v>185</v>
      </c>
      <c r="M578" s="13">
        <v>0</v>
      </c>
      <c r="N578" s="13">
        <v>2</v>
      </c>
      <c r="O578" s="13">
        <v>0</v>
      </c>
      <c r="P578" s="13">
        <v>0</v>
      </c>
      <c r="Q578" s="13">
        <v>0</v>
      </c>
      <c r="R578" s="26">
        <v>0.15</v>
      </c>
      <c r="S578" s="7" t="s">
        <v>115</v>
      </c>
      <c r="T578" s="257">
        <f t="shared" si="16"/>
        <v>185</v>
      </c>
      <c r="U578" s="257">
        <f t="shared" si="17"/>
        <v>2</v>
      </c>
      <c r="V578">
        <v>1</v>
      </c>
      <c r="W578">
        <v>1</v>
      </c>
    </row>
    <row r="579" spans="1:23" ht="34.200000000000003" x14ac:dyDescent="0.3">
      <c r="A579" s="215">
        <v>38143</v>
      </c>
      <c r="B579" s="215">
        <v>38143</v>
      </c>
      <c r="C579" s="6">
        <v>6</v>
      </c>
      <c r="D579" s="6">
        <v>1</v>
      </c>
      <c r="E579" s="6">
        <v>2004</v>
      </c>
      <c r="F579" s="7" t="s">
        <v>17</v>
      </c>
      <c r="G579" s="8" t="s">
        <v>6261</v>
      </c>
      <c r="H579" s="9" t="s">
        <v>37</v>
      </c>
      <c r="I579" s="66" t="s">
        <v>1009</v>
      </c>
      <c r="J579" s="53" t="s">
        <v>1010</v>
      </c>
      <c r="K579" s="6">
        <v>1</v>
      </c>
      <c r="L579" s="233">
        <v>3</v>
      </c>
      <c r="M579" s="13">
        <v>0</v>
      </c>
      <c r="N579" s="13">
        <v>0</v>
      </c>
      <c r="O579" s="13">
        <v>0</v>
      </c>
      <c r="P579" s="13">
        <v>0</v>
      </c>
      <c r="Q579" s="13">
        <v>0</v>
      </c>
      <c r="R579" s="26">
        <v>0</v>
      </c>
      <c r="S579" s="7" t="s">
        <v>115</v>
      </c>
      <c r="T579" s="257">
        <f t="shared" ref="T579:T642" si="18">SUM(K579:L579)</f>
        <v>4</v>
      </c>
      <c r="U579" s="257">
        <f t="shared" ref="U579:U642" si="19">SUM(M579:P579)</f>
        <v>0</v>
      </c>
      <c r="V579">
        <v>1</v>
      </c>
      <c r="W579">
        <v>0</v>
      </c>
    </row>
    <row r="580" spans="1:23" ht="34.200000000000003" x14ac:dyDescent="0.3">
      <c r="A580" s="215">
        <v>38172</v>
      </c>
      <c r="B580" s="215">
        <v>38172</v>
      </c>
      <c r="C580" s="6">
        <v>7</v>
      </c>
      <c r="D580" s="6">
        <v>1</v>
      </c>
      <c r="E580" s="6">
        <v>2004</v>
      </c>
      <c r="F580" s="7" t="s">
        <v>17</v>
      </c>
      <c r="G580" s="8" t="s">
        <v>6261</v>
      </c>
      <c r="H580" s="9" t="s">
        <v>174</v>
      </c>
      <c r="I580" s="66" t="s">
        <v>1012</v>
      </c>
      <c r="J580" s="53" t="s">
        <v>1013</v>
      </c>
      <c r="K580" s="6">
        <v>3</v>
      </c>
      <c r="L580" s="233">
        <v>6</v>
      </c>
      <c r="M580" s="13">
        <v>0</v>
      </c>
      <c r="N580" s="13">
        <v>0</v>
      </c>
      <c r="O580" s="13">
        <v>0</v>
      </c>
      <c r="P580" s="13">
        <v>0</v>
      </c>
      <c r="Q580" s="13">
        <v>0</v>
      </c>
      <c r="R580" s="26">
        <v>0</v>
      </c>
      <c r="S580" s="7" t="s">
        <v>115</v>
      </c>
      <c r="T580" s="257">
        <f t="shared" si="18"/>
        <v>9</v>
      </c>
      <c r="U580" s="257">
        <f t="shared" si="19"/>
        <v>0</v>
      </c>
      <c r="V580">
        <v>1</v>
      </c>
      <c r="W580">
        <v>0</v>
      </c>
    </row>
    <row r="581" spans="1:23" ht="45.6" x14ac:dyDescent="0.3">
      <c r="A581" s="215">
        <v>38220</v>
      </c>
      <c r="B581" s="215">
        <v>38220</v>
      </c>
      <c r="C581" s="6">
        <v>8</v>
      </c>
      <c r="D581" s="6">
        <v>1</v>
      </c>
      <c r="E581" s="6">
        <v>2004</v>
      </c>
      <c r="F581" s="7" t="s">
        <v>17</v>
      </c>
      <c r="G581" s="8" t="s">
        <v>6261</v>
      </c>
      <c r="H581" s="9" t="s">
        <v>118</v>
      </c>
      <c r="I581" s="66" t="s">
        <v>1014</v>
      </c>
      <c r="J581" s="53" t="s">
        <v>1015</v>
      </c>
      <c r="K581" s="6">
        <v>3</v>
      </c>
      <c r="L581" s="233">
        <v>3</v>
      </c>
      <c r="M581" s="13">
        <v>0</v>
      </c>
      <c r="N581" s="13">
        <v>0</v>
      </c>
      <c r="O581" s="13">
        <v>0</v>
      </c>
      <c r="P581" s="13">
        <v>0</v>
      </c>
      <c r="Q581" s="13">
        <v>0</v>
      </c>
      <c r="R581" s="26">
        <v>0</v>
      </c>
      <c r="S581" s="7" t="s">
        <v>115</v>
      </c>
      <c r="T581" s="257">
        <f t="shared" si="18"/>
        <v>6</v>
      </c>
      <c r="U581" s="257">
        <f t="shared" si="19"/>
        <v>0</v>
      </c>
      <c r="V581">
        <v>1</v>
      </c>
      <c r="W581">
        <v>0</v>
      </c>
    </row>
    <row r="582" spans="1:23" ht="45.6" x14ac:dyDescent="0.3">
      <c r="A582" s="215">
        <v>38227</v>
      </c>
      <c r="B582" s="215">
        <v>38227</v>
      </c>
      <c r="C582" s="6">
        <v>8</v>
      </c>
      <c r="D582" s="6">
        <v>1</v>
      </c>
      <c r="E582" s="6">
        <v>2004</v>
      </c>
      <c r="F582" s="7" t="s">
        <v>17</v>
      </c>
      <c r="G582" s="8" t="s">
        <v>6261</v>
      </c>
      <c r="H582" s="9" t="s">
        <v>46</v>
      </c>
      <c r="I582" s="66" t="s">
        <v>494</v>
      </c>
      <c r="J582" s="53" t="s">
        <v>1016</v>
      </c>
      <c r="K582" s="6">
        <v>1</v>
      </c>
      <c r="L582" s="233">
        <v>1</v>
      </c>
      <c r="M582" s="13">
        <v>0</v>
      </c>
      <c r="N582" s="13">
        <v>0</v>
      </c>
      <c r="O582" s="13">
        <v>0</v>
      </c>
      <c r="P582" s="13">
        <v>0</v>
      </c>
      <c r="Q582" s="13">
        <v>0</v>
      </c>
      <c r="R582" s="26">
        <v>0</v>
      </c>
      <c r="S582" s="7" t="s">
        <v>115</v>
      </c>
      <c r="T582" s="257">
        <f t="shared" si="18"/>
        <v>2</v>
      </c>
      <c r="U582" s="257">
        <f t="shared" si="19"/>
        <v>0</v>
      </c>
      <c r="V582">
        <v>1</v>
      </c>
      <c r="W582">
        <v>0</v>
      </c>
    </row>
    <row r="583" spans="1:23" ht="22.8" x14ac:dyDescent="0.3">
      <c r="A583" s="215">
        <v>38231</v>
      </c>
      <c r="B583" s="215">
        <v>38231</v>
      </c>
      <c r="C583" s="6">
        <v>9</v>
      </c>
      <c r="D583" s="6">
        <v>1</v>
      </c>
      <c r="E583" s="6">
        <v>2004</v>
      </c>
      <c r="F583" s="7" t="s">
        <v>17</v>
      </c>
      <c r="G583" s="28" t="s">
        <v>6261</v>
      </c>
      <c r="H583" s="9" t="s">
        <v>43</v>
      </c>
      <c r="I583" s="66" t="s">
        <v>95</v>
      </c>
      <c r="J583" s="53" t="s">
        <v>1017</v>
      </c>
      <c r="K583" s="6">
        <v>0</v>
      </c>
      <c r="L583" s="233">
        <v>5</v>
      </c>
      <c r="M583" s="13">
        <v>1</v>
      </c>
      <c r="N583" s="13">
        <v>0</v>
      </c>
      <c r="O583" s="13">
        <v>0</v>
      </c>
      <c r="P583" s="13">
        <v>0</v>
      </c>
      <c r="Q583" s="13">
        <v>0</v>
      </c>
      <c r="R583" s="26">
        <v>0.01</v>
      </c>
      <c r="S583" s="7" t="s">
        <v>115</v>
      </c>
      <c r="T583" s="257">
        <f t="shared" si="18"/>
        <v>5</v>
      </c>
      <c r="U583" s="257">
        <f t="shared" si="19"/>
        <v>1</v>
      </c>
      <c r="V583">
        <v>1</v>
      </c>
      <c r="W583">
        <v>1</v>
      </c>
    </row>
    <row r="584" spans="1:23" ht="68.400000000000006" x14ac:dyDescent="0.3">
      <c r="A584" s="215">
        <v>38245</v>
      </c>
      <c r="B584" s="215">
        <v>38245</v>
      </c>
      <c r="C584" s="6">
        <v>9</v>
      </c>
      <c r="D584" s="6">
        <v>1</v>
      </c>
      <c r="E584" s="6">
        <v>2004</v>
      </c>
      <c r="F584" s="7" t="s">
        <v>17</v>
      </c>
      <c r="G584" s="8" t="s">
        <v>6261</v>
      </c>
      <c r="H584" s="9" t="s">
        <v>43</v>
      </c>
      <c r="I584" s="66" t="s">
        <v>95</v>
      </c>
      <c r="J584" s="53" t="s">
        <v>1018</v>
      </c>
      <c r="K584" s="6">
        <v>2</v>
      </c>
      <c r="L584" s="233">
        <v>20</v>
      </c>
      <c r="M584" s="13">
        <v>1</v>
      </c>
      <c r="N584" s="13">
        <v>0</v>
      </c>
      <c r="O584" s="13">
        <v>0</v>
      </c>
      <c r="P584" s="13">
        <v>0</v>
      </c>
      <c r="Q584" s="13">
        <v>0</v>
      </c>
      <c r="R584" s="26">
        <v>0.01</v>
      </c>
      <c r="S584" s="7" t="s">
        <v>115</v>
      </c>
      <c r="T584" s="257">
        <f t="shared" si="18"/>
        <v>22</v>
      </c>
      <c r="U584" s="257">
        <f t="shared" si="19"/>
        <v>1</v>
      </c>
      <c r="V584">
        <v>1</v>
      </c>
      <c r="W584">
        <v>1</v>
      </c>
    </row>
    <row r="585" spans="1:23" ht="79.8" x14ac:dyDescent="0.3">
      <c r="A585" s="220">
        <v>38355</v>
      </c>
      <c r="B585" s="220">
        <v>38355</v>
      </c>
      <c r="C585" s="6">
        <v>1</v>
      </c>
      <c r="D585" s="6">
        <v>1</v>
      </c>
      <c r="E585" s="76">
        <v>2005</v>
      </c>
      <c r="F585" s="15" t="s">
        <v>22</v>
      </c>
      <c r="G585" s="18" t="s">
        <v>6256</v>
      </c>
      <c r="H585" s="9" t="s">
        <v>27</v>
      </c>
      <c r="I585" s="77" t="s">
        <v>671</v>
      </c>
      <c r="J585" s="78" t="s">
        <v>1045</v>
      </c>
      <c r="K585" s="79">
        <v>4</v>
      </c>
      <c r="L585" s="242">
        <v>430</v>
      </c>
      <c r="M585" s="79">
        <v>0</v>
      </c>
      <c r="N585" s="79">
        <v>0</v>
      </c>
      <c r="O585" s="37">
        <v>0</v>
      </c>
      <c r="P585" s="37">
        <v>0</v>
      </c>
      <c r="Q585" s="79">
        <v>0</v>
      </c>
      <c r="R585" s="80">
        <v>0</v>
      </c>
      <c r="S585" s="7" t="s">
        <v>115</v>
      </c>
      <c r="T585" s="257">
        <f t="shared" si="18"/>
        <v>434</v>
      </c>
      <c r="U585" s="257">
        <f t="shared" si="19"/>
        <v>0</v>
      </c>
      <c r="V585">
        <v>1</v>
      </c>
      <c r="W585">
        <v>0</v>
      </c>
    </row>
    <row r="586" spans="1:23" ht="91.2" x14ac:dyDescent="0.3">
      <c r="A586" s="220">
        <v>38355</v>
      </c>
      <c r="B586" s="220">
        <v>38355</v>
      </c>
      <c r="C586" s="6">
        <v>1</v>
      </c>
      <c r="D586" s="6">
        <v>1</v>
      </c>
      <c r="E586" s="76">
        <v>2005</v>
      </c>
      <c r="F586" s="15" t="s">
        <v>22</v>
      </c>
      <c r="G586" s="18" t="s">
        <v>6256</v>
      </c>
      <c r="H586" s="9" t="s">
        <v>34</v>
      </c>
      <c r="I586" s="77" t="s">
        <v>1046</v>
      </c>
      <c r="J586" s="78" t="s">
        <v>1047</v>
      </c>
      <c r="K586" s="79">
        <v>0</v>
      </c>
      <c r="L586" s="242">
        <v>85</v>
      </c>
      <c r="M586" s="79">
        <v>39</v>
      </c>
      <c r="N586" s="79">
        <v>0</v>
      </c>
      <c r="O586" s="37">
        <v>0</v>
      </c>
      <c r="P586" s="37">
        <v>0</v>
      </c>
      <c r="Q586" s="79">
        <v>0</v>
      </c>
      <c r="R586" s="80">
        <v>3.0150000000000001</v>
      </c>
      <c r="S586" s="7" t="s">
        <v>115</v>
      </c>
      <c r="T586" s="257">
        <f t="shared" si="18"/>
        <v>85</v>
      </c>
      <c r="U586" s="257">
        <f t="shared" si="19"/>
        <v>39</v>
      </c>
      <c r="V586">
        <v>1</v>
      </c>
      <c r="W586">
        <v>1</v>
      </c>
    </row>
    <row r="587" spans="1:23" ht="34.200000000000003" x14ac:dyDescent="0.3">
      <c r="A587" s="220">
        <v>38387</v>
      </c>
      <c r="B587" s="220">
        <v>38388</v>
      </c>
      <c r="C587" s="6">
        <v>2</v>
      </c>
      <c r="D587" s="6">
        <v>2</v>
      </c>
      <c r="E587" s="76">
        <v>2005</v>
      </c>
      <c r="F587" s="15" t="s">
        <v>22</v>
      </c>
      <c r="G587" s="18" t="s">
        <v>6256</v>
      </c>
      <c r="H587" s="9" t="s">
        <v>34</v>
      </c>
      <c r="I587" s="77" t="s">
        <v>1048</v>
      </c>
      <c r="J587" s="78" t="s">
        <v>1049</v>
      </c>
      <c r="K587" s="79">
        <v>0</v>
      </c>
      <c r="L587" s="242">
        <v>7400</v>
      </c>
      <c r="M587" s="79">
        <v>0</v>
      </c>
      <c r="N587" s="79">
        <v>0</v>
      </c>
      <c r="O587" s="37">
        <v>0</v>
      </c>
      <c r="P587" s="37">
        <v>0</v>
      </c>
      <c r="Q587" s="79">
        <v>0</v>
      </c>
      <c r="R587" s="80">
        <v>0</v>
      </c>
      <c r="S587" s="7" t="s">
        <v>115</v>
      </c>
      <c r="T587" s="257">
        <f t="shared" si="18"/>
        <v>7400</v>
      </c>
      <c r="U587" s="257">
        <f t="shared" si="19"/>
        <v>0</v>
      </c>
      <c r="V587">
        <v>1</v>
      </c>
      <c r="W587">
        <v>0</v>
      </c>
    </row>
    <row r="588" spans="1:23" ht="45.6" x14ac:dyDescent="0.3">
      <c r="A588" s="220">
        <v>38405</v>
      </c>
      <c r="B588" s="220">
        <v>38405</v>
      </c>
      <c r="C588" s="6">
        <v>2</v>
      </c>
      <c r="D588" s="6">
        <v>1</v>
      </c>
      <c r="E588" s="76">
        <v>2005</v>
      </c>
      <c r="F588" s="15" t="s">
        <v>22</v>
      </c>
      <c r="G588" s="18" t="s">
        <v>6256</v>
      </c>
      <c r="H588" s="9" t="s">
        <v>27</v>
      </c>
      <c r="I588" s="77" t="s">
        <v>671</v>
      </c>
      <c r="J588" s="78" t="s">
        <v>1050</v>
      </c>
      <c r="K588" s="79">
        <v>0</v>
      </c>
      <c r="L588" s="242">
        <v>190</v>
      </c>
      <c r="M588" s="79">
        <v>0</v>
      </c>
      <c r="N588" s="79">
        <v>0</v>
      </c>
      <c r="O588" s="37">
        <v>0</v>
      </c>
      <c r="P588" s="37">
        <v>0</v>
      </c>
      <c r="Q588" s="79">
        <v>0</v>
      </c>
      <c r="R588" s="80">
        <v>0</v>
      </c>
      <c r="S588" s="7" t="s">
        <v>115</v>
      </c>
      <c r="T588" s="257">
        <f t="shared" si="18"/>
        <v>190</v>
      </c>
      <c r="U588" s="257">
        <f t="shared" si="19"/>
        <v>0</v>
      </c>
      <c r="V588">
        <v>1</v>
      </c>
      <c r="W588">
        <v>0</v>
      </c>
    </row>
    <row r="589" spans="1:23" ht="57" x14ac:dyDescent="0.3">
      <c r="A589" s="220">
        <v>38463</v>
      </c>
      <c r="B589" s="220">
        <v>38463</v>
      </c>
      <c r="C589" s="6">
        <v>4</v>
      </c>
      <c r="D589" s="6">
        <v>1</v>
      </c>
      <c r="E589" s="76">
        <v>2005</v>
      </c>
      <c r="F589" s="15" t="s">
        <v>22</v>
      </c>
      <c r="G589" s="18" t="s">
        <v>6256</v>
      </c>
      <c r="H589" s="9" t="s">
        <v>31</v>
      </c>
      <c r="I589" s="77" t="s">
        <v>1051</v>
      </c>
      <c r="J589" s="81" t="s">
        <v>1052</v>
      </c>
      <c r="K589" s="79">
        <v>0</v>
      </c>
      <c r="L589" s="242">
        <v>17</v>
      </c>
      <c r="M589" s="79">
        <v>68</v>
      </c>
      <c r="N589" s="79">
        <v>0</v>
      </c>
      <c r="O589" s="37">
        <v>0</v>
      </c>
      <c r="P589" s="37">
        <v>0</v>
      </c>
      <c r="Q589" s="79">
        <v>0</v>
      </c>
      <c r="R589" s="80">
        <v>0.73899999999999999</v>
      </c>
      <c r="S589" s="7" t="s">
        <v>115</v>
      </c>
      <c r="T589" s="257">
        <f t="shared" si="18"/>
        <v>17</v>
      </c>
      <c r="U589" s="257">
        <f t="shared" si="19"/>
        <v>68</v>
      </c>
      <c r="V589">
        <v>1</v>
      </c>
      <c r="W589">
        <v>1</v>
      </c>
    </row>
    <row r="590" spans="1:23" ht="57" x14ac:dyDescent="0.3">
      <c r="A590" s="220">
        <v>38466</v>
      </c>
      <c r="B590" s="220">
        <v>38466</v>
      </c>
      <c r="C590" s="6">
        <v>4</v>
      </c>
      <c r="D590" s="6">
        <v>1</v>
      </c>
      <c r="E590" s="76">
        <v>2005</v>
      </c>
      <c r="F590" s="15" t="s">
        <v>22</v>
      </c>
      <c r="G590" s="18" t="s">
        <v>6256</v>
      </c>
      <c r="H590" s="9" t="s">
        <v>84</v>
      </c>
      <c r="I590" s="77" t="s">
        <v>1053</v>
      </c>
      <c r="J590" s="81" t="s">
        <v>1054</v>
      </c>
      <c r="K590" s="79">
        <v>0</v>
      </c>
      <c r="L590" s="242">
        <v>72</v>
      </c>
      <c r="M590" s="79">
        <v>14</v>
      </c>
      <c r="N590" s="79">
        <v>0</v>
      </c>
      <c r="O590" s="37">
        <v>0</v>
      </c>
      <c r="P590" s="37">
        <v>0</v>
      </c>
      <c r="Q590" s="79">
        <v>0</v>
      </c>
      <c r="R590" s="80">
        <v>5.6000000000000001E-2</v>
      </c>
      <c r="S590" s="7" t="s">
        <v>115</v>
      </c>
      <c r="T590" s="257">
        <f t="shared" si="18"/>
        <v>72</v>
      </c>
      <c r="U590" s="257">
        <f t="shared" si="19"/>
        <v>14</v>
      </c>
      <c r="V590">
        <v>1</v>
      </c>
      <c r="W590">
        <v>1</v>
      </c>
    </row>
    <row r="591" spans="1:23" ht="91.2" x14ac:dyDescent="0.3">
      <c r="A591" s="220">
        <v>38466</v>
      </c>
      <c r="B591" s="220">
        <v>38466</v>
      </c>
      <c r="C591" s="6">
        <v>4</v>
      </c>
      <c r="D591" s="6">
        <v>1</v>
      </c>
      <c r="E591" s="76">
        <v>2005</v>
      </c>
      <c r="F591" s="15" t="s">
        <v>22</v>
      </c>
      <c r="G591" s="18" t="s">
        <v>6256</v>
      </c>
      <c r="H591" s="9" t="s">
        <v>70</v>
      </c>
      <c r="I591" s="77" t="s">
        <v>1055</v>
      </c>
      <c r="J591" s="78" t="s">
        <v>1056</v>
      </c>
      <c r="K591" s="79">
        <v>1</v>
      </c>
      <c r="L591" s="242">
        <v>126</v>
      </c>
      <c r="M591" s="79">
        <v>25</v>
      </c>
      <c r="N591" s="79">
        <v>0</v>
      </c>
      <c r="O591" s="37">
        <v>0</v>
      </c>
      <c r="P591" s="37">
        <v>0</v>
      </c>
      <c r="Q591" s="79">
        <v>0</v>
      </c>
      <c r="R591" s="80">
        <v>0.82699999999999996</v>
      </c>
      <c r="S591" s="7" t="s">
        <v>115</v>
      </c>
      <c r="T591" s="257">
        <f t="shared" si="18"/>
        <v>127</v>
      </c>
      <c r="U591" s="257">
        <f t="shared" si="19"/>
        <v>25</v>
      </c>
      <c r="V591">
        <v>1</v>
      </c>
      <c r="W591">
        <v>1</v>
      </c>
    </row>
    <row r="592" spans="1:23" ht="45.6" x14ac:dyDescent="0.3">
      <c r="A592" s="220">
        <v>38472</v>
      </c>
      <c r="B592" s="220">
        <v>38472</v>
      </c>
      <c r="C592" s="6">
        <v>4</v>
      </c>
      <c r="D592" s="6">
        <v>1</v>
      </c>
      <c r="E592" s="76">
        <v>2005</v>
      </c>
      <c r="F592" s="15" t="s">
        <v>22</v>
      </c>
      <c r="G592" s="18" t="s">
        <v>6256</v>
      </c>
      <c r="H592" s="9" t="s">
        <v>61</v>
      </c>
      <c r="I592" s="77" t="s">
        <v>1057</v>
      </c>
      <c r="J592" s="78" t="s">
        <v>1058</v>
      </c>
      <c r="K592" s="79">
        <v>0</v>
      </c>
      <c r="L592" s="242">
        <v>600</v>
      </c>
      <c r="M592" s="79">
        <v>120</v>
      </c>
      <c r="N592" s="79">
        <v>0</v>
      </c>
      <c r="O592" s="37">
        <v>0</v>
      </c>
      <c r="P592" s="37">
        <v>0</v>
      </c>
      <c r="Q592" s="79">
        <v>0</v>
      </c>
      <c r="R592" s="80">
        <v>0.48599999999999999</v>
      </c>
      <c r="S592" s="7" t="s">
        <v>115</v>
      </c>
      <c r="T592" s="257">
        <f t="shared" si="18"/>
        <v>600</v>
      </c>
      <c r="U592" s="257">
        <f t="shared" si="19"/>
        <v>120</v>
      </c>
      <c r="V592">
        <v>1</v>
      </c>
      <c r="W592">
        <v>1</v>
      </c>
    </row>
    <row r="593" spans="1:23" ht="57" x14ac:dyDescent="0.3">
      <c r="A593" s="220">
        <v>38477</v>
      </c>
      <c r="B593" s="220">
        <v>38477</v>
      </c>
      <c r="C593" s="6">
        <v>5</v>
      </c>
      <c r="D593" s="6">
        <v>1</v>
      </c>
      <c r="E593" s="76">
        <v>2005</v>
      </c>
      <c r="F593" s="15" t="s">
        <v>22</v>
      </c>
      <c r="G593" s="18" t="s">
        <v>6256</v>
      </c>
      <c r="H593" s="9" t="s">
        <v>43</v>
      </c>
      <c r="I593" s="77" t="s">
        <v>629</v>
      </c>
      <c r="J593" s="78" t="s">
        <v>1059</v>
      </c>
      <c r="K593" s="79">
        <v>0</v>
      </c>
      <c r="L593" s="242">
        <v>550</v>
      </c>
      <c r="M593" s="79">
        <v>110</v>
      </c>
      <c r="N593" s="79">
        <v>0</v>
      </c>
      <c r="O593" s="37">
        <v>0</v>
      </c>
      <c r="P593" s="37">
        <v>0</v>
      </c>
      <c r="Q593" s="79">
        <v>0</v>
      </c>
      <c r="R593" s="80">
        <v>0.93</v>
      </c>
      <c r="S593" s="7" t="s">
        <v>115</v>
      </c>
      <c r="T593" s="257">
        <f t="shared" si="18"/>
        <v>550</v>
      </c>
      <c r="U593" s="257">
        <f t="shared" si="19"/>
        <v>110</v>
      </c>
      <c r="V593">
        <v>1</v>
      </c>
      <c r="W593">
        <v>1</v>
      </c>
    </row>
    <row r="594" spans="1:23" ht="22.8" x14ac:dyDescent="0.3">
      <c r="A594" s="220">
        <v>38484</v>
      </c>
      <c r="B594" s="220">
        <v>38484</v>
      </c>
      <c r="C594" s="6">
        <v>5</v>
      </c>
      <c r="D594" s="6">
        <v>1</v>
      </c>
      <c r="E594" s="76">
        <v>2005</v>
      </c>
      <c r="F594" s="15" t="s">
        <v>22</v>
      </c>
      <c r="G594" s="18" t="s">
        <v>6256</v>
      </c>
      <c r="H594" s="9" t="s">
        <v>31</v>
      </c>
      <c r="I594" s="77" t="s">
        <v>1060</v>
      </c>
      <c r="J594" s="78" t="s">
        <v>1061</v>
      </c>
      <c r="K594" s="79">
        <v>0</v>
      </c>
      <c r="L594" s="242">
        <v>10</v>
      </c>
      <c r="M594" s="79">
        <v>2</v>
      </c>
      <c r="N594" s="79">
        <v>0</v>
      </c>
      <c r="O594" s="37">
        <v>0</v>
      </c>
      <c r="P594" s="37">
        <v>0</v>
      </c>
      <c r="Q594" s="79">
        <v>0</v>
      </c>
      <c r="R594" s="80">
        <v>8.0000000000000002E-3</v>
      </c>
      <c r="S594" s="7" t="s">
        <v>115</v>
      </c>
      <c r="T594" s="257">
        <f t="shared" si="18"/>
        <v>10</v>
      </c>
      <c r="U594" s="257">
        <f t="shared" si="19"/>
        <v>2</v>
      </c>
      <c r="V594">
        <v>1</v>
      </c>
      <c r="W594">
        <v>1</v>
      </c>
    </row>
    <row r="595" spans="1:23" ht="45.6" x14ac:dyDescent="0.3">
      <c r="A595" s="220">
        <v>38486</v>
      </c>
      <c r="B595" s="220">
        <v>38486</v>
      </c>
      <c r="C595" s="6">
        <v>5</v>
      </c>
      <c r="D595" s="6">
        <v>1</v>
      </c>
      <c r="E595" s="76">
        <v>2005</v>
      </c>
      <c r="F595" s="15" t="s">
        <v>22</v>
      </c>
      <c r="G595" s="18" t="s">
        <v>6256</v>
      </c>
      <c r="H595" s="9" t="s">
        <v>78</v>
      </c>
      <c r="I595" s="77" t="s">
        <v>1062</v>
      </c>
      <c r="J595" s="81" t="s">
        <v>1063</v>
      </c>
      <c r="K595" s="79">
        <v>0</v>
      </c>
      <c r="L595" s="242">
        <v>110</v>
      </c>
      <c r="M595" s="79">
        <v>22</v>
      </c>
      <c r="N595" s="79">
        <v>0</v>
      </c>
      <c r="O595" s="37">
        <v>0</v>
      </c>
      <c r="P595" s="37">
        <v>0</v>
      </c>
      <c r="Q595" s="79">
        <v>0</v>
      </c>
      <c r="R595" s="80">
        <v>8.8999999999999996E-2</v>
      </c>
      <c r="S595" s="7" t="s">
        <v>115</v>
      </c>
      <c r="T595" s="257">
        <f t="shared" si="18"/>
        <v>110</v>
      </c>
      <c r="U595" s="257">
        <f t="shared" si="19"/>
        <v>22</v>
      </c>
      <c r="V595">
        <v>1</v>
      </c>
      <c r="W595">
        <v>1</v>
      </c>
    </row>
    <row r="596" spans="1:23" ht="34.200000000000003" x14ac:dyDescent="0.3">
      <c r="A596" s="220">
        <v>38488</v>
      </c>
      <c r="B596" s="220">
        <v>38488</v>
      </c>
      <c r="C596" s="6">
        <v>5</v>
      </c>
      <c r="D596" s="6">
        <v>1</v>
      </c>
      <c r="E596" s="76">
        <v>2005</v>
      </c>
      <c r="F596" s="15" t="s">
        <v>22</v>
      </c>
      <c r="G596" s="18" t="s">
        <v>6256</v>
      </c>
      <c r="H596" s="9" t="s">
        <v>174</v>
      </c>
      <c r="I596" s="77" t="s">
        <v>1064</v>
      </c>
      <c r="J596" s="78" t="s">
        <v>1065</v>
      </c>
      <c r="K596" s="79">
        <v>0</v>
      </c>
      <c r="L596" s="242">
        <v>885</v>
      </c>
      <c r="M596" s="79">
        <v>177</v>
      </c>
      <c r="N596" s="79">
        <v>0</v>
      </c>
      <c r="O596" s="37">
        <v>0</v>
      </c>
      <c r="P596" s="37">
        <v>0</v>
      </c>
      <c r="Q596" s="79">
        <v>0</v>
      </c>
      <c r="R596" s="80">
        <v>0.47399999999999998</v>
      </c>
      <c r="S596" s="7" t="s">
        <v>115</v>
      </c>
      <c r="T596" s="257">
        <f t="shared" si="18"/>
        <v>885</v>
      </c>
      <c r="U596" s="257">
        <f t="shared" si="19"/>
        <v>177</v>
      </c>
      <c r="V596">
        <v>1</v>
      </c>
      <c r="W596">
        <v>1</v>
      </c>
    </row>
    <row r="597" spans="1:23" ht="45.6" x14ac:dyDescent="0.3">
      <c r="A597" s="220">
        <v>38488</v>
      </c>
      <c r="B597" s="220">
        <v>38488</v>
      </c>
      <c r="C597" s="6">
        <v>5</v>
      </c>
      <c r="D597" s="6">
        <v>1</v>
      </c>
      <c r="E597" s="76">
        <v>2005</v>
      </c>
      <c r="F597" s="15" t="s">
        <v>22</v>
      </c>
      <c r="G597" s="18" t="s">
        <v>6256</v>
      </c>
      <c r="H597" s="9" t="s">
        <v>61</v>
      </c>
      <c r="I597" s="77" t="s">
        <v>1066</v>
      </c>
      <c r="J597" s="78" t="s">
        <v>1067</v>
      </c>
      <c r="K597" s="79">
        <v>0</v>
      </c>
      <c r="L597" s="242">
        <v>50</v>
      </c>
      <c r="M597" s="79">
        <v>10</v>
      </c>
      <c r="N597" s="79">
        <v>0</v>
      </c>
      <c r="O597" s="37">
        <v>0</v>
      </c>
      <c r="P597" s="37">
        <v>0</v>
      </c>
      <c r="Q597" s="79">
        <v>0</v>
      </c>
      <c r="R597" s="80">
        <v>0.113</v>
      </c>
      <c r="S597" s="7" t="s">
        <v>115</v>
      </c>
      <c r="T597" s="257">
        <f t="shared" si="18"/>
        <v>50</v>
      </c>
      <c r="U597" s="257">
        <f t="shared" si="19"/>
        <v>10</v>
      </c>
      <c r="V597">
        <v>1</v>
      </c>
      <c r="W597">
        <v>1</v>
      </c>
    </row>
    <row r="598" spans="1:23" ht="57" x14ac:dyDescent="0.3">
      <c r="A598" s="220">
        <v>38489</v>
      </c>
      <c r="B598" s="220">
        <v>38489</v>
      </c>
      <c r="C598" s="6">
        <v>5</v>
      </c>
      <c r="D598" s="6">
        <v>1</v>
      </c>
      <c r="E598" s="76">
        <v>2005</v>
      </c>
      <c r="F598" s="15" t="s">
        <v>22</v>
      </c>
      <c r="G598" s="18" t="s">
        <v>6256</v>
      </c>
      <c r="H598" s="9" t="s">
        <v>61</v>
      </c>
      <c r="I598" s="77" t="s">
        <v>1068</v>
      </c>
      <c r="J598" s="78" t="s">
        <v>1069</v>
      </c>
      <c r="K598" s="79">
        <v>0</v>
      </c>
      <c r="L598" s="242">
        <v>500</v>
      </c>
      <c r="M598" s="79">
        <v>120</v>
      </c>
      <c r="N598" s="79">
        <v>0</v>
      </c>
      <c r="O598" s="37">
        <v>0</v>
      </c>
      <c r="P598" s="37">
        <v>0</v>
      </c>
      <c r="Q598" s="79">
        <v>0</v>
      </c>
      <c r="R598" s="80">
        <v>0.48699999999999999</v>
      </c>
      <c r="S598" s="7" t="s">
        <v>115</v>
      </c>
      <c r="T598" s="257">
        <f t="shared" si="18"/>
        <v>500</v>
      </c>
      <c r="U598" s="257">
        <f t="shared" si="19"/>
        <v>120</v>
      </c>
      <c r="V598">
        <v>1</v>
      </c>
      <c r="W598">
        <v>1</v>
      </c>
    </row>
    <row r="599" spans="1:23" ht="57" x14ac:dyDescent="0.3">
      <c r="A599" s="220">
        <v>38495</v>
      </c>
      <c r="B599" s="220">
        <v>38495</v>
      </c>
      <c r="C599" s="6">
        <v>5</v>
      </c>
      <c r="D599" s="6">
        <v>1</v>
      </c>
      <c r="E599" s="76">
        <v>2005</v>
      </c>
      <c r="F599" s="15" t="s">
        <v>22</v>
      </c>
      <c r="G599" s="18" t="s">
        <v>6256</v>
      </c>
      <c r="H599" s="9" t="s">
        <v>43</v>
      </c>
      <c r="I599" s="77" t="s">
        <v>1070</v>
      </c>
      <c r="J599" s="81" t="s">
        <v>1071</v>
      </c>
      <c r="K599" s="79">
        <v>0</v>
      </c>
      <c r="L599" s="242">
        <v>60</v>
      </c>
      <c r="M599" s="79">
        <v>12</v>
      </c>
      <c r="N599" s="79">
        <v>0</v>
      </c>
      <c r="O599" s="37">
        <v>0</v>
      </c>
      <c r="P599" s="37">
        <v>0</v>
      </c>
      <c r="Q599" s="79">
        <v>0</v>
      </c>
      <c r="R599" s="80">
        <v>4.9000000000000002E-2</v>
      </c>
      <c r="S599" s="7" t="s">
        <v>115</v>
      </c>
      <c r="T599" s="257">
        <f t="shared" si="18"/>
        <v>60</v>
      </c>
      <c r="U599" s="257">
        <f t="shared" si="19"/>
        <v>12</v>
      </c>
      <c r="V599">
        <v>1</v>
      </c>
      <c r="W599">
        <v>1</v>
      </c>
    </row>
    <row r="600" spans="1:23" ht="45.6" x14ac:dyDescent="0.3">
      <c r="A600" s="220">
        <v>38498</v>
      </c>
      <c r="B600" s="220">
        <v>38498</v>
      </c>
      <c r="C600" s="6">
        <v>5</v>
      </c>
      <c r="D600" s="6">
        <v>1</v>
      </c>
      <c r="E600" s="76">
        <v>2005</v>
      </c>
      <c r="F600" s="15" t="s">
        <v>22</v>
      </c>
      <c r="G600" s="18" t="s">
        <v>6256</v>
      </c>
      <c r="H600" s="9" t="s">
        <v>34</v>
      </c>
      <c r="I600" s="77" t="s">
        <v>34</v>
      </c>
      <c r="J600" s="81" t="s">
        <v>1072</v>
      </c>
      <c r="K600" s="79">
        <v>1</v>
      </c>
      <c r="L600" s="242">
        <v>15</v>
      </c>
      <c r="M600" s="79">
        <v>0</v>
      </c>
      <c r="N600" s="79">
        <v>0</v>
      </c>
      <c r="O600" s="37">
        <v>0</v>
      </c>
      <c r="P600" s="37">
        <v>0</v>
      </c>
      <c r="Q600" s="79">
        <v>0</v>
      </c>
      <c r="R600" s="80">
        <v>0</v>
      </c>
      <c r="S600" s="7" t="s">
        <v>115</v>
      </c>
      <c r="T600" s="257">
        <f t="shared" si="18"/>
        <v>16</v>
      </c>
      <c r="U600" s="257">
        <f t="shared" si="19"/>
        <v>0</v>
      </c>
      <c r="V600">
        <v>1</v>
      </c>
      <c r="W600">
        <v>0</v>
      </c>
    </row>
    <row r="601" spans="1:23" ht="22.8" x14ac:dyDescent="0.3">
      <c r="A601" s="220">
        <v>38500</v>
      </c>
      <c r="B601" s="220">
        <v>38500</v>
      </c>
      <c r="C601" s="6">
        <v>5</v>
      </c>
      <c r="D601" s="6">
        <v>1</v>
      </c>
      <c r="E601" s="76">
        <v>2005</v>
      </c>
      <c r="F601" s="15" t="s">
        <v>22</v>
      </c>
      <c r="G601" s="82" t="s">
        <v>6256</v>
      </c>
      <c r="H601" s="9" t="s">
        <v>57</v>
      </c>
      <c r="I601" s="77" t="s">
        <v>1073</v>
      </c>
      <c r="J601" s="78" t="s">
        <v>1074</v>
      </c>
      <c r="K601" s="79">
        <v>1</v>
      </c>
      <c r="L601" s="242">
        <v>1</v>
      </c>
      <c r="M601" s="79">
        <v>0</v>
      </c>
      <c r="N601" s="79">
        <v>0</v>
      </c>
      <c r="O601" s="37">
        <v>0</v>
      </c>
      <c r="P601" s="37">
        <v>0</v>
      </c>
      <c r="Q601" s="79">
        <v>0</v>
      </c>
      <c r="R601" s="80">
        <v>0</v>
      </c>
      <c r="S601" s="7" t="s">
        <v>115</v>
      </c>
      <c r="T601" s="257">
        <f t="shared" si="18"/>
        <v>2</v>
      </c>
      <c r="U601" s="257">
        <f t="shared" si="19"/>
        <v>0</v>
      </c>
      <c r="V601">
        <v>1</v>
      </c>
      <c r="W601">
        <v>0</v>
      </c>
    </row>
    <row r="602" spans="1:23" ht="34.200000000000003" x14ac:dyDescent="0.3">
      <c r="A602" s="220">
        <v>38510</v>
      </c>
      <c r="B602" s="220">
        <v>38510</v>
      </c>
      <c r="C602" s="6">
        <v>6</v>
      </c>
      <c r="D602" s="6">
        <v>1</v>
      </c>
      <c r="E602" s="76">
        <v>2005</v>
      </c>
      <c r="F602" s="15" t="s">
        <v>22</v>
      </c>
      <c r="G602" s="18" t="s">
        <v>6256</v>
      </c>
      <c r="H602" s="9" t="s">
        <v>70</v>
      </c>
      <c r="I602" s="77" t="s">
        <v>673</v>
      </c>
      <c r="J602" s="78" t="s">
        <v>1075</v>
      </c>
      <c r="K602" s="79">
        <v>0</v>
      </c>
      <c r="L602" s="242">
        <v>25</v>
      </c>
      <c r="M602" s="79">
        <v>5</v>
      </c>
      <c r="N602" s="79">
        <v>0</v>
      </c>
      <c r="O602" s="37">
        <v>0</v>
      </c>
      <c r="P602" s="37">
        <v>0</v>
      </c>
      <c r="Q602" s="79">
        <v>0</v>
      </c>
      <c r="R602" s="80">
        <v>0.02</v>
      </c>
      <c r="S602" s="7" t="s">
        <v>115</v>
      </c>
      <c r="T602" s="257">
        <f t="shared" si="18"/>
        <v>25</v>
      </c>
      <c r="U602" s="257">
        <f t="shared" si="19"/>
        <v>5</v>
      </c>
      <c r="V602">
        <v>1</v>
      </c>
      <c r="W602">
        <v>1</v>
      </c>
    </row>
    <row r="603" spans="1:23" ht="22.8" x14ac:dyDescent="0.3">
      <c r="A603" s="220">
        <v>38514</v>
      </c>
      <c r="B603" s="220">
        <v>38514</v>
      </c>
      <c r="C603" s="6">
        <v>6</v>
      </c>
      <c r="D603" s="6">
        <v>1</v>
      </c>
      <c r="E603" s="76">
        <v>2005</v>
      </c>
      <c r="F603" s="15" t="s">
        <v>22</v>
      </c>
      <c r="G603" s="18" t="s">
        <v>6256</v>
      </c>
      <c r="H603" s="9" t="s">
        <v>64</v>
      </c>
      <c r="I603" s="77" t="s">
        <v>1076</v>
      </c>
      <c r="J603" s="78" t="s">
        <v>1077</v>
      </c>
      <c r="K603" s="79">
        <v>0</v>
      </c>
      <c r="L603" s="242">
        <v>75</v>
      </c>
      <c r="M603" s="79">
        <v>15</v>
      </c>
      <c r="N603" s="79">
        <v>0</v>
      </c>
      <c r="O603" s="37">
        <v>0</v>
      </c>
      <c r="P603" s="37">
        <v>0</v>
      </c>
      <c r="Q603" s="79">
        <v>0</v>
      </c>
      <c r="R603" s="80">
        <v>0</v>
      </c>
      <c r="S603" s="7" t="s">
        <v>115</v>
      </c>
      <c r="T603" s="257">
        <f t="shared" si="18"/>
        <v>75</v>
      </c>
      <c r="U603" s="257">
        <f t="shared" si="19"/>
        <v>15</v>
      </c>
      <c r="V603">
        <v>1</v>
      </c>
      <c r="W603">
        <v>1</v>
      </c>
    </row>
    <row r="604" spans="1:23" ht="34.200000000000003" x14ac:dyDescent="0.3">
      <c r="A604" s="220">
        <v>38519</v>
      </c>
      <c r="B604" s="220">
        <v>38519</v>
      </c>
      <c r="C604" s="6">
        <v>6</v>
      </c>
      <c r="D604" s="6">
        <v>1</v>
      </c>
      <c r="E604" s="76">
        <v>2005</v>
      </c>
      <c r="F604" s="15" t="s">
        <v>22</v>
      </c>
      <c r="G604" s="16" t="s">
        <v>6256</v>
      </c>
      <c r="H604" s="9" t="s">
        <v>174</v>
      </c>
      <c r="I604" s="83" t="s">
        <v>1078</v>
      </c>
      <c r="J604" s="78" t="s">
        <v>1079</v>
      </c>
      <c r="K604" s="79">
        <v>0</v>
      </c>
      <c r="L604" s="242">
        <v>41</v>
      </c>
      <c r="M604" s="79">
        <v>0</v>
      </c>
      <c r="N604" s="79">
        <v>0</v>
      </c>
      <c r="O604" s="37">
        <v>0</v>
      </c>
      <c r="P604" s="37">
        <v>0</v>
      </c>
      <c r="Q604" s="79">
        <v>0</v>
      </c>
      <c r="R604" s="80">
        <v>0</v>
      </c>
      <c r="S604" s="7" t="s">
        <v>115</v>
      </c>
      <c r="T604" s="257">
        <f t="shared" si="18"/>
        <v>41</v>
      </c>
      <c r="U604" s="257">
        <f t="shared" si="19"/>
        <v>0</v>
      </c>
      <c r="V604">
        <v>1</v>
      </c>
      <c r="W604">
        <v>0</v>
      </c>
    </row>
    <row r="605" spans="1:23" ht="34.200000000000003" x14ac:dyDescent="0.3">
      <c r="A605" s="220">
        <v>38523</v>
      </c>
      <c r="B605" s="220">
        <v>38523</v>
      </c>
      <c r="C605" s="6">
        <v>6</v>
      </c>
      <c r="D605" s="6">
        <v>1</v>
      </c>
      <c r="E605" s="76">
        <v>2005</v>
      </c>
      <c r="F605" s="15" t="s">
        <v>22</v>
      </c>
      <c r="G605" s="16" t="s">
        <v>6256</v>
      </c>
      <c r="H605" s="9" t="s">
        <v>31</v>
      </c>
      <c r="I605" s="83" t="s">
        <v>1080</v>
      </c>
      <c r="J605" s="78" t="s">
        <v>1081</v>
      </c>
      <c r="K605" s="79">
        <v>0</v>
      </c>
      <c r="L605" s="242">
        <v>100</v>
      </c>
      <c r="M605" s="79">
        <v>0</v>
      </c>
      <c r="N605" s="79">
        <v>0</v>
      </c>
      <c r="O605" s="37">
        <v>0</v>
      </c>
      <c r="P605" s="37">
        <v>0</v>
      </c>
      <c r="Q605" s="79">
        <v>0</v>
      </c>
      <c r="R605" s="80">
        <v>0</v>
      </c>
      <c r="S605" s="7" t="s">
        <v>115</v>
      </c>
      <c r="T605" s="257">
        <f t="shared" si="18"/>
        <v>100</v>
      </c>
      <c r="U605" s="257">
        <f t="shared" si="19"/>
        <v>0</v>
      </c>
      <c r="V605">
        <v>1</v>
      </c>
      <c r="W605">
        <v>0</v>
      </c>
    </row>
    <row r="606" spans="1:23" ht="45.6" x14ac:dyDescent="0.3">
      <c r="A606" s="220">
        <v>38523</v>
      </c>
      <c r="B606" s="220">
        <v>38523</v>
      </c>
      <c r="C606" s="6">
        <v>6</v>
      </c>
      <c r="D606" s="6">
        <v>1</v>
      </c>
      <c r="E606" s="76">
        <v>2005</v>
      </c>
      <c r="F606" s="15" t="s">
        <v>22</v>
      </c>
      <c r="G606" s="18" t="s">
        <v>6256</v>
      </c>
      <c r="H606" s="9" t="s">
        <v>112</v>
      </c>
      <c r="I606" s="77" t="s">
        <v>892</v>
      </c>
      <c r="J606" s="78" t="s">
        <v>1082</v>
      </c>
      <c r="K606" s="79">
        <v>0</v>
      </c>
      <c r="L606" s="242">
        <v>1200</v>
      </c>
      <c r="M606" s="79">
        <v>0</v>
      </c>
      <c r="N606" s="79">
        <v>0</v>
      </c>
      <c r="O606" s="37">
        <v>0</v>
      </c>
      <c r="P606" s="37">
        <v>0</v>
      </c>
      <c r="Q606" s="79">
        <v>0</v>
      </c>
      <c r="R606" s="80">
        <v>0</v>
      </c>
      <c r="S606" s="7" t="s">
        <v>115</v>
      </c>
      <c r="T606" s="257">
        <f t="shared" si="18"/>
        <v>1200</v>
      </c>
      <c r="U606" s="257">
        <f t="shared" si="19"/>
        <v>0</v>
      </c>
      <c r="V606">
        <v>1</v>
      </c>
      <c r="W606">
        <v>0</v>
      </c>
    </row>
    <row r="607" spans="1:23" ht="34.200000000000003" x14ac:dyDescent="0.3">
      <c r="A607" s="220">
        <v>38524</v>
      </c>
      <c r="B607" s="220">
        <v>38524</v>
      </c>
      <c r="C607" s="6">
        <v>6</v>
      </c>
      <c r="D607" s="6">
        <v>1</v>
      </c>
      <c r="E607" s="76">
        <v>2005</v>
      </c>
      <c r="F607" s="15" t="s">
        <v>22</v>
      </c>
      <c r="G607" s="16" t="s">
        <v>6256</v>
      </c>
      <c r="H607" s="9" t="s">
        <v>61</v>
      </c>
      <c r="I607" s="77" t="s">
        <v>592</v>
      </c>
      <c r="J607" s="78" t="s">
        <v>1083</v>
      </c>
      <c r="K607" s="79">
        <v>0</v>
      </c>
      <c r="L607" s="242">
        <v>15</v>
      </c>
      <c r="M607" s="79">
        <v>0</v>
      </c>
      <c r="N607" s="79">
        <v>0</v>
      </c>
      <c r="O607" s="37">
        <v>0</v>
      </c>
      <c r="P607" s="37">
        <v>0</v>
      </c>
      <c r="Q607" s="79">
        <v>0</v>
      </c>
      <c r="R607" s="80">
        <v>0</v>
      </c>
      <c r="S607" s="7" t="s">
        <v>115</v>
      </c>
      <c r="T607" s="257">
        <f t="shared" si="18"/>
        <v>15</v>
      </c>
      <c r="U607" s="257">
        <f t="shared" si="19"/>
        <v>0</v>
      </c>
      <c r="V607">
        <v>1</v>
      </c>
      <c r="W607">
        <v>0</v>
      </c>
    </row>
    <row r="608" spans="1:23" ht="57" x14ac:dyDescent="0.3">
      <c r="A608" s="220">
        <v>38525</v>
      </c>
      <c r="B608" s="220">
        <v>38525</v>
      </c>
      <c r="C608" s="6">
        <v>6</v>
      </c>
      <c r="D608" s="6">
        <v>1</v>
      </c>
      <c r="E608" s="76">
        <v>2005</v>
      </c>
      <c r="F608" s="15" t="s">
        <v>22</v>
      </c>
      <c r="G608" s="18" t="s">
        <v>6256</v>
      </c>
      <c r="H608" s="9" t="s">
        <v>174</v>
      </c>
      <c r="I608" s="77" t="s">
        <v>1084</v>
      </c>
      <c r="J608" s="78" t="s">
        <v>1085</v>
      </c>
      <c r="K608" s="79">
        <v>0</v>
      </c>
      <c r="L608" s="242">
        <v>865</v>
      </c>
      <c r="M608" s="79">
        <v>173</v>
      </c>
      <c r="N608" s="79">
        <v>0</v>
      </c>
      <c r="O608" s="37">
        <v>0</v>
      </c>
      <c r="P608" s="37">
        <v>0</v>
      </c>
      <c r="Q608" s="79">
        <v>0</v>
      </c>
      <c r="R608" s="80">
        <v>1.7390000000000001</v>
      </c>
      <c r="S608" s="7" t="s">
        <v>115</v>
      </c>
      <c r="T608" s="257">
        <f t="shared" si="18"/>
        <v>865</v>
      </c>
      <c r="U608" s="257">
        <f t="shared" si="19"/>
        <v>173</v>
      </c>
      <c r="V608">
        <v>1</v>
      </c>
      <c r="W608">
        <v>1</v>
      </c>
    </row>
    <row r="609" spans="1:23" ht="79.8" x14ac:dyDescent="0.3">
      <c r="A609" s="220">
        <v>38529</v>
      </c>
      <c r="B609" s="220">
        <v>38529</v>
      </c>
      <c r="C609" s="6">
        <v>6</v>
      </c>
      <c r="D609" s="6">
        <v>1</v>
      </c>
      <c r="E609" s="76">
        <v>2005</v>
      </c>
      <c r="F609" s="15" t="s">
        <v>22</v>
      </c>
      <c r="G609" s="18" t="s">
        <v>6256</v>
      </c>
      <c r="H609" s="17" t="s">
        <v>565</v>
      </c>
      <c r="I609" s="77" t="s">
        <v>1086</v>
      </c>
      <c r="J609" s="78" t="s">
        <v>1087</v>
      </c>
      <c r="K609" s="79">
        <v>1</v>
      </c>
      <c r="L609" s="242">
        <v>600</v>
      </c>
      <c r="M609" s="79">
        <v>120</v>
      </c>
      <c r="N609" s="79">
        <v>0</v>
      </c>
      <c r="O609" s="37">
        <v>0</v>
      </c>
      <c r="P609" s="37">
        <v>0</v>
      </c>
      <c r="Q609" s="79">
        <v>0</v>
      </c>
      <c r="R609" s="80">
        <v>0.48599999999999999</v>
      </c>
      <c r="S609" s="7" t="s">
        <v>115</v>
      </c>
      <c r="T609" s="257">
        <f t="shared" si="18"/>
        <v>601</v>
      </c>
      <c r="U609" s="257">
        <f t="shared" si="19"/>
        <v>120</v>
      </c>
      <c r="V609">
        <v>1</v>
      </c>
      <c r="W609">
        <v>1</v>
      </c>
    </row>
    <row r="610" spans="1:23" ht="57" x14ac:dyDescent="0.3">
      <c r="A610" s="220">
        <v>38529</v>
      </c>
      <c r="B610" s="220">
        <v>38529</v>
      </c>
      <c r="C610" s="6">
        <v>6</v>
      </c>
      <c r="D610" s="6">
        <v>1</v>
      </c>
      <c r="E610" s="76">
        <v>2005</v>
      </c>
      <c r="F610" s="15" t="s">
        <v>22</v>
      </c>
      <c r="G610" s="18" t="s">
        <v>6256</v>
      </c>
      <c r="H610" s="9" t="s">
        <v>174</v>
      </c>
      <c r="I610" s="77" t="s">
        <v>174</v>
      </c>
      <c r="J610" s="78" t="s">
        <v>1088</v>
      </c>
      <c r="K610" s="79">
        <v>0</v>
      </c>
      <c r="L610" s="242">
        <v>25</v>
      </c>
      <c r="M610" s="79">
        <v>1</v>
      </c>
      <c r="N610" s="79">
        <v>0</v>
      </c>
      <c r="O610" s="37">
        <v>0</v>
      </c>
      <c r="P610" s="37">
        <v>0</v>
      </c>
      <c r="Q610" s="79">
        <v>0</v>
      </c>
      <c r="R610" s="80">
        <v>4.2000000000000003E-2</v>
      </c>
      <c r="S610" s="7" t="s">
        <v>115</v>
      </c>
      <c r="T610" s="257">
        <f t="shared" si="18"/>
        <v>25</v>
      </c>
      <c r="U610" s="257">
        <f t="shared" si="19"/>
        <v>1</v>
      </c>
      <c r="V610">
        <v>1</v>
      </c>
      <c r="W610">
        <v>1</v>
      </c>
    </row>
    <row r="611" spans="1:23" ht="114" x14ac:dyDescent="0.3">
      <c r="A611" s="220">
        <v>38531</v>
      </c>
      <c r="B611" s="220">
        <v>38533</v>
      </c>
      <c r="C611" s="6">
        <v>6</v>
      </c>
      <c r="D611" s="6">
        <v>3</v>
      </c>
      <c r="E611" s="76">
        <v>2005</v>
      </c>
      <c r="F611" s="15" t="s">
        <v>22</v>
      </c>
      <c r="G611" s="82" t="s">
        <v>6254</v>
      </c>
      <c r="H611" s="9" t="s">
        <v>174</v>
      </c>
      <c r="I611" s="77" t="s">
        <v>1089</v>
      </c>
      <c r="J611" s="81" t="s">
        <v>1090</v>
      </c>
      <c r="K611" s="79">
        <v>0</v>
      </c>
      <c r="L611" s="242">
        <v>9400</v>
      </c>
      <c r="M611" s="79">
        <v>2445</v>
      </c>
      <c r="N611" s="79">
        <v>0</v>
      </c>
      <c r="O611" s="37">
        <v>0</v>
      </c>
      <c r="P611" s="37">
        <v>0</v>
      </c>
      <c r="Q611" s="79">
        <v>2</v>
      </c>
      <c r="R611" s="80">
        <v>10.02</v>
      </c>
      <c r="S611" s="7" t="s">
        <v>115</v>
      </c>
      <c r="T611" s="257">
        <f t="shared" si="18"/>
        <v>9400</v>
      </c>
      <c r="U611" s="257">
        <f t="shared" si="19"/>
        <v>2445</v>
      </c>
      <c r="V611">
        <v>1</v>
      </c>
      <c r="W611">
        <v>2</v>
      </c>
    </row>
    <row r="612" spans="1:23" ht="57" x14ac:dyDescent="0.3">
      <c r="A612" s="220">
        <v>38536</v>
      </c>
      <c r="B612" s="220">
        <v>38536</v>
      </c>
      <c r="C612" s="6">
        <v>7</v>
      </c>
      <c r="D612" s="6">
        <v>1</v>
      </c>
      <c r="E612" s="76">
        <v>2005</v>
      </c>
      <c r="F612" s="15" t="s">
        <v>22</v>
      </c>
      <c r="G612" s="18" t="s">
        <v>6256</v>
      </c>
      <c r="H612" s="9" t="s">
        <v>51</v>
      </c>
      <c r="I612" s="77" t="s">
        <v>1091</v>
      </c>
      <c r="J612" s="78" t="s">
        <v>1092</v>
      </c>
      <c r="K612" s="79">
        <v>0</v>
      </c>
      <c r="L612" s="242">
        <v>500</v>
      </c>
      <c r="M612" s="79">
        <v>100</v>
      </c>
      <c r="N612" s="79">
        <v>0</v>
      </c>
      <c r="O612" s="37">
        <v>0</v>
      </c>
      <c r="P612" s="37">
        <v>0</v>
      </c>
      <c r="Q612" s="79">
        <v>0</v>
      </c>
      <c r="R612" s="80">
        <v>0.6</v>
      </c>
      <c r="S612" s="7" t="s">
        <v>115</v>
      </c>
      <c r="T612" s="257">
        <f t="shared" si="18"/>
        <v>500</v>
      </c>
      <c r="U612" s="257">
        <f t="shared" si="19"/>
        <v>100</v>
      </c>
      <c r="V612">
        <v>1</v>
      </c>
      <c r="W612">
        <v>1</v>
      </c>
    </row>
    <row r="613" spans="1:23" ht="34.200000000000003" x14ac:dyDescent="0.3">
      <c r="A613" s="220">
        <v>38538</v>
      </c>
      <c r="B613" s="220">
        <v>38538</v>
      </c>
      <c r="C613" s="6">
        <v>7</v>
      </c>
      <c r="D613" s="6">
        <v>1</v>
      </c>
      <c r="E613" s="76">
        <v>2005</v>
      </c>
      <c r="F613" s="15" t="s">
        <v>22</v>
      </c>
      <c r="G613" s="18" t="s">
        <v>6256</v>
      </c>
      <c r="H613" s="9" t="s">
        <v>55</v>
      </c>
      <c r="I613" s="77" t="s">
        <v>1093</v>
      </c>
      <c r="J613" s="78" t="s">
        <v>1094</v>
      </c>
      <c r="K613" s="79">
        <v>3</v>
      </c>
      <c r="L613" s="242">
        <v>3</v>
      </c>
      <c r="M613" s="79">
        <v>0</v>
      </c>
      <c r="N613" s="79">
        <v>0</v>
      </c>
      <c r="O613" s="37">
        <v>0</v>
      </c>
      <c r="P613" s="37">
        <v>0</v>
      </c>
      <c r="Q613" s="79">
        <v>0</v>
      </c>
      <c r="R613" s="80">
        <v>0</v>
      </c>
      <c r="S613" s="7" t="s">
        <v>115</v>
      </c>
      <c r="T613" s="257">
        <f t="shared" si="18"/>
        <v>6</v>
      </c>
      <c r="U613" s="257">
        <f t="shared" si="19"/>
        <v>0</v>
      </c>
      <c r="V613">
        <v>1</v>
      </c>
      <c r="W613">
        <v>0</v>
      </c>
    </row>
    <row r="614" spans="1:23" ht="45.6" x14ac:dyDescent="0.3">
      <c r="A614" s="220">
        <v>38538</v>
      </c>
      <c r="B614" s="220">
        <v>38538</v>
      </c>
      <c r="C614" s="6">
        <v>7</v>
      </c>
      <c r="D614" s="6">
        <v>1</v>
      </c>
      <c r="E614" s="76">
        <v>2005</v>
      </c>
      <c r="F614" s="15" t="s">
        <v>22</v>
      </c>
      <c r="G614" s="18" t="s">
        <v>6256</v>
      </c>
      <c r="H614" s="9" t="s">
        <v>61</v>
      </c>
      <c r="I614" s="77" t="s">
        <v>1095</v>
      </c>
      <c r="J614" s="78" t="s">
        <v>1096</v>
      </c>
      <c r="K614" s="79">
        <v>0</v>
      </c>
      <c r="L614" s="242">
        <v>5</v>
      </c>
      <c r="M614" s="79">
        <v>1</v>
      </c>
      <c r="N614" s="79">
        <v>0</v>
      </c>
      <c r="O614" s="37">
        <v>0</v>
      </c>
      <c r="P614" s="37">
        <v>0</v>
      </c>
      <c r="Q614" s="79">
        <v>0</v>
      </c>
      <c r="R614" s="80">
        <v>4.2000000000000003E-2</v>
      </c>
      <c r="S614" s="7" t="s">
        <v>115</v>
      </c>
      <c r="T614" s="257">
        <f t="shared" si="18"/>
        <v>5</v>
      </c>
      <c r="U614" s="257">
        <f t="shared" si="19"/>
        <v>1</v>
      </c>
      <c r="V614">
        <v>1</v>
      </c>
      <c r="W614">
        <v>1</v>
      </c>
    </row>
    <row r="615" spans="1:23" ht="22.8" x14ac:dyDescent="0.3">
      <c r="A615" s="220">
        <v>38539</v>
      </c>
      <c r="B615" s="220">
        <v>38539</v>
      </c>
      <c r="C615" s="6">
        <v>7</v>
      </c>
      <c r="D615" s="6">
        <v>1</v>
      </c>
      <c r="E615" s="76">
        <v>2005</v>
      </c>
      <c r="F615" s="15" t="s">
        <v>22</v>
      </c>
      <c r="G615" s="18" t="s">
        <v>6256</v>
      </c>
      <c r="H615" s="9" t="s">
        <v>61</v>
      </c>
      <c r="I615" s="77" t="s">
        <v>61</v>
      </c>
      <c r="J615" s="78" t="s">
        <v>1097</v>
      </c>
      <c r="K615" s="79">
        <v>0</v>
      </c>
      <c r="L615" s="242">
        <v>75</v>
      </c>
      <c r="M615" s="79">
        <v>15</v>
      </c>
      <c r="N615" s="79">
        <v>0</v>
      </c>
      <c r="O615" s="37">
        <v>0</v>
      </c>
      <c r="P615" s="37">
        <v>0</v>
      </c>
      <c r="Q615" s="79">
        <v>0</v>
      </c>
      <c r="R615" s="80">
        <v>0.06</v>
      </c>
      <c r="S615" s="7" t="s">
        <v>115</v>
      </c>
      <c r="T615" s="257">
        <f t="shared" si="18"/>
        <v>75</v>
      </c>
      <c r="U615" s="257">
        <f t="shared" si="19"/>
        <v>15</v>
      </c>
      <c r="V615">
        <v>1</v>
      </c>
      <c r="W615">
        <v>1</v>
      </c>
    </row>
    <row r="616" spans="1:23" ht="34.200000000000003" x14ac:dyDescent="0.3">
      <c r="A616" s="220">
        <v>38539</v>
      </c>
      <c r="B616" s="220">
        <v>38539</v>
      </c>
      <c r="C616" s="6">
        <v>7</v>
      </c>
      <c r="D616" s="6">
        <v>1</v>
      </c>
      <c r="E616" s="76">
        <v>2005</v>
      </c>
      <c r="F616" s="15" t="s">
        <v>22</v>
      </c>
      <c r="G616" s="18" t="s">
        <v>6256</v>
      </c>
      <c r="H616" s="9" t="s">
        <v>57</v>
      </c>
      <c r="I616" s="77" t="s">
        <v>1098</v>
      </c>
      <c r="J616" s="78" t="s">
        <v>1099</v>
      </c>
      <c r="K616" s="79">
        <v>0</v>
      </c>
      <c r="L616" s="242">
        <v>200</v>
      </c>
      <c r="M616" s="79">
        <v>40</v>
      </c>
      <c r="N616" s="79">
        <v>0</v>
      </c>
      <c r="O616" s="37">
        <v>0</v>
      </c>
      <c r="P616" s="37">
        <v>0</v>
      </c>
      <c r="Q616" s="79">
        <v>0</v>
      </c>
      <c r="R616" s="80">
        <v>0.16200000000000001</v>
      </c>
      <c r="S616" s="7" t="s">
        <v>115</v>
      </c>
      <c r="T616" s="257">
        <f t="shared" si="18"/>
        <v>200</v>
      </c>
      <c r="U616" s="257">
        <f t="shared" si="19"/>
        <v>40</v>
      </c>
      <c r="V616">
        <v>1</v>
      </c>
      <c r="W616">
        <v>1</v>
      </c>
    </row>
    <row r="617" spans="1:23" ht="45.6" x14ac:dyDescent="0.3">
      <c r="A617" s="220">
        <v>38541</v>
      </c>
      <c r="B617" s="220">
        <v>38541</v>
      </c>
      <c r="C617" s="6">
        <v>7</v>
      </c>
      <c r="D617" s="6">
        <v>1</v>
      </c>
      <c r="E617" s="76">
        <v>2005</v>
      </c>
      <c r="F617" s="15" t="s">
        <v>22</v>
      </c>
      <c r="G617" s="18" t="s">
        <v>6256</v>
      </c>
      <c r="H617" s="9" t="s">
        <v>46</v>
      </c>
      <c r="I617" s="77" t="s">
        <v>1100</v>
      </c>
      <c r="J617" s="78" t="s">
        <v>1101</v>
      </c>
      <c r="K617" s="79">
        <v>3</v>
      </c>
      <c r="L617" s="242">
        <v>3</v>
      </c>
      <c r="M617" s="79">
        <v>0</v>
      </c>
      <c r="N617" s="79">
        <v>0</v>
      </c>
      <c r="O617" s="37">
        <v>0</v>
      </c>
      <c r="P617" s="37">
        <v>0</v>
      </c>
      <c r="Q617" s="79">
        <v>0</v>
      </c>
      <c r="R617" s="80">
        <v>0</v>
      </c>
      <c r="S617" s="7" t="s">
        <v>115</v>
      </c>
      <c r="T617" s="257">
        <f t="shared" si="18"/>
        <v>6</v>
      </c>
      <c r="U617" s="257">
        <f t="shared" si="19"/>
        <v>0</v>
      </c>
      <c r="V617">
        <v>1</v>
      </c>
      <c r="W617">
        <v>0</v>
      </c>
    </row>
    <row r="618" spans="1:23" ht="34.200000000000003" x14ac:dyDescent="0.3">
      <c r="A618" s="220">
        <v>38544</v>
      </c>
      <c r="B618" s="220">
        <v>38544</v>
      </c>
      <c r="C618" s="6">
        <v>7</v>
      </c>
      <c r="D618" s="6">
        <v>1</v>
      </c>
      <c r="E618" s="76">
        <v>2005</v>
      </c>
      <c r="F618" s="15" t="s">
        <v>22</v>
      </c>
      <c r="G618" s="18" t="s">
        <v>6256</v>
      </c>
      <c r="H618" s="9" t="s">
        <v>55</v>
      </c>
      <c r="I618" s="77" t="s">
        <v>1102</v>
      </c>
      <c r="J618" s="78" t="s">
        <v>1103</v>
      </c>
      <c r="K618" s="79">
        <v>0</v>
      </c>
      <c r="L618" s="242">
        <v>18</v>
      </c>
      <c r="M618" s="79">
        <v>0</v>
      </c>
      <c r="N618" s="79">
        <v>0</v>
      </c>
      <c r="O618" s="37">
        <v>0</v>
      </c>
      <c r="P618" s="37">
        <v>0</v>
      </c>
      <c r="Q618" s="79">
        <v>0</v>
      </c>
      <c r="R618" s="80">
        <v>0</v>
      </c>
      <c r="S618" s="7" t="s">
        <v>115</v>
      </c>
      <c r="T618" s="257">
        <f t="shared" si="18"/>
        <v>18</v>
      </c>
      <c r="U618" s="257">
        <f t="shared" si="19"/>
        <v>0</v>
      </c>
      <c r="V618">
        <v>1</v>
      </c>
      <c r="W618">
        <v>0</v>
      </c>
    </row>
    <row r="619" spans="1:23" ht="68.400000000000006" x14ac:dyDescent="0.3">
      <c r="A619" s="220">
        <v>38550</v>
      </c>
      <c r="B619" s="220">
        <v>38550</v>
      </c>
      <c r="C619" s="6">
        <v>7</v>
      </c>
      <c r="D619" s="6">
        <v>1</v>
      </c>
      <c r="E619" s="76">
        <v>2005</v>
      </c>
      <c r="F619" s="15" t="s">
        <v>22</v>
      </c>
      <c r="G619" s="16" t="s">
        <v>6254</v>
      </c>
      <c r="H619" s="9" t="s">
        <v>69</v>
      </c>
      <c r="I619" s="77" t="s">
        <v>1104</v>
      </c>
      <c r="J619" s="81" t="s">
        <v>1105</v>
      </c>
      <c r="K619" s="79">
        <v>0</v>
      </c>
      <c r="L619" s="242">
        <v>10112</v>
      </c>
      <c r="M619" s="79">
        <v>851</v>
      </c>
      <c r="N619" s="79">
        <v>76</v>
      </c>
      <c r="O619" s="37">
        <v>24</v>
      </c>
      <c r="P619" s="37">
        <v>0</v>
      </c>
      <c r="Q619" s="79">
        <v>8612</v>
      </c>
      <c r="R619" s="80">
        <v>1111</v>
      </c>
      <c r="S619" s="7" t="s">
        <v>115</v>
      </c>
      <c r="T619" s="257">
        <f t="shared" si="18"/>
        <v>10112</v>
      </c>
      <c r="U619" s="257">
        <f t="shared" si="19"/>
        <v>951</v>
      </c>
      <c r="V619">
        <v>2</v>
      </c>
      <c r="W619">
        <v>1</v>
      </c>
    </row>
    <row r="620" spans="1:23" x14ac:dyDescent="0.3">
      <c r="A620" s="219">
        <v>43147</v>
      </c>
      <c r="B620" s="219">
        <v>43147</v>
      </c>
      <c r="C620" s="6">
        <v>2</v>
      </c>
      <c r="D620" s="6">
        <v>1</v>
      </c>
      <c r="E620" s="84">
        <v>2018</v>
      </c>
      <c r="F620" s="7" t="s">
        <v>17</v>
      </c>
      <c r="G620" s="85" t="s">
        <v>6260</v>
      </c>
      <c r="H620" s="9" t="s">
        <v>48</v>
      </c>
      <c r="I620" s="86">
        <v>11</v>
      </c>
      <c r="J620" s="34" t="s">
        <v>1106</v>
      </c>
      <c r="K620" s="87">
        <v>0</v>
      </c>
      <c r="L620" s="241">
        <v>0</v>
      </c>
      <c r="M620" s="87">
        <v>0</v>
      </c>
      <c r="N620" s="87">
        <v>0</v>
      </c>
      <c r="O620" s="87">
        <v>0</v>
      </c>
      <c r="P620" s="87">
        <v>0</v>
      </c>
      <c r="Q620" s="88">
        <v>0</v>
      </c>
      <c r="R620" s="61">
        <v>36.245917159999998</v>
      </c>
      <c r="S620" s="89" t="s">
        <v>149</v>
      </c>
      <c r="T620" s="257">
        <f t="shared" si="18"/>
        <v>0</v>
      </c>
      <c r="U620" s="257">
        <f t="shared" si="19"/>
        <v>0</v>
      </c>
      <c r="V620">
        <v>0</v>
      </c>
      <c r="W620">
        <v>0</v>
      </c>
    </row>
    <row r="621" spans="1:23" ht="45.6" x14ac:dyDescent="0.3">
      <c r="A621" s="220">
        <v>38551</v>
      </c>
      <c r="B621" s="220">
        <v>38551</v>
      </c>
      <c r="C621" s="6">
        <v>7</v>
      </c>
      <c r="D621" s="6">
        <v>1</v>
      </c>
      <c r="E621" s="76">
        <v>2005</v>
      </c>
      <c r="F621" s="15" t="s">
        <v>22</v>
      </c>
      <c r="G621" s="16" t="s">
        <v>6254</v>
      </c>
      <c r="H621" s="9" t="s">
        <v>124</v>
      </c>
      <c r="I621" s="77" t="s">
        <v>1107</v>
      </c>
      <c r="J621" s="78" t="s">
        <v>1108</v>
      </c>
      <c r="K621" s="79">
        <v>0</v>
      </c>
      <c r="L621" s="242">
        <f>(M621*5)*1</f>
        <v>77670</v>
      </c>
      <c r="M621" s="79">
        <v>15534</v>
      </c>
      <c r="N621" s="79">
        <v>209</v>
      </c>
      <c r="O621" s="37">
        <v>0</v>
      </c>
      <c r="P621" s="37">
        <v>0</v>
      </c>
      <c r="Q621" s="79">
        <v>34956</v>
      </c>
      <c r="R621" s="80">
        <v>1020.4</v>
      </c>
      <c r="S621" s="7" t="s">
        <v>115</v>
      </c>
      <c r="T621" s="257">
        <f t="shared" si="18"/>
        <v>77670</v>
      </c>
      <c r="U621" s="257">
        <f t="shared" si="19"/>
        <v>15743</v>
      </c>
      <c r="V621">
        <v>2</v>
      </c>
      <c r="W621">
        <v>3</v>
      </c>
    </row>
    <row r="622" spans="1:23" ht="34.200000000000003" x14ac:dyDescent="0.3">
      <c r="A622" s="220">
        <v>38551</v>
      </c>
      <c r="B622" s="220">
        <v>38551</v>
      </c>
      <c r="C622" s="6">
        <v>7</v>
      </c>
      <c r="D622" s="6">
        <v>1</v>
      </c>
      <c r="E622" s="76">
        <v>2005</v>
      </c>
      <c r="F622" s="15" t="s">
        <v>22</v>
      </c>
      <c r="G622" s="18" t="s">
        <v>6256</v>
      </c>
      <c r="H622" s="9" t="s">
        <v>112</v>
      </c>
      <c r="I622" s="77" t="s">
        <v>1109</v>
      </c>
      <c r="J622" s="78" t="s">
        <v>1110</v>
      </c>
      <c r="K622" s="79">
        <v>0</v>
      </c>
      <c r="L622" s="242">
        <v>1350</v>
      </c>
      <c r="M622" s="79">
        <v>0</v>
      </c>
      <c r="N622" s="79">
        <v>0</v>
      </c>
      <c r="O622" s="37">
        <v>0</v>
      </c>
      <c r="P622" s="37">
        <v>0</v>
      </c>
      <c r="Q622" s="79">
        <v>0</v>
      </c>
      <c r="R622" s="80">
        <v>0</v>
      </c>
      <c r="S622" s="7" t="s">
        <v>115</v>
      </c>
      <c r="T622" s="257">
        <f t="shared" si="18"/>
        <v>1350</v>
      </c>
      <c r="U622" s="257">
        <f t="shared" si="19"/>
        <v>0</v>
      </c>
      <c r="V622">
        <v>1</v>
      </c>
      <c r="W622">
        <v>0</v>
      </c>
    </row>
    <row r="623" spans="1:23" ht="34.200000000000003" x14ac:dyDescent="0.3">
      <c r="A623" s="220">
        <v>38551</v>
      </c>
      <c r="B623" s="220">
        <v>38551</v>
      </c>
      <c r="C623" s="6">
        <v>7</v>
      </c>
      <c r="D623" s="6">
        <v>1</v>
      </c>
      <c r="E623" s="76">
        <v>2005</v>
      </c>
      <c r="F623" s="15" t="s">
        <v>22</v>
      </c>
      <c r="G623" s="18" t="s">
        <v>6256</v>
      </c>
      <c r="H623" s="9" t="s">
        <v>55</v>
      </c>
      <c r="I623" s="83" t="s">
        <v>1111</v>
      </c>
      <c r="J623" s="78" t="s">
        <v>1112</v>
      </c>
      <c r="K623" s="79">
        <v>1</v>
      </c>
      <c r="L623" s="242">
        <v>1</v>
      </c>
      <c r="M623" s="79">
        <v>0</v>
      </c>
      <c r="N623" s="79">
        <v>0</v>
      </c>
      <c r="O623" s="37">
        <v>0</v>
      </c>
      <c r="P623" s="37">
        <v>0</v>
      </c>
      <c r="Q623" s="79">
        <v>0</v>
      </c>
      <c r="R623" s="80">
        <v>0</v>
      </c>
      <c r="S623" s="7" t="s">
        <v>115</v>
      </c>
      <c r="T623" s="257">
        <f t="shared" si="18"/>
        <v>2</v>
      </c>
      <c r="U623" s="257">
        <f t="shared" si="19"/>
        <v>0</v>
      </c>
      <c r="V623">
        <v>1</v>
      </c>
      <c r="W623">
        <v>0</v>
      </c>
    </row>
    <row r="624" spans="1:23" ht="34.200000000000003" x14ac:dyDescent="0.3">
      <c r="A624" s="220">
        <v>38551</v>
      </c>
      <c r="B624" s="220">
        <v>38551</v>
      </c>
      <c r="C624" s="6">
        <v>7</v>
      </c>
      <c r="D624" s="6">
        <v>1</v>
      </c>
      <c r="E624" s="76">
        <v>2005</v>
      </c>
      <c r="F624" s="15" t="s">
        <v>22</v>
      </c>
      <c r="G624" s="16" t="s">
        <v>6254</v>
      </c>
      <c r="H624" s="9" t="s">
        <v>78</v>
      </c>
      <c r="I624" s="77" t="s">
        <v>1109</v>
      </c>
      <c r="J624" s="78" t="s">
        <v>1113</v>
      </c>
      <c r="K624" s="79">
        <v>0</v>
      </c>
      <c r="L624" s="242">
        <f>(M624*5)*1</f>
        <v>50515</v>
      </c>
      <c r="M624" s="79">
        <v>10103</v>
      </c>
      <c r="N624" s="79">
        <v>145</v>
      </c>
      <c r="O624" s="37">
        <v>34</v>
      </c>
      <c r="P624" s="37">
        <v>0</v>
      </c>
      <c r="Q624" s="79">
        <v>3061</v>
      </c>
      <c r="R624" s="80">
        <v>1530.3</v>
      </c>
      <c r="S624" s="7" t="s">
        <v>115</v>
      </c>
      <c r="T624" s="257">
        <f t="shared" si="18"/>
        <v>50515</v>
      </c>
      <c r="U624" s="257">
        <f t="shared" si="19"/>
        <v>10282</v>
      </c>
      <c r="V624">
        <v>2</v>
      </c>
      <c r="W624">
        <v>3</v>
      </c>
    </row>
    <row r="625" spans="1:23" ht="34.200000000000003" x14ac:dyDescent="0.3">
      <c r="A625" s="220">
        <v>38551</v>
      </c>
      <c r="B625" s="220">
        <v>38551</v>
      </c>
      <c r="C625" s="6">
        <v>7</v>
      </c>
      <c r="D625" s="6">
        <v>1</v>
      </c>
      <c r="E625" s="76">
        <v>2005</v>
      </c>
      <c r="F625" s="15" t="s">
        <v>22</v>
      </c>
      <c r="G625" s="16" t="s">
        <v>6254</v>
      </c>
      <c r="H625" s="9" t="s">
        <v>57</v>
      </c>
      <c r="I625" s="77" t="s">
        <v>1109</v>
      </c>
      <c r="J625" s="78" t="s">
        <v>1113</v>
      </c>
      <c r="K625" s="79">
        <v>0</v>
      </c>
      <c r="L625" s="242">
        <f>(M625*5)*1</f>
        <v>40385</v>
      </c>
      <c r="M625" s="79">
        <v>8077</v>
      </c>
      <c r="N625" s="79">
        <v>64</v>
      </c>
      <c r="O625" s="37">
        <v>89</v>
      </c>
      <c r="P625" s="37">
        <v>0</v>
      </c>
      <c r="Q625" s="79">
        <v>0</v>
      </c>
      <c r="R625" s="80">
        <v>726.5</v>
      </c>
      <c r="S625" s="7" t="s">
        <v>115</v>
      </c>
      <c r="T625" s="257">
        <f t="shared" si="18"/>
        <v>40385</v>
      </c>
      <c r="U625" s="257">
        <f t="shared" si="19"/>
        <v>8230</v>
      </c>
      <c r="V625">
        <v>2</v>
      </c>
      <c r="W625">
        <v>2</v>
      </c>
    </row>
    <row r="626" spans="1:23" ht="45.6" x14ac:dyDescent="0.3">
      <c r="A626" s="220">
        <v>38553</v>
      </c>
      <c r="B626" s="220">
        <v>38553</v>
      </c>
      <c r="C626" s="6">
        <v>7</v>
      </c>
      <c r="D626" s="6">
        <v>1</v>
      </c>
      <c r="E626" s="76">
        <v>2005</v>
      </c>
      <c r="F626" s="15" t="s">
        <v>22</v>
      </c>
      <c r="G626" s="18" t="s">
        <v>6256</v>
      </c>
      <c r="H626" s="9" t="s">
        <v>84</v>
      </c>
      <c r="I626" s="77" t="s">
        <v>1114</v>
      </c>
      <c r="J626" s="78" t="s">
        <v>1115</v>
      </c>
      <c r="K626" s="79">
        <v>0</v>
      </c>
      <c r="L626" s="242">
        <v>2</v>
      </c>
      <c r="M626" s="79">
        <v>0</v>
      </c>
      <c r="N626" s="79">
        <v>0</v>
      </c>
      <c r="O626" s="37">
        <v>0</v>
      </c>
      <c r="P626" s="37">
        <v>0</v>
      </c>
      <c r="Q626" s="79">
        <v>0</v>
      </c>
      <c r="R626" s="80">
        <v>0</v>
      </c>
      <c r="S626" s="7" t="s">
        <v>115</v>
      </c>
      <c r="T626" s="257">
        <f t="shared" si="18"/>
        <v>2</v>
      </c>
      <c r="U626" s="257">
        <f t="shared" si="19"/>
        <v>0</v>
      </c>
      <c r="V626">
        <v>1</v>
      </c>
      <c r="W626">
        <v>0</v>
      </c>
    </row>
    <row r="627" spans="1:23" ht="34.200000000000003" x14ac:dyDescent="0.3">
      <c r="A627" s="220">
        <v>38554</v>
      </c>
      <c r="B627" s="220">
        <v>38554</v>
      </c>
      <c r="C627" s="6">
        <v>7</v>
      </c>
      <c r="D627" s="6">
        <v>1</v>
      </c>
      <c r="E627" s="76">
        <v>2005</v>
      </c>
      <c r="F627" s="15" t="s">
        <v>22</v>
      </c>
      <c r="G627" s="16" t="s">
        <v>6256</v>
      </c>
      <c r="H627" s="9" t="s">
        <v>78</v>
      </c>
      <c r="I627" s="77" t="s">
        <v>1116</v>
      </c>
      <c r="J627" s="78" t="s">
        <v>1117</v>
      </c>
      <c r="K627" s="79">
        <v>0</v>
      </c>
      <c r="L627" s="242">
        <v>519</v>
      </c>
      <c r="M627" s="79">
        <v>0</v>
      </c>
      <c r="N627" s="79">
        <v>0</v>
      </c>
      <c r="O627" s="37">
        <v>0</v>
      </c>
      <c r="P627" s="37">
        <v>0</v>
      </c>
      <c r="Q627" s="79">
        <v>0</v>
      </c>
      <c r="R627" s="80">
        <v>0</v>
      </c>
      <c r="S627" s="7" t="s">
        <v>115</v>
      </c>
      <c r="T627" s="257">
        <f t="shared" si="18"/>
        <v>519</v>
      </c>
      <c r="U627" s="257">
        <f t="shared" si="19"/>
        <v>0</v>
      </c>
      <c r="V627">
        <v>1</v>
      </c>
      <c r="W627">
        <v>0</v>
      </c>
    </row>
    <row r="628" spans="1:23" ht="34.200000000000003" x14ac:dyDescent="0.3">
      <c r="A628" s="220">
        <v>38558</v>
      </c>
      <c r="B628" s="220">
        <v>38558</v>
      </c>
      <c r="C628" s="6">
        <v>7</v>
      </c>
      <c r="D628" s="6">
        <v>1</v>
      </c>
      <c r="E628" s="76">
        <v>2005</v>
      </c>
      <c r="F628" s="15" t="s">
        <v>22</v>
      </c>
      <c r="G628" s="18" t="s">
        <v>6256</v>
      </c>
      <c r="H628" s="9" t="s">
        <v>51</v>
      </c>
      <c r="I628" s="77" t="s">
        <v>1118</v>
      </c>
      <c r="J628" s="78" t="s">
        <v>1119</v>
      </c>
      <c r="K628" s="79">
        <v>0</v>
      </c>
      <c r="L628" s="242">
        <v>55</v>
      </c>
      <c r="M628" s="79">
        <v>11</v>
      </c>
      <c r="N628" s="79">
        <v>0</v>
      </c>
      <c r="O628" s="37">
        <v>0</v>
      </c>
      <c r="P628" s="37">
        <v>0</v>
      </c>
      <c r="Q628" s="79">
        <v>0</v>
      </c>
      <c r="R628" s="80">
        <v>4.4999999999999998E-2</v>
      </c>
      <c r="S628" s="7" t="s">
        <v>115</v>
      </c>
      <c r="T628" s="257">
        <f t="shared" si="18"/>
        <v>55</v>
      </c>
      <c r="U628" s="257">
        <f t="shared" si="19"/>
        <v>11</v>
      </c>
      <c r="V628">
        <v>1</v>
      </c>
      <c r="W628">
        <v>1</v>
      </c>
    </row>
    <row r="629" spans="1:23" ht="45.6" x14ac:dyDescent="0.3">
      <c r="A629" s="220">
        <v>38559</v>
      </c>
      <c r="B629" s="220">
        <v>38559</v>
      </c>
      <c r="C629" s="6">
        <v>7</v>
      </c>
      <c r="D629" s="6">
        <v>1</v>
      </c>
      <c r="E629" s="76">
        <v>2005</v>
      </c>
      <c r="F629" s="15" t="s">
        <v>22</v>
      </c>
      <c r="G629" s="18" t="s">
        <v>6256</v>
      </c>
      <c r="H629" s="9" t="s">
        <v>84</v>
      </c>
      <c r="I629" s="77" t="s">
        <v>1120</v>
      </c>
      <c r="J629" s="78" t="s">
        <v>1121</v>
      </c>
      <c r="K629" s="79">
        <v>0</v>
      </c>
      <c r="L629" s="242">
        <v>48</v>
      </c>
      <c r="M629" s="79">
        <v>0</v>
      </c>
      <c r="N629" s="79">
        <v>0</v>
      </c>
      <c r="O629" s="37">
        <v>0</v>
      </c>
      <c r="P629" s="37">
        <v>0</v>
      </c>
      <c r="Q629" s="79">
        <v>0</v>
      </c>
      <c r="R629" s="80">
        <v>0</v>
      </c>
      <c r="S629" s="7" t="s">
        <v>115</v>
      </c>
      <c r="T629" s="257">
        <f t="shared" si="18"/>
        <v>48</v>
      </c>
      <c r="U629" s="257">
        <f t="shared" si="19"/>
        <v>0</v>
      </c>
      <c r="V629">
        <v>1</v>
      </c>
      <c r="W629">
        <v>0</v>
      </c>
    </row>
    <row r="630" spans="1:23" ht="22.8" x14ac:dyDescent="0.3">
      <c r="A630" s="220">
        <v>38560</v>
      </c>
      <c r="B630" s="220">
        <v>38560</v>
      </c>
      <c r="C630" s="6">
        <v>7</v>
      </c>
      <c r="D630" s="6">
        <v>1</v>
      </c>
      <c r="E630" s="76">
        <v>2005</v>
      </c>
      <c r="F630" s="15" t="s">
        <v>22</v>
      </c>
      <c r="G630" s="18" t="s">
        <v>6256</v>
      </c>
      <c r="H630" s="9" t="s">
        <v>24</v>
      </c>
      <c r="I630" s="77" t="s">
        <v>1122</v>
      </c>
      <c r="J630" s="78" t="s">
        <v>1123</v>
      </c>
      <c r="K630" s="79">
        <v>0</v>
      </c>
      <c r="L630" s="242">
        <v>390</v>
      </c>
      <c r="M630" s="79">
        <v>78</v>
      </c>
      <c r="N630" s="79">
        <v>0</v>
      </c>
      <c r="O630" s="37">
        <v>0</v>
      </c>
      <c r="P630" s="37">
        <v>0</v>
      </c>
      <c r="Q630" s="79">
        <v>0</v>
      </c>
      <c r="R630" s="80">
        <v>0.316</v>
      </c>
      <c r="S630" s="7" t="s">
        <v>115</v>
      </c>
      <c r="T630" s="257">
        <f t="shared" si="18"/>
        <v>390</v>
      </c>
      <c r="U630" s="257">
        <f t="shared" si="19"/>
        <v>78</v>
      </c>
      <c r="V630">
        <v>1</v>
      </c>
      <c r="W630">
        <v>1</v>
      </c>
    </row>
    <row r="631" spans="1:23" ht="22.8" x14ac:dyDescent="0.3">
      <c r="A631" s="220">
        <v>38561</v>
      </c>
      <c r="B631" s="220">
        <v>38561</v>
      </c>
      <c r="C631" s="6">
        <v>7</v>
      </c>
      <c r="D631" s="6">
        <v>1</v>
      </c>
      <c r="E631" s="76">
        <v>2005</v>
      </c>
      <c r="F631" s="15" t="s">
        <v>22</v>
      </c>
      <c r="G631" s="82" t="s">
        <v>6256</v>
      </c>
      <c r="H631" s="9" t="s">
        <v>46</v>
      </c>
      <c r="I631" s="77" t="s">
        <v>1124</v>
      </c>
      <c r="J631" s="78" t="s">
        <v>1125</v>
      </c>
      <c r="K631" s="79">
        <v>3</v>
      </c>
      <c r="L631" s="242">
        <v>4</v>
      </c>
      <c r="M631" s="79">
        <v>0</v>
      </c>
      <c r="N631" s="79">
        <v>0</v>
      </c>
      <c r="O631" s="37">
        <v>0</v>
      </c>
      <c r="P631" s="37">
        <v>0</v>
      </c>
      <c r="Q631" s="79">
        <v>0</v>
      </c>
      <c r="R631" s="80">
        <v>0</v>
      </c>
      <c r="S631" s="7" t="s">
        <v>115</v>
      </c>
      <c r="T631" s="257">
        <f t="shared" si="18"/>
        <v>7</v>
      </c>
      <c r="U631" s="257">
        <f t="shared" si="19"/>
        <v>0</v>
      </c>
      <c r="V631">
        <v>1</v>
      </c>
      <c r="W631">
        <v>0</v>
      </c>
    </row>
    <row r="632" spans="1:23" ht="34.200000000000003" x14ac:dyDescent="0.3">
      <c r="A632" s="212">
        <v>40887</v>
      </c>
      <c r="B632" s="212">
        <v>40887</v>
      </c>
      <c r="C632" s="6">
        <v>12</v>
      </c>
      <c r="D632" s="6">
        <v>1</v>
      </c>
      <c r="E632" s="6">
        <v>2011</v>
      </c>
      <c r="F632" s="7" t="s">
        <v>17</v>
      </c>
      <c r="G632" s="16" t="s">
        <v>6260</v>
      </c>
      <c r="H632" s="9" t="s">
        <v>48</v>
      </c>
      <c r="I632" s="53" t="s">
        <v>1126</v>
      </c>
      <c r="J632" s="53" t="s">
        <v>1127</v>
      </c>
      <c r="K632" s="13">
        <v>2</v>
      </c>
      <c r="L632" s="233">
        <v>3371</v>
      </c>
      <c r="M632" s="13">
        <v>654</v>
      </c>
      <c r="N632" s="13">
        <v>11</v>
      </c>
      <c r="O632" s="13">
        <v>9</v>
      </c>
      <c r="P632" s="13">
        <v>0</v>
      </c>
      <c r="Q632" s="13"/>
      <c r="R632" s="26">
        <v>35.065789000000002</v>
      </c>
      <c r="S632" s="19" t="s">
        <v>149</v>
      </c>
      <c r="T632" s="257">
        <f t="shared" si="18"/>
        <v>3373</v>
      </c>
      <c r="U632" s="257">
        <f t="shared" si="19"/>
        <v>674</v>
      </c>
      <c r="V632">
        <v>1</v>
      </c>
      <c r="W632">
        <v>1</v>
      </c>
    </row>
    <row r="633" spans="1:23" ht="34.200000000000003" x14ac:dyDescent="0.3">
      <c r="A633" s="220">
        <v>38566</v>
      </c>
      <c r="B633" s="220">
        <v>38566</v>
      </c>
      <c r="C633" s="6">
        <v>8</v>
      </c>
      <c r="D633" s="6">
        <v>1</v>
      </c>
      <c r="E633" s="76">
        <v>2005</v>
      </c>
      <c r="F633" s="15" t="s">
        <v>22</v>
      </c>
      <c r="G633" s="18" t="s">
        <v>6256</v>
      </c>
      <c r="H633" s="9" t="s">
        <v>52</v>
      </c>
      <c r="I633" s="77" t="s">
        <v>663</v>
      </c>
      <c r="J633" s="78" t="s">
        <v>1128</v>
      </c>
      <c r="K633" s="79">
        <v>0</v>
      </c>
      <c r="L633" s="242">
        <v>55</v>
      </c>
      <c r="M633" s="79">
        <v>11</v>
      </c>
      <c r="N633" s="79">
        <v>0</v>
      </c>
      <c r="O633" s="37">
        <v>0</v>
      </c>
      <c r="P633" s="37">
        <v>0</v>
      </c>
      <c r="Q633" s="79">
        <v>0</v>
      </c>
      <c r="R633" s="80">
        <v>0.11600000000000001</v>
      </c>
      <c r="S633" s="7" t="s">
        <v>115</v>
      </c>
      <c r="T633" s="257">
        <f t="shared" si="18"/>
        <v>55</v>
      </c>
      <c r="U633" s="257">
        <f t="shared" si="19"/>
        <v>11</v>
      </c>
      <c r="V633">
        <v>1</v>
      </c>
      <c r="W633">
        <v>1</v>
      </c>
    </row>
    <row r="634" spans="1:23" ht="34.200000000000003" x14ac:dyDescent="0.3">
      <c r="A634" s="220">
        <v>38566</v>
      </c>
      <c r="B634" s="220">
        <v>38566</v>
      </c>
      <c r="C634" s="6">
        <v>8</v>
      </c>
      <c r="D634" s="6">
        <v>1</v>
      </c>
      <c r="E634" s="76">
        <v>2005</v>
      </c>
      <c r="F634" s="15" t="s">
        <v>22</v>
      </c>
      <c r="G634" s="18" t="s">
        <v>6256</v>
      </c>
      <c r="H634" s="9" t="s">
        <v>52</v>
      </c>
      <c r="I634" s="77" t="s">
        <v>1129</v>
      </c>
      <c r="J634" s="78" t="s">
        <v>1130</v>
      </c>
      <c r="K634" s="79">
        <v>0</v>
      </c>
      <c r="L634" s="242">
        <v>30</v>
      </c>
      <c r="M634" s="79">
        <v>6</v>
      </c>
      <c r="N634" s="79">
        <v>0</v>
      </c>
      <c r="O634" s="37">
        <v>0</v>
      </c>
      <c r="P634" s="37">
        <v>0</v>
      </c>
      <c r="Q634" s="79">
        <v>0</v>
      </c>
      <c r="R634" s="80">
        <v>2.4E-2</v>
      </c>
      <c r="S634" s="7" t="s">
        <v>115</v>
      </c>
      <c r="T634" s="257">
        <f t="shared" si="18"/>
        <v>30</v>
      </c>
      <c r="U634" s="257">
        <f t="shared" si="19"/>
        <v>6</v>
      </c>
      <c r="V634">
        <v>1</v>
      </c>
      <c r="W634">
        <v>1</v>
      </c>
    </row>
    <row r="635" spans="1:23" ht="34.200000000000003" x14ac:dyDescent="0.3">
      <c r="A635" s="220">
        <v>38566</v>
      </c>
      <c r="B635" s="220">
        <v>38566</v>
      </c>
      <c r="C635" s="6">
        <v>8</v>
      </c>
      <c r="D635" s="6">
        <v>1</v>
      </c>
      <c r="E635" s="76">
        <v>2005</v>
      </c>
      <c r="F635" s="15" t="s">
        <v>22</v>
      </c>
      <c r="G635" s="18" t="s">
        <v>6256</v>
      </c>
      <c r="H635" s="9" t="s">
        <v>74</v>
      </c>
      <c r="I635" s="77" t="s">
        <v>1131</v>
      </c>
      <c r="J635" s="78" t="s">
        <v>1132</v>
      </c>
      <c r="K635" s="79">
        <v>0</v>
      </c>
      <c r="L635" s="242">
        <v>40</v>
      </c>
      <c r="M635" s="79">
        <v>8</v>
      </c>
      <c r="N635" s="79">
        <v>0</v>
      </c>
      <c r="O635" s="37">
        <v>0</v>
      </c>
      <c r="P635" s="37">
        <v>0</v>
      </c>
      <c r="Q635" s="79">
        <v>0</v>
      </c>
      <c r="R635" s="80">
        <v>3.2000000000000001E-2</v>
      </c>
      <c r="S635" s="7" t="s">
        <v>115</v>
      </c>
      <c r="T635" s="257">
        <f t="shared" si="18"/>
        <v>40</v>
      </c>
      <c r="U635" s="257">
        <f t="shared" si="19"/>
        <v>8</v>
      </c>
      <c r="V635">
        <v>1</v>
      </c>
      <c r="W635">
        <v>1</v>
      </c>
    </row>
    <row r="636" spans="1:23" ht="57" x14ac:dyDescent="0.3">
      <c r="A636" s="220">
        <v>38566</v>
      </c>
      <c r="B636" s="220">
        <v>38566</v>
      </c>
      <c r="C636" s="6">
        <v>8</v>
      </c>
      <c r="D636" s="6">
        <v>1</v>
      </c>
      <c r="E636" s="76">
        <v>2005</v>
      </c>
      <c r="F636" s="15" t="s">
        <v>22</v>
      </c>
      <c r="G636" s="18" t="s">
        <v>6256</v>
      </c>
      <c r="H636" s="9" t="s">
        <v>74</v>
      </c>
      <c r="I636" s="77" t="s">
        <v>350</v>
      </c>
      <c r="J636" s="90" t="s">
        <v>1133</v>
      </c>
      <c r="K636" s="79">
        <v>0</v>
      </c>
      <c r="L636" s="242">
        <v>0</v>
      </c>
      <c r="M636" s="79">
        <v>0</v>
      </c>
      <c r="N636" s="79">
        <v>0</v>
      </c>
      <c r="O636" s="37">
        <v>0</v>
      </c>
      <c r="P636" s="37">
        <v>0</v>
      </c>
      <c r="Q636" s="79">
        <v>0</v>
      </c>
      <c r="R636" s="80">
        <v>0</v>
      </c>
      <c r="S636" s="7" t="s">
        <v>115</v>
      </c>
      <c r="T636" s="257">
        <f t="shared" si="18"/>
        <v>0</v>
      </c>
      <c r="U636" s="257">
        <f t="shared" si="19"/>
        <v>0</v>
      </c>
      <c r="V636">
        <v>0</v>
      </c>
      <c r="W636">
        <v>0</v>
      </c>
    </row>
    <row r="637" spans="1:23" ht="34.200000000000003" x14ac:dyDescent="0.3">
      <c r="A637" s="220">
        <v>38567</v>
      </c>
      <c r="B637" s="220">
        <v>38567</v>
      </c>
      <c r="C637" s="6">
        <v>8</v>
      </c>
      <c r="D637" s="6">
        <v>1</v>
      </c>
      <c r="E637" s="76">
        <v>2005</v>
      </c>
      <c r="F637" s="15" t="s">
        <v>22</v>
      </c>
      <c r="G637" s="82" t="s">
        <v>6256</v>
      </c>
      <c r="H637" s="9" t="s">
        <v>46</v>
      </c>
      <c r="I637" s="77" t="s">
        <v>1134</v>
      </c>
      <c r="J637" s="78" t="s">
        <v>1135</v>
      </c>
      <c r="K637" s="79">
        <v>0</v>
      </c>
      <c r="L637" s="242">
        <v>2</v>
      </c>
      <c r="M637" s="79">
        <v>0</v>
      </c>
      <c r="N637" s="79">
        <v>0</v>
      </c>
      <c r="O637" s="37">
        <v>0</v>
      </c>
      <c r="P637" s="37">
        <v>0</v>
      </c>
      <c r="Q637" s="79">
        <v>0</v>
      </c>
      <c r="R637" s="80">
        <v>0</v>
      </c>
      <c r="S637" s="7" t="s">
        <v>115</v>
      </c>
      <c r="T637" s="257">
        <f t="shared" si="18"/>
        <v>2</v>
      </c>
      <c r="U637" s="257">
        <f t="shared" si="19"/>
        <v>0</v>
      </c>
      <c r="V637">
        <v>1</v>
      </c>
      <c r="W637">
        <v>0</v>
      </c>
    </row>
    <row r="638" spans="1:23" ht="57" x14ac:dyDescent="0.3">
      <c r="A638" s="220">
        <v>38568</v>
      </c>
      <c r="B638" s="220">
        <v>38568</v>
      </c>
      <c r="C638" s="6">
        <v>8</v>
      </c>
      <c r="D638" s="6">
        <v>1</v>
      </c>
      <c r="E638" s="76">
        <v>2005</v>
      </c>
      <c r="F638" s="15" t="s">
        <v>22</v>
      </c>
      <c r="G638" s="18" t="s">
        <v>6256</v>
      </c>
      <c r="H638" s="9" t="s">
        <v>43</v>
      </c>
      <c r="I638" s="77" t="s">
        <v>649</v>
      </c>
      <c r="J638" s="81" t="s">
        <v>1136</v>
      </c>
      <c r="K638" s="79">
        <v>0</v>
      </c>
      <c r="L638" s="242">
        <v>130</v>
      </c>
      <c r="M638" s="79">
        <v>26</v>
      </c>
      <c r="N638" s="79">
        <v>0</v>
      </c>
      <c r="O638" s="37">
        <v>0</v>
      </c>
      <c r="P638" s="37">
        <v>0</v>
      </c>
      <c r="Q638" s="79">
        <v>0</v>
      </c>
      <c r="R638" s="80">
        <v>0.112</v>
      </c>
      <c r="S638" s="7" t="s">
        <v>115</v>
      </c>
      <c r="T638" s="257">
        <f t="shared" si="18"/>
        <v>130</v>
      </c>
      <c r="U638" s="257">
        <f t="shared" si="19"/>
        <v>26</v>
      </c>
      <c r="V638">
        <v>1</v>
      </c>
      <c r="W638">
        <v>1</v>
      </c>
    </row>
    <row r="639" spans="1:23" ht="45.6" x14ac:dyDescent="0.3">
      <c r="A639" s="220">
        <v>38568</v>
      </c>
      <c r="B639" s="220">
        <v>38568</v>
      </c>
      <c r="C639" s="6">
        <v>8</v>
      </c>
      <c r="D639" s="6">
        <v>1</v>
      </c>
      <c r="E639" s="76">
        <v>2005</v>
      </c>
      <c r="F639" s="15" t="s">
        <v>22</v>
      </c>
      <c r="G639" s="18" t="s">
        <v>6256</v>
      </c>
      <c r="H639" s="9" t="s">
        <v>118</v>
      </c>
      <c r="I639" s="77" t="s">
        <v>860</v>
      </c>
      <c r="J639" s="78" t="s">
        <v>1137</v>
      </c>
      <c r="K639" s="79">
        <v>0</v>
      </c>
      <c r="L639" s="242">
        <v>100</v>
      </c>
      <c r="M639" s="79">
        <v>20</v>
      </c>
      <c r="N639" s="79">
        <v>0</v>
      </c>
      <c r="O639" s="37">
        <v>0</v>
      </c>
      <c r="P639" s="37">
        <v>0</v>
      </c>
      <c r="Q639" s="79">
        <v>0</v>
      </c>
      <c r="R639" s="80">
        <v>8.1000000000000003E-2</v>
      </c>
      <c r="S639" s="7" t="s">
        <v>115</v>
      </c>
      <c r="T639" s="257">
        <f t="shared" si="18"/>
        <v>100</v>
      </c>
      <c r="U639" s="257">
        <f t="shared" si="19"/>
        <v>20</v>
      </c>
      <c r="V639">
        <v>1</v>
      </c>
      <c r="W639">
        <v>1</v>
      </c>
    </row>
    <row r="640" spans="1:23" ht="22.8" x14ac:dyDescent="0.3">
      <c r="A640" s="220">
        <v>38569</v>
      </c>
      <c r="B640" s="220">
        <v>38569</v>
      </c>
      <c r="C640" s="6">
        <v>8</v>
      </c>
      <c r="D640" s="6">
        <v>1</v>
      </c>
      <c r="E640" s="76">
        <v>2005</v>
      </c>
      <c r="F640" s="15" t="s">
        <v>22</v>
      </c>
      <c r="G640" s="18" t="s">
        <v>6256</v>
      </c>
      <c r="H640" s="9" t="s">
        <v>39</v>
      </c>
      <c r="I640" s="77" t="s">
        <v>1066</v>
      </c>
      <c r="J640" s="78" t="s">
        <v>1138</v>
      </c>
      <c r="K640" s="79">
        <v>0</v>
      </c>
      <c r="L640" s="242">
        <v>3</v>
      </c>
      <c r="M640" s="79">
        <v>0</v>
      </c>
      <c r="N640" s="79">
        <v>0</v>
      </c>
      <c r="O640" s="37">
        <v>0</v>
      </c>
      <c r="P640" s="37">
        <v>0</v>
      </c>
      <c r="Q640" s="79">
        <v>0</v>
      </c>
      <c r="R640" s="80">
        <v>0</v>
      </c>
      <c r="S640" s="7" t="s">
        <v>115</v>
      </c>
      <c r="T640" s="257">
        <f t="shared" si="18"/>
        <v>3</v>
      </c>
      <c r="U640" s="257">
        <f t="shared" si="19"/>
        <v>0</v>
      </c>
      <c r="V640">
        <v>1</v>
      </c>
      <c r="W640">
        <v>0</v>
      </c>
    </row>
    <row r="641" spans="1:23" ht="57" x14ac:dyDescent="0.3">
      <c r="A641" s="220">
        <v>38569</v>
      </c>
      <c r="B641" s="220">
        <v>38570</v>
      </c>
      <c r="C641" s="6">
        <v>8</v>
      </c>
      <c r="D641" s="6">
        <v>2</v>
      </c>
      <c r="E641" s="76">
        <v>2005</v>
      </c>
      <c r="F641" s="15" t="s">
        <v>22</v>
      </c>
      <c r="G641" s="18" t="s">
        <v>6256</v>
      </c>
      <c r="H641" s="9" t="s">
        <v>174</v>
      </c>
      <c r="I641" s="77" t="s">
        <v>1139</v>
      </c>
      <c r="J641" s="78" t="s">
        <v>1140</v>
      </c>
      <c r="K641" s="79">
        <v>0</v>
      </c>
      <c r="L641" s="242">
        <v>99</v>
      </c>
      <c r="M641" s="79">
        <v>19</v>
      </c>
      <c r="N641" s="79">
        <v>1</v>
      </c>
      <c r="O641" s="37">
        <v>0</v>
      </c>
      <c r="P641" s="37">
        <v>0</v>
      </c>
      <c r="Q641" s="79">
        <v>0</v>
      </c>
      <c r="R641" s="80">
        <v>0.128</v>
      </c>
      <c r="S641" s="7" t="s">
        <v>115</v>
      </c>
      <c r="T641" s="257">
        <f t="shared" si="18"/>
        <v>99</v>
      </c>
      <c r="U641" s="257">
        <f t="shared" si="19"/>
        <v>20</v>
      </c>
      <c r="V641">
        <v>1</v>
      </c>
      <c r="W641">
        <v>1</v>
      </c>
    </row>
    <row r="642" spans="1:23" ht="34.200000000000003" x14ac:dyDescent="0.3">
      <c r="A642" s="220">
        <v>38572</v>
      </c>
      <c r="B642" s="220">
        <v>38572</v>
      </c>
      <c r="C642" s="6">
        <v>8</v>
      </c>
      <c r="D642" s="6">
        <v>1</v>
      </c>
      <c r="E642" s="76">
        <v>2005</v>
      </c>
      <c r="F642" s="15" t="s">
        <v>22</v>
      </c>
      <c r="G642" s="18" t="s">
        <v>6256</v>
      </c>
      <c r="H642" s="9" t="s">
        <v>74</v>
      </c>
      <c r="I642" s="77" t="s">
        <v>1141</v>
      </c>
      <c r="J642" s="78" t="s">
        <v>1142</v>
      </c>
      <c r="K642" s="79">
        <v>0</v>
      </c>
      <c r="L642" s="242">
        <v>0</v>
      </c>
      <c r="M642" s="79">
        <v>0</v>
      </c>
      <c r="N642" s="79">
        <v>0</v>
      </c>
      <c r="O642" s="37">
        <v>0</v>
      </c>
      <c r="P642" s="37">
        <v>0</v>
      </c>
      <c r="Q642" s="79">
        <v>0</v>
      </c>
      <c r="R642" s="80">
        <v>0</v>
      </c>
      <c r="S642" s="7" t="s">
        <v>115</v>
      </c>
      <c r="T642" s="257">
        <f t="shared" si="18"/>
        <v>0</v>
      </c>
      <c r="U642" s="257">
        <f t="shared" si="19"/>
        <v>0</v>
      </c>
      <c r="V642">
        <v>0</v>
      </c>
      <c r="W642">
        <v>0</v>
      </c>
    </row>
    <row r="643" spans="1:23" ht="34.200000000000003" x14ac:dyDescent="0.3">
      <c r="A643" s="220">
        <v>38579</v>
      </c>
      <c r="B643" s="220">
        <v>38579</v>
      </c>
      <c r="C643" s="6">
        <v>8</v>
      </c>
      <c r="D643" s="6">
        <v>1</v>
      </c>
      <c r="E643" s="76">
        <v>2005</v>
      </c>
      <c r="F643" s="15" t="s">
        <v>22</v>
      </c>
      <c r="G643" s="18" t="s">
        <v>6256</v>
      </c>
      <c r="H643" s="9" t="s">
        <v>72</v>
      </c>
      <c r="I643" s="77" t="s">
        <v>1143</v>
      </c>
      <c r="J643" s="78" t="s">
        <v>1144</v>
      </c>
      <c r="K643" s="79">
        <v>0</v>
      </c>
      <c r="L643" s="242">
        <v>51</v>
      </c>
      <c r="M643" s="79">
        <v>10</v>
      </c>
      <c r="N643" s="79">
        <v>0</v>
      </c>
      <c r="O643" s="37">
        <v>0</v>
      </c>
      <c r="P643" s="37">
        <v>0</v>
      </c>
      <c r="Q643" s="79">
        <v>0</v>
      </c>
      <c r="R643" s="80">
        <v>0.04</v>
      </c>
      <c r="S643" s="7" t="s">
        <v>115</v>
      </c>
      <c r="T643" s="257">
        <f t="shared" ref="T643:T706" si="20">SUM(K643:L643)</f>
        <v>51</v>
      </c>
      <c r="U643" s="257">
        <f t="shared" ref="U643:U706" si="21">SUM(M643:P643)</f>
        <v>10</v>
      </c>
      <c r="V643">
        <v>1</v>
      </c>
      <c r="W643">
        <v>1</v>
      </c>
    </row>
    <row r="644" spans="1:23" ht="45.6" x14ac:dyDescent="0.3">
      <c r="A644" s="220">
        <v>38583</v>
      </c>
      <c r="B644" s="220">
        <v>38583</v>
      </c>
      <c r="C644" s="6">
        <v>8</v>
      </c>
      <c r="D644" s="6">
        <v>1</v>
      </c>
      <c r="E644" s="76">
        <v>2005</v>
      </c>
      <c r="F644" s="15" t="s">
        <v>22</v>
      </c>
      <c r="G644" s="18" t="s">
        <v>6256</v>
      </c>
      <c r="H644" s="9" t="s">
        <v>31</v>
      </c>
      <c r="I644" s="77" t="s">
        <v>1145</v>
      </c>
      <c r="J644" s="78" t="s">
        <v>1146</v>
      </c>
      <c r="K644" s="79">
        <v>0</v>
      </c>
      <c r="L644" s="242">
        <v>75</v>
      </c>
      <c r="M644" s="79">
        <v>15</v>
      </c>
      <c r="N644" s="79">
        <v>0</v>
      </c>
      <c r="O644" s="37">
        <v>0</v>
      </c>
      <c r="P644" s="37">
        <v>0</v>
      </c>
      <c r="Q644" s="79">
        <v>0</v>
      </c>
      <c r="R644" s="80">
        <v>0.06</v>
      </c>
      <c r="S644" s="7" t="s">
        <v>115</v>
      </c>
      <c r="T644" s="257">
        <f t="shared" si="20"/>
        <v>75</v>
      </c>
      <c r="U644" s="257">
        <f t="shared" si="21"/>
        <v>15</v>
      </c>
      <c r="V644">
        <v>1</v>
      </c>
      <c r="W644">
        <v>1</v>
      </c>
    </row>
    <row r="645" spans="1:23" ht="79.8" x14ac:dyDescent="0.3">
      <c r="A645" s="220">
        <v>38583</v>
      </c>
      <c r="B645" s="220">
        <v>38583</v>
      </c>
      <c r="C645" s="6">
        <v>8</v>
      </c>
      <c r="D645" s="6">
        <v>1</v>
      </c>
      <c r="E645" s="76">
        <v>2005</v>
      </c>
      <c r="F645" s="15" t="s">
        <v>22</v>
      </c>
      <c r="G645" s="18" t="s">
        <v>6256</v>
      </c>
      <c r="H645" s="9" t="s">
        <v>174</v>
      </c>
      <c r="I645" s="77" t="s">
        <v>1147</v>
      </c>
      <c r="J645" s="81" t="s">
        <v>1148</v>
      </c>
      <c r="K645" s="79">
        <v>3</v>
      </c>
      <c r="L645" s="242">
        <v>428</v>
      </c>
      <c r="M645" s="79">
        <v>85</v>
      </c>
      <c r="N645" s="79">
        <v>0</v>
      </c>
      <c r="O645" s="37">
        <v>0</v>
      </c>
      <c r="P645" s="37">
        <v>0</v>
      </c>
      <c r="Q645" s="79">
        <v>0</v>
      </c>
      <c r="R645" s="80">
        <v>6.9249999999999998</v>
      </c>
      <c r="S645" s="7" t="s">
        <v>115</v>
      </c>
      <c r="T645" s="257">
        <f t="shared" si="20"/>
        <v>431</v>
      </c>
      <c r="U645" s="257">
        <f t="shared" si="21"/>
        <v>85</v>
      </c>
      <c r="V645">
        <v>1</v>
      </c>
      <c r="W645">
        <v>1</v>
      </c>
    </row>
    <row r="646" spans="1:23" ht="34.200000000000003" x14ac:dyDescent="0.3">
      <c r="A646" s="220">
        <v>38584</v>
      </c>
      <c r="B646" s="220">
        <v>38584</v>
      </c>
      <c r="C646" s="6">
        <v>8</v>
      </c>
      <c r="D646" s="6">
        <v>1</v>
      </c>
      <c r="E646" s="76">
        <v>2005</v>
      </c>
      <c r="F646" s="15" t="s">
        <v>22</v>
      </c>
      <c r="G646" s="16" t="s">
        <v>6256</v>
      </c>
      <c r="H646" s="9" t="s">
        <v>31</v>
      </c>
      <c r="I646" s="77" t="s">
        <v>681</v>
      </c>
      <c r="J646" s="78" t="s">
        <v>1149</v>
      </c>
      <c r="K646" s="79">
        <v>0</v>
      </c>
      <c r="L646" s="242">
        <v>1750</v>
      </c>
      <c r="M646" s="79">
        <v>350</v>
      </c>
      <c r="N646" s="79">
        <v>0</v>
      </c>
      <c r="O646" s="37">
        <v>0</v>
      </c>
      <c r="P646" s="37">
        <v>0</v>
      </c>
      <c r="Q646" s="79">
        <v>0</v>
      </c>
      <c r="R646" s="80">
        <v>1.42</v>
      </c>
      <c r="S646" s="7" t="s">
        <v>115</v>
      </c>
      <c r="T646" s="257">
        <f t="shared" si="20"/>
        <v>1750</v>
      </c>
      <c r="U646" s="257">
        <f t="shared" si="21"/>
        <v>350</v>
      </c>
      <c r="V646">
        <v>1</v>
      </c>
      <c r="W646">
        <v>1</v>
      </c>
    </row>
    <row r="647" spans="1:23" ht="34.200000000000003" x14ac:dyDescent="0.3">
      <c r="A647" s="220">
        <v>38585</v>
      </c>
      <c r="B647" s="220">
        <v>38585</v>
      </c>
      <c r="C647" s="6">
        <v>8</v>
      </c>
      <c r="D647" s="6">
        <v>1</v>
      </c>
      <c r="E647" s="76">
        <v>2005</v>
      </c>
      <c r="F647" s="15" t="s">
        <v>22</v>
      </c>
      <c r="G647" s="18" t="s">
        <v>6256</v>
      </c>
      <c r="H647" s="9" t="s">
        <v>61</v>
      </c>
      <c r="I647" s="77" t="s">
        <v>1150</v>
      </c>
      <c r="J647" s="81" t="s">
        <v>1151</v>
      </c>
      <c r="K647" s="79">
        <v>13</v>
      </c>
      <c r="L647" s="242">
        <v>141</v>
      </c>
      <c r="M647" s="79">
        <v>25</v>
      </c>
      <c r="N647" s="79">
        <v>0</v>
      </c>
      <c r="O647" s="37">
        <v>0</v>
      </c>
      <c r="P647" s="37">
        <v>0</v>
      </c>
      <c r="Q647" s="79">
        <v>0</v>
      </c>
      <c r="R647" s="80">
        <v>0.10100000000000001</v>
      </c>
      <c r="S647" s="7" t="s">
        <v>115</v>
      </c>
      <c r="T647" s="257">
        <f t="shared" si="20"/>
        <v>154</v>
      </c>
      <c r="U647" s="257">
        <f t="shared" si="21"/>
        <v>25</v>
      </c>
      <c r="V647">
        <v>1</v>
      </c>
      <c r="W647">
        <v>1</v>
      </c>
    </row>
    <row r="648" spans="1:23" ht="34.200000000000003" x14ac:dyDescent="0.3">
      <c r="A648" s="220">
        <v>38585</v>
      </c>
      <c r="B648" s="220">
        <v>38585</v>
      </c>
      <c r="C648" s="6">
        <v>8</v>
      </c>
      <c r="D648" s="6">
        <v>1</v>
      </c>
      <c r="E648" s="76">
        <v>2005</v>
      </c>
      <c r="F648" s="15" t="s">
        <v>22</v>
      </c>
      <c r="G648" s="82" t="s">
        <v>6256</v>
      </c>
      <c r="H648" s="9" t="s">
        <v>72</v>
      </c>
      <c r="I648" s="77" t="s">
        <v>1152</v>
      </c>
      <c r="J648" s="78" t="s">
        <v>1153</v>
      </c>
      <c r="K648" s="79">
        <v>3</v>
      </c>
      <c r="L648" s="242">
        <v>3</v>
      </c>
      <c r="M648" s="79">
        <v>0</v>
      </c>
      <c r="N648" s="79">
        <v>0</v>
      </c>
      <c r="O648" s="37">
        <v>0</v>
      </c>
      <c r="P648" s="37">
        <v>0</v>
      </c>
      <c r="Q648" s="79">
        <v>0</v>
      </c>
      <c r="R648" s="80">
        <v>0</v>
      </c>
      <c r="S648" s="7" t="s">
        <v>115</v>
      </c>
      <c r="T648" s="257">
        <f t="shared" si="20"/>
        <v>6</v>
      </c>
      <c r="U648" s="257">
        <f t="shared" si="21"/>
        <v>0</v>
      </c>
      <c r="V648">
        <v>1</v>
      </c>
      <c r="W648">
        <v>0</v>
      </c>
    </row>
    <row r="649" spans="1:23" ht="22.8" x14ac:dyDescent="0.3">
      <c r="A649" s="220">
        <v>38586</v>
      </c>
      <c r="B649" s="220">
        <v>38586</v>
      </c>
      <c r="C649" s="6">
        <v>8</v>
      </c>
      <c r="D649" s="6">
        <v>1</v>
      </c>
      <c r="E649" s="76">
        <v>2005</v>
      </c>
      <c r="F649" s="15" t="s">
        <v>22</v>
      </c>
      <c r="G649" s="18" t="s">
        <v>6256</v>
      </c>
      <c r="H649" s="9" t="s">
        <v>31</v>
      </c>
      <c r="I649" s="77" t="s">
        <v>1154</v>
      </c>
      <c r="J649" s="78" t="s">
        <v>1155</v>
      </c>
      <c r="K649" s="79">
        <v>0</v>
      </c>
      <c r="L649" s="242">
        <v>35</v>
      </c>
      <c r="M649" s="79">
        <v>7</v>
      </c>
      <c r="N649" s="79">
        <v>0</v>
      </c>
      <c r="O649" s="37">
        <v>0</v>
      </c>
      <c r="P649" s="37">
        <v>0</v>
      </c>
      <c r="Q649" s="79">
        <v>0</v>
      </c>
      <c r="R649" s="80">
        <v>6.0999999999999999E-2</v>
      </c>
      <c r="S649" s="7" t="s">
        <v>115</v>
      </c>
      <c r="T649" s="257">
        <f t="shared" si="20"/>
        <v>35</v>
      </c>
      <c r="U649" s="257">
        <f t="shared" si="21"/>
        <v>7</v>
      </c>
      <c r="V649">
        <v>1</v>
      </c>
      <c r="W649">
        <v>1</v>
      </c>
    </row>
    <row r="650" spans="1:23" ht="114" x14ac:dyDescent="0.3">
      <c r="A650" s="220">
        <v>38586</v>
      </c>
      <c r="B650" s="220">
        <v>38587</v>
      </c>
      <c r="C650" s="6">
        <v>8</v>
      </c>
      <c r="D650" s="6">
        <v>2</v>
      </c>
      <c r="E650" s="76">
        <v>2005</v>
      </c>
      <c r="F650" s="15" t="s">
        <v>22</v>
      </c>
      <c r="G650" s="82" t="s">
        <v>6254</v>
      </c>
      <c r="H650" s="9" t="s">
        <v>174</v>
      </c>
      <c r="I650" s="77" t="s">
        <v>1156</v>
      </c>
      <c r="J650" s="81" t="s">
        <v>1157</v>
      </c>
      <c r="K650" s="79">
        <v>0</v>
      </c>
      <c r="L650" s="242">
        <v>1635</v>
      </c>
      <c r="M650" s="79">
        <v>676</v>
      </c>
      <c r="N650" s="79">
        <v>0</v>
      </c>
      <c r="O650" s="37">
        <v>0</v>
      </c>
      <c r="P650" s="37">
        <v>0</v>
      </c>
      <c r="Q650" s="79">
        <v>0</v>
      </c>
      <c r="R650" s="80">
        <v>2.742</v>
      </c>
      <c r="S650" s="7" t="s">
        <v>115</v>
      </c>
      <c r="T650" s="257">
        <f t="shared" si="20"/>
        <v>1635</v>
      </c>
      <c r="U650" s="257">
        <f t="shared" si="21"/>
        <v>676</v>
      </c>
      <c r="V650">
        <v>1</v>
      </c>
      <c r="W650">
        <v>1</v>
      </c>
    </row>
    <row r="651" spans="1:23" ht="34.200000000000003" x14ac:dyDescent="0.3">
      <c r="A651" s="220">
        <v>38587</v>
      </c>
      <c r="B651" s="220">
        <v>38587</v>
      </c>
      <c r="C651" s="6">
        <v>8</v>
      </c>
      <c r="D651" s="6">
        <v>1</v>
      </c>
      <c r="E651" s="76">
        <v>2005</v>
      </c>
      <c r="F651" s="15" t="s">
        <v>22</v>
      </c>
      <c r="G651" s="16" t="s">
        <v>6256</v>
      </c>
      <c r="H651" s="9" t="s">
        <v>51</v>
      </c>
      <c r="I651" s="77" t="s">
        <v>271</v>
      </c>
      <c r="J651" s="78" t="s">
        <v>1158</v>
      </c>
      <c r="K651" s="79">
        <v>0</v>
      </c>
      <c r="L651" s="242">
        <v>250</v>
      </c>
      <c r="M651" s="79">
        <v>50</v>
      </c>
      <c r="N651" s="79">
        <v>0</v>
      </c>
      <c r="O651" s="37">
        <v>0</v>
      </c>
      <c r="P651" s="37">
        <v>0</v>
      </c>
      <c r="Q651" s="79">
        <v>0</v>
      </c>
      <c r="R651" s="80">
        <v>0</v>
      </c>
      <c r="S651" s="7" t="s">
        <v>115</v>
      </c>
      <c r="T651" s="257">
        <f t="shared" si="20"/>
        <v>250</v>
      </c>
      <c r="U651" s="257">
        <f t="shared" si="21"/>
        <v>50</v>
      </c>
      <c r="V651">
        <v>1</v>
      </c>
      <c r="W651">
        <v>1</v>
      </c>
    </row>
    <row r="652" spans="1:23" ht="34.200000000000003" x14ac:dyDescent="0.3">
      <c r="A652" s="220">
        <v>38588</v>
      </c>
      <c r="B652" s="220">
        <v>38588</v>
      </c>
      <c r="C652" s="6">
        <v>8</v>
      </c>
      <c r="D652" s="6">
        <v>1</v>
      </c>
      <c r="E652" s="76">
        <v>2005</v>
      </c>
      <c r="F652" s="15" t="s">
        <v>22</v>
      </c>
      <c r="G652" s="16" t="s">
        <v>6256</v>
      </c>
      <c r="H652" s="9" t="s">
        <v>31</v>
      </c>
      <c r="I652" s="77" t="s">
        <v>1159</v>
      </c>
      <c r="J652" s="78" t="s">
        <v>1160</v>
      </c>
      <c r="K652" s="79">
        <v>0</v>
      </c>
      <c r="L652" s="242">
        <v>34</v>
      </c>
      <c r="M652" s="79">
        <v>18</v>
      </c>
      <c r="N652" s="79">
        <v>0</v>
      </c>
      <c r="O652" s="37">
        <v>0</v>
      </c>
      <c r="P652" s="37">
        <v>0</v>
      </c>
      <c r="Q652" s="79">
        <v>0</v>
      </c>
      <c r="R652" s="80">
        <v>0.18099999999999999</v>
      </c>
      <c r="S652" s="7" t="s">
        <v>115</v>
      </c>
      <c r="T652" s="257">
        <f t="shared" si="20"/>
        <v>34</v>
      </c>
      <c r="U652" s="257">
        <f t="shared" si="21"/>
        <v>18</v>
      </c>
      <c r="V652">
        <v>1</v>
      </c>
      <c r="W652">
        <v>1</v>
      </c>
    </row>
    <row r="653" spans="1:23" ht="34.200000000000003" x14ac:dyDescent="0.3">
      <c r="A653" s="220">
        <v>38588</v>
      </c>
      <c r="B653" s="220">
        <v>38588</v>
      </c>
      <c r="C653" s="6">
        <v>8</v>
      </c>
      <c r="D653" s="6">
        <v>1</v>
      </c>
      <c r="E653" s="76">
        <v>2005</v>
      </c>
      <c r="F653" s="15" t="s">
        <v>22</v>
      </c>
      <c r="G653" s="18" t="s">
        <v>6256</v>
      </c>
      <c r="H653" s="9" t="s">
        <v>31</v>
      </c>
      <c r="I653" s="77" t="s">
        <v>1161</v>
      </c>
      <c r="J653" s="78" t="s">
        <v>1162</v>
      </c>
      <c r="K653" s="79">
        <v>0</v>
      </c>
      <c r="L653" s="242">
        <v>580</v>
      </c>
      <c r="M653" s="79">
        <v>116</v>
      </c>
      <c r="N653" s="79">
        <v>1</v>
      </c>
      <c r="O653" s="37">
        <v>0</v>
      </c>
      <c r="P653" s="37">
        <v>0</v>
      </c>
      <c r="Q653" s="79">
        <v>0</v>
      </c>
      <c r="R653" s="80">
        <v>0.51</v>
      </c>
      <c r="S653" s="7" t="s">
        <v>115</v>
      </c>
      <c r="T653" s="257">
        <f t="shared" si="20"/>
        <v>580</v>
      </c>
      <c r="U653" s="257">
        <f t="shared" si="21"/>
        <v>117</v>
      </c>
      <c r="V653">
        <v>1</v>
      </c>
      <c r="W653">
        <v>1</v>
      </c>
    </row>
    <row r="654" spans="1:23" ht="68.400000000000006" x14ac:dyDescent="0.3">
      <c r="A654" s="220">
        <v>38588</v>
      </c>
      <c r="B654" s="220">
        <v>38588</v>
      </c>
      <c r="C654" s="6">
        <v>8</v>
      </c>
      <c r="D654" s="6">
        <v>1</v>
      </c>
      <c r="E654" s="76">
        <v>2005</v>
      </c>
      <c r="F654" s="15" t="s">
        <v>22</v>
      </c>
      <c r="G654" s="16" t="s">
        <v>6256</v>
      </c>
      <c r="H654" s="9" t="s">
        <v>52</v>
      </c>
      <c r="I654" s="77" t="s">
        <v>1163</v>
      </c>
      <c r="J654" s="91" t="s">
        <v>1164</v>
      </c>
      <c r="K654" s="79">
        <v>6</v>
      </c>
      <c r="L654" s="242">
        <v>1039</v>
      </c>
      <c r="M654" s="79">
        <v>200</v>
      </c>
      <c r="N654" s="79">
        <v>0</v>
      </c>
      <c r="O654" s="37">
        <v>0</v>
      </c>
      <c r="P654" s="37">
        <v>0</v>
      </c>
      <c r="Q654" s="79">
        <v>0</v>
      </c>
      <c r="R654" s="80">
        <v>0.81100000000000005</v>
      </c>
      <c r="S654" s="7" t="s">
        <v>115</v>
      </c>
      <c r="T654" s="257">
        <f t="shared" si="20"/>
        <v>1045</v>
      </c>
      <c r="U654" s="257">
        <f t="shared" si="21"/>
        <v>200</v>
      </c>
      <c r="V654">
        <v>1</v>
      </c>
      <c r="W654">
        <v>1</v>
      </c>
    </row>
    <row r="655" spans="1:23" ht="22.8" x14ac:dyDescent="0.3">
      <c r="A655" s="220">
        <v>38592</v>
      </c>
      <c r="B655" s="220">
        <v>38592</v>
      </c>
      <c r="C655" s="6">
        <v>8</v>
      </c>
      <c r="D655" s="6">
        <v>1</v>
      </c>
      <c r="E655" s="76">
        <v>2005</v>
      </c>
      <c r="F655" s="15" t="s">
        <v>22</v>
      </c>
      <c r="G655" s="16" t="s">
        <v>6256</v>
      </c>
      <c r="H655" s="9" t="s">
        <v>31</v>
      </c>
      <c r="I655" s="77" t="s">
        <v>1165</v>
      </c>
      <c r="J655" s="90" t="s">
        <v>1166</v>
      </c>
      <c r="K655" s="79">
        <v>0</v>
      </c>
      <c r="L655" s="242">
        <v>100</v>
      </c>
      <c r="M655" s="79">
        <v>20</v>
      </c>
      <c r="N655" s="79">
        <v>0</v>
      </c>
      <c r="O655" s="37">
        <v>0</v>
      </c>
      <c r="P655" s="37">
        <v>0</v>
      </c>
      <c r="Q655" s="79">
        <v>0</v>
      </c>
      <c r="R655" s="80">
        <v>8.1000000000000003E-2</v>
      </c>
      <c r="S655" s="7" t="s">
        <v>115</v>
      </c>
      <c r="T655" s="257">
        <f t="shared" si="20"/>
        <v>100</v>
      </c>
      <c r="U655" s="257">
        <f t="shared" si="21"/>
        <v>20</v>
      </c>
      <c r="V655">
        <v>1</v>
      </c>
      <c r="W655">
        <v>1</v>
      </c>
    </row>
    <row r="656" spans="1:23" ht="34.200000000000003" x14ac:dyDescent="0.3">
      <c r="A656" s="220">
        <v>38593</v>
      </c>
      <c r="B656" s="220">
        <v>38593</v>
      </c>
      <c r="C656" s="6">
        <v>8</v>
      </c>
      <c r="D656" s="6">
        <v>1</v>
      </c>
      <c r="E656" s="76">
        <v>2005</v>
      </c>
      <c r="F656" s="15" t="s">
        <v>22</v>
      </c>
      <c r="G656" s="82" t="s">
        <v>6256</v>
      </c>
      <c r="H656" s="9" t="s">
        <v>88</v>
      </c>
      <c r="I656" s="77" t="s">
        <v>136</v>
      </c>
      <c r="J656" s="90" t="s">
        <v>1167</v>
      </c>
      <c r="K656" s="79">
        <v>1</v>
      </c>
      <c r="L656" s="242">
        <v>1</v>
      </c>
      <c r="M656" s="79">
        <v>0</v>
      </c>
      <c r="N656" s="79">
        <v>0</v>
      </c>
      <c r="O656" s="37">
        <v>0</v>
      </c>
      <c r="P656" s="37">
        <v>0</v>
      </c>
      <c r="Q656" s="79">
        <v>0</v>
      </c>
      <c r="R656" s="80">
        <v>0</v>
      </c>
      <c r="S656" s="7" t="s">
        <v>115</v>
      </c>
      <c r="T656" s="257">
        <f t="shared" si="20"/>
        <v>2</v>
      </c>
      <c r="U656" s="257">
        <f t="shared" si="21"/>
        <v>0</v>
      </c>
      <c r="V656">
        <v>1</v>
      </c>
      <c r="W656">
        <v>0</v>
      </c>
    </row>
    <row r="657" spans="1:23" ht="22.8" x14ac:dyDescent="0.3">
      <c r="A657" s="220">
        <v>38596</v>
      </c>
      <c r="B657" s="220">
        <v>38596</v>
      </c>
      <c r="C657" s="6">
        <v>9</v>
      </c>
      <c r="D657" s="6">
        <v>1</v>
      </c>
      <c r="E657" s="76">
        <v>2005</v>
      </c>
      <c r="F657" s="15" t="s">
        <v>22</v>
      </c>
      <c r="G657" s="18" t="s">
        <v>6256</v>
      </c>
      <c r="H657" s="9" t="s">
        <v>74</v>
      </c>
      <c r="I657" s="77" t="s">
        <v>1168</v>
      </c>
      <c r="J657" s="90" t="s">
        <v>1169</v>
      </c>
      <c r="K657" s="79">
        <v>0</v>
      </c>
      <c r="L657" s="242">
        <v>575</v>
      </c>
      <c r="M657" s="79">
        <v>115</v>
      </c>
      <c r="N657" s="79">
        <v>0</v>
      </c>
      <c r="O657" s="37">
        <v>0</v>
      </c>
      <c r="P657" s="37">
        <v>0</v>
      </c>
      <c r="Q657" s="79">
        <v>0</v>
      </c>
      <c r="R657" s="80">
        <v>0.46600000000000003</v>
      </c>
      <c r="S657" s="7" t="s">
        <v>115</v>
      </c>
      <c r="T657" s="257">
        <f t="shared" si="20"/>
        <v>575</v>
      </c>
      <c r="U657" s="257">
        <f t="shared" si="21"/>
        <v>115</v>
      </c>
      <c r="V657">
        <v>1</v>
      </c>
      <c r="W657">
        <v>1</v>
      </c>
    </row>
    <row r="658" spans="1:23" ht="45.6" x14ac:dyDescent="0.3">
      <c r="A658" s="220">
        <v>38596</v>
      </c>
      <c r="B658" s="220">
        <v>38596</v>
      </c>
      <c r="C658" s="6">
        <v>9</v>
      </c>
      <c r="D658" s="6">
        <v>1</v>
      </c>
      <c r="E658" s="76">
        <v>2005</v>
      </c>
      <c r="F658" s="15" t="s">
        <v>22</v>
      </c>
      <c r="G658" s="16" t="s">
        <v>6256</v>
      </c>
      <c r="H658" s="9" t="s">
        <v>66</v>
      </c>
      <c r="I658" s="53" t="s">
        <v>464</v>
      </c>
      <c r="J658" s="83" t="s">
        <v>1170</v>
      </c>
      <c r="K658" s="79">
        <v>0</v>
      </c>
      <c r="L658" s="242">
        <v>2250</v>
      </c>
      <c r="M658" s="79">
        <v>450</v>
      </c>
      <c r="N658" s="79">
        <v>0</v>
      </c>
      <c r="O658" s="37">
        <v>0</v>
      </c>
      <c r="P658" s="37">
        <v>0</v>
      </c>
      <c r="Q658" s="79">
        <v>0</v>
      </c>
      <c r="R658" s="80">
        <v>1.825</v>
      </c>
      <c r="S658" s="7" t="s">
        <v>115</v>
      </c>
      <c r="T658" s="257">
        <f t="shared" si="20"/>
        <v>2250</v>
      </c>
      <c r="U658" s="257">
        <f t="shared" si="21"/>
        <v>450</v>
      </c>
      <c r="V658">
        <v>1</v>
      </c>
      <c r="W658">
        <v>1</v>
      </c>
    </row>
    <row r="659" spans="1:23" ht="34.200000000000003" x14ac:dyDescent="0.3">
      <c r="A659" s="220">
        <v>38597</v>
      </c>
      <c r="B659" s="220">
        <v>38597</v>
      </c>
      <c r="C659" s="6">
        <v>9</v>
      </c>
      <c r="D659" s="6">
        <v>1</v>
      </c>
      <c r="E659" s="76">
        <v>2005</v>
      </c>
      <c r="F659" s="15" t="s">
        <v>22</v>
      </c>
      <c r="G659" s="16" t="s">
        <v>6256</v>
      </c>
      <c r="H659" s="9" t="s">
        <v>112</v>
      </c>
      <c r="I659" s="77" t="s">
        <v>1171</v>
      </c>
      <c r="J659" s="90" t="s">
        <v>1172</v>
      </c>
      <c r="K659" s="79">
        <v>0</v>
      </c>
      <c r="L659" s="242">
        <v>200</v>
      </c>
      <c r="M659" s="79">
        <v>40</v>
      </c>
      <c r="N659" s="79">
        <v>0</v>
      </c>
      <c r="O659" s="37">
        <v>0</v>
      </c>
      <c r="P659" s="37">
        <v>0</v>
      </c>
      <c r="Q659" s="79">
        <v>40</v>
      </c>
      <c r="R659" s="80">
        <v>0.40200000000000002</v>
      </c>
      <c r="S659" s="7" t="s">
        <v>115</v>
      </c>
      <c r="T659" s="257">
        <f t="shared" si="20"/>
        <v>200</v>
      </c>
      <c r="U659" s="257">
        <f t="shared" si="21"/>
        <v>40</v>
      </c>
      <c r="V659">
        <v>1</v>
      </c>
      <c r="W659">
        <v>1</v>
      </c>
    </row>
    <row r="660" spans="1:23" ht="45.6" x14ac:dyDescent="0.3">
      <c r="A660" s="220">
        <v>38598</v>
      </c>
      <c r="B660" s="220">
        <v>38598</v>
      </c>
      <c r="C660" s="6">
        <v>9</v>
      </c>
      <c r="D660" s="6">
        <v>1</v>
      </c>
      <c r="E660" s="76">
        <v>2005</v>
      </c>
      <c r="F660" s="15" t="s">
        <v>22</v>
      </c>
      <c r="G660" s="18" t="s">
        <v>6256</v>
      </c>
      <c r="H660" s="9" t="s">
        <v>52</v>
      </c>
      <c r="I660" s="77" t="s">
        <v>126</v>
      </c>
      <c r="J660" s="90" t="s">
        <v>1173</v>
      </c>
      <c r="K660" s="79">
        <v>0</v>
      </c>
      <c r="L660" s="242">
        <v>0</v>
      </c>
      <c r="M660" s="79">
        <v>0</v>
      </c>
      <c r="N660" s="79">
        <v>0</v>
      </c>
      <c r="O660" s="37">
        <v>0</v>
      </c>
      <c r="P660" s="37">
        <v>0</v>
      </c>
      <c r="Q660" s="79">
        <v>0</v>
      </c>
      <c r="R660" s="80">
        <v>0</v>
      </c>
      <c r="S660" s="7" t="s">
        <v>115</v>
      </c>
      <c r="T660" s="257">
        <f t="shared" si="20"/>
        <v>0</v>
      </c>
      <c r="U660" s="257">
        <f t="shared" si="21"/>
        <v>0</v>
      </c>
      <c r="V660">
        <v>0</v>
      </c>
      <c r="W660">
        <v>0</v>
      </c>
    </row>
    <row r="661" spans="1:23" ht="34.200000000000003" x14ac:dyDescent="0.3">
      <c r="A661" s="220">
        <v>38607</v>
      </c>
      <c r="B661" s="220">
        <v>38607</v>
      </c>
      <c r="C661" s="6">
        <v>9</v>
      </c>
      <c r="D661" s="6">
        <v>1</v>
      </c>
      <c r="E661" s="76">
        <v>2005</v>
      </c>
      <c r="F661" s="15" t="s">
        <v>22</v>
      </c>
      <c r="G661" s="16" t="s">
        <v>6256</v>
      </c>
      <c r="H661" s="9" t="s">
        <v>46</v>
      </c>
      <c r="I661" s="77" t="s">
        <v>423</v>
      </c>
      <c r="J661" s="90" t="s">
        <v>1174</v>
      </c>
      <c r="K661" s="79">
        <v>0</v>
      </c>
      <c r="L661" s="242">
        <v>305</v>
      </c>
      <c r="M661" s="79">
        <v>61</v>
      </c>
      <c r="N661" s="79">
        <v>0</v>
      </c>
      <c r="O661" s="37">
        <v>0</v>
      </c>
      <c r="P661" s="37">
        <v>0</v>
      </c>
      <c r="Q661" s="79">
        <v>0</v>
      </c>
      <c r="R661" s="80">
        <v>0.247</v>
      </c>
      <c r="S661" s="7" t="s">
        <v>115</v>
      </c>
      <c r="T661" s="257">
        <f t="shared" si="20"/>
        <v>305</v>
      </c>
      <c r="U661" s="257">
        <f t="shared" si="21"/>
        <v>61</v>
      </c>
      <c r="V661">
        <v>1</v>
      </c>
      <c r="W661">
        <v>1</v>
      </c>
    </row>
    <row r="662" spans="1:23" ht="34.200000000000003" x14ac:dyDescent="0.3">
      <c r="A662" s="220">
        <v>38608</v>
      </c>
      <c r="B662" s="220">
        <v>38608</v>
      </c>
      <c r="C662" s="6">
        <v>9</v>
      </c>
      <c r="D662" s="6">
        <v>1</v>
      </c>
      <c r="E662" s="76">
        <v>2005</v>
      </c>
      <c r="F662" s="15" t="s">
        <v>22</v>
      </c>
      <c r="G662" s="16" t="s">
        <v>6256</v>
      </c>
      <c r="H662" s="9" t="s">
        <v>84</v>
      </c>
      <c r="I662" s="77" t="s">
        <v>1175</v>
      </c>
      <c r="J662" s="90" t="s">
        <v>1176</v>
      </c>
      <c r="K662" s="79">
        <v>0</v>
      </c>
      <c r="L662" s="242">
        <v>40</v>
      </c>
      <c r="M662" s="79">
        <v>8</v>
      </c>
      <c r="N662" s="79">
        <v>1</v>
      </c>
      <c r="O662" s="37">
        <v>0</v>
      </c>
      <c r="P662" s="37">
        <v>0</v>
      </c>
      <c r="Q662" s="79">
        <v>0</v>
      </c>
      <c r="R662" s="80">
        <v>9.5000000000000001E-2</v>
      </c>
      <c r="S662" s="7" t="s">
        <v>115</v>
      </c>
      <c r="T662" s="257">
        <f t="shared" si="20"/>
        <v>40</v>
      </c>
      <c r="U662" s="257">
        <f t="shared" si="21"/>
        <v>9</v>
      </c>
      <c r="V662">
        <v>1</v>
      </c>
      <c r="W662">
        <v>1</v>
      </c>
    </row>
    <row r="663" spans="1:23" ht="34.200000000000003" x14ac:dyDescent="0.3">
      <c r="A663" s="220">
        <v>38617</v>
      </c>
      <c r="B663" s="220">
        <v>38617</v>
      </c>
      <c r="C663" s="6">
        <v>9</v>
      </c>
      <c r="D663" s="6">
        <v>1</v>
      </c>
      <c r="E663" s="76">
        <v>2005</v>
      </c>
      <c r="F663" s="15" t="s">
        <v>22</v>
      </c>
      <c r="G663" s="18" t="s">
        <v>6256</v>
      </c>
      <c r="H663" s="9" t="s">
        <v>31</v>
      </c>
      <c r="I663" s="77" t="s">
        <v>1177</v>
      </c>
      <c r="J663" s="90" t="s">
        <v>1178</v>
      </c>
      <c r="K663" s="79">
        <v>0</v>
      </c>
      <c r="L663" s="242">
        <v>445</v>
      </c>
      <c r="M663" s="79">
        <v>89</v>
      </c>
      <c r="N663" s="79">
        <v>0</v>
      </c>
      <c r="O663" s="37">
        <v>0</v>
      </c>
      <c r="P663" s="37">
        <v>0</v>
      </c>
      <c r="Q663" s="79">
        <v>0</v>
      </c>
      <c r="R663" s="80">
        <v>0.36099999999999999</v>
      </c>
      <c r="S663" s="7" t="s">
        <v>115</v>
      </c>
      <c r="T663" s="257">
        <f t="shared" si="20"/>
        <v>445</v>
      </c>
      <c r="U663" s="257">
        <f t="shared" si="21"/>
        <v>89</v>
      </c>
      <c r="V663">
        <v>1</v>
      </c>
      <c r="W663">
        <v>1</v>
      </c>
    </row>
    <row r="664" spans="1:23" ht="45.6" x14ac:dyDescent="0.3">
      <c r="A664" s="211">
        <v>37171</v>
      </c>
      <c r="B664" s="211">
        <v>37171</v>
      </c>
      <c r="C664" s="6">
        <v>10</v>
      </c>
      <c r="D664" s="6">
        <v>1</v>
      </c>
      <c r="E664" s="6">
        <v>2001</v>
      </c>
      <c r="F664" s="7" t="s">
        <v>17</v>
      </c>
      <c r="G664" s="16" t="s">
        <v>6260</v>
      </c>
      <c r="H664" s="9" t="s">
        <v>48</v>
      </c>
      <c r="I664" s="10" t="s">
        <v>1179</v>
      </c>
      <c r="J664" s="11" t="s">
        <v>1180</v>
      </c>
      <c r="K664" s="12">
        <v>0</v>
      </c>
      <c r="L664" s="233">
        <v>3000</v>
      </c>
      <c r="M664" s="13">
        <v>2600</v>
      </c>
      <c r="N664" s="13">
        <v>0</v>
      </c>
      <c r="O664" s="13">
        <v>0</v>
      </c>
      <c r="P664" s="13">
        <v>0</v>
      </c>
      <c r="Q664" s="13">
        <v>0</v>
      </c>
      <c r="R664" s="26">
        <v>29.25</v>
      </c>
      <c r="S664" s="6" t="s">
        <v>21</v>
      </c>
      <c r="T664" s="257">
        <f t="shared" si="20"/>
        <v>3000</v>
      </c>
      <c r="U664" s="257">
        <f t="shared" si="21"/>
        <v>2600</v>
      </c>
      <c r="V664">
        <v>1</v>
      </c>
      <c r="W664">
        <v>2</v>
      </c>
    </row>
    <row r="665" spans="1:23" ht="34.200000000000003" x14ac:dyDescent="0.3">
      <c r="A665" s="220">
        <v>38619</v>
      </c>
      <c r="B665" s="220">
        <v>38619</v>
      </c>
      <c r="C665" s="6">
        <v>9</v>
      </c>
      <c r="D665" s="6">
        <v>1</v>
      </c>
      <c r="E665" s="76">
        <v>2005</v>
      </c>
      <c r="F665" s="15" t="s">
        <v>22</v>
      </c>
      <c r="G665" s="18" t="s">
        <v>6256</v>
      </c>
      <c r="H665" s="9" t="s">
        <v>61</v>
      </c>
      <c r="I665" s="77" t="s">
        <v>1181</v>
      </c>
      <c r="J665" s="90" t="s">
        <v>1182</v>
      </c>
      <c r="K665" s="79">
        <v>0</v>
      </c>
      <c r="L665" s="242">
        <v>45</v>
      </c>
      <c r="M665" s="79">
        <v>9</v>
      </c>
      <c r="N665" s="79">
        <v>0</v>
      </c>
      <c r="O665" s="37">
        <v>0</v>
      </c>
      <c r="P665" s="37">
        <v>0</v>
      </c>
      <c r="Q665" s="79">
        <v>0</v>
      </c>
      <c r="R665" s="80">
        <v>3.6999999999999998E-2</v>
      </c>
      <c r="S665" s="7" t="s">
        <v>115</v>
      </c>
      <c r="T665" s="257">
        <f t="shared" si="20"/>
        <v>45</v>
      </c>
      <c r="U665" s="257">
        <f t="shared" si="21"/>
        <v>9</v>
      </c>
      <c r="V665">
        <v>1</v>
      </c>
      <c r="W665">
        <v>1</v>
      </c>
    </row>
    <row r="666" spans="1:23" ht="57" x14ac:dyDescent="0.3">
      <c r="A666" s="220">
        <v>38619</v>
      </c>
      <c r="B666" s="220">
        <v>38619</v>
      </c>
      <c r="C666" s="6">
        <v>9</v>
      </c>
      <c r="D666" s="6">
        <v>1</v>
      </c>
      <c r="E666" s="76">
        <v>2005</v>
      </c>
      <c r="F666" s="15" t="s">
        <v>22</v>
      </c>
      <c r="G666" s="18" t="s">
        <v>6256</v>
      </c>
      <c r="H666" s="9" t="s">
        <v>31</v>
      </c>
      <c r="I666" s="77" t="s">
        <v>1183</v>
      </c>
      <c r="J666" s="90" t="s">
        <v>1184</v>
      </c>
      <c r="K666" s="79">
        <v>0</v>
      </c>
      <c r="L666" s="242">
        <v>617</v>
      </c>
      <c r="M666" s="79">
        <v>0</v>
      </c>
      <c r="N666" s="79">
        <v>0</v>
      </c>
      <c r="O666" s="37">
        <v>0</v>
      </c>
      <c r="P666" s="37">
        <v>0</v>
      </c>
      <c r="Q666" s="79">
        <v>0</v>
      </c>
      <c r="R666" s="80">
        <v>3.29</v>
      </c>
      <c r="S666" s="7" t="s">
        <v>115</v>
      </c>
      <c r="T666" s="257">
        <f t="shared" si="20"/>
        <v>617</v>
      </c>
      <c r="U666" s="257">
        <f t="shared" si="21"/>
        <v>0</v>
      </c>
      <c r="V666">
        <v>1</v>
      </c>
      <c r="W666">
        <v>0</v>
      </c>
    </row>
    <row r="667" spans="1:23" ht="39.6" x14ac:dyDescent="0.3">
      <c r="A667" s="219">
        <v>40212</v>
      </c>
      <c r="B667" s="219">
        <v>40212</v>
      </c>
      <c r="C667" s="6">
        <v>2</v>
      </c>
      <c r="D667" s="6">
        <v>1</v>
      </c>
      <c r="E667" s="73">
        <v>2010</v>
      </c>
      <c r="F667" s="15" t="s">
        <v>22</v>
      </c>
      <c r="G667" s="18" t="s">
        <v>6256</v>
      </c>
      <c r="H667" s="9" t="s">
        <v>48</v>
      </c>
      <c r="I667" s="74" t="s">
        <v>1185</v>
      </c>
      <c r="J667" s="74" t="s">
        <v>996</v>
      </c>
      <c r="K667" s="75">
        <v>0</v>
      </c>
      <c r="L667" s="241">
        <v>1290</v>
      </c>
      <c r="M667" s="75">
        <v>258</v>
      </c>
      <c r="N667" s="75">
        <v>0</v>
      </c>
      <c r="O667" s="75">
        <v>0</v>
      </c>
      <c r="P667" s="75">
        <v>0</v>
      </c>
      <c r="Q667" s="75">
        <v>0</v>
      </c>
      <c r="R667" s="61">
        <v>28.12</v>
      </c>
      <c r="S667" s="73" t="s">
        <v>149</v>
      </c>
      <c r="T667" s="257">
        <f t="shared" si="20"/>
        <v>1290</v>
      </c>
      <c r="U667" s="257">
        <f t="shared" si="21"/>
        <v>258</v>
      </c>
      <c r="V667">
        <v>1</v>
      </c>
      <c r="W667">
        <v>1</v>
      </c>
    </row>
    <row r="668" spans="1:23" ht="45.6" x14ac:dyDescent="0.3">
      <c r="A668" s="129">
        <v>39930</v>
      </c>
      <c r="B668" s="129">
        <v>39930</v>
      </c>
      <c r="C668" s="6">
        <v>4</v>
      </c>
      <c r="D668" s="6">
        <v>1</v>
      </c>
      <c r="E668" s="19">
        <v>2009</v>
      </c>
      <c r="F668" s="7" t="s">
        <v>17</v>
      </c>
      <c r="G668" s="16" t="s">
        <v>6260</v>
      </c>
      <c r="H668" s="9" t="s">
        <v>48</v>
      </c>
      <c r="I668" s="17" t="s">
        <v>1186</v>
      </c>
      <c r="J668" s="17" t="s">
        <v>1187</v>
      </c>
      <c r="K668" s="23">
        <v>1</v>
      </c>
      <c r="L668" s="234">
        <f>((M668*5))*1</f>
        <v>8055</v>
      </c>
      <c r="M668" s="23">
        <v>1611</v>
      </c>
      <c r="N668" s="23">
        <v>13</v>
      </c>
      <c r="O668" s="23">
        <v>0</v>
      </c>
      <c r="P668" s="23">
        <v>0</v>
      </c>
      <c r="Q668" s="92">
        <v>0</v>
      </c>
      <c r="R668" s="93">
        <v>26.52</v>
      </c>
      <c r="S668" s="19" t="s">
        <v>149</v>
      </c>
      <c r="T668" s="257">
        <f t="shared" si="20"/>
        <v>8056</v>
      </c>
      <c r="U668" s="257">
        <f t="shared" si="21"/>
        <v>1624</v>
      </c>
      <c r="V668">
        <v>1</v>
      </c>
      <c r="W668">
        <v>2</v>
      </c>
    </row>
    <row r="669" spans="1:23" ht="45.6" x14ac:dyDescent="0.3">
      <c r="A669" s="220">
        <v>38623</v>
      </c>
      <c r="B669" s="220">
        <v>38623</v>
      </c>
      <c r="C669" s="6">
        <v>9</v>
      </c>
      <c r="D669" s="6">
        <v>1</v>
      </c>
      <c r="E669" s="76">
        <v>2005</v>
      </c>
      <c r="F669" s="15" t="s">
        <v>22</v>
      </c>
      <c r="G669" s="18" t="s">
        <v>6256</v>
      </c>
      <c r="H669" s="9" t="s">
        <v>61</v>
      </c>
      <c r="I669" s="77" t="s">
        <v>1188</v>
      </c>
      <c r="J669" s="91" t="s">
        <v>1189</v>
      </c>
      <c r="K669" s="79">
        <v>0</v>
      </c>
      <c r="L669" s="242">
        <v>4200</v>
      </c>
      <c r="M669" s="79">
        <v>800</v>
      </c>
      <c r="N669" s="79">
        <v>0</v>
      </c>
      <c r="O669" s="37">
        <v>0</v>
      </c>
      <c r="P669" s="37">
        <v>0</v>
      </c>
      <c r="Q669" s="79">
        <v>0</v>
      </c>
      <c r="R669" s="80">
        <v>9.8249999999999993</v>
      </c>
      <c r="S669" s="7" t="s">
        <v>115</v>
      </c>
      <c r="T669" s="257">
        <f t="shared" si="20"/>
        <v>4200</v>
      </c>
      <c r="U669" s="257">
        <f t="shared" si="21"/>
        <v>800</v>
      </c>
      <c r="V669">
        <v>1</v>
      </c>
      <c r="W669">
        <v>1</v>
      </c>
    </row>
    <row r="670" spans="1:23" ht="57" x14ac:dyDescent="0.3">
      <c r="A670" s="220">
        <v>38629</v>
      </c>
      <c r="B670" s="220">
        <v>38629</v>
      </c>
      <c r="C670" s="6">
        <v>10</v>
      </c>
      <c r="D670" s="6">
        <v>1</v>
      </c>
      <c r="E670" s="76">
        <v>2005</v>
      </c>
      <c r="F670" s="15" t="s">
        <v>22</v>
      </c>
      <c r="G670" s="16" t="s">
        <v>6254</v>
      </c>
      <c r="H670" s="9" t="s">
        <v>31</v>
      </c>
      <c r="I670" s="77" t="s">
        <v>1190</v>
      </c>
      <c r="J670" s="91" t="s">
        <v>1191</v>
      </c>
      <c r="K670" s="79">
        <v>86</v>
      </c>
      <c r="L670" s="242">
        <f>(M670*5)*1</f>
        <v>162570</v>
      </c>
      <c r="M670" s="79">
        <v>32514</v>
      </c>
      <c r="N670" s="79">
        <v>305</v>
      </c>
      <c r="O670" s="37">
        <v>114</v>
      </c>
      <c r="P670" s="37">
        <v>2260</v>
      </c>
      <c r="Q670" s="79">
        <v>208064.6</v>
      </c>
      <c r="R670" s="80">
        <v>15031.5</v>
      </c>
      <c r="S670" s="7" t="s">
        <v>21</v>
      </c>
      <c r="T670" s="257">
        <f t="shared" si="20"/>
        <v>162656</v>
      </c>
      <c r="U670" s="257">
        <f t="shared" si="21"/>
        <v>35193</v>
      </c>
      <c r="V670">
        <v>3</v>
      </c>
      <c r="W670">
        <v>4</v>
      </c>
    </row>
    <row r="671" spans="1:23" ht="91.2" x14ac:dyDescent="0.3">
      <c r="A671" s="220">
        <v>38629</v>
      </c>
      <c r="B671" s="220">
        <v>38629</v>
      </c>
      <c r="C671" s="6">
        <v>10</v>
      </c>
      <c r="D671" s="6">
        <v>1</v>
      </c>
      <c r="E671" s="76">
        <v>2005</v>
      </c>
      <c r="F671" s="15" t="s">
        <v>22</v>
      </c>
      <c r="G671" s="16" t="s">
        <v>6254</v>
      </c>
      <c r="H671" s="9" t="s">
        <v>61</v>
      </c>
      <c r="I671" s="77" t="s">
        <v>1109</v>
      </c>
      <c r="J671" s="91" t="s">
        <v>1192</v>
      </c>
      <c r="K671" s="79">
        <v>5</v>
      </c>
      <c r="L671" s="242">
        <f>(M671*5)*1</f>
        <v>37405</v>
      </c>
      <c r="M671" s="79">
        <v>7481</v>
      </c>
      <c r="N671" s="79">
        <v>441</v>
      </c>
      <c r="O671" s="37">
        <v>157</v>
      </c>
      <c r="P671" s="37">
        <v>0</v>
      </c>
      <c r="Q671" s="79">
        <v>32155.1</v>
      </c>
      <c r="R671" s="80">
        <v>1757</v>
      </c>
      <c r="S671" s="7" t="s">
        <v>115</v>
      </c>
      <c r="T671" s="257">
        <f t="shared" si="20"/>
        <v>37410</v>
      </c>
      <c r="U671" s="257">
        <f t="shared" si="21"/>
        <v>8079</v>
      </c>
      <c r="V671">
        <v>2</v>
      </c>
      <c r="W671">
        <v>2</v>
      </c>
    </row>
    <row r="672" spans="1:23" ht="45.6" x14ac:dyDescent="0.3">
      <c r="A672" s="220">
        <v>38629</v>
      </c>
      <c r="B672" s="220">
        <v>38629</v>
      </c>
      <c r="C672" s="6">
        <v>10</v>
      </c>
      <c r="D672" s="6">
        <v>1</v>
      </c>
      <c r="E672" s="76">
        <v>2005</v>
      </c>
      <c r="F672" s="15" t="s">
        <v>22</v>
      </c>
      <c r="G672" s="16" t="s">
        <v>6254</v>
      </c>
      <c r="H672" s="9" t="s">
        <v>174</v>
      </c>
      <c r="I672" s="77" t="s">
        <v>1109</v>
      </c>
      <c r="J672" s="91" t="s">
        <v>1193</v>
      </c>
      <c r="K672" s="79">
        <v>0</v>
      </c>
      <c r="L672" s="242">
        <f>(M672*5)*1</f>
        <v>13490</v>
      </c>
      <c r="M672" s="79">
        <v>2698</v>
      </c>
      <c r="N672" s="79">
        <v>407</v>
      </c>
      <c r="O672" s="37">
        <v>31</v>
      </c>
      <c r="P672" s="37">
        <v>0</v>
      </c>
      <c r="Q672" s="79">
        <v>61480.5</v>
      </c>
      <c r="R672" s="80">
        <v>2535.6999999999998</v>
      </c>
      <c r="S672" s="7" t="s">
        <v>115</v>
      </c>
      <c r="T672" s="257">
        <f t="shared" si="20"/>
        <v>13490</v>
      </c>
      <c r="U672" s="257">
        <f t="shared" si="21"/>
        <v>3136</v>
      </c>
      <c r="V672">
        <v>2</v>
      </c>
      <c r="W672">
        <v>2</v>
      </c>
    </row>
    <row r="673" spans="1:23" ht="34.200000000000003" x14ac:dyDescent="0.3">
      <c r="A673" s="220">
        <v>38629</v>
      </c>
      <c r="B673" s="220">
        <v>38629</v>
      </c>
      <c r="C673" s="6">
        <v>10</v>
      </c>
      <c r="D673" s="6">
        <v>1</v>
      </c>
      <c r="E673" s="76">
        <v>2005</v>
      </c>
      <c r="F673" s="15" t="s">
        <v>22</v>
      </c>
      <c r="G673" s="16" t="s">
        <v>6254</v>
      </c>
      <c r="H673" s="9" t="s">
        <v>64</v>
      </c>
      <c r="I673" s="77" t="s">
        <v>1109</v>
      </c>
      <c r="J673" s="90" t="s">
        <v>1194</v>
      </c>
      <c r="K673" s="79">
        <v>3</v>
      </c>
      <c r="L673" s="242">
        <f>(M673*5)*1</f>
        <v>50725</v>
      </c>
      <c r="M673" s="79">
        <v>10145</v>
      </c>
      <c r="N673" s="79">
        <v>337</v>
      </c>
      <c r="O673" s="37">
        <v>67</v>
      </c>
      <c r="P673" s="37">
        <v>0</v>
      </c>
      <c r="Q673" s="79">
        <v>20045</v>
      </c>
      <c r="R673" s="80">
        <v>917.34</v>
      </c>
      <c r="S673" s="7" t="s">
        <v>115</v>
      </c>
      <c r="T673" s="257">
        <f t="shared" si="20"/>
        <v>50728</v>
      </c>
      <c r="U673" s="257">
        <f t="shared" si="21"/>
        <v>10549</v>
      </c>
      <c r="V673">
        <v>2</v>
      </c>
      <c r="W673">
        <v>3</v>
      </c>
    </row>
    <row r="674" spans="1:23" ht="57" x14ac:dyDescent="0.3">
      <c r="A674" s="220">
        <v>38630</v>
      </c>
      <c r="B674" s="220">
        <v>38630</v>
      </c>
      <c r="C674" s="6">
        <v>10</v>
      </c>
      <c r="D674" s="6">
        <v>1</v>
      </c>
      <c r="E674" s="76">
        <v>2005</v>
      </c>
      <c r="F674" s="15" t="s">
        <v>22</v>
      </c>
      <c r="G674" s="16" t="s">
        <v>6254</v>
      </c>
      <c r="H674" s="9" t="s">
        <v>121</v>
      </c>
      <c r="I674" s="77" t="s">
        <v>1109</v>
      </c>
      <c r="J674" s="91" t="s">
        <v>1195</v>
      </c>
      <c r="K674" s="79">
        <v>4</v>
      </c>
      <c r="L674" s="242">
        <f>(M674*5)*1</f>
        <v>11000</v>
      </c>
      <c r="M674" s="79">
        <v>2200</v>
      </c>
      <c r="N674" s="79">
        <v>62</v>
      </c>
      <c r="O674" s="37">
        <v>15</v>
      </c>
      <c r="P674" s="37">
        <v>0</v>
      </c>
      <c r="Q674" s="79">
        <v>4876</v>
      </c>
      <c r="R674" s="80">
        <v>819.82</v>
      </c>
      <c r="S674" s="7" t="s">
        <v>115</v>
      </c>
      <c r="T674" s="257">
        <f t="shared" si="20"/>
        <v>11004</v>
      </c>
      <c r="U674" s="257">
        <f t="shared" si="21"/>
        <v>2277</v>
      </c>
      <c r="V674">
        <v>2</v>
      </c>
      <c r="W674">
        <v>2</v>
      </c>
    </row>
    <row r="675" spans="1:23" ht="79.8" x14ac:dyDescent="0.3">
      <c r="A675" s="211">
        <v>41570</v>
      </c>
      <c r="B675" s="211">
        <v>41570</v>
      </c>
      <c r="C675" s="6">
        <v>10</v>
      </c>
      <c r="D675" s="6">
        <v>1</v>
      </c>
      <c r="E675" s="19">
        <v>2013</v>
      </c>
      <c r="F675" s="15" t="s">
        <v>22</v>
      </c>
      <c r="G675" s="18" t="s">
        <v>6256</v>
      </c>
      <c r="H675" s="9" t="s">
        <v>48</v>
      </c>
      <c r="I675" s="20" t="s">
        <v>1196</v>
      </c>
      <c r="J675" s="53" t="s">
        <v>1197</v>
      </c>
      <c r="K675" s="57">
        <v>0</v>
      </c>
      <c r="L675" s="233">
        <v>700</v>
      </c>
      <c r="M675" s="23">
        <v>173</v>
      </c>
      <c r="N675" s="23">
        <v>0</v>
      </c>
      <c r="O675" s="23">
        <v>0</v>
      </c>
      <c r="P675" s="23">
        <v>0</v>
      </c>
      <c r="Q675" s="23">
        <v>0</v>
      </c>
      <c r="R675" s="24">
        <v>22.89</v>
      </c>
      <c r="S675" s="25" t="s">
        <v>115</v>
      </c>
      <c r="T675" s="257">
        <f t="shared" si="20"/>
        <v>700</v>
      </c>
      <c r="U675" s="257">
        <f t="shared" si="21"/>
        <v>173</v>
      </c>
      <c r="V675">
        <v>1</v>
      </c>
      <c r="W675">
        <v>1</v>
      </c>
    </row>
    <row r="676" spans="1:23" ht="34.200000000000003" x14ac:dyDescent="0.3">
      <c r="A676" s="220">
        <v>38633</v>
      </c>
      <c r="B676" s="220">
        <v>38633</v>
      </c>
      <c r="C676" s="6">
        <v>10</v>
      </c>
      <c r="D676" s="6">
        <v>1</v>
      </c>
      <c r="E676" s="76">
        <v>2005</v>
      </c>
      <c r="F676" s="15" t="s">
        <v>22</v>
      </c>
      <c r="G676" s="18" t="s">
        <v>6256</v>
      </c>
      <c r="H676" s="9" t="s">
        <v>72</v>
      </c>
      <c r="I676" s="77" t="s">
        <v>1198</v>
      </c>
      <c r="J676" s="90" t="s">
        <v>1199</v>
      </c>
      <c r="K676" s="79">
        <v>0</v>
      </c>
      <c r="L676" s="242">
        <v>0</v>
      </c>
      <c r="M676" s="79">
        <v>0</v>
      </c>
      <c r="N676" s="79">
        <v>0</v>
      </c>
      <c r="O676" s="37">
        <v>0</v>
      </c>
      <c r="P676" s="37">
        <v>0</v>
      </c>
      <c r="Q676" s="79">
        <v>0</v>
      </c>
      <c r="R676" s="80">
        <v>0</v>
      </c>
      <c r="S676" s="7" t="s">
        <v>115</v>
      </c>
      <c r="T676" s="257">
        <f t="shared" si="20"/>
        <v>0</v>
      </c>
      <c r="U676" s="257">
        <f t="shared" si="21"/>
        <v>0</v>
      </c>
      <c r="V676">
        <v>0</v>
      </c>
      <c r="W676">
        <v>0</v>
      </c>
    </row>
    <row r="677" spans="1:23" ht="45.6" x14ac:dyDescent="0.3">
      <c r="A677" s="220">
        <v>38636</v>
      </c>
      <c r="B677" s="220">
        <v>38636</v>
      </c>
      <c r="C677" s="6">
        <v>10</v>
      </c>
      <c r="D677" s="6">
        <v>1</v>
      </c>
      <c r="E677" s="76">
        <v>2005</v>
      </c>
      <c r="F677" s="15" t="s">
        <v>22</v>
      </c>
      <c r="G677" s="18" t="s">
        <v>6256</v>
      </c>
      <c r="H677" s="9" t="s">
        <v>43</v>
      </c>
      <c r="I677" s="77" t="s">
        <v>1200</v>
      </c>
      <c r="J677" s="90" t="s">
        <v>1201</v>
      </c>
      <c r="K677" s="79">
        <v>0</v>
      </c>
      <c r="L677" s="242">
        <v>570</v>
      </c>
      <c r="M677" s="79">
        <v>114</v>
      </c>
      <c r="N677" s="79">
        <v>0</v>
      </c>
      <c r="O677" s="37">
        <v>0</v>
      </c>
      <c r="P677" s="37">
        <v>0</v>
      </c>
      <c r="Q677" s="79">
        <v>0</v>
      </c>
      <c r="R677" s="80">
        <v>1.1459999999999999</v>
      </c>
      <c r="S677" s="7" t="s">
        <v>115</v>
      </c>
      <c r="T677" s="257">
        <f t="shared" si="20"/>
        <v>570</v>
      </c>
      <c r="U677" s="257">
        <f t="shared" si="21"/>
        <v>114</v>
      </c>
      <c r="V677">
        <v>1</v>
      </c>
      <c r="W677">
        <v>1</v>
      </c>
    </row>
    <row r="678" spans="1:23" ht="57" x14ac:dyDescent="0.3">
      <c r="A678" s="220">
        <v>38638</v>
      </c>
      <c r="B678" s="220">
        <v>38638</v>
      </c>
      <c r="C678" s="6">
        <v>10</v>
      </c>
      <c r="D678" s="6">
        <v>1</v>
      </c>
      <c r="E678" s="76">
        <v>2005</v>
      </c>
      <c r="F678" s="15" t="s">
        <v>22</v>
      </c>
      <c r="G678" s="18" t="s">
        <v>6256</v>
      </c>
      <c r="H678" s="9" t="s">
        <v>37</v>
      </c>
      <c r="I678" s="77" t="s">
        <v>1202</v>
      </c>
      <c r="J678" s="90" t="s">
        <v>1203</v>
      </c>
      <c r="K678" s="79">
        <v>0</v>
      </c>
      <c r="L678" s="242">
        <v>384</v>
      </c>
      <c r="M678" s="79">
        <v>105</v>
      </c>
      <c r="N678" s="79">
        <v>0</v>
      </c>
      <c r="O678" s="37">
        <v>0</v>
      </c>
      <c r="P678" s="37">
        <v>0</v>
      </c>
      <c r="Q678" s="79">
        <v>0</v>
      </c>
      <c r="R678" s="80">
        <v>0.42599999999999999</v>
      </c>
      <c r="S678" s="7" t="s">
        <v>115</v>
      </c>
      <c r="T678" s="257">
        <f t="shared" si="20"/>
        <v>384</v>
      </c>
      <c r="U678" s="257">
        <f t="shared" si="21"/>
        <v>105</v>
      </c>
      <c r="V678">
        <v>1</v>
      </c>
      <c r="W678">
        <v>1</v>
      </c>
    </row>
    <row r="679" spans="1:23" ht="57" x14ac:dyDescent="0.3">
      <c r="A679" s="220">
        <v>38639</v>
      </c>
      <c r="B679" s="220">
        <v>38639</v>
      </c>
      <c r="C679" s="6">
        <v>10</v>
      </c>
      <c r="D679" s="6">
        <v>1</v>
      </c>
      <c r="E679" s="76">
        <v>2005</v>
      </c>
      <c r="F679" s="15" t="s">
        <v>22</v>
      </c>
      <c r="G679" s="18" t="s">
        <v>6256</v>
      </c>
      <c r="H679" s="9" t="s">
        <v>78</v>
      </c>
      <c r="I679" s="77" t="s">
        <v>1204</v>
      </c>
      <c r="J679" s="90" t="s">
        <v>1205</v>
      </c>
      <c r="K679" s="79">
        <v>0</v>
      </c>
      <c r="L679" s="242">
        <v>567</v>
      </c>
      <c r="M679" s="79">
        <v>0</v>
      </c>
      <c r="N679" s="79">
        <v>0</v>
      </c>
      <c r="O679" s="37">
        <v>0</v>
      </c>
      <c r="P679" s="37">
        <v>0</v>
      </c>
      <c r="Q679" s="79">
        <v>0</v>
      </c>
      <c r="R679" s="80">
        <v>0</v>
      </c>
      <c r="S679" s="7" t="s">
        <v>115</v>
      </c>
      <c r="T679" s="257">
        <f t="shared" si="20"/>
        <v>567</v>
      </c>
      <c r="U679" s="257">
        <f t="shared" si="21"/>
        <v>0</v>
      </c>
      <c r="V679">
        <v>1</v>
      </c>
      <c r="W679">
        <v>0</v>
      </c>
    </row>
    <row r="680" spans="1:23" ht="93.75" customHeight="1" x14ac:dyDescent="0.3">
      <c r="A680" s="212">
        <v>39379</v>
      </c>
      <c r="B680" s="212">
        <v>39385</v>
      </c>
      <c r="C680" s="6">
        <v>10</v>
      </c>
      <c r="D680" s="6">
        <v>7</v>
      </c>
      <c r="E680" s="6">
        <v>2007</v>
      </c>
      <c r="F680" s="15" t="s">
        <v>22</v>
      </c>
      <c r="G680" s="18" t="s">
        <v>6256</v>
      </c>
      <c r="H680" s="17" t="s">
        <v>565</v>
      </c>
      <c r="I680" s="17" t="s">
        <v>1206</v>
      </c>
      <c r="J680" s="10" t="s">
        <v>1207</v>
      </c>
      <c r="K680" s="13">
        <v>0</v>
      </c>
      <c r="L680" s="233">
        <v>1500000</v>
      </c>
      <c r="M680" s="13">
        <v>123386</v>
      </c>
      <c r="N680" s="13">
        <v>3876</v>
      </c>
      <c r="O680" s="13">
        <v>252</v>
      </c>
      <c r="P680" s="13">
        <v>0</v>
      </c>
      <c r="Q680" s="60">
        <v>93319</v>
      </c>
      <c r="R680" s="61">
        <v>31871.26</v>
      </c>
      <c r="S680" s="6" t="s">
        <v>1208</v>
      </c>
      <c r="T680" s="257">
        <f t="shared" si="20"/>
        <v>1500000</v>
      </c>
      <c r="U680" s="257">
        <f t="shared" si="21"/>
        <v>127514</v>
      </c>
      <c r="V680">
        <v>5</v>
      </c>
      <c r="W680">
        <v>5</v>
      </c>
    </row>
    <row r="681" spans="1:23" ht="34.200000000000003" x14ac:dyDescent="0.3">
      <c r="A681" s="220">
        <v>38646</v>
      </c>
      <c r="B681" s="220">
        <v>38649</v>
      </c>
      <c r="C681" s="6">
        <v>10</v>
      </c>
      <c r="D681" s="6">
        <v>4</v>
      </c>
      <c r="E681" s="76">
        <v>2005</v>
      </c>
      <c r="F681" s="15" t="s">
        <v>22</v>
      </c>
      <c r="G681" s="16" t="s">
        <v>6254</v>
      </c>
      <c r="H681" s="9" t="s">
        <v>124</v>
      </c>
      <c r="I681" s="77" t="s">
        <v>1209</v>
      </c>
      <c r="J681" s="90" t="s">
        <v>1210</v>
      </c>
      <c r="K681" s="79">
        <v>0</v>
      </c>
      <c r="L681" s="242">
        <f>(M681*5)*1</f>
        <v>31150</v>
      </c>
      <c r="M681" s="79">
        <v>6230</v>
      </c>
      <c r="N681" s="79">
        <v>115</v>
      </c>
      <c r="O681" s="37">
        <v>4</v>
      </c>
      <c r="P681" s="37">
        <v>0</v>
      </c>
      <c r="Q681" s="79">
        <v>39786.800000000003</v>
      </c>
      <c r="R681" s="80">
        <v>514.9</v>
      </c>
      <c r="S681" s="7" t="s">
        <v>21</v>
      </c>
      <c r="T681" s="257">
        <f t="shared" si="20"/>
        <v>31150</v>
      </c>
      <c r="U681" s="257">
        <f t="shared" si="21"/>
        <v>6349</v>
      </c>
      <c r="V681">
        <v>2</v>
      </c>
      <c r="W681">
        <v>2</v>
      </c>
    </row>
    <row r="682" spans="1:23" ht="34.200000000000003" x14ac:dyDescent="0.3">
      <c r="A682" s="220">
        <v>38665</v>
      </c>
      <c r="B682" s="220">
        <v>38665</v>
      </c>
      <c r="C682" s="6">
        <v>11</v>
      </c>
      <c r="D682" s="6">
        <v>1</v>
      </c>
      <c r="E682" s="76">
        <v>2005</v>
      </c>
      <c r="F682" s="15" t="s">
        <v>22</v>
      </c>
      <c r="G682" s="82" t="s">
        <v>6256</v>
      </c>
      <c r="H682" s="9" t="s">
        <v>43</v>
      </c>
      <c r="I682" s="77" t="s">
        <v>305</v>
      </c>
      <c r="J682" s="90" t="s">
        <v>1211</v>
      </c>
      <c r="K682" s="79">
        <v>3</v>
      </c>
      <c r="L682" s="242">
        <v>5</v>
      </c>
      <c r="M682" s="79">
        <v>0</v>
      </c>
      <c r="N682" s="79">
        <v>0</v>
      </c>
      <c r="O682" s="37">
        <v>0</v>
      </c>
      <c r="P682" s="37">
        <v>0</v>
      </c>
      <c r="Q682" s="79">
        <v>0</v>
      </c>
      <c r="R682" s="80">
        <v>0</v>
      </c>
      <c r="S682" s="7" t="s">
        <v>115</v>
      </c>
      <c r="T682" s="257">
        <f t="shared" si="20"/>
        <v>8</v>
      </c>
      <c r="U682" s="257">
        <f t="shared" si="21"/>
        <v>0</v>
      </c>
      <c r="V682">
        <v>1</v>
      </c>
      <c r="W682">
        <v>0</v>
      </c>
    </row>
    <row r="683" spans="1:23" ht="34.200000000000003" x14ac:dyDescent="0.3">
      <c r="A683" s="220">
        <v>38671</v>
      </c>
      <c r="B683" s="220">
        <v>38671</v>
      </c>
      <c r="C683" s="6">
        <v>11</v>
      </c>
      <c r="D683" s="6">
        <v>1</v>
      </c>
      <c r="E683" s="76">
        <v>2005</v>
      </c>
      <c r="F683" s="15" t="s">
        <v>22</v>
      </c>
      <c r="G683" s="18" t="s">
        <v>6256</v>
      </c>
      <c r="H683" s="9" t="s">
        <v>57</v>
      </c>
      <c r="I683" s="77" t="s">
        <v>535</v>
      </c>
      <c r="J683" s="90" t="s">
        <v>1212</v>
      </c>
      <c r="K683" s="79">
        <v>1</v>
      </c>
      <c r="L683" s="242">
        <v>1</v>
      </c>
      <c r="M683" s="79">
        <v>0</v>
      </c>
      <c r="N683" s="79">
        <v>0</v>
      </c>
      <c r="O683" s="37">
        <v>0</v>
      </c>
      <c r="P683" s="37">
        <v>0</v>
      </c>
      <c r="Q683" s="79">
        <v>0</v>
      </c>
      <c r="R683" s="80">
        <v>0</v>
      </c>
      <c r="S683" s="7" t="s">
        <v>115</v>
      </c>
      <c r="T683" s="257">
        <f t="shared" si="20"/>
        <v>2</v>
      </c>
      <c r="U683" s="257">
        <f t="shared" si="21"/>
        <v>0</v>
      </c>
      <c r="V683">
        <v>1</v>
      </c>
      <c r="W683">
        <v>0</v>
      </c>
    </row>
    <row r="684" spans="1:23" ht="22.8" x14ac:dyDescent="0.3">
      <c r="A684" s="220">
        <v>38675</v>
      </c>
      <c r="B684" s="220">
        <v>38675</v>
      </c>
      <c r="C684" s="6">
        <v>11</v>
      </c>
      <c r="D684" s="6">
        <v>1</v>
      </c>
      <c r="E684" s="76">
        <v>2005</v>
      </c>
      <c r="F684" s="15" t="s">
        <v>22</v>
      </c>
      <c r="G684" s="18" t="s">
        <v>6256</v>
      </c>
      <c r="H684" s="17" t="s">
        <v>565</v>
      </c>
      <c r="I684" s="77" t="s">
        <v>1043</v>
      </c>
      <c r="J684" s="90" t="s">
        <v>1213</v>
      </c>
      <c r="K684" s="79">
        <v>0</v>
      </c>
      <c r="L684" s="242">
        <v>285</v>
      </c>
      <c r="M684" s="79">
        <v>57</v>
      </c>
      <c r="N684" s="79">
        <v>0</v>
      </c>
      <c r="O684" s="37">
        <v>0</v>
      </c>
      <c r="P684" s="37">
        <v>0</v>
      </c>
      <c r="Q684" s="79">
        <v>0</v>
      </c>
      <c r="R684" s="80">
        <v>0.23100000000000001</v>
      </c>
      <c r="S684" s="7" t="s">
        <v>115</v>
      </c>
      <c r="T684" s="257">
        <f t="shared" si="20"/>
        <v>285</v>
      </c>
      <c r="U684" s="257">
        <f t="shared" si="21"/>
        <v>57</v>
      </c>
      <c r="V684">
        <v>1</v>
      </c>
      <c r="W684">
        <v>1</v>
      </c>
    </row>
    <row r="685" spans="1:23" ht="22.8" x14ac:dyDescent="0.3">
      <c r="A685" s="220">
        <v>38704</v>
      </c>
      <c r="B685" s="220">
        <v>38704</v>
      </c>
      <c r="C685" s="6">
        <v>12</v>
      </c>
      <c r="D685" s="6">
        <v>1</v>
      </c>
      <c r="E685" s="76">
        <v>2005</v>
      </c>
      <c r="F685" s="15" t="s">
        <v>22</v>
      </c>
      <c r="G685" s="18" t="s">
        <v>6256</v>
      </c>
      <c r="H685" s="9" t="s">
        <v>31</v>
      </c>
      <c r="I685" s="77" t="s">
        <v>1214</v>
      </c>
      <c r="J685" s="90" t="s">
        <v>1215</v>
      </c>
      <c r="K685" s="79">
        <v>0</v>
      </c>
      <c r="L685" s="242">
        <v>8</v>
      </c>
      <c r="M685" s="79">
        <v>1</v>
      </c>
      <c r="N685" s="79">
        <v>0</v>
      </c>
      <c r="O685" s="37">
        <v>0</v>
      </c>
      <c r="P685" s="37">
        <v>0</v>
      </c>
      <c r="Q685" s="79">
        <v>0</v>
      </c>
      <c r="R685" s="80">
        <v>0.01</v>
      </c>
      <c r="S685" s="7" t="s">
        <v>115</v>
      </c>
      <c r="T685" s="257">
        <f t="shared" si="20"/>
        <v>8</v>
      </c>
      <c r="U685" s="257">
        <f t="shared" si="21"/>
        <v>1</v>
      </c>
      <c r="V685">
        <v>1</v>
      </c>
      <c r="W685">
        <v>1</v>
      </c>
    </row>
    <row r="686" spans="1:23" ht="45.6" x14ac:dyDescent="0.3">
      <c r="A686" s="220">
        <v>38705</v>
      </c>
      <c r="B686" s="220">
        <v>38705</v>
      </c>
      <c r="C686" s="6">
        <v>12</v>
      </c>
      <c r="D686" s="6">
        <v>1</v>
      </c>
      <c r="E686" s="76">
        <v>2005</v>
      </c>
      <c r="F686" s="15" t="s">
        <v>22</v>
      </c>
      <c r="G686" s="18" t="s">
        <v>6256</v>
      </c>
      <c r="H686" s="17" t="s">
        <v>565</v>
      </c>
      <c r="I686" s="77" t="s">
        <v>1216</v>
      </c>
      <c r="J686" s="91" t="s">
        <v>1217</v>
      </c>
      <c r="K686" s="79">
        <v>0</v>
      </c>
      <c r="L686" s="242">
        <v>2070</v>
      </c>
      <c r="M686" s="79">
        <v>414</v>
      </c>
      <c r="N686" s="79">
        <v>0</v>
      </c>
      <c r="O686" s="37">
        <v>0</v>
      </c>
      <c r="P686" s="37">
        <v>0</v>
      </c>
      <c r="Q686" s="79">
        <v>0</v>
      </c>
      <c r="R686" s="80">
        <v>1.67</v>
      </c>
      <c r="S686" s="7" t="s">
        <v>115</v>
      </c>
      <c r="T686" s="257">
        <f t="shared" si="20"/>
        <v>2070</v>
      </c>
      <c r="U686" s="257">
        <f t="shared" si="21"/>
        <v>414</v>
      </c>
      <c r="V686">
        <v>1</v>
      </c>
      <c r="W686">
        <v>1</v>
      </c>
    </row>
    <row r="687" spans="1:23" ht="22.8" x14ac:dyDescent="0.3">
      <c r="A687" s="220">
        <v>38626</v>
      </c>
      <c r="B687" s="220">
        <v>38717</v>
      </c>
      <c r="C687" s="6">
        <v>10</v>
      </c>
      <c r="D687" s="6">
        <v>92</v>
      </c>
      <c r="E687" s="76">
        <v>2005</v>
      </c>
      <c r="F687" s="15" t="s">
        <v>22</v>
      </c>
      <c r="G687" s="18" t="s">
        <v>6255</v>
      </c>
      <c r="H687" s="9" t="s">
        <v>34</v>
      </c>
      <c r="I687" s="94" t="s">
        <v>25</v>
      </c>
      <c r="J687" s="94" t="s">
        <v>1218</v>
      </c>
      <c r="K687" s="76">
        <v>27</v>
      </c>
      <c r="L687" s="242">
        <v>27</v>
      </c>
      <c r="M687" s="79">
        <v>0</v>
      </c>
      <c r="N687" s="79">
        <v>0</v>
      </c>
      <c r="O687" s="37">
        <v>0</v>
      </c>
      <c r="P687" s="37">
        <v>0</v>
      </c>
      <c r="Q687" s="79">
        <v>0</v>
      </c>
      <c r="R687" s="80">
        <v>0</v>
      </c>
      <c r="S687" s="7" t="s">
        <v>1219</v>
      </c>
      <c r="T687" s="257">
        <f t="shared" si="20"/>
        <v>54</v>
      </c>
      <c r="U687" s="257">
        <f t="shared" si="21"/>
        <v>0</v>
      </c>
      <c r="V687">
        <v>1</v>
      </c>
      <c r="W687">
        <v>0</v>
      </c>
    </row>
    <row r="688" spans="1:23" ht="22.8" x14ac:dyDescent="0.3">
      <c r="A688" s="220">
        <v>38626</v>
      </c>
      <c r="B688" s="220">
        <v>38717</v>
      </c>
      <c r="C688" s="6">
        <v>10</v>
      </c>
      <c r="D688" s="6">
        <v>92</v>
      </c>
      <c r="E688" s="76">
        <v>2005</v>
      </c>
      <c r="F688" s="15" t="s">
        <v>22</v>
      </c>
      <c r="G688" s="18" t="s">
        <v>6255</v>
      </c>
      <c r="H688" s="9" t="s">
        <v>74</v>
      </c>
      <c r="I688" s="94" t="s">
        <v>25</v>
      </c>
      <c r="J688" s="95" t="s">
        <v>1220</v>
      </c>
      <c r="K688" s="76">
        <v>4</v>
      </c>
      <c r="L688" s="242">
        <v>4</v>
      </c>
      <c r="M688" s="79">
        <v>0</v>
      </c>
      <c r="N688" s="79">
        <v>0</v>
      </c>
      <c r="O688" s="37">
        <v>0</v>
      </c>
      <c r="P688" s="37">
        <v>0</v>
      </c>
      <c r="Q688" s="79">
        <v>0</v>
      </c>
      <c r="R688" s="80">
        <v>0</v>
      </c>
      <c r="S688" s="7" t="s">
        <v>1219</v>
      </c>
      <c r="T688" s="257">
        <f t="shared" si="20"/>
        <v>8</v>
      </c>
      <c r="U688" s="257">
        <f t="shared" si="21"/>
        <v>0</v>
      </c>
      <c r="V688">
        <v>1</v>
      </c>
      <c r="W688">
        <v>0</v>
      </c>
    </row>
    <row r="689" spans="1:23" ht="22.8" x14ac:dyDescent="0.3">
      <c r="A689" s="220">
        <v>38626</v>
      </c>
      <c r="B689" s="220">
        <v>38717</v>
      </c>
      <c r="C689" s="6">
        <v>10</v>
      </c>
      <c r="D689" s="6">
        <v>92</v>
      </c>
      <c r="E689" s="76">
        <v>2005</v>
      </c>
      <c r="F689" s="15" t="s">
        <v>22</v>
      </c>
      <c r="G689" s="18" t="s">
        <v>6255</v>
      </c>
      <c r="H689" s="9" t="s">
        <v>64</v>
      </c>
      <c r="I689" s="94" t="s">
        <v>25</v>
      </c>
      <c r="J689" s="95" t="s">
        <v>1221</v>
      </c>
      <c r="K689" s="76">
        <v>3</v>
      </c>
      <c r="L689" s="242">
        <v>3</v>
      </c>
      <c r="M689" s="79">
        <v>0</v>
      </c>
      <c r="N689" s="79">
        <v>0</v>
      </c>
      <c r="O689" s="37">
        <v>0</v>
      </c>
      <c r="P689" s="37">
        <v>0</v>
      </c>
      <c r="Q689" s="79">
        <v>0</v>
      </c>
      <c r="R689" s="80">
        <v>0</v>
      </c>
      <c r="S689" s="7" t="s">
        <v>1219</v>
      </c>
      <c r="T689" s="257">
        <f t="shared" si="20"/>
        <v>6</v>
      </c>
      <c r="U689" s="257">
        <f t="shared" si="21"/>
        <v>0</v>
      </c>
      <c r="V689">
        <v>1</v>
      </c>
      <c r="W689">
        <v>0</v>
      </c>
    </row>
    <row r="690" spans="1:23" ht="22.8" x14ac:dyDescent="0.3">
      <c r="A690" s="220">
        <v>38626</v>
      </c>
      <c r="B690" s="220">
        <v>38717</v>
      </c>
      <c r="C690" s="6">
        <v>10</v>
      </c>
      <c r="D690" s="6">
        <v>92</v>
      </c>
      <c r="E690" s="76">
        <v>2005</v>
      </c>
      <c r="F690" s="15" t="s">
        <v>22</v>
      </c>
      <c r="G690" s="18" t="s">
        <v>6255</v>
      </c>
      <c r="H690" s="9" t="s">
        <v>37</v>
      </c>
      <c r="I690" s="94" t="s">
        <v>25</v>
      </c>
      <c r="J690" s="95" t="s">
        <v>1221</v>
      </c>
      <c r="K690" s="96">
        <v>3</v>
      </c>
      <c r="L690" s="243">
        <v>3</v>
      </c>
      <c r="M690" s="79">
        <v>0</v>
      </c>
      <c r="N690" s="79">
        <v>0</v>
      </c>
      <c r="O690" s="37">
        <v>0</v>
      </c>
      <c r="P690" s="37">
        <v>0</v>
      </c>
      <c r="Q690" s="79">
        <v>0</v>
      </c>
      <c r="R690" s="80">
        <v>0</v>
      </c>
      <c r="S690" s="7" t="s">
        <v>1219</v>
      </c>
      <c r="T690" s="257">
        <f t="shared" si="20"/>
        <v>6</v>
      </c>
      <c r="U690" s="257">
        <f t="shared" si="21"/>
        <v>0</v>
      </c>
      <c r="V690">
        <v>1</v>
      </c>
      <c r="W690">
        <v>0</v>
      </c>
    </row>
    <row r="691" spans="1:23" ht="22.8" x14ac:dyDescent="0.3">
      <c r="A691" s="220">
        <v>38626</v>
      </c>
      <c r="B691" s="220">
        <v>38717</v>
      </c>
      <c r="C691" s="6">
        <v>10</v>
      </c>
      <c r="D691" s="6">
        <v>92</v>
      </c>
      <c r="E691" s="76">
        <v>2005</v>
      </c>
      <c r="F691" s="15" t="s">
        <v>22</v>
      </c>
      <c r="G691" s="18" t="s">
        <v>6255</v>
      </c>
      <c r="H691" s="9" t="s">
        <v>121</v>
      </c>
      <c r="I691" s="94" t="s">
        <v>25</v>
      </c>
      <c r="J691" s="95" t="s">
        <v>1222</v>
      </c>
      <c r="K691" s="96">
        <v>2</v>
      </c>
      <c r="L691" s="243">
        <v>2</v>
      </c>
      <c r="M691" s="79">
        <v>0</v>
      </c>
      <c r="N691" s="79">
        <v>0</v>
      </c>
      <c r="O691" s="37">
        <v>0</v>
      </c>
      <c r="P691" s="37">
        <v>0</v>
      </c>
      <c r="Q691" s="79">
        <v>0</v>
      </c>
      <c r="R691" s="80">
        <v>0</v>
      </c>
      <c r="S691" s="7" t="s">
        <v>1219</v>
      </c>
      <c r="T691" s="257">
        <f t="shared" si="20"/>
        <v>4</v>
      </c>
      <c r="U691" s="257">
        <f t="shared" si="21"/>
        <v>0</v>
      </c>
      <c r="V691">
        <v>1</v>
      </c>
      <c r="W691">
        <v>0</v>
      </c>
    </row>
    <row r="692" spans="1:23" ht="22.8" x14ac:dyDescent="0.3">
      <c r="A692" s="220">
        <v>38626</v>
      </c>
      <c r="B692" s="220">
        <v>38717</v>
      </c>
      <c r="C692" s="6">
        <v>10</v>
      </c>
      <c r="D692" s="6">
        <v>92</v>
      </c>
      <c r="E692" s="76">
        <v>2005</v>
      </c>
      <c r="F692" s="15" t="s">
        <v>22</v>
      </c>
      <c r="G692" s="18" t="s">
        <v>6255</v>
      </c>
      <c r="H692" s="9" t="s">
        <v>84</v>
      </c>
      <c r="I692" s="94" t="s">
        <v>25</v>
      </c>
      <c r="J692" s="95" t="s">
        <v>1221</v>
      </c>
      <c r="K692" s="76">
        <v>3</v>
      </c>
      <c r="L692" s="242">
        <v>3</v>
      </c>
      <c r="M692" s="79">
        <v>0</v>
      </c>
      <c r="N692" s="79">
        <v>0</v>
      </c>
      <c r="O692" s="37">
        <v>0</v>
      </c>
      <c r="P692" s="37">
        <v>0</v>
      </c>
      <c r="Q692" s="79">
        <v>0</v>
      </c>
      <c r="R692" s="80">
        <v>0</v>
      </c>
      <c r="S692" s="7" t="s">
        <v>1219</v>
      </c>
      <c r="T692" s="257">
        <f t="shared" si="20"/>
        <v>6</v>
      </c>
      <c r="U692" s="257">
        <f t="shared" si="21"/>
        <v>0</v>
      </c>
      <c r="V692">
        <v>1</v>
      </c>
      <c r="W692">
        <v>0</v>
      </c>
    </row>
    <row r="693" spans="1:23" ht="22.8" x14ac:dyDescent="0.3">
      <c r="A693" s="220">
        <v>38626</v>
      </c>
      <c r="B693" s="220">
        <v>38717</v>
      </c>
      <c r="C693" s="6">
        <v>10</v>
      </c>
      <c r="D693" s="6">
        <v>92</v>
      </c>
      <c r="E693" s="76">
        <v>2005</v>
      </c>
      <c r="F693" s="15" t="s">
        <v>22</v>
      </c>
      <c r="G693" s="18" t="s">
        <v>6255</v>
      </c>
      <c r="H693" s="9" t="s">
        <v>66</v>
      </c>
      <c r="I693" s="94" t="s">
        <v>25</v>
      </c>
      <c r="J693" s="95" t="s">
        <v>1222</v>
      </c>
      <c r="K693" s="76">
        <v>2</v>
      </c>
      <c r="L693" s="242">
        <v>2</v>
      </c>
      <c r="M693" s="79">
        <v>0</v>
      </c>
      <c r="N693" s="79">
        <v>0</v>
      </c>
      <c r="O693" s="37">
        <v>0</v>
      </c>
      <c r="P693" s="37">
        <v>0</v>
      </c>
      <c r="Q693" s="79">
        <v>0</v>
      </c>
      <c r="R693" s="80">
        <v>0</v>
      </c>
      <c r="S693" s="7" t="s">
        <v>1219</v>
      </c>
      <c r="T693" s="257">
        <f t="shared" si="20"/>
        <v>4</v>
      </c>
      <c r="U693" s="257">
        <f t="shared" si="21"/>
        <v>0</v>
      </c>
      <c r="V693">
        <v>1</v>
      </c>
      <c r="W693">
        <v>0</v>
      </c>
    </row>
    <row r="694" spans="1:23" ht="22.8" x14ac:dyDescent="0.3">
      <c r="A694" s="220">
        <v>38626</v>
      </c>
      <c r="B694" s="220">
        <v>38717</v>
      </c>
      <c r="C694" s="6">
        <v>10</v>
      </c>
      <c r="D694" s="6">
        <v>92</v>
      </c>
      <c r="E694" s="76">
        <v>2005</v>
      </c>
      <c r="F694" s="15" t="s">
        <v>22</v>
      </c>
      <c r="G694" s="18" t="s">
        <v>6255</v>
      </c>
      <c r="H694" s="9" t="s">
        <v>27</v>
      </c>
      <c r="I694" s="94" t="s">
        <v>25</v>
      </c>
      <c r="J694" s="95" t="s">
        <v>1223</v>
      </c>
      <c r="K694" s="76">
        <v>1</v>
      </c>
      <c r="L694" s="242">
        <v>1</v>
      </c>
      <c r="M694" s="79">
        <v>0</v>
      </c>
      <c r="N694" s="79">
        <v>0</v>
      </c>
      <c r="O694" s="37">
        <v>0</v>
      </c>
      <c r="P694" s="37">
        <v>0</v>
      </c>
      <c r="Q694" s="79">
        <v>0</v>
      </c>
      <c r="R694" s="80">
        <v>0</v>
      </c>
      <c r="S694" s="7" t="s">
        <v>1219</v>
      </c>
      <c r="T694" s="257">
        <f t="shared" si="20"/>
        <v>2</v>
      </c>
      <c r="U694" s="257">
        <f t="shared" si="21"/>
        <v>0</v>
      </c>
      <c r="V694">
        <v>1</v>
      </c>
      <c r="W694">
        <v>0</v>
      </c>
    </row>
    <row r="695" spans="1:23" ht="68.400000000000006" x14ac:dyDescent="0.3">
      <c r="A695" s="220">
        <v>38370</v>
      </c>
      <c r="B695" s="220">
        <v>38370</v>
      </c>
      <c r="C695" s="6">
        <v>1</v>
      </c>
      <c r="D695" s="6">
        <v>1</v>
      </c>
      <c r="E695" s="76">
        <v>2005</v>
      </c>
      <c r="F695" s="15" t="s">
        <v>22</v>
      </c>
      <c r="G695" s="16" t="s">
        <v>6256</v>
      </c>
      <c r="H695" s="9" t="s">
        <v>43</v>
      </c>
      <c r="I695" s="97" t="s">
        <v>1224</v>
      </c>
      <c r="J695" s="97" t="s">
        <v>1225</v>
      </c>
      <c r="K695" s="76">
        <v>0</v>
      </c>
      <c r="L695" s="242">
        <v>15</v>
      </c>
      <c r="M695" s="79">
        <v>20</v>
      </c>
      <c r="N695" s="79">
        <v>0</v>
      </c>
      <c r="O695" s="37">
        <v>0</v>
      </c>
      <c r="P695" s="37">
        <v>0</v>
      </c>
      <c r="Q695" s="79">
        <v>0</v>
      </c>
      <c r="R695" s="80">
        <v>8.1000000000000003E-2</v>
      </c>
      <c r="S695" s="7" t="s">
        <v>115</v>
      </c>
      <c r="T695" s="257">
        <f t="shared" si="20"/>
        <v>15</v>
      </c>
      <c r="U695" s="257">
        <f t="shared" si="21"/>
        <v>20</v>
      </c>
      <c r="V695">
        <v>1</v>
      </c>
      <c r="W695">
        <v>1</v>
      </c>
    </row>
    <row r="696" spans="1:23" ht="45.6" x14ac:dyDescent="0.3">
      <c r="A696" s="220">
        <v>38468</v>
      </c>
      <c r="B696" s="220">
        <v>38468</v>
      </c>
      <c r="C696" s="6">
        <v>4</v>
      </c>
      <c r="D696" s="6">
        <v>1</v>
      </c>
      <c r="E696" s="76">
        <v>2005</v>
      </c>
      <c r="F696" s="15" t="s">
        <v>22</v>
      </c>
      <c r="G696" s="82" t="s">
        <v>6256</v>
      </c>
      <c r="H696" s="9" t="s">
        <v>124</v>
      </c>
      <c r="I696" s="97" t="s">
        <v>1226</v>
      </c>
      <c r="J696" s="97" t="s">
        <v>1227</v>
      </c>
      <c r="K696" s="76">
        <v>0</v>
      </c>
      <c r="L696" s="242">
        <v>820</v>
      </c>
      <c r="M696" s="79">
        <v>164</v>
      </c>
      <c r="N696" s="79">
        <v>0</v>
      </c>
      <c r="O696" s="37">
        <v>0</v>
      </c>
      <c r="P696" s="37">
        <v>0</v>
      </c>
      <c r="Q696" s="79">
        <v>0</v>
      </c>
      <c r="R696" s="80">
        <v>0.68500000000000005</v>
      </c>
      <c r="S696" s="7" t="s">
        <v>115</v>
      </c>
      <c r="T696" s="257">
        <f t="shared" si="20"/>
        <v>820</v>
      </c>
      <c r="U696" s="257">
        <f t="shared" si="21"/>
        <v>164</v>
      </c>
      <c r="V696">
        <v>1</v>
      </c>
      <c r="W696">
        <v>1</v>
      </c>
    </row>
    <row r="697" spans="1:23" ht="45.6" x14ac:dyDescent="0.3">
      <c r="A697" s="220">
        <v>38476</v>
      </c>
      <c r="B697" s="220">
        <v>38476</v>
      </c>
      <c r="C697" s="6">
        <v>5</v>
      </c>
      <c r="D697" s="6">
        <v>1</v>
      </c>
      <c r="E697" s="76">
        <v>2005</v>
      </c>
      <c r="F697" s="15" t="s">
        <v>22</v>
      </c>
      <c r="G697" s="9" t="s">
        <v>6257</v>
      </c>
      <c r="H697" s="9" t="s">
        <v>31</v>
      </c>
      <c r="I697" s="97" t="s">
        <v>1060</v>
      </c>
      <c r="J697" s="97" t="s">
        <v>1228</v>
      </c>
      <c r="K697" s="76">
        <v>1</v>
      </c>
      <c r="L697" s="242">
        <v>41</v>
      </c>
      <c r="M697" s="79">
        <v>12</v>
      </c>
      <c r="N697" s="79">
        <v>0</v>
      </c>
      <c r="O697" s="37">
        <v>0</v>
      </c>
      <c r="P697" s="37">
        <v>0</v>
      </c>
      <c r="Q697" s="79">
        <v>0</v>
      </c>
      <c r="R697" s="80">
        <v>0.49</v>
      </c>
      <c r="S697" s="7" t="s">
        <v>115</v>
      </c>
      <c r="T697" s="257">
        <f t="shared" si="20"/>
        <v>42</v>
      </c>
      <c r="U697" s="257">
        <f t="shared" si="21"/>
        <v>12</v>
      </c>
      <c r="V697">
        <v>1</v>
      </c>
      <c r="W697">
        <v>1</v>
      </c>
    </row>
    <row r="698" spans="1:23" ht="57" x14ac:dyDescent="0.3">
      <c r="A698" s="220">
        <v>38476</v>
      </c>
      <c r="B698" s="220">
        <v>38476</v>
      </c>
      <c r="C698" s="6">
        <v>5</v>
      </c>
      <c r="D698" s="6">
        <v>1</v>
      </c>
      <c r="E698" s="76">
        <v>2005</v>
      </c>
      <c r="F698" s="15" t="s">
        <v>22</v>
      </c>
      <c r="G698" s="82" t="s">
        <v>6256</v>
      </c>
      <c r="H698" s="9" t="s">
        <v>61</v>
      </c>
      <c r="I698" s="97" t="s">
        <v>1229</v>
      </c>
      <c r="J698" s="97" t="s">
        <v>1230</v>
      </c>
      <c r="K698" s="76">
        <v>8</v>
      </c>
      <c r="L698" s="242">
        <v>5000</v>
      </c>
      <c r="M698" s="79">
        <v>800</v>
      </c>
      <c r="N698" s="79">
        <v>83</v>
      </c>
      <c r="O698" s="37">
        <v>0</v>
      </c>
      <c r="P698" s="37">
        <v>5</v>
      </c>
      <c r="Q698" s="79">
        <v>331.75</v>
      </c>
      <c r="R698" s="80">
        <v>35.436</v>
      </c>
      <c r="S698" s="7" t="s">
        <v>115</v>
      </c>
      <c r="T698" s="257">
        <f t="shared" si="20"/>
        <v>5008</v>
      </c>
      <c r="U698" s="257">
        <f t="shared" si="21"/>
        <v>888</v>
      </c>
      <c r="V698">
        <v>1</v>
      </c>
      <c r="W698">
        <v>1</v>
      </c>
    </row>
    <row r="699" spans="1:23" ht="22.8" x14ac:dyDescent="0.3">
      <c r="A699" s="220">
        <v>38681</v>
      </c>
      <c r="B699" s="220">
        <v>38681</v>
      </c>
      <c r="C699" s="6">
        <v>11</v>
      </c>
      <c r="D699" s="6">
        <v>1</v>
      </c>
      <c r="E699" s="76">
        <v>2005</v>
      </c>
      <c r="F699" s="15" t="s">
        <v>22</v>
      </c>
      <c r="G699" s="98" t="s">
        <v>6256</v>
      </c>
      <c r="H699" s="9" t="s">
        <v>118</v>
      </c>
      <c r="I699" s="97" t="s">
        <v>664</v>
      </c>
      <c r="J699" s="97" t="s">
        <v>1231</v>
      </c>
      <c r="K699" s="76">
        <v>0</v>
      </c>
      <c r="L699" s="242">
        <v>10</v>
      </c>
      <c r="M699" s="79">
        <v>0</v>
      </c>
      <c r="N699" s="79">
        <v>0</v>
      </c>
      <c r="O699" s="37">
        <v>0</v>
      </c>
      <c r="P699" s="37">
        <v>0</v>
      </c>
      <c r="Q699" s="79">
        <v>0</v>
      </c>
      <c r="R699" s="80">
        <v>0</v>
      </c>
      <c r="S699" s="7" t="s">
        <v>115</v>
      </c>
      <c r="T699" s="257">
        <f t="shared" si="20"/>
        <v>10</v>
      </c>
      <c r="U699" s="257">
        <f t="shared" si="21"/>
        <v>0</v>
      </c>
      <c r="V699">
        <v>1</v>
      </c>
      <c r="W699">
        <v>0</v>
      </c>
    </row>
    <row r="700" spans="1:23" x14ac:dyDescent="0.3">
      <c r="A700" s="212">
        <v>38353</v>
      </c>
      <c r="B700" s="212">
        <v>38717</v>
      </c>
      <c r="C700" s="6">
        <v>1</v>
      </c>
      <c r="D700" s="6">
        <v>365</v>
      </c>
      <c r="E700" s="76">
        <v>2005</v>
      </c>
      <c r="F700" s="15" t="s">
        <v>22</v>
      </c>
      <c r="G700" s="16" t="s">
        <v>23</v>
      </c>
      <c r="H700" s="9" t="s">
        <v>112</v>
      </c>
      <c r="I700" s="34" t="s">
        <v>1109</v>
      </c>
      <c r="J700" s="65" t="s">
        <v>1232</v>
      </c>
      <c r="K700" s="6">
        <v>0</v>
      </c>
      <c r="L700" s="233">
        <v>11149</v>
      </c>
      <c r="M700" s="13">
        <v>0</v>
      </c>
      <c r="N700" s="13">
        <v>0</v>
      </c>
      <c r="O700" s="37">
        <v>0</v>
      </c>
      <c r="P700" s="37">
        <v>0</v>
      </c>
      <c r="Q700" s="37">
        <v>9905</v>
      </c>
      <c r="R700" s="99">
        <v>7.4</v>
      </c>
      <c r="S700" s="7" t="s">
        <v>115</v>
      </c>
      <c r="T700" s="257">
        <f t="shared" si="20"/>
        <v>11149</v>
      </c>
      <c r="U700" s="257">
        <f t="shared" si="21"/>
        <v>0</v>
      </c>
      <c r="V700">
        <v>2</v>
      </c>
      <c r="W700">
        <v>0</v>
      </c>
    </row>
    <row r="701" spans="1:23" x14ac:dyDescent="0.3">
      <c r="A701" s="212">
        <v>38353</v>
      </c>
      <c r="B701" s="212">
        <v>38717</v>
      </c>
      <c r="C701" s="6">
        <v>1</v>
      </c>
      <c r="D701" s="6">
        <v>365</v>
      </c>
      <c r="E701" s="76">
        <v>2005</v>
      </c>
      <c r="F701" s="15" t="s">
        <v>22</v>
      </c>
      <c r="G701" s="16" t="s">
        <v>23</v>
      </c>
      <c r="H701" s="9" t="s">
        <v>31</v>
      </c>
      <c r="I701" s="34" t="s">
        <v>1109</v>
      </c>
      <c r="J701" s="65" t="s">
        <v>1232</v>
      </c>
      <c r="K701" s="6">
        <v>0</v>
      </c>
      <c r="L701" s="233">
        <v>11149</v>
      </c>
      <c r="M701" s="13">
        <v>0</v>
      </c>
      <c r="N701" s="13">
        <v>0</v>
      </c>
      <c r="O701" s="37">
        <v>0</v>
      </c>
      <c r="P701" s="37">
        <v>0</v>
      </c>
      <c r="Q701" s="37">
        <v>66094.5</v>
      </c>
      <c r="R701" s="99">
        <v>34.6</v>
      </c>
      <c r="S701" s="7" t="s">
        <v>115</v>
      </c>
      <c r="T701" s="257">
        <f t="shared" si="20"/>
        <v>11149</v>
      </c>
      <c r="U701" s="257">
        <f t="shared" si="21"/>
        <v>0</v>
      </c>
      <c r="V701">
        <v>2</v>
      </c>
      <c r="W701">
        <v>0</v>
      </c>
    </row>
    <row r="702" spans="1:23" x14ac:dyDescent="0.3">
      <c r="A702" s="212">
        <v>38353</v>
      </c>
      <c r="B702" s="212">
        <v>38717</v>
      </c>
      <c r="C702" s="6">
        <v>1</v>
      </c>
      <c r="D702" s="6">
        <v>365</v>
      </c>
      <c r="E702" s="76">
        <v>2005</v>
      </c>
      <c r="F702" s="15" t="s">
        <v>22</v>
      </c>
      <c r="G702" s="16" t="s">
        <v>23</v>
      </c>
      <c r="H702" s="9" t="s">
        <v>34</v>
      </c>
      <c r="I702" s="34" t="s">
        <v>1109</v>
      </c>
      <c r="J702" s="65" t="s">
        <v>1232</v>
      </c>
      <c r="K702" s="6">
        <v>0</v>
      </c>
      <c r="L702" s="233">
        <v>11149</v>
      </c>
      <c r="M702" s="13">
        <v>0</v>
      </c>
      <c r="N702" s="13">
        <v>0</v>
      </c>
      <c r="O702" s="37">
        <v>0</v>
      </c>
      <c r="P702" s="37">
        <v>0</v>
      </c>
      <c r="Q702" s="37">
        <v>56252.1</v>
      </c>
      <c r="R702" s="99">
        <v>45</v>
      </c>
      <c r="S702" s="7" t="s">
        <v>115</v>
      </c>
      <c r="T702" s="257">
        <f t="shared" si="20"/>
        <v>11149</v>
      </c>
      <c r="U702" s="257">
        <f t="shared" si="21"/>
        <v>0</v>
      </c>
      <c r="V702">
        <v>2</v>
      </c>
      <c r="W702">
        <v>0</v>
      </c>
    </row>
    <row r="703" spans="1:23" x14ac:dyDescent="0.3">
      <c r="A703" s="212">
        <v>38353</v>
      </c>
      <c r="B703" s="212">
        <v>38717</v>
      </c>
      <c r="C703" s="6">
        <v>1</v>
      </c>
      <c r="D703" s="6">
        <v>365</v>
      </c>
      <c r="E703" s="76">
        <v>2005</v>
      </c>
      <c r="F703" s="15" t="s">
        <v>22</v>
      </c>
      <c r="G703" s="16" t="s">
        <v>23</v>
      </c>
      <c r="H703" s="9" t="s">
        <v>41</v>
      </c>
      <c r="I703" s="34" t="s">
        <v>1109</v>
      </c>
      <c r="J703" s="65" t="s">
        <v>1232</v>
      </c>
      <c r="K703" s="6">
        <v>0</v>
      </c>
      <c r="L703" s="233">
        <v>11149</v>
      </c>
      <c r="M703" s="13">
        <v>0</v>
      </c>
      <c r="N703" s="13">
        <v>0</v>
      </c>
      <c r="O703" s="37">
        <v>0</v>
      </c>
      <c r="P703" s="37">
        <v>0</v>
      </c>
      <c r="Q703" s="37">
        <v>180000</v>
      </c>
      <c r="R703" s="99">
        <v>80</v>
      </c>
      <c r="S703" s="7" t="s">
        <v>115</v>
      </c>
      <c r="T703" s="257">
        <f t="shared" si="20"/>
        <v>11149</v>
      </c>
      <c r="U703" s="257">
        <f t="shared" si="21"/>
        <v>0</v>
      </c>
      <c r="V703">
        <v>2</v>
      </c>
      <c r="W703">
        <v>0</v>
      </c>
    </row>
    <row r="704" spans="1:23" ht="39.6" x14ac:dyDescent="0.3">
      <c r="A704" s="219">
        <v>40194</v>
      </c>
      <c r="B704" s="219">
        <v>40194</v>
      </c>
      <c r="C704" s="6">
        <v>1</v>
      </c>
      <c r="D704" s="6">
        <v>1</v>
      </c>
      <c r="E704" s="73">
        <v>2010</v>
      </c>
      <c r="F704" s="15" t="s">
        <v>22</v>
      </c>
      <c r="G704" s="18" t="s">
        <v>6256</v>
      </c>
      <c r="H704" s="9" t="s">
        <v>48</v>
      </c>
      <c r="I704" s="74" t="s">
        <v>1233</v>
      </c>
      <c r="J704" s="74" t="s">
        <v>1234</v>
      </c>
      <c r="K704" s="75">
        <v>0</v>
      </c>
      <c r="L704" s="241">
        <v>2368</v>
      </c>
      <c r="M704" s="75">
        <v>0</v>
      </c>
      <c r="N704" s="75">
        <v>0</v>
      </c>
      <c r="O704" s="75">
        <v>0</v>
      </c>
      <c r="P704" s="75">
        <v>0</v>
      </c>
      <c r="Q704" s="75">
        <v>5084.95</v>
      </c>
      <c r="R704" s="61">
        <v>22.781639800000001</v>
      </c>
      <c r="S704" s="73" t="s">
        <v>115</v>
      </c>
      <c r="T704" s="257">
        <f t="shared" si="20"/>
        <v>2368</v>
      </c>
      <c r="U704" s="257">
        <f t="shared" si="21"/>
        <v>0</v>
      </c>
      <c r="V704">
        <v>1</v>
      </c>
      <c r="W704">
        <v>0</v>
      </c>
    </row>
    <row r="705" spans="1:23" x14ac:dyDescent="0.3">
      <c r="A705" s="212">
        <v>38353</v>
      </c>
      <c r="B705" s="212">
        <v>38717</v>
      </c>
      <c r="C705" s="6">
        <v>1</v>
      </c>
      <c r="D705" s="6">
        <v>365</v>
      </c>
      <c r="E705" s="76">
        <v>2005</v>
      </c>
      <c r="F705" s="15" t="s">
        <v>22</v>
      </c>
      <c r="G705" s="16" t="s">
        <v>23</v>
      </c>
      <c r="H705" s="9" t="s">
        <v>121</v>
      </c>
      <c r="I705" s="34" t="s">
        <v>1109</v>
      </c>
      <c r="J705" s="65" t="s">
        <v>1232</v>
      </c>
      <c r="K705" s="6">
        <v>0</v>
      </c>
      <c r="L705" s="233">
        <v>11149</v>
      </c>
      <c r="M705" s="13">
        <v>0</v>
      </c>
      <c r="N705" s="13">
        <v>0</v>
      </c>
      <c r="O705" s="37">
        <v>0</v>
      </c>
      <c r="P705" s="37">
        <v>0</v>
      </c>
      <c r="Q705" s="37">
        <v>625</v>
      </c>
      <c r="R705" s="99">
        <v>0.5</v>
      </c>
      <c r="S705" s="7" t="s">
        <v>115</v>
      </c>
      <c r="T705" s="257">
        <f t="shared" si="20"/>
        <v>11149</v>
      </c>
      <c r="U705" s="257">
        <f t="shared" si="21"/>
        <v>0</v>
      </c>
      <c r="V705">
        <v>2</v>
      </c>
      <c r="W705">
        <v>0</v>
      </c>
    </row>
    <row r="706" spans="1:23" x14ac:dyDescent="0.3">
      <c r="A706" s="212">
        <v>38353</v>
      </c>
      <c r="B706" s="212">
        <v>38717</v>
      </c>
      <c r="C706" s="6">
        <v>1</v>
      </c>
      <c r="D706" s="6">
        <v>365</v>
      </c>
      <c r="E706" s="76">
        <v>2005</v>
      </c>
      <c r="F706" s="15" t="s">
        <v>22</v>
      </c>
      <c r="G706" s="16" t="s">
        <v>23</v>
      </c>
      <c r="H706" s="9" t="s">
        <v>43</v>
      </c>
      <c r="I706" s="34" t="s">
        <v>1109</v>
      </c>
      <c r="J706" s="65" t="s">
        <v>1232</v>
      </c>
      <c r="K706" s="6">
        <v>0</v>
      </c>
      <c r="L706" s="233">
        <v>11149</v>
      </c>
      <c r="M706" s="13">
        <v>0</v>
      </c>
      <c r="N706" s="13">
        <v>0</v>
      </c>
      <c r="O706" s="37">
        <v>0</v>
      </c>
      <c r="P706" s="37">
        <v>0</v>
      </c>
      <c r="Q706" s="37">
        <v>35277.1</v>
      </c>
      <c r="R706" s="99">
        <v>28.2</v>
      </c>
      <c r="S706" s="19" t="s">
        <v>1235</v>
      </c>
      <c r="T706" s="257">
        <f t="shared" si="20"/>
        <v>11149</v>
      </c>
      <c r="U706" s="257">
        <f t="shared" si="21"/>
        <v>0</v>
      </c>
      <c r="V706">
        <v>2</v>
      </c>
      <c r="W706">
        <v>0</v>
      </c>
    </row>
    <row r="707" spans="1:23" x14ac:dyDescent="0.3">
      <c r="A707" s="212">
        <v>38353</v>
      </c>
      <c r="B707" s="212">
        <v>38717</v>
      </c>
      <c r="C707" s="6">
        <v>1</v>
      </c>
      <c r="D707" s="6">
        <v>365</v>
      </c>
      <c r="E707" s="76">
        <v>2005</v>
      </c>
      <c r="F707" s="15" t="s">
        <v>22</v>
      </c>
      <c r="G707" s="16" t="s">
        <v>23</v>
      </c>
      <c r="H707" s="9" t="s">
        <v>52</v>
      </c>
      <c r="I707" s="34" t="s">
        <v>1109</v>
      </c>
      <c r="J707" s="65" t="s">
        <v>1232</v>
      </c>
      <c r="K707" s="6">
        <v>0</v>
      </c>
      <c r="L707" s="233">
        <v>11149</v>
      </c>
      <c r="M707" s="13">
        <v>0</v>
      </c>
      <c r="N707" s="13">
        <v>0</v>
      </c>
      <c r="O707" s="37">
        <v>0</v>
      </c>
      <c r="P707" s="37">
        <v>0</v>
      </c>
      <c r="Q707" s="37">
        <v>14723.1</v>
      </c>
      <c r="R707" s="99">
        <v>13.3</v>
      </c>
      <c r="S707" s="19" t="s">
        <v>1235</v>
      </c>
      <c r="T707" s="257">
        <f t="shared" ref="T707:T770" si="22">SUM(K707:L707)</f>
        <v>11149</v>
      </c>
      <c r="U707" s="257">
        <f t="shared" ref="U707:U770" si="23">SUM(M707:P707)</f>
        <v>0</v>
      </c>
      <c r="V707">
        <v>2</v>
      </c>
      <c r="W707">
        <v>0</v>
      </c>
    </row>
    <row r="708" spans="1:23" x14ac:dyDescent="0.3">
      <c r="A708" s="212">
        <v>38353</v>
      </c>
      <c r="B708" s="212">
        <v>38717</v>
      </c>
      <c r="C708" s="6">
        <v>1</v>
      </c>
      <c r="D708" s="6">
        <v>365</v>
      </c>
      <c r="E708" s="76">
        <v>2005</v>
      </c>
      <c r="F708" s="15" t="s">
        <v>22</v>
      </c>
      <c r="G708" s="16" t="s">
        <v>23</v>
      </c>
      <c r="H708" s="9" t="s">
        <v>56</v>
      </c>
      <c r="I708" s="34" t="s">
        <v>1109</v>
      </c>
      <c r="J708" s="65" t="s">
        <v>1232</v>
      </c>
      <c r="K708" s="6">
        <v>0</v>
      </c>
      <c r="L708" s="233">
        <v>11149</v>
      </c>
      <c r="M708" s="13">
        <v>0</v>
      </c>
      <c r="N708" s="13">
        <v>0</v>
      </c>
      <c r="O708" s="37">
        <v>0</v>
      </c>
      <c r="P708" s="37">
        <v>0</v>
      </c>
      <c r="Q708" s="37">
        <v>5490.8</v>
      </c>
      <c r="R708" s="99">
        <v>4.4000000000000004</v>
      </c>
      <c r="S708" s="19" t="s">
        <v>1235</v>
      </c>
      <c r="T708" s="257">
        <f t="shared" si="22"/>
        <v>11149</v>
      </c>
      <c r="U708" s="257">
        <f t="shared" si="23"/>
        <v>0</v>
      </c>
      <c r="V708">
        <v>2</v>
      </c>
      <c r="W708">
        <v>0</v>
      </c>
    </row>
    <row r="709" spans="1:23" x14ac:dyDescent="0.3">
      <c r="A709" s="212">
        <v>38353</v>
      </c>
      <c r="B709" s="212">
        <v>38717</v>
      </c>
      <c r="C709" s="6">
        <v>1</v>
      </c>
      <c r="D709" s="6">
        <v>365</v>
      </c>
      <c r="E709" s="76">
        <v>2005</v>
      </c>
      <c r="F709" s="15" t="s">
        <v>22</v>
      </c>
      <c r="G709" s="16" t="s">
        <v>23</v>
      </c>
      <c r="H709" s="9" t="s">
        <v>61</v>
      </c>
      <c r="I709" s="34" t="s">
        <v>1109</v>
      </c>
      <c r="J709" s="65" t="s">
        <v>1232</v>
      </c>
      <c r="K709" s="6">
        <v>0</v>
      </c>
      <c r="L709" s="233">
        <v>11149</v>
      </c>
      <c r="M709" s="13">
        <v>0</v>
      </c>
      <c r="N709" s="13">
        <v>0</v>
      </c>
      <c r="O709" s="37">
        <v>0</v>
      </c>
      <c r="P709" s="37">
        <v>0</v>
      </c>
      <c r="Q709" s="37">
        <v>53818</v>
      </c>
      <c r="R709" s="99">
        <v>24.6</v>
      </c>
      <c r="S709" s="19" t="s">
        <v>1235</v>
      </c>
      <c r="T709" s="257">
        <f t="shared" si="22"/>
        <v>11149</v>
      </c>
      <c r="U709" s="257">
        <f t="shared" si="23"/>
        <v>0</v>
      </c>
      <c r="V709">
        <v>2</v>
      </c>
      <c r="W709">
        <v>0</v>
      </c>
    </row>
    <row r="710" spans="1:23" x14ac:dyDescent="0.3">
      <c r="A710" s="212">
        <v>38353</v>
      </c>
      <c r="B710" s="212">
        <v>38717</v>
      </c>
      <c r="C710" s="6">
        <v>1</v>
      </c>
      <c r="D710" s="6">
        <v>365</v>
      </c>
      <c r="E710" s="76">
        <v>2005</v>
      </c>
      <c r="F710" s="15" t="s">
        <v>22</v>
      </c>
      <c r="G710" s="16" t="s">
        <v>23</v>
      </c>
      <c r="H710" s="9" t="s">
        <v>64</v>
      </c>
      <c r="I710" s="34" t="s">
        <v>1109</v>
      </c>
      <c r="J710" s="65" t="s">
        <v>1232</v>
      </c>
      <c r="K710" s="6">
        <v>0</v>
      </c>
      <c r="L710" s="233">
        <v>11149</v>
      </c>
      <c r="M710" s="13">
        <v>0</v>
      </c>
      <c r="N710" s="13">
        <v>0</v>
      </c>
      <c r="O710" s="37">
        <v>0</v>
      </c>
      <c r="P710" s="37">
        <v>0</v>
      </c>
      <c r="Q710" s="37">
        <v>61309.3</v>
      </c>
      <c r="R710" s="99">
        <v>65.900000000000006</v>
      </c>
      <c r="S710" s="19" t="s">
        <v>1235</v>
      </c>
      <c r="T710" s="257">
        <f t="shared" si="22"/>
        <v>11149</v>
      </c>
      <c r="U710" s="257">
        <f t="shared" si="23"/>
        <v>0</v>
      </c>
      <c r="V710">
        <v>2</v>
      </c>
      <c r="W710">
        <v>0</v>
      </c>
    </row>
    <row r="711" spans="1:23" x14ac:dyDescent="0.3">
      <c r="A711" s="212">
        <v>38353</v>
      </c>
      <c r="B711" s="212">
        <v>38717</v>
      </c>
      <c r="C711" s="6">
        <v>1</v>
      </c>
      <c r="D711" s="6">
        <v>365</v>
      </c>
      <c r="E711" s="76">
        <v>2005</v>
      </c>
      <c r="F711" s="15" t="s">
        <v>22</v>
      </c>
      <c r="G711" s="16" t="s">
        <v>23</v>
      </c>
      <c r="H711" s="17" t="s">
        <v>565</v>
      </c>
      <c r="I711" s="34" t="s">
        <v>1109</v>
      </c>
      <c r="J711" s="65" t="s">
        <v>1232</v>
      </c>
      <c r="K711" s="6">
        <v>0</v>
      </c>
      <c r="L711" s="233">
        <v>11149</v>
      </c>
      <c r="M711" s="13">
        <v>0</v>
      </c>
      <c r="N711" s="13">
        <v>0</v>
      </c>
      <c r="O711" s="37">
        <v>0</v>
      </c>
      <c r="P711" s="37">
        <v>0</v>
      </c>
      <c r="Q711" s="37">
        <v>6037.8</v>
      </c>
      <c r="R711" s="99">
        <v>30.3</v>
      </c>
      <c r="S711" s="19" t="s">
        <v>1235</v>
      </c>
      <c r="T711" s="257">
        <f t="shared" si="22"/>
        <v>11149</v>
      </c>
      <c r="U711" s="257">
        <f t="shared" si="23"/>
        <v>0</v>
      </c>
      <c r="V711">
        <v>2</v>
      </c>
      <c r="W711">
        <v>0</v>
      </c>
    </row>
    <row r="712" spans="1:23" x14ac:dyDescent="0.3">
      <c r="A712" s="212">
        <v>38353</v>
      </c>
      <c r="B712" s="212">
        <v>38717</v>
      </c>
      <c r="C712" s="6">
        <v>1</v>
      </c>
      <c r="D712" s="6">
        <v>365</v>
      </c>
      <c r="E712" s="76">
        <v>2005</v>
      </c>
      <c r="F712" s="15" t="s">
        <v>22</v>
      </c>
      <c r="G712" s="16" t="s">
        <v>23</v>
      </c>
      <c r="H712" s="9" t="s">
        <v>84</v>
      </c>
      <c r="I712" s="34" t="s">
        <v>1109</v>
      </c>
      <c r="J712" s="65" t="s">
        <v>1232</v>
      </c>
      <c r="K712" s="6">
        <v>0</v>
      </c>
      <c r="L712" s="233">
        <v>11149</v>
      </c>
      <c r="M712" s="13">
        <v>0</v>
      </c>
      <c r="N712" s="13">
        <v>0</v>
      </c>
      <c r="O712" s="37">
        <v>0</v>
      </c>
      <c r="P712" s="37">
        <v>0</v>
      </c>
      <c r="Q712" s="37">
        <v>25336</v>
      </c>
      <c r="R712" s="99">
        <v>30.9</v>
      </c>
      <c r="S712" s="19" t="s">
        <v>1235</v>
      </c>
      <c r="T712" s="257">
        <f t="shared" si="22"/>
        <v>11149</v>
      </c>
      <c r="U712" s="257">
        <f t="shared" si="23"/>
        <v>0</v>
      </c>
      <c r="V712">
        <v>2</v>
      </c>
      <c r="W712">
        <v>0</v>
      </c>
    </row>
    <row r="713" spans="1:23" x14ac:dyDescent="0.3">
      <c r="A713" s="212">
        <v>38353</v>
      </c>
      <c r="B713" s="212">
        <v>38717</v>
      </c>
      <c r="C713" s="6">
        <v>1</v>
      </c>
      <c r="D713" s="6">
        <v>365</v>
      </c>
      <c r="E713" s="76">
        <v>2005</v>
      </c>
      <c r="F713" s="15" t="s">
        <v>22</v>
      </c>
      <c r="G713" s="16" t="s">
        <v>23</v>
      </c>
      <c r="H713" s="9" t="s">
        <v>174</v>
      </c>
      <c r="I713" s="34" t="s">
        <v>1109</v>
      </c>
      <c r="J713" s="65" t="s">
        <v>1232</v>
      </c>
      <c r="K713" s="6">
        <v>0</v>
      </c>
      <c r="L713" s="233">
        <v>11149</v>
      </c>
      <c r="M713" s="13">
        <v>0</v>
      </c>
      <c r="N713" s="13">
        <v>0</v>
      </c>
      <c r="O713" s="37">
        <v>0</v>
      </c>
      <c r="P713" s="37">
        <v>0</v>
      </c>
      <c r="Q713" s="37">
        <v>1436.5</v>
      </c>
      <c r="R713" s="99">
        <v>1.1000000000000001</v>
      </c>
      <c r="S713" s="19" t="s">
        <v>1235</v>
      </c>
      <c r="T713" s="257">
        <f t="shared" si="22"/>
        <v>11149</v>
      </c>
      <c r="U713" s="257">
        <f t="shared" si="23"/>
        <v>0</v>
      </c>
      <c r="V713">
        <v>2</v>
      </c>
      <c r="W713">
        <v>0</v>
      </c>
    </row>
    <row r="714" spans="1:23" x14ac:dyDescent="0.3">
      <c r="A714" s="212">
        <v>38353</v>
      </c>
      <c r="B714" s="212">
        <v>38717</v>
      </c>
      <c r="C714" s="6">
        <v>1</v>
      </c>
      <c r="D714" s="6">
        <v>365</v>
      </c>
      <c r="E714" s="76">
        <v>2005</v>
      </c>
      <c r="F714" s="15" t="s">
        <v>22</v>
      </c>
      <c r="G714" s="16" t="s">
        <v>23</v>
      </c>
      <c r="H714" s="9" t="s">
        <v>88</v>
      </c>
      <c r="I714" s="34" t="s">
        <v>1109</v>
      </c>
      <c r="J714" s="65" t="s">
        <v>1232</v>
      </c>
      <c r="K714" s="6">
        <v>0</v>
      </c>
      <c r="L714" s="233">
        <v>11149</v>
      </c>
      <c r="M714" s="13">
        <v>0</v>
      </c>
      <c r="N714" s="13">
        <v>0</v>
      </c>
      <c r="O714" s="37">
        <v>0</v>
      </c>
      <c r="P714" s="37">
        <v>0</v>
      </c>
      <c r="Q714" s="37">
        <v>150000</v>
      </c>
      <c r="R714" s="99">
        <v>410.4</v>
      </c>
      <c r="S714" s="19" t="s">
        <v>1235</v>
      </c>
      <c r="T714" s="257">
        <f t="shared" si="22"/>
        <v>11149</v>
      </c>
      <c r="U714" s="257">
        <f t="shared" si="23"/>
        <v>0</v>
      </c>
      <c r="V714">
        <v>2</v>
      </c>
      <c r="W714">
        <v>0</v>
      </c>
    </row>
    <row r="715" spans="1:23" ht="45.6" x14ac:dyDescent="0.3">
      <c r="A715" s="221">
        <v>38416</v>
      </c>
      <c r="B715" s="221">
        <v>38416</v>
      </c>
      <c r="C715" s="6">
        <v>3</v>
      </c>
      <c r="D715" s="6">
        <v>1</v>
      </c>
      <c r="E715" s="76">
        <v>2005</v>
      </c>
      <c r="F715" s="7" t="s">
        <v>17</v>
      </c>
      <c r="G715" s="8" t="s">
        <v>6261</v>
      </c>
      <c r="H715" s="9" t="s">
        <v>27</v>
      </c>
      <c r="I715" s="90" t="s">
        <v>671</v>
      </c>
      <c r="J715" s="90" t="s">
        <v>1236</v>
      </c>
      <c r="K715" s="100">
        <v>1</v>
      </c>
      <c r="L715" s="244">
        <v>67</v>
      </c>
      <c r="M715" s="101">
        <v>0</v>
      </c>
      <c r="N715" s="101">
        <v>0</v>
      </c>
      <c r="O715" s="37">
        <v>0</v>
      </c>
      <c r="P715" s="37">
        <v>0</v>
      </c>
      <c r="Q715" s="101">
        <v>0</v>
      </c>
      <c r="R715" s="102">
        <v>0.254</v>
      </c>
      <c r="S715" s="7" t="s">
        <v>115</v>
      </c>
      <c r="T715" s="257">
        <f t="shared" si="22"/>
        <v>68</v>
      </c>
      <c r="U715" s="257">
        <f t="shared" si="23"/>
        <v>0</v>
      </c>
      <c r="V715">
        <v>1</v>
      </c>
      <c r="W715">
        <v>0</v>
      </c>
    </row>
    <row r="716" spans="1:23" ht="45.6" x14ac:dyDescent="0.3">
      <c r="A716" s="221">
        <v>38514</v>
      </c>
      <c r="B716" s="221">
        <v>38514</v>
      </c>
      <c r="C716" s="6">
        <v>6</v>
      </c>
      <c r="D716" s="6">
        <v>1</v>
      </c>
      <c r="E716" s="76">
        <v>2005</v>
      </c>
      <c r="F716" s="7" t="s">
        <v>17</v>
      </c>
      <c r="G716" s="8" t="s">
        <v>6261</v>
      </c>
      <c r="H716" s="9" t="s">
        <v>64</v>
      </c>
      <c r="I716" s="90" t="s">
        <v>1076</v>
      </c>
      <c r="J716" s="90" t="s">
        <v>1237</v>
      </c>
      <c r="K716" s="100">
        <v>0</v>
      </c>
      <c r="L716" s="244">
        <v>74</v>
      </c>
      <c r="M716" s="101">
        <v>17</v>
      </c>
      <c r="N716" s="101">
        <v>0</v>
      </c>
      <c r="O716" s="37">
        <v>0</v>
      </c>
      <c r="P716" s="37">
        <v>0</v>
      </c>
      <c r="Q716" s="101">
        <v>0</v>
      </c>
      <c r="R716" s="102">
        <v>0.17199999999999999</v>
      </c>
      <c r="S716" s="7" t="s">
        <v>115</v>
      </c>
      <c r="T716" s="257">
        <f t="shared" si="22"/>
        <v>74</v>
      </c>
      <c r="U716" s="257">
        <f t="shared" si="23"/>
        <v>17</v>
      </c>
      <c r="V716">
        <v>1</v>
      </c>
      <c r="W716">
        <v>1</v>
      </c>
    </row>
    <row r="717" spans="1:23" ht="34.200000000000003" x14ac:dyDescent="0.3">
      <c r="A717" s="221">
        <v>38547</v>
      </c>
      <c r="B717" s="221">
        <v>38547</v>
      </c>
      <c r="C717" s="6">
        <v>7</v>
      </c>
      <c r="D717" s="6">
        <v>1</v>
      </c>
      <c r="E717" s="76">
        <v>2005</v>
      </c>
      <c r="F717" s="7" t="s">
        <v>17</v>
      </c>
      <c r="G717" s="8" t="s">
        <v>6261</v>
      </c>
      <c r="H717" s="9" t="s">
        <v>118</v>
      </c>
      <c r="I717" s="90" t="s">
        <v>1030</v>
      </c>
      <c r="J717" s="90" t="s">
        <v>1238</v>
      </c>
      <c r="K717" s="100">
        <v>1</v>
      </c>
      <c r="L717" s="244">
        <v>1</v>
      </c>
      <c r="M717" s="101">
        <v>0</v>
      </c>
      <c r="N717" s="101">
        <v>0</v>
      </c>
      <c r="O717" s="37">
        <v>0</v>
      </c>
      <c r="P717" s="37">
        <v>0</v>
      </c>
      <c r="Q717" s="101">
        <v>0</v>
      </c>
      <c r="R717" s="102">
        <v>0</v>
      </c>
      <c r="S717" s="7" t="s">
        <v>115</v>
      </c>
      <c r="T717" s="257">
        <f t="shared" si="22"/>
        <v>2</v>
      </c>
      <c r="U717" s="257">
        <f t="shared" si="23"/>
        <v>0</v>
      </c>
      <c r="V717">
        <v>1</v>
      </c>
      <c r="W717">
        <v>0</v>
      </c>
    </row>
    <row r="718" spans="1:23" ht="22.8" x14ac:dyDescent="0.3">
      <c r="A718" s="213">
        <v>42587</v>
      </c>
      <c r="B718" s="213">
        <v>42589</v>
      </c>
      <c r="C718" s="6">
        <v>8</v>
      </c>
      <c r="D718" s="6">
        <v>3</v>
      </c>
      <c r="E718" s="27">
        <v>2016</v>
      </c>
      <c r="F718" s="15" t="s">
        <v>22</v>
      </c>
      <c r="G718" s="28" t="s">
        <v>6256</v>
      </c>
      <c r="H718" s="9" t="s">
        <v>48</v>
      </c>
      <c r="I718" s="29" t="s">
        <v>1239</v>
      </c>
      <c r="J718" s="30" t="s">
        <v>550</v>
      </c>
      <c r="K718" s="27">
        <v>0</v>
      </c>
      <c r="L718" s="235">
        <v>78213</v>
      </c>
      <c r="M718" s="27">
        <v>0</v>
      </c>
      <c r="N718" s="27">
        <v>0</v>
      </c>
      <c r="O718" s="27">
        <v>0</v>
      </c>
      <c r="P718" s="27">
        <v>0</v>
      </c>
      <c r="Q718" s="31">
        <v>0</v>
      </c>
      <c r="R718" s="32">
        <v>22.253814999999999</v>
      </c>
      <c r="S718" s="27" t="s">
        <v>551</v>
      </c>
      <c r="T718" s="257">
        <f t="shared" si="22"/>
        <v>78213</v>
      </c>
      <c r="U718" s="257">
        <f t="shared" si="23"/>
        <v>0</v>
      </c>
      <c r="V718">
        <v>2</v>
      </c>
      <c r="W718">
        <v>0</v>
      </c>
    </row>
    <row r="719" spans="1:23" ht="45.6" x14ac:dyDescent="0.3">
      <c r="A719" s="221">
        <v>38554</v>
      </c>
      <c r="B719" s="221">
        <v>38554</v>
      </c>
      <c r="C719" s="6">
        <v>7</v>
      </c>
      <c r="D719" s="6">
        <v>1</v>
      </c>
      <c r="E719" s="76">
        <v>2005</v>
      </c>
      <c r="F719" s="7" t="s">
        <v>17</v>
      </c>
      <c r="G719" s="8" t="s">
        <v>6261</v>
      </c>
      <c r="H719" s="9" t="s">
        <v>61</v>
      </c>
      <c r="I719" s="90" t="s">
        <v>1240</v>
      </c>
      <c r="J719" s="90" t="s">
        <v>1241</v>
      </c>
      <c r="K719" s="100">
        <v>6</v>
      </c>
      <c r="L719" s="244">
        <v>6</v>
      </c>
      <c r="M719" s="101">
        <v>1</v>
      </c>
      <c r="N719" s="101">
        <v>0</v>
      </c>
      <c r="O719" s="37">
        <v>0</v>
      </c>
      <c r="P719" s="37">
        <v>0</v>
      </c>
      <c r="Q719" s="101">
        <v>0</v>
      </c>
      <c r="R719" s="102">
        <v>4.2000000000000003E-2</v>
      </c>
      <c r="S719" s="7" t="s">
        <v>115</v>
      </c>
      <c r="T719" s="257">
        <f t="shared" si="22"/>
        <v>12</v>
      </c>
      <c r="U719" s="257">
        <f t="shared" si="23"/>
        <v>1</v>
      </c>
      <c r="V719">
        <v>1</v>
      </c>
      <c r="W719">
        <v>1</v>
      </c>
    </row>
    <row r="720" spans="1:23" ht="34.200000000000003" x14ac:dyDescent="0.3">
      <c r="A720" s="221">
        <v>38561</v>
      </c>
      <c r="B720" s="221">
        <v>38561</v>
      </c>
      <c r="C720" s="6">
        <v>7</v>
      </c>
      <c r="D720" s="6">
        <v>1</v>
      </c>
      <c r="E720" s="76">
        <v>2005</v>
      </c>
      <c r="F720" s="7" t="s">
        <v>17</v>
      </c>
      <c r="G720" s="8" t="s">
        <v>6261</v>
      </c>
      <c r="H720" s="9" t="s">
        <v>118</v>
      </c>
      <c r="I720" s="90" t="s">
        <v>1030</v>
      </c>
      <c r="J720" s="90" t="s">
        <v>1242</v>
      </c>
      <c r="K720" s="100">
        <v>0</v>
      </c>
      <c r="L720" s="244">
        <v>102</v>
      </c>
      <c r="M720" s="101">
        <v>0</v>
      </c>
      <c r="N720" s="101">
        <v>0</v>
      </c>
      <c r="O720" s="37">
        <v>0</v>
      </c>
      <c r="P720" s="37">
        <v>0</v>
      </c>
      <c r="Q720" s="101">
        <v>0</v>
      </c>
      <c r="R720" s="102">
        <v>0</v>
      </c>
      <c r="S720" s="7" t="s">
        <v>115</v>
      </c>
      <c r="T720" s="257">
        <f t="shared" si="22"/>
        <v>102</v>
      </c>
      <c r="U720" s="257">
        <f t="shared" si="23"/>
        <v>0</v>
      </c>
      <c r="V720">
        <v>1</v>
      </c>
      <c r="W720">
        <v>0</v>
      </c>
    </row>
    <row r="721" spans="1:23" ht="22.8" x14ac:dyDescent="0.3">
      <c r="A721" s="221">
        <v>38589</v>
      </c>
      <c r="B721" s="221">
        <v>38589</v>
      </c>
      <c r="C721" s="6">
        <v>8</v>
      </c>
      <c r="D721" s="6">
        <v>1</v>
      </c>
      <c r="E721" s="76">
        <v>2005</v>
      </c>
      <c r="F721" s="7" t="s">
        <v>17</v>
      </c>
      <c r="G721" s="8" t="s">
        <v>6261</v>
      </c>
      <c r="H721" s="9" t="s">
        <v>174</v>
      </c>
      <c r="I721" s="90" t="s">
        <v>1243</v>
      </c>
      <c r="J721" s="90" t="s">
        <v>1244</v>
      </c>
      <c r="K721" s="100">
        <v>6</v>
      </c>
      <c r="L721" s="244">
        <v>6</v>
      </c>
      <c r="M721" s="101">
        <v>1</v>
      </c>
      <c r="N721" s="101">
        <v>0</v>
      </c>
      <c r="O721" s="37">
        <v>0</v>
      </c>
      <c r="P721" s="37">
        <v>0</v>
      </c>
      <c r="Q721" s="101">
        <v>0</v>
      </c>
      <c r="R721" s="102">
        <v>4.2000000000000003E-2</v>
      </c>
      <c r="S721" s="7" t="s">
        <v>115</v>
      </c>
      <c r="T721" s="257">
        <f t="shared" si="22"/>
        <v>12</v>
      </c>
      <c r="U721" s="257">
        <f t="shared" si="23"/>
        <v>1</v>
      </c>
      <c r="V721">
        <v>1</v>
      </c>
      <c r="W721">
        <v>1</v>
      </c>
    </row>
    <row r="722" spans="1:23" ht="45.6" x14ac:dyDescent="0.3">
      <c r="A722" s="221">
        <v>38596</v>
      </c>
      <c r="B722" s="221">
        <v>38596</v>
      </c>
      <c r="C722" s="6">
        <v>9</v>
      </c>
      <c r="D722" s="6">
        <v>1</v>
      </c>
      <c r="E722" s="76">
        <v>2005</v>
      </c>
      <c r="F722" s="7" t="s">
        <v>17</v>
      </c>
      <c r="G722" s="8" t="s">
        <v>6261</v>
      </c>
      <c r="H722" s="9" t="s">
        <v>43</v>
      </c>
      <c r="I722" s="90" t="s">
        <v>629</v>
      </c>
      <c r="J722" s="91" t="s">
        <v>1245</v>
      </c>
      <c r="K722" s="100">
        <v>0</v>
      </c>
      <c r="L722" s="244">
        <v>30</v>
      </c>
      <c r="M722" s="101">
        <v>3</v>
      </c>
      <c r="N722" s="101">
        <v>0</v>
      </c>
      <c r="O722" s="37">
        <v>0</v>
      </c>
      <c r="P722" s="37">
        <v>0</v>
      </c>
      <c r="Q722" s="101">
        <v>0</v>
      </c>
      <c r="R722" s="102">
        <v>0.128</v>
      </c>
      <c r="S722" s="7" t="s">
        <v>115</v>
      </c>
      <c r="T722" s="257">
        <f t="shared" si="22"/>
        <v>30</v>
      </c>
      <c r="U722" s="257">
        <f t="shared" si="23"/>
        <v>3</v>
      </c>
      <c r="V722">
        <v>1</v>
      </c>
      <c r="W722">
        <v>1</v>
      </c>
    </row>
    <row r="723" spans="1:23" ht="45.6" x14ac:dyDescent="0.3">
      <c r="A723" s="221">
        <v>38599</v>
      </c>
      <c r="B723" s="221">
        <v>38599</v>
      </c>
      <c r="C723" s="6">
        <v>9</v>
      </c>
      <c r="D723" s="6">
        <v>1</v>
      </c>
      <c r="E723" s="76">
        <v>2005</v>
      </c>
      <c r="F723" s="7" t="s">
        <v>17</v>
      </c>
      <c r="G723" s="8" t="s">
        <v>6261</v>
      </c>
      <c r="H723" s="9" t="s">
        <v>31</v>
      </c>
      <c r="I723" s="90" t="s">
        <v>196</v>
      </c>
      <c r="J723" s="90" t="s">
        <v>1246</v>
      </c>
      <c r="K723" s="100">
        <v>1</v>
      </c>
      <c r="L723" s="244">
        <v>2</v>
      </c>
      <c r="M723" s="101">
        <v>1</v>
      </c>
      <c r="N723" s="101">
        <v>0</v>
      </c>
      <c r="O723" s="37">
        <v>0</v>
      </c>
      <c r="P723" s="37">
        <v>0</v>
      </c>
      <c r="Q723" s="101">
        <v>0</v>
      </c>
      <c r="R723" s="102">
        <v>0.01</v>
      </c>
      <c r="S723" s="7" t="s">
        <v>115</v>
      </c>
      <c r="T723" s="257">
        <f t="shared" si="22"/>
        <v>3</v>
      </c>
      <c r="U723" s="257">
        <f t="shared" si="23"/>
        <v>1</v>
      </c>
      <c r="V723">
        <v>1</v>
      </c>
      <c r="W723">
        <v>1</v>
      </c>
    </row>
    <row r="724" spans="1:23" ht="68.400000000000006" x14ac:dyDescent="0.3">
      <c r="A724" s="221">
        <v>38599</v>
      </c>
      <c r="B724" s="221">
        <v>38599</v>
      </c>
      <c r="C724" s="6">
        <v>9</v>
      </c>
      <c r="D724" s="6">
        <v>1</v>
      </c>
      <c r="E724" s="76">
        <v>2005</v>
      </c>
      <c r="F724" s="7" t="s">
        <v>17</v>
      </c>
      <c r="G724" s="8" t="s">
        <v>6261</v>
      </c>
      <c r="H724" s="9" t="s">
        <v>43</v>
      </c>
      <c r="I724" s="90" t="s">
        <v>1247</v>
      </c>
      <c r="J724" s="91" t="s">
        <v>1248</v>
      </c>
      <c r="K724" s="100">
        <v>3</v>
      </c>
      <c r="L724" s="244">
        <v>131</v>
      </c>
      <c r="M724" s="101">
        <v>14</v>
      </c>
      <c r="N724" s="101">
        <v>0</v>
      </c>
      <c r="O724" s="37">
        <v>0</v>
      </c>
      <c r="P724" s="37">
        <v>0</v>
      </c>
      <c r="Q724" s="101">
        <v>0</v>
      </c>
      <c r="R724" s="102">
        <v>0.13100000000000001</v>
      </c>
      <c r="S724" s="7" t="s">
        <v>115</v>
      </c>
      <c r="T724" s="257">
        <f t="shared" si="22"/>
        <v>134</v>
      </c>
      <c r="U724" s="257">
        <f t="shared" si="23"/>
        <v>14</v>
      </c>
      <c r="V724">
        <v>1</v>
      </c>
      <c r="W724">
        <v>1</v>
      </c>
    </row>
    <row r="725" spans="1:23" ht="34.200000000000003" x14ac:dyDescent="0.3">
      <c r="A725" s="221">
        <v>38617</v>
      </c>
      <c r="B725" s="221">
        <v>38617</v>
      </c>
      <c r="C725" s="6">
        <v>9</v>
      </c>
      <c r="D725" s="6">
        <v>1</v>
      </c>
      <c r="E725" s="76">
        <v>2005</v>
      </c>
      <c r="F725" s="7" t="s">
        <v>17</v>
      </c>
      <c r="G725" s="8" t="s">
        <v>6261</v>
      </c>
      <c r="H725" s="9" t="s">
        <v>31</v>
      </c>
      <c r="I725" s="90" t="s">
        <v>1249</v>
      </c>
      <c r="J725" s="90" t="s">
        <v>1250</v>
      </c>
      <c r="K725" s="100">
        <v>3</v>
      </c>
      <c r="L725" s="244">
        <v>3</v>
      </c>
      <c r="M725" s="101">
        <v>0</v>
      </c>
      <c r="N725" s="101">
        <v>0</v>
      </c>
      <c r="O725" s="37">
        <v>0</v>
      </c>
      <c r="P725" s="37">
        <v>0</v>
      </c>
      <c r="Q725" s="101">
        <v>0</v>
      </c>
      <c r="R725" s="102">
        <v>0</v>
      </c>
      <c r="S725" s="7" t="s">
        <v>115</v>
      </c>
      <c r="T725" s="257">
        <f t="shared" si="22"/>
        <v>6</v>
      </c>
      <c r="U725" s="257">
        <f t="shared" si="23"/>
        <v>0</v>
      </c>
      <c r="V725">
        <v>1</v>
      </c>
      <c r="W725">
        <v>0</v>
      </c>
    </row>
    <row r="726" spans="1:23" ht="34.200000000000003" x14ac:dyDescent="0.3">
      <c r="A726" s="221">
        <v>38631</v>
      </c>
      <c r="B726" s="221">
        <v>38631</v>
      </c>
      <c r="C726" s="6">
        <v>10</v>
      </c>
      <c r="D726" s="6">
        <v>1</v>
      </c>
      <c r="E726" s="76">
        <v>2005</v>
      </c>
      <c r="F726" s="7" t="s">
        <v>17</v>
      </c>
      <c r="G726" s="8" t="s">
        <v>6261</v>
      </c>
      <c r="H726" s="9" t="s">
        <v>64</v>
      </c>
      <c r="I726" s="90" t="s">
        <v>1251</v>
      </c>
      <c r="J726" s="90" t="s">
        <v>1252</v>
      </c>
      <c r="K726" s="100">
        <v>3</v>
      </c>
      <c r="L726" s="244">
        <v>3</v>
      </c>
      <c r="M726" s="101">
        <v>0</v>
      </c>
      <c r="N726" s="101">
        <v>0</v>
      </c>
      <c r="O726" s="37">
        <v>0</v>
      </c>
      <c r="P726" s="37">
        <v>0</v>
      </c>
      <c r="Q726" s="101">
        <v>0</v>
      </c>
      <c r="R726" s="102">
        <v>4.2000000000000003E-2</v>
      </c>
      <c r="S726" s="7" t="s">
        <v>115</v>
      </c>
      <c r="T726" s="257">
        <f t="shared" si="22"/>
        <v>6</v>
      </c>
      <c r="U726" s="257">
        <f t="shared" si="23"/>
        <v>0</v>
      </c>
      <c r="V726">
        <v>1</v>
      </c>
      <c r="W726">
        <v>0</v>
      </c>
    </row>
    <row r="727" spans="1:23" ht="34.200000000000003" x14ac:dyDescent="0.3">
      <c r="A727" s="221">
        <v>38653</v>
      </c>
      <c r="B727" s="221">
        <v>38653</v>
      </c>
      <c r="C727" s="6">
        <v>10</v>
      </c>
      <c r="D727" s="6">
        <v>1</v>
      </c>
      <c r="E727" s="76">
        <v>2005</v>
      </c>
      <c r="F727" s="7" t="s">
        <v>17</v>
      </c>
      <c r="G727" s="8" t="s">
        <v>6261</v>
      </c>
      <c r="H727" s="9" t="s">
        <v>27</v>
      </c>
      <c r="I727" s="90" t="s">
        <v>671</v>
      </c>
      <c r="J727" s="90" t="s">
        <v>1253</v>
      </c>
      <c r="K727" s="100">
        <v>0</v>
      </c>
      <c r="L727" s="244">
        <v>295</v>
      </c>
      <c r="M727" s="101">
        <v>59</v>
      </c>
      <c r="N727" s="101">
        <v>0</v>
      </c>
      <c r="O727" s="37">
        <v>0</v>
      </c>
      <c r="P727" s="37">
        <v>0</v>
      </c>
      <c r="Q727" s="101">
        <v>0</v>
      </c>
      <c r="R727" s="102">
        <v>0.59699999999999998</v>
      </c>
      <c r="S727" s="7" t="s">
        <v>115</v>
      </c>
      <c r="T727" s="257">
        <f t="shared" si="22"/>
        <v>295</v>
      </c>
      <c r="U727" s="257">
        <f t="shared" si="23"/>
        <v>59</v>
      </c>
      <c r="V727">
        <v>1</v>
      </c>
      <c r="W727">
        <v>1</v>
      </c>
    </row>
    <row r="728" spans="1:23" ht="57" x14ac:dyDescent="0.3">
      <c r="A728" s="129">
        <v>38724</v>
      </c>
      <c r="B728" s="129">
        <v>38724</v>
      </c>
      <c r="C728" s="6">
        <v>1</v>
      </c>
      <c r="D728" s="6">
        <v>1</v>
      </c>
      <c r="E728" s="103">
        <v>2006</v>
      </c>
      <c r="F728" s="15" t="s">
        <v>22</v>
      </c>
      <c r="G728" s="18" t="s">
        <v>6255</v>
      </c>
      <c r="H728" s="9" t="s">
        <v>118</v>
      </c>
      <c r="I728" s="59" t="s">
        <v>860</v>
      </c>
      <c r="J728" s="59" t="s">
        <v>1286</v>
      </c>
      <c r="K728" s="19">
        <v>0</v>
      </c>
      <c r="L728" s="104">
        <v>2227</v>
      </c>
      <c r="M728" s="19">
        <v>0</v>
      </c>
      <c r="N728" s="19">
        <v>0</v>
      </c>
      <c r="O728" s="19">
        <v>0</v>
      </c>
      <c r="P728" s="19">
        <v>0</v>
      </c>
      <c r="Q728" s="105">
        <v>918.17</v>
      </c>
      <c r="R728" s="93">
        <v>6.5286010000000001</v>
      </c>
      <c r="S728" s="19" t="s">
        <v>1235</v>
      </c>
      <c r="T728" s="257">
        <f t="shared" si="22"/>
        <v>2227</v>
      </c>
      <c r="U728" s="257">
        <f t="shared" si="23"/>
        <v>0</v>
      </c>
      <c r="V728">
        <v>1</v>
      </c>
      <c r="W728">
        <v>0</v>
      </c>
    </row>
    <row r="729" spans="1:23" ht="34.200000000000003" x14ac:dyDescent="0.3">
      <c r="A729" s="129">
        <v>38734</v>
      </c>
      <c r="B729" s="129">
        <v>38734</v>
      </c>
      <c r="C729" s="6">
        <v>1</v>
      </c>
      <c r="D729" s="6">
        <v>1</v>
      </c>
      <c r="E729" s="103">
        <v>2006</v>
      </c>
      <c r="F729" s="15" t="s">
        <v>22</v>
      </c>
      <c r="G729" s="9" t="s">
        <v>6257</v>
      </c>
      <c r="H729" s="9" t="s">
        <v>174</v>
      </c>
      <c r="I729" s="59" t="s">
        <v>1287</v>
      </c>
      <c r="J729" s="59" t="s">
        <v>1288</v>
      </c>
      <c r="K729" s="19">
        <v>0</v>
      </c>
      <c r="L729" s="104">
        <v>2</v>
      </c>
      <c r="M729" s="19">
        <v>0</v>
      </c>
      <c r="N729" s="19">
        <v>0</v>
      </c>
      <c r="O729" s="19">
        <v>0</v>
      </c>
      <c r="P729" s="19">
        <v>0</v>
      </c>
      <c r="Q729" s="105">
        <v>0</v>
      </c>
      <c r="R729" s="93">
        <v>0</v>
      </c>
      <c r="S729" s="7" t="s">
        <v>115</v>
      </c>
      <c r="T729" s="257">
        <f t="shared" si="22"/>
        <v>2</v>
      </c>
      <c r="U729" s="257">
        <f t="shared" si="23"/>
        <v>0</v>
      </c>
      <c r="V729">
        <v>1</v>
      </c>
      <c r="W729">
        <v>0</v>
      </c>
    </row>
    <row r="730" spans="1:23" ht="68.400000000000006" x14ac:dyDescent="0.3">
      <c r="A730" s="129">
        <v>38735</v>
      </c>
      <c r="B730" s="129">
        <v>38735</v>
      </c>
      <c r="C730" s="6">
        <v>1</v>
      </c>
      <c r="D730" s="6">
        <v>1</v>
      </c>
      <c r="E730" s="103">
        <v>2006</v>
      </c>
      <c r="F730" s="15" t="s">
        <v>22</v>
      </c>
      <c r="G730" s="9" t="s">
        <v>6257</v>
      </c>
      <c r="H730" s="9" t="s">
        <v>61</v>
      </c>
      <c r="I730" s="59" t="s">
        <v>1289</v>
      </c>
      <c r="J730" s="59" t="s">
        <v>1290</v>
      </c>
      <c r="K730" s="19">
        <v>0</v>
      </c>
      <c r="L730" s="104">
        <v>1681</v>
      </c>
      <c r="M730" s="19">
        <v>0</v>
      </c>
      <c r="N730" s="19">
        <v>0</v>
      </c>
      <c r="O730" s="19">
        <v>0</v>
      </c>
      <c r="P730" s="19">
        <v>0</v>
      </c>
      <c r="Q730" s="105">
        <v>5209.5</v>
      </c>
      <c r="R730" s="93">
        <v>98.099853999999993</v>
      </c>
      <c r="S730" s="19" t="s">
        <v>1235</v>
      </c>
      <c r="T730" s="257">
        <f t="shared" si="22"/>
        <v>1681</v>
      </c>
      <c r="U730" s="257">
        <f t="shared" si="23"/>
        <v>0</v>
      </c>
      <c r="V730">
        <v>1</v>
      </c>
      <c r="W730">
        <v>0</v>
      </c>
    </row>
    <row r="731" spans="1:23" ht="22.8" x14ac:dyDescent="0.3">
      <c r="A731" s="129">
        <v>38735</v>
      </c>
      <c r="B731" s="129">
        <v>38961</v>
      </c>
      <c r="C731" s="6">
        <v>1</v>
      </c>
      <c r="D731" s="6">
        <v>227</v>
      </c>
      <c r="E731" s="103">
        <v>2006</v>
      </c>
      <c r="F731" s="15" t="s">
        <v>22</v>
      </c>
      <c r="G731" s="18" t="s">
        <v>6255</v>
      </c>
      <c r="H731" s="9" t="s">
        <v>88</v>
      </c>
      <c r="I731" s="59" t="s">
        <v>1291</v>
      </c>
      <c r="J731" s="59" t="s">
        <v>1292</v>
      </c>
      <c r="K731" s="19">
        <v>0</v>
      </c>
      <c r="L731" s="234">
        <v>424</v>
      </c>
      <c r="M731" s="19">
        <v>0</v>
      </c>
      <c r="N731" s="19">
        <v>0</v>
      </c>
      <c r="O731" s="19">
        <v>0</v>
      </c>
      <c r="P731" s="19">
        <v>0</v>
      </c>
      <c r="Q731" s="105">
        <v>1200.4100000000001</v>
      </c>
      <c r="R731" s="93">
        <v>58.431323999999996</v>
      </c>
      <c r="S731" s="19" t="s">
        <v>1235</v>
      </c>
      <c r="T731" s="257">
        <f t="shared" si="22"/>
        <v>424</v>
      </c>
      <c r="U731" s="257">
        <f t="shared" si="23"/>
        <v>0</v>
      </c>
      <c r="V731">
        <v>1</v>
      </c>
      <c r="W731">
        <v>0</v>
      </c>
    </row>
    <row r="732" spans="1:23" ht="45.6" x14ac:dyDescent="0.3">
      <c r="A732" s="129">
        <v>38792</v>
      </c>
      <c r="B732" s="129">
        <v>38792</v>
      </c>
      <c r="C732" s="6">
        <v>3</v>
      </c>
      <c r="D732" s="6">
        <v>1</v>
      </c>
      <c r="E732" s="103">
        <v>2006</v>
      </c>
      <c r="F732" s="15" t="s">
        <v>22</v>
      </c>
      <c r="G732" s="9" t="s">
        <v>6257</v>
      </c>
      <c r="H732" s="9" t="s">
        <v>118</v>
      </c>
      <c r="I732" s="59" t="s">
        <v>1293</v>
      </c>
      <c r="J732" s="59" t="s">
        <v>1294</v>
      </c>
      <c r="K732" s="19">
        <v>0</v>
      </c>
      <c r="L732" s="234">
        <v>0</v>
      </c>
      <c r="M732" s="19">
        <v>0</v>
      </c>
      <c r="N732" s="19">
        <v>0</v>
      </c>
      <c r="O732" s="19">
        <v>0</v>
      </c>
      <c r="P732" s="19">
        <v>0</v>
      </c>
      <c r="Q732" s="105">
        <v>0</v>
      </c>
      <c r="R732" s="93">
        <v>0</v>
      </c>
      <c r="S732" s="7" t="s">
        <v>115</v>
      </c>
      <c r="T732" s="257">
        <f t="shared" si="22"/>
        <v>0</v>
      </c>
      <c r="U732" s="257">
        <f t="shared" si="23"/>
        <v>0</v>
      </c>
      <c r="V732">
        <v>0</v>
      </c>
      <c r="W732">
        <v>0</v>
      </c>
    </row>
    <row r="733" spans="1:23" ht="45.6" x14ac:dyDescent="0.3">
      <c r="A733" s="129">
        <v>38804</v>
      </c>
      <c r="B733" s="129">
        <v>38804</v>
      </c>
      <c r="C733" s="6">
        <v>3</v>
      </c>
      <c r="D733" s="6">
        <v>1</v>
      </c>
      <c r="E733" s="103">
        <v>2006</v>
      </c>
      <c r="F733" s="15" t="s">
        <v>22</v>
      </c>
      <c r="G733" s="18" t="s">
        <v>6256</v>
      </c>
      <c r="H733" s="9" t="s">
        <v>121</v>
      </c>
      <c r="I733" s="59" t="s">
        <v>1295</v>
      </c>
      <c r="J733" s="59" t="s">
        <v>1296</v>
      </c>
      <c r="K733" s="19">
        <v>0</v>
      </c>
      <c r="L733" s="234">
        <v>0</v>
      </c>
      <c r="M733" s="19">
        <v>0</v>
      </c>
      <c r="N733" s="19">
        <v>0</v>
      </c>
      <c r="O733" s="19">
        <v>0</v>
      </c>
      <c r="P733" s="19">
        <v>0</v>
      </c>
      <c r="Q733" s="105">
        <v>0</v>
      </c>
      <c r="R733" s="93">
        <v>0</v>
      </c>
      <c r="S733" s="7" t="s">
        <v>115</v>
      </c>
      <c r="T733" s="257">
        <f t="shared" si="22"/>
        <v>0</v>
      </c>
      <c r="U733" s="257">
        <f t="shared" si="23"/>
        <v>0</v>
      </c>
      <c r="V733">
        <v>0</v>
      </c>
      <c r="W733">
        <v>0</v>
      </c>
    </row>
    <row r="734" spans="1:23" ht="45.6" x14ac:dyDescent="0.3">
      <c r="A734" s="129">
        <v>38808</v>
      </c>
      <c r="B734" s="129">
        <v>38808</v>
      </c>
      <c r="C734" s="6">
        <v>4</v>
      </c>
      <c r="D734" s="6">
        <v>1</v>
      </c>
      <c r="E734" s="103">
        <v>2006</v>
      </c>
      <c r="F734" s="15" t="s">
        <v>22</v>
      </c>
      <c r="G734" s="9" t="s">
        <v>6257</v>
      </c>
      <c r="H734" s="9" t="s">
        <v>31</v>
      </c>
      <c r="I734" s="59" t="s">
        <v>687</v>
      </c>
      <c r="J734" s="59" t="s">
        <v>1297</v>
      </c>
      <c r="K734" s="19">
        <v>0</v>
      </c>
      <c r="L734" s="234">
        <v>80</v>
      </c>
      <c r="M734" s="19">
        <v>16</v>
      </c>
      <c r="N734" s="19">
        <v>0</v>
      </c>
      <c r="O734" s="19">
        <v>0</v>
      </c>
      <c r="P734" s="19">
        <v>0</v>
      </c>
      <c r="Q734" s="105">
        <v>0</v>
      </c>
      <c r="R734" s="93">
        <v>0.27626099999999998</v>
      </c>
      <c r="S734" s="7" t="s">
        <v>115</v>
      </c>
      <c r="T734" s="257">
        <f t="shared" si="22"/>
        <v>80</v>
      </c>
      <c r="U734" s="257">
        <f t="shared" si="23"/>
        <v>16</v>
      </c>
      <c r="V734">
        <v>1</v>
      </c>
      <c r="W734">
        <v>1</v>
      </c>
    </row>
    <row r="735" spans="1:23" ht="45.6" x14ac:dyDescent="0.3">
      <c r="A735" s="129">
        <v>38823</v>
      </c>
      <c r="B735" s="129">
        <v>38823</v>
      </c>
      <c r="C735" s="6">
        <v>4</v>
      </c>
      <c r="D735" s="6">
        <v>1</v>
      </c>
      <c r="E735" s="103">
        <v>2006</v>
      </c>
      <c r="F735" s="15" t="s">
        <v>22</v>
      </c>
      <c r="G735" s="9" t="s">
        <v>6257</v>
      </c>
      <c r="H735" s="9" t="s">
        <v>121</v>
      </c>
      <c r="I735" s="59" t="s">
        <v>304</v>
      </c>
      <c r="J735" s="59" t="s">
        <v>1298</v>
      </c>
      <c r="K735" s="19">
        <v>0</v>
      </c>
      <c r="L735" s="234">
        <v>6</v>
      </c>
      <c r="M735" s="19">
        <v>0</v>
      </c>
      <c r="N735" s="19">
        <v>0</v>
      </c>
      <c r="O735" s="19">
        <v>0</v>
      </c>
      <c r="P735" s="19">
        <v>0</v>
      </c>
      <c r="Q735" s="105">
        <v>0</v>
      </c>
      <c r="R735" s="93">
        <v>7.1999999999999995E-2</v>
      </c>
      <c r="S735" s="7" t="s">
        <v>115</v>
      </c>
      <c r="T735" s="257">
        <f t="shared" si="22"/>
        <v>6</v>
      </c>
      <c r="U735" s="257">
        <f t="shared" si="23"/>
        <v>0</v>
      </c>
      <c r="V735">
        <v>1</v>
      </c>
      <c r="W735">
        <v>0</v>
      </c>
    </row>
    <row r="736" spans="1:23" ht="45.6" x14ac:dyDescent="0.3">
      <c r="A736" s="129">
        <v>38829</v>
      </c>
      <c r="B736" s="129">
        <v>38829</v>
      </c>
      <c r="C736" s="6">
        <v>4</v>
      </c>
      <c r="D736" s="6">
        <v>1</v>
      </c>
      <c r="E736" s="103">
        <v>2006</v>
      </c>
      <c r="F736" s="15" t="s">
        <v>22</v>
      </c>
      <c r="G736" s="18" t="s">
        <v>6256</v>
      </c>
      <c r="H736" s="9" t="s">
        <v>37</v>
      </c>
      <c r="I736" s="59" t="s">
        <v>1038</v>
      </c>
      <c r="J736" s="59" t="s">
        <v>1299</v>
      </c>
      <c r="K736" s="19">
        <v>0</v>
      </c>
      <c r="L736" s="234">
        <v>118</v>
      </c>
      <c r="M736" s="19">
        <v>0</v>
      </c>
      <c r="N736" s="19">
        <v>0</v>
      </c>
      <c r="O736" s="19">
        <v>0</v>
      </c>
      <c r="P736" s="19">
        <v>0</v>
      </c>
      <c r="Q736" s="105">
        <v>247</v>
      </c>
      <c r="R736" s="93">
        <v>7.4745030000000003</v>
      </c>
      <c r="S736" s="19" t="s">
        <v>1235</v>
      </c>
      <c r="T736" s="257">
        <f t="shared" si="22"/>
        <v>118</v>
      </c>
      <c r="U736" s="257">
        <f t="shared" si="23"/>
        <v>0</v>
      </c>
      <c r="V736">
        <v>1</v>
      </c>
      <c r="W736">
        <v>0</v>
      </c>
    </row>
    <row r="737" spans="1:23" ht="45.6" x14ac:dyDescent="0.3">
      <c r="A737" s="129">
        <v>38830</v>
      </c>
      <c r="B737" s="129">
        <v>38830</v>
      </c>
      <c r="C737" s="6">
        <v>4</v>
      </c>
      <c r="D737" s="6">
        <v>1</v>
      </c>
      <c r="E737" s="103">
        <v>2006</v>
      </c>
      <c r="F737" s="15" t="s">
        <v>22</v>
      </c>
      <c r="G737" s="18" t="s">
        <v>6256</v>
      </c>
      <c r="H737" s="9" t="s">
        <v>70</v>
      </c>
      <c r="I737" s="59" t="s">
        <v>673</v>
      </c>
      <c r="J737" s="106" t="s">
        <v>1300</v>
      </c>
      <c r="K737" s="19">
        <v>6</v>
      </c>
      <c r="L737" s="234">
        <v>26</v>
      </c>
      <c r="M737" s="19">
        <v>0</v>
      </c>
      <c r="N737" s="19">
        <v>0</v>
      </c>
      <c r="O737" s="19">
        <v>0</v>
      </c>
      <c r="P737" s="19">
        <v>0</v>
      </c>
      <c r="Q737" s="105">
        <v>0</v>
      </c>
      <c r="R737" s="93">
        <v>0</v>
      </c>
      <c r="S737" s="7" t="s">
        <v>115</v>
      </c>
      <c r="T737" s="257">
        <f t="shared" si="22"/>
        <v>32</v>
      </c>
      <c r="U737" s="257">
        <f t="shared" si="23"/>
        <v>0</v>
      </c>
      <c r="V737">
        <v>1</v>
      </c>
      <c r="W737">
        <v>0</v>
      </c>
    </row>
    <row r="738" spans="1:23" ht="79.8" x14ac:dyDescent="0.3">
      <c r="A738" s="129">
        <v>38830</v>
      </c>
      <c r="B738" s="129">
        <v>38830</v>
      </c>
      <c r="C738" s="6">
        <v>4</v>
      </c>
      <c r="D738" s="6">
        <v>1</v>
      </c>
      <c r="E738" s="103">
        <v>2006</v>
      </c>
      <c r="F738" s="15" t="s">
        <v>22</v>
      </c>
      <c r="G738" s="9" t="s">
        <v>6257</v>
      </c>
      <c r="H738" s="9" t="s">
        <v>41</v>
      </c>
      <c r="I738" s="59" t="s">
        <v>41</v>
      </c>
      <c r="J738" s="59" t="s">
        <v>1301</v>
      </c>
      <c r="K738" s="19">
        <v>1</v>
      </c>
      <c r="L738" s="234">
        <v>16</v>
      </c>
      <c r="M738" s="19">
        <v>3</v>
      </c>
      <c r="N738" s="19">
        <v>0</v>
      </c>
      <c r="O738" s="19">
        <v>0</v>
      </c>
      <c r="P738" s="19">
        <v>0</v>
      </c>
      <c r="Q738" s="105">
        <v>0</v>
      </c>
      <c r="R738" s="93">
        <v>1.3991999999999999E-2</v>
      </c>
      <c r="S738" s="7" t="s">
        <v>115</v>
      </c>
      <c r="T738" s="257">
        <f t="shared" si="22"/>
        <v>17</v>
      </c>
      <c r="U738" s="257">
        <f t="shared" si="23"/>
        <v>3</v>
      </c>
      <c r="V738">
        <v>1</v>
      </c>
      <c r="W738">
        <v>1</v>
      </c>
    </row>
    <row r="739" spans="1:23" ht="57" x14ac:dyDescent="0.3">
      <c r="A739" s="129">
        <v>38842</v>
      </c>
      <c r="B739" s="129">
        <v>38842</v>
      </c>
      <c r="C739" s="6">
        <v>5</v>
      </c>
      <c r="D739" s="6">
        <v>1</v>
      </c>
      <c r="E739" s="103">
        <v>2006</v>
      </c>
      <c r="F739" s="15" t="s">
        <v>22</v>
      </c>
      <c r="G739" s="9" t="s">
        <v>6257</v>
      </c>
      <c r="H739" s="9" t="s">
        <v>31</v>
      </c>
      <c r="I739" s="59" t="s">
        <v>1302</v>
      </c>
      <c r="J739" s="59" t="s">
        <v>1303</v>
      </c>
      <c r="K739" s="19">
        <v>0</v>
      </c>
      <c r="L739" s="234">
        <v>200</v>
      </c>
      <c r="M739" s="19">
        <v>38</v>
      </c>
      <c r="N739" s="19">
        <v>0</v>
      </c>
      <c r="O739" s="19">
        <v>0</v>
      </c>
      <c r="P739" s="19">
        <v>0</v>
      </c>
      <c r="Q739" s="105">
        <v>0</v>
      </c>
      <c r="R739" s="93">
        <v>0.89292899999999997</v>
      </c>
      <c r="S739" s="7" t="s">
        <v>115</v>
      </c>
      <c r="T739" s="257">
        <f t="shared" si="22"/>
        <v>200</v>
      </c>
      <c r="U739" s="257">
        <f t="shared" si="23"/>
        <v>38</v>
      </c>
      <c r="V739">
        <v>1</v>
      </c>
      <c r="W739">
        <v>1</v>
      </c>
    </row>
    <row r="740" spans="1:23" ht="57" x14ac:dyDescent="0.3">
      <c r="A740" s="129">
        <v>38842</v>
      </c>
      <c r="B740" s="129">
        <v>38842</v>
      </c>
      <c r="C740" s="6">
        <v>5</v>
      </c>
      <c r="D740" s="6">
        <v>1</v>
      </c>
      <c r="E740" s="103">
        <v>2006</v>
      </c>
      <c r="F740" s="15" t="s">
        <v>22</v>
      </c>
      <c r="G740" s="18" t="s">
        <v>6256</v>
      </c>
      <c r="H740" s="9" t="s">
        <v>61</v>
      </c>
      <c r="I740" s="59" t="s">
        <v>1304</v>
      </c>
      <c r="J740" s="59" t="s">
        <v>1305</v>
      </c>
      <c r="K740" s="19">
        <v>3</v>
      </c>
      <c r="L740" s="234">
        <v>3</v>
      </c>
      <c r="M740" s="19">
        <v>0</v>
      </c>
      <c r="N740" s="19">
        <v>0</v>
      </c>
      <c r="O740" s="19">
        <v>0</v>
      </c>
      <c r="P740" s="19">
        <v>0</v>
      </c>
      <c r="Q740" s="105">
        <v>0</v>
      </c>
      <c r="R740" s="93">
        <v>0</v>
      </c>
      <c r="S740" s="7" t="s">
        <v>115</v>
      </c>
      <c r="T740" s="257">
        <f t="shared" si="22"/>
        <v>6</v>
      </c>
      <c r="U740" s="257">
        <f t="shared" si="23"/>
        <v>0</v>
      </c>
      <c r="V740">
        <v>1</v>
      </c>
      <c r="W740">
        <v>0</v>
      </c>
    </row>
    <row r="741" spans="1:23" ht="79.8" x14ac:dyDescent="0.3">
      <c r="A741" s="129">
        <v>38843</v>
      </c>
      <c r="B741" s="129">
        <v>38843</v>
      </c>
      <c r="C741" s="6">
        <v>5</v>
      </c>
      <c r="D741" s="6">
        <v>1</v>
      </c>
      <c r="E741" s="103">
        <v>2006</v>
      </c>
      <c r="F741" s="15" t="s">
        <v>22</v>
      </c>
      <c r="G741" s="18" t="s">
        <v>6256</v>
      </c>
      <c r="H741" s="9" t="s">
        <v>64</v>
      </c>
      <c r="I741" s="59" t="s">
        <v>1306</v>
      </c>
      <c r="J741" s="59" t="s">
        <v>1307</v>
      </c>
      <c r="K741" s="19">
        <v>0</v>
      </c>
      <c r="L741" s="234">
        <v>466</v>
      </c>
      <c r="M741" s="19">
        <v>0</v>
      </c>
      <c r="N741" s="19">
        <v>0</v>
      </c>
      <c r="O741" s="19">
        <v>0</v>
      </c>
      <c r="P741" s="19">
        <v>0</v>
      </c>
      <c r="Q741" s="105">
        <v>878.5</v>
      </c>
      <c r="R741" s="93">
        <v>3.54</v>
      </c>
      <c r="S741" s="7" t="s">
        <v>115</v>
      </c>
      <c r="T741" s="257">
        <f t="shared" si="22"/>
        <v>466</v>
      </c>
      <c r="U741" s="257">
        <f t="shared" si="23"/>
        <v>0</v>
      </c>
      <c r="V741">
        <v>1</v>
      </c>
      <c r="W741">
        <v>0</v>
      </c>
    </row>
    <row r="742" spans="1:23" ht="68.400000000000006" x14ac:dyDescent="0.3">
      <c r="A742" s="129">
        <v>38854</v>
      </c>
      <c r="B742" s="129">
        <v>38854</v>
      </c>
      <c r="C742" s="6">
        <v>5</v>
      </c>
      <c r="D742" s="6">
        <v>1</v>
      </c>
      <c r="E742" s="103">
        <v>2006</v>
      </c>
      <c r="F742" s="15" t="s">
        <v>22</v>
      </c>
      <c r="G742" s="18" t="s">
        <v>6256</v>
      </c>
      <c r="H742" s="9" t="s">
        <v>52</v>
      </c>
      <c r="I742" s="59" t="s">
        <v>126</v>
      </c>
      <c r="J742" s="59" t="s">
        <v>1308</v>
      </c>
      <c r="K742" s="19">
        <v>0</v>
      </c>
      <c r="L742" s="234">
        <v>50</v>
      </c>
      <c r="M742" s="19">
        <v>10</v>
      </c>
      <c r="N742" s="19">
        <v>0</v>
      </c>
      <c r="O742" s="19">
        <v>0</v>
      </c>
      <c r="P742" s="19">
        <v>0</v>
      </c>
      <c r="Q742" s="105">
        <v>0</v>
      </c>
      <c r="R742" s="93">
        <v>0.11627999999999999</v>
      </c>
      <c r="S742" s="7" t="s">
        <v>115</v>
      </c>
      <c r="T742" s="257">
        <f t="shared" si="22"/>
        <v>50</v>
      </c>
      <c r="U742" s="257">
        <f t="shared" si="23"/>
        <v>10</v>
      </c>
      <c r="V742">
        <v>1</v>
      </c>
      <c r="W742">
        <v>1</v>
      </c>
    </row>
    <row r="743" spans="1:23" ht="22.8" x14ac:dyDescent="0.3">
      <c r="A743" s="129">
        <v>38876</v>
      </c>
      <c r="B743" s="129">
        <v>38876</v>
      </c>
      <c r="C743" s="6">
        <v>6</v>
      </c>
      <c r="D743" s="6">
        <v>1</v>
      </c>
      <c r="E743" s="103">
        <v>2006</v>
      </c>
      <c r="F743" s="15" t="s">
        <v>22</v>
      </c>
      <c r="G743" s="18" t="s">
        <v>6256</v>
      </c>
      <c r="H743" s="9" t="s">
        <v>34</v>
      </c>
      <c r="I743" s="59" t="s">
        <v>1309</v>
      </c>
      <c r="J743" s="59" t="s">
        <v>1310</v>
      </c>
      <c r="K743" s="19">
        <v>1</v>
      </c>
      <c r="L743" s="234">
        <v>1</v>
      </c>
      <c r="M743" s="19">
        <v>0</v>
      </c>
      <c r="N743" s="19">
        <v>0</v>
      </c>
      <c r="O743" s="19">
        <v>0</v>
      </c>
      <c r="P743" s="19">
        <v>0</v>
      </c>
      <c r="Q743" s="105">
        <v>0</v>
      </c>
      <c r="R743" s="93">
        <v>0</v>
      </c>
      <c r="S743" s="7" t="s">
        <v>115</v>
      </c>
      <c r="T743" s="257">
        <f t="shared" si="22"/>
        <v>2</v>
      </c>
      <c r="U743" s="257">
        <f t="shared" si="23"/>
        <v>0</v>
      </c>
      <c r="V743">
        <v>1</v>
      </c>
      <c r="W743">
        <v>0</v>
      </c>
    </row>
    <row r="744" spans="1:23" ht="34.200000000000003" x14ac:dyDescent="0.3">
      <c r="A744" s="212">
        <v>39185</v>
      </c>
      <c r="B744" s="212">
        <v>39185</v>
      </c>
      <c r="C744" s="6">
        <v>4</v>
      </c>
      <c r="D744" s="6">
        <v>1</v>
      </c>
      <c r="E744" s="6">
        <v>2007</v>
      </c>
      <c r="F744" s="7" t="s">
        <v>17</v>
      </c>
      <c r="G744" s="16" t="s">
        <v>6260</v>
      </c>
      <c r="H744" s="9" t="s">
        <v>48</v>
      </c>
      <c r="I744" s="10" t="s">
        <v>1311</v>
      </c>
      <c r="J744" s="17" t="s">
        <v>1312</v>
      </c>
      <c r="K744" s="13">
        <v>0</v>
      </c>
      <c r="L744" s="233">
        <v>3655</v>
      </c>
      <c r="M744" s="13">
        <v>731</v>
      </c>
      <c r="N744" s="13">
        <v>4</v>
      </c>
      <c r="O744" s="13">
        <v>0</v>
      </c>
      <c r="P744" s="13">
        <v>0</v>
      </c>
      <c r="Q744" s="60">
        <v>0</v>
      </c>
      <c r="R744" s="61">
        <v>22.236799999999999</v>
      </c>
      <c r="S744" s="6" t="s">
        <v>149</v>
      </c>
      <c r="T744" s="257">
        <f t="shared" si="22"/>
        <v>3655</v>
      </c>
      <c r="U744" s="257">
        <f t="shared" si="23"/>
        <v>735</v>
      </c>
      <c r="V744">
        <v>1</v>
      </c>
      <c r="W744">
        <v>1</v>
      </c>
    </row>
    <row r="745" spans="1:23" ht="45.6" x14ac:dyDescent="0.3">
      <c r="A745" s="129">
        <v>38905</v>
      </c>
      <c r="B745" s="129">
        <v>38905</v>
      </c>
      <c r="C745" s="6">
        <v>7</v>
      </c>
      <c r="D745" s="6">
        <v>1</v>
      </c>
      <c r="E745" s="103">
        <v>2006</v>
      </c>
      <c r="F745" s="15" t="s">
        <v>22</v>
      </c>
      <c r="G745" s="9" t="s">
        <v>6258</v>
      </c>
      <c r="H745" s="9" t="s">
        <v>27</v>
      </c>
      <c r="I745" s="59" t="s">
        <v>652</v>
      </c>
      <c r="J745" s="59" t="s">
        <v>1313</v>
      </c>
      <c r="K745" s="19">
        <v>10</v>
      </c>
      <c r="L745" s="234">
        <v>10</v>
      </c>
      <c r="M745" s="19">
        <v>0</v>
      </c>
      <c r="N745" s="19">
        <v>0</v>
      </c>
      <c r="O745" s="19">
        <v>0</v>
      </c>
      <c r="P745" s="19">
        <v>0</v>
      </c>
      <c r="Q745" s="105">
        <v>0</v>
      </c>
      <c r="R745" s="93">
        <v>0</v>
      </c>
      <c r="S745" s="7" t="s">
        <v>115</v>
      </c>
      <c r="T745" s="257">
        <f t="shared" si="22"/>
        <v>20</v>
      </c>
      <c r="U745" s="257">
        <f t="shared" si="23"/>
        <v>0</v>
      </c>
      <c r="V745">
        <v>1</v>
      </c>
      <c r="W745">
        <v>0</v>
      </c>
    </row>
    <row r="746" spans="1:23" ht="57" x14ac:dyDescent="0.3">
      <c r="A746" s="129">
        <v>38839</v>
      </c>
      <c r="B746" s="129">
        <v>38839</v>
      </c>
      <c r="C746" s="6">
        <v>5</v>
      </c>
      <c r="D746" s="6">
        <v>1</v>
      </c>
      <c r="E746" s="103">
        <v>2006</v>
      </c>
      <c r="F746" s="15" t="s">
        <v>22</v>
      </c>
      <c r="G746" s="18" t="s">
        <v>6256</v>
      </c>
      <c r="H746" s="9" t="s">
        <v>46</v>
      </c>
      <c r="I746" s="59" t="s">
        <v>309</v>
      </c>
      <c r="J746" s="59" t="s">
        <v>1314</v>
      </c>
      <c r="K746" s="19">
        <v>0</v>
      </c>
      <c r="L746" s="234">
        <v>0</v>
      </c>
      <c r="M746" s="19">
        <v>0</v>
      </c>
      <c r="N746" s="19">
        <v>0</v>
      </c>
      <c r="O746" s="19">
        <v>0</v>
      </c>
      <c r="P746" s="19">
        <v>0</v>
      </c>
      <c r="Q746" s="105">
        <v>0</v>
      </c>
      <c r="R746" s="93">
        <v>0</v>
      </c>
      <c r="S746" s="7" t="s">
        <v>115</v>
      </c>
      <c r="T746" s="257">
        <f t="shared" si="22"/>
        <v>0</v>
      </c>
      <c r="U746" s="257">
        <f t="shared" si="23"/>
        <v>0</v>
      </c>
      <c r="V746">
        <v>0</v>
      </c>
      <c r="W746">
        <v>0</v>
      </c>
    </row>
    <row r="747" spans="1:23" ht="79.2" x14ac:dyDescent="0.3">
      <c r="A747" s="219">
        <v>40420</v>
      </c>
      <c r="B747" s="219">
        <v>40420</v>
      </c>
      <c r="C747" s="6">
        <v>8</v>
      </c>
      <c r="D747" s="6">
        <v>1</v>
      </c>
      <c r="E747" s="73">
        <v>2010</v>
      </c>
      <c r="F747" s="15" t="s">
        <v>22</v>
      </c>
      <c r="G747" s="18" t="s">
        <v>6256</v>
      </c>
      <c r="H747" s="9" t="s">
        <v>48</v>
      </c>
      <c r="I747" s="74" t="s">
        <v>1315</v>
      </c>
      <c r="J747" s="74" t="s">
        <v>1316</v>
      </c>
      <c r="K747" s="75">
        <v>0</v>
      </c>
      <c r="L747" s="241">
        <v>1625</v>
      </c>
      <c r="M747" s="75">
        <v>25</v>
      </c>
      <c r="N747" s="75">
        <v>15</v>
      </c>
      <c r="O747" s="75">
        <v>0</v>
      </c>
      <c r="P747" s="75">
        <v>0</v>
      </c>
      <c r="Q747" s="75">
        <v>0</v>
      </c>
      <c r="R747" s="61">
        <v>21.161000000000001</v>
      </c>
      <c r="S747" s="73" t="s">
        <v>149</v>
      </c>
      <c r="T747" s="257">
        <f t="shared" si="22"/>
        <v>1625</v>
      </c>
      <c r="U747" s="257">
        <f t="shared" si="23"/>
        <v>40</v>
      </c>
      <c r="V747">
        <v>1</v>
      </c>
      <c r="W747">
        <v>1</v>
      </c>
    </row>
    <row r="748" spans="1:23" ht="22.8" x14ac:dyDescent="0.3">
      <c r="A748" s="129">
        <v>38895</v>
      </c>
      <c r="B748" s="129">
        <v>38895</v>
      </c>
      <c r="C748" s="6">
        <v>6</v>
      </c>
      <c r="D748" s="6">
        <v>1</v>
      </c>
      <c r="E748" s="103">
        <v>2006</v>
      </c>
      <c r="F748" s="15" t="s">
        <v>22</v>
      </c>
      <c r="G748" s="18" t="s">
        <v>6256</v>
      </c>
      <c r="H748" s="9" t="s">
        <v>72</v>
      </c>
      <c r="I748" s="59" t="s">
        <v>1317</v>
      </c>
      <c r="J748" s="59" t="s">
        <v>1318</v>
      </c>
      <c r="K748" s="19">
        <v>0</v>
      </c>
      <c r="L748" s="234">
        <v>700</v>
      </c>
      <c r="M748" s="19">
        <v>140</v>
      </c>
      <c r="N748" s="19">
        <v>0</v>
      </c>
      <c r="O748" s="19">
        <v>0</v>
      </c>
      <c r="P748" s="19">
        <v>0</v>
      </c>
      <c r="Q748" s="105">
        <v>0</v>
      </c>
      <c r="R748" s="93">
        <v>0.65295999999999998</v>
      </c>
      <c r="S748" s="7" t="s">
        <v>115</v>
      </c>
      <c r="T748" s="257">
        <f t="shared" si="22"/>
        <v>700</v>
      </c>
      <c r="U748" s="257">
        <f t="shared" si="23"/>
        <v>140</v>
      </c>
      <c r="V748">
        <v>1</v>
      </c>
      <c r="W748">
        <v>1</v>
      </c>
    </row>
    <row r="749" spans="1:23" ht="45.6" x14ac:dyDescent="0.3">
      <c r="A749" s="129">
        <v>38937</v>
      </c>
      <c r="B749" s="129">
        <v>38938</v>
      </c>
      <c r="C749" s="6">
        <v>8</v>
      </c>
      <c r="D749" s="6">
        <v>2</v>
      </c>
      <c r="E749" s="103">
        <v>2006</v>
      </c>
      <c r="F749" s="15" t="s">
        <v>22</v>
      </c>
      <c r="G749" s="18" t="s">
        <v>6256</v>
      </c>
      <c r="H749" s="9" t="s">
        <v>52</v>
      </c>
      <c r="I749" s="59" t="s">
        <v>1319</v>
      </c>
      <c r="J749" s="106" t="s">
        <v>1320</v>
      </c>
      <c r="K749" s="19">
        <v>0</v>
      </c>
      <c r="L749" s="104">
        <v>1058</v>
      </c>
      <c r="M749" s="19">
        <v>0</v>
      </c>
      <c r="N749" s="19">
        <v>0</v>
      </c>
      <c r="O749" s="19">
        <v>0</v>
      </c>
      <c r="P749" s="19">
        <v>0</v>
      </c>
      <c r="Q749" s="105">
        <v>2288.2600000000002</v>
      </c>
      <c r="R749" s="93">
        <v>8.6909399999999994</v>
      </c>
      <c r="S749" s="7" t="s">
        <v>115</v>
      </c>
      <c r="T749" s="257">
        <f t="shared" si="22"/>
        <v>1058</v>
      </c>
      <c r="U749" s="257">
        <f t="shared" si="23"/>
        <v>0</v>
      </c>
      <c r="V749">
        <v>1</v>
      </c>
      <c r="W749">
        <v>0</v>
      </c>
    </row>
    <row r="750" spans="1:23" ht="22.8" x14ac:dyDescent="0.3">
      <c r="A750" s="129">
        <v>38953</v>
      </c>
      <c r="B750" s="129">
        <v>38953</v>
      </c>
      <c r="C750" s="6">
        <v>8</v>
      </c>
      <c r="D750" s="6">
        <v>1</v>
      </c>
      <c r="E750" s="103">
        <v>2006</v>
      </c>
      <c r="F750" s="15" t="s">
        <v>22</v>
      </c>
      <c r="G750" s="18" t="s">
        <v>6256</v>
      </c>
      <c r="H750" s="9" t="s">
        <v>70</v>
      </c>
      <c r="I750" s="59" t="s">
        <v>1321</v>
      </c>
      <c r="J750" s="59" t="s">
        <v>1322</v>
      </c>
      <c r="K750" s="19">
        <v>1</v>
      </c>
      <c r="L750" s="234">
        <v>1</v>
      </c>
      <c r="M750" s="19">
        <v>0</v>
      </c>
      <c r="N750" s="19">
        <v>0</v>
      </c>
      <c r="O750" s="19">
        <v>0</v>
      </c>
      <c r="P750" s="19">
        <v>0</v>
      </c>
      <c r="Q750" s="105">
        <v>0</v>
      </c>
      <c r="R750" s="93">
        <v>0</v>
      </c>
      <c r="S750" s="7" t="s">
        <v>115</v>
      </c>
      <c r="T750" s="257">
        <f t="shared" si="22"/>
        <v>2</v>
      </c>
      <c r="U750" s="257">
        <f t="shared" si="23"/>
        <v>0</v>
      </c>
      <c r="V750">
        <v>1</v>
      </c>
      <c r="W750">
        <v>0</v>
      </c>
    </row>
    <row r="751" spans="1:23" ht="22.8" x14ac:dyDescent="0.3">
      <c r="A751" s="129">
        <v>39011</v>
      </c>
      <c r="B751" s="129">
        <v>39011</v>
      </c>
      <c r="C751" s="6">
        <v>10</v>
      </c>
      <c r="D751" s="6">
        <v>1</v>
      </c>
      <c r="E751" s="103">
        <v>2006</v>
      </c>
      <c r="F751" s="15" t="s">
        <v>22</v>
      </c>
      <c r="G751" s="18" t="s">
        <v>6256</v>
      </c>
      <c r="H751" s="9" t="s">
        <v>46</v>
      </c>
      <c r="I751" s="59" t="s">
        <v>1323</v>
      </c>
      <c r="J751" s="59" t="s">
        <v>1324</v>
      </c>
      <c r="K751" s="19">
        <v>1</v>
      </c>
      <c r="L751" s="234">
        <v>1</v>
      </c>
      <c r="M751" s="19">
        <v>0</v>
      </c>
      <c r="N751" s="19">
        <v>0</v>
      </c>
      <c r="O751" s="19">
        <v>0</v>
      </c>
      <c r="P751" s="19">
        <v>0</v>
      </c>
      <c r="Q751" s="105">
        <v>0</v>
      </c>
      <c r="R751" s="93">
        <v>0</v>
      </c>
      <c r="S751" s="7" t="s">
        <v>115</v>
      </c>
      <c r="T751" s="257">
        <f t="shared" si="22"/>
        <v>2</v>
      </c>
      <c r="U751" s="257">
        <f t="shared" si="23"/>
        <v>0</v>
      </c>
      <c r="V751">
        <v>1</v>
      </c>
      <c r="W751">
        <v>0</v>
      </c>
    </row>
    <row r="752" spans="1:23" ht="22.8" x14ac:dyDescent="0.3">
      <c r="A752" s="129">
        <v>39030</v>
      </c>
      <c r="B752" s="129">
        <f>A752</f>
        <v>39030</v>
      </c>
      <c r="C752" s="6">
        <v>11</v>
      </c>
      <c r="D752" s="6">
        <v>1</v>
      </c>
      <c r="E752" s="103">
        <v>2006</v>
      </c>
      <c r="F752" s="15" t="s">
        <v>22</v>
      </c>
      <c r="G752" s="18" t="s">
        <v>6256</v>
      </c>
      <c r="H752" s="9" t="s">
        <v>64</v>
      </c>
      <c r="I752" s="59" t="s">
        <v>1325</v>
      </c>
      <c r="J752" s="59" t="s">
        <v>1326</v>
      </c>
      <c r="K752" s="19">
        <v>0</v>
      </c>
      <c r="L752" s="234">
        <v>150</v>
      </c>
      <c r="M752" s="19">
        <v>30</v>
      </c>
      <c r="N752" s="19">
        <v>0</v>
      </c>
      <c r="O752" s="19">
        <v>0</v>
      </c>
      <c r="P752" s="19">
        <v>0</v>
      </c>
      <c r="Q752" s="105">
        <v>0</v>
      </c>
      <c r="R752" s="93">
        <v>0.13991999999999999</v>
      </c>
      <c r="S752" s="7" t="s">
        <v>115</v>
      </c>
      <c r="T752" s="257">
        <f t="shared" si="22"/>
        <v>150</v>
      </c>
      <c r="U752" s="257">
        <f t="shared" si="23"/>
        <v>30</v>
      </c>
      <c r="V752">
        <v>1</v>
      </c>
      <c r="W752">
        <v>1</v>
      </c>
    </row>
    <row r="753" spans="1:23" ht="22.8" x14ac:dyDescent="0.3">
      <c r="A753" s="129">
        <v>39034</v>
      </c>
      <c r="B753" s="129">
        <f>A753</f>
        <v>39034</v>
      </c>
      <c r="C753" s="6">
        <v>11</v>
      </c>
      <c r="D753" s="6">
        <v>1</v>
      </c>
      <c r="E753" s="103">
        <v>2006</v>
      </c>
      <c r="F753" s="15" t="s">
        <v>22</v>
      </c>
      <c r="G753" s="18" t="s">
        <v>6256</v>
      </c>
      <c r="H753" s="9" t="s">
        <v>84</v>
      </c>
      <c r="I753" s="59" t="s">
        <v>1327</v>
      </c>
      <c r="J753" s="59" t="s">
        <v>1328</v>
      </c>
      <c r="K753" s="19">
        <v>1</v>
      </c>
      <c r="L753" s="234">
        <v>1</v>
      </c>
      <c r="M753" s="19">
        <v>0</v>
      </c>
      <c r="N753" s="19">
        <v>0</v>
      </c>
      <c r="O753" s="19">
        <v>0</v>
      </c>
      <c r="P753" s="19">
        <v>0</v>
      </c>
      <c r="Q753" s="105">
        <v>0</v>
      </c>
      <c r="R753" s="93">
        <v>0</v>
      </c>
      <c r="S753" s="7" t="s">
        <v>115</v>
      </c>
      <c r="T753" s="257">
        <f t="shared" si="22"/>
        <v>2</v>
      </c>
      <c r="U753" s="257">
        <f t="shared" si="23"/>
        <v>0</v>
      </c>
      <c r="V753">
        <v>1</v>
      </c>
      <c r="W753">
        <v>0</v>
      </c>
    </row>
    <row r="754" spans="1:23" ht="22.8" x14ac:dyDescent="0.3">
      <c r="A754" s="129">
        <v>39054</v>
      </c>
      <c r="B754" s="129">
        <f>A754</f>
        <v>39054</v>
      </c>
      <c r="C754" s="6">
        <v>12</v>
      </c>
      <c r="D754" s="6">
        <v>1</v>
      </c>
      <c r="E754" s="103">
        <v>2006</v>
      </c>
      <c r="F754" s="15" t="s">
        <v>22</v>
      </c>
      <c r="G754" s="9" t="s">
        <v>6257</v>
      </c>
      <c r="H754" s="9" t="s">
        <v>174</v>
      </c>
      <c r="I754" s="59" t="s">
        <v>1109</v>
      </c>
      <c r="J754" s="59" t="s">
        <v>1329</v>
      </c>
      <c r="K754" s="19">
        <v>0</v>
      </c>
      <c r="L754" s="234">
        <v>85</v>
      </c>
      <c r="M754" s="19">
        <v>17</v>
      </c>
      <c r="N754" s="19">
        <v>0</v>
      </c>
      <c r="O754" s="19">
        <v>0</v>
      </c>
      <c r="P754" s="19">
        <v>0</v>
      </c>
      <c r="Q754" s="105">
        <v>0</v>
      </c>
      <c r="R754" s="93">
        <v>7.9287999999999997E-2</v>
      </c>
      <c r="S754" s="7" t="s">
        <v>115</v>
      </c>
      <c r="T754" s="257">
        <f t="shared" si="22"/>
        <v>85</v>
      </c>
      <c r="U754" s="257">
        <f t="shared" si="23"/>
        <v>17</v>
      </c>
      <c r="V754">
        <v>1</v>
      </c>
      <c r="W754">
        <v>1</v>
      </c>
    </row>
    <row r="755" spans="1:23" ht="45.6" x14ac:dyDescent="0.3">
      <c r="A755" s="129">
        <v>39040</v>
      </c>
      <c r="B755" s="129">
        <v>39055</v>
      </c>
      <c r="C755" s="6">
        <v>11</v>
      </c>
      <c r="D755" s="6">
        <v>16</v>
      </c>
      <c r="E755" s="103">
        <v>2006</v>
      </c>
      <c r="F755" s="15" t="s">
        <v>22</v>
      </c>
      <c r="G755" s="9" t="s">
        <v>6257</v>
      </c>
      <c r="H755" s="9" t="s">
        <v>27</v>
      </c>
      <c r="I755" s="59" t="s">
        <v>1330</v>
      </c>
      <c r="J755" s="59" t="s">
        <v>1331</v>
      </c>
      <c r="K755" s="19">
        <v>6</v>
      </c>
      <c r="L755" s="234">
        <v>6</v>
      </c>
      <c r="M755" s="19">
        <v>0</v>
      </c>
      <c r="N755" s="19">
        <v>0</v>
      </c>
      <c r="O755" s="19">
        <v>0</v>
      </c>
      <c r="P755" s="19">
        <v>0</v>
      </c>
      <c r="Q755" s="105">
        <v>0</v>
      </c>
      <c r="R755" s="93">
        <v>0.47042</v>
      </c>
      <c r="S755" s="7" t="s">
        <v>115</v>
      </c>
      <c r="T755" s="257">
        <f t="shared" si="22"/>
        <v>12</v>
      </c>
      <c r="U755" s="257">
        <f t="shared" si="23"/>
        <v>0</v>
      </c>
      <c r="V755">
        <v>1</v>
      </c>
      <c r="W755">
        <v>0</v>
      </c>
    </row>
    <row r="756" spans="1:23" ht="22.8" x14ac:dyDescent="0.3">
      <c r="A756" s="222">
        <v>38718</v>
      </c>
      <c r="B756" s="222">
        <v>39082</v>
      </c>
      <c r="C756" s="6">
        <v>1</v>
      </c>
      <c r="D756" s="6">
        <v>365</v>
      </c>
      <c r="E756" s="103">
        <v>2006</v>
      </c>
      <c r="F756" s="15" t="s">
        <v>22</v>
      </c>
      <c r="G756" s="18" t="s">
        <v>6255</v>
      </c>
      <c r="H756" s="9" t="s">
        <v>27</v>
      </c>
      <c r="I756" s="59" t="s">
        <v>1109</v>
      </c>
      <c r="J756" s="59" t="s">
        <v>1332</v>
      </c>
      <c r="K756" s="19">
        <v>4</v>
      </c>
      <c r="L756" s="234">
        <f t="shared" ref="L756:L770" si="24">(SUBTOTAL(9,K756))*1</f>
        <v>4</v>
      </c>
      <c r="M756" s="19">
        <v>0</v>
      </c>
      <c r="N756" s="19">
        <v>0</v>
      </c>
      <c r="O756" s="19">
        <v>0</v>
      </c>
      <c r="P756" s="19">
        <v>0</v>
      </c>
      <c r="Q756" s="105">
        <v>0</v>
      </c>
      <c r="R756" s="93">
        <v>0</v>
      </c>
      <c r="S756" s="7" t="s">
        <v>1219</v>
      </c>
      <c r="T756" s="257">
        <f t="shared" si="22"/>
        <v>8</v>
      </c>
      <c r="U756" s="257">
        <f t="shared" si="23"/>
        <v>0</v>
      </c>
      <c r="V756">
        <v>1</v>
      </c>
      <c r="W756">
        <v>0</v>
      </c>
    </row>
    <row r="757" spans="1:23" ht="22.8" x14ac:dyDescent="0.3">
      <c r="A757" s="222">
        <v>38718</v>
      </c>
      <c r="B757" s="222">
        <v>39082</v>
      </c>
      <c r="C757" s="6">
        <v>1</v>
      </c>
      <c r="D757" s="6">
        <v>365</v>
      </c>
      <c r="E757" s="103">
        <v>2006</v>
      </c>
      <c r="F757" s="15" t="s">
        <v>22</v>
      </c>
      <c r="G757" s="18" t="s">
        <v>6255</v>
      </c>
      <c r="H757" s="9" t="s">
        <v>37</v>
      </c>
      <c r="I757" s="59" t="s">
        <v>1109</v>
      </c>
      <c r="J757" s="59" t="s">
        <v>1333</v>
      </c>
      <c r="K757" s="19">
        <v>7</v>
      </c>
      <c r="L757" s="234">
        <f t="shared" si="24"/>
        <v>7</v>
      </c>
      <c r="M757" s="19">
        <v>0</v>
      </c>
      <c r="N757" s="19">
        <v>0</v>
      </c>
      <c r="O757" s="19">
        <v>0</v>
      </c>
      <c r="P757" s="19">
        <v>0</v>
      </c>
      <c r="Q757" s="105">
        <v>0</v>
      </c>
      <c r="R757" s="93">
        <v>0</v>
      </c>
      <c r="S757" s="7" t="s">
        <v>1219</v>
      </c>
      <c r="T757" s="257">
        <f t="shared" si="22"/>
        <v>14</v>
      </c>
      <c r="U757" s="257">
        <f t="shared" si="23"/>
        <v>0</v>
      </c>
      <c r="V757">
        <v>1</v>
      </c>
      <c r="W757">
        <v>0</v>
      </c>
    </row>
    <row r="758" spans="1:23" ht="22.8" x14ac:dyDescent="0.3">
      <c r="A758" s="222">
        <v>38718</v>
      </c>
      <c r="B758" s="222">
        <v>39082</v>
      </c>
      <c r="C758" s="6">
        <v>1</v>
      </c>
      <c r="D758" s="6">
        <v>365</v>
      </c>
      <c r="E758" s="103">
        <v>2006</v>
      </c>
      <c r="F758" s="15" t="s">
        <v>22</v>
      </c>
      <c r="G758" s="18" t="s">
        <v>6255</v>
      </c>
      <c r="H758" s="9" t="s">
        <v>34</v>
      </c>
      <c r="I758" s="59" t="s">
        <v>1109</v>
      </c>
      <c r="J758" s="59" t="s">
        <v>1334</v>
      </c>
      <c r="K758" s="19">
        <v>39</v>
      </c>
      <c r="L758" s="234">
        <f t="shared" si="24"/>
        <v>39</v>
      </c>
      <c r="M758" s="19">
        <v>0</v>
      </c>
      <c r="N758" s="19">
        <v>0</v>
      </c>
      <c r="O758" s="19">
        <v>0</v>
      </c>
      <c r="P758" s="19">
        <v>0</v>
      </c>
      <c r="Q758" s="105">
        <v>0</v>
      </c>
      <c r="R758" s="93">
        <v>0</v>
      </c>
      <c r="S758" s="7" t="s">
        <v>1219</v>
      </c>
      <c r="T758" s="257">
        <f t="shared" si="22"/>
        <v>78</v>
      </c>
      <c r="U758" s="257">
        <f t="shared" si="23"/>
        <v>0</v>
      </c>
      <c r="V758">
        <v>1</v>
      </c>
      <c r="W758">
        <v>0</v>
      </c>
    </row>
    <row r="759" spans="1:23" ht="22.8" x14ac:dyDescent="0.3">
      <c r="A759" s="222">
        <v>38718</v>
      </c>
      <c r="B759" s="222">
        <v>39082</v>
      </c>
      <c r="C759" s="6">
        <v>1</v>
      </c>
      <c r="D759" s="6">
        <v>365</v>
      </c>
      <c r="E759" s="103">
        <v>2006</v>
      </c>
      <c r="F759" s="15" t="s">
        <v>22</v>
      </c>
      <c r="G759" s="18" t="s">
        <v>6255</v>
      </c>
      <c r="H759" s="9" t="s">
        <v>118</v>
      </c>
      <c r="I759" s="59" t="s">
        <v>1109</v>
      </c>
      <c r="J759" s="59" t="s">
        <v>1335</v>
      </c>
      <c r="K759" s="19">
        <v>1</v>
      </c>
      <c r="L759" s="234">
        <f t="shared" si="24"/>
        <v>1</v>
      </c>
      <c r="M759" s="19">
        <v>0</v>
      </c>
      <c r="N759" s="19">
        <v>0</v>
      </c>
      <c r="O759" s="19">
        <v>0</v>
      </c>
      <c r="P759" s="19">
        <v>0</v>
      </c>
      <c r="Q759" s="105">
        <v>0</v>
      </c>
      <c r="R759" s="93">
        <v>0</v>
      </c>
      <c r="S759" s="7" t="s">
        <v>1219</v>
      </c>
      <c r="T759" s="257">
        <f t="shared" si="22"/>
        <v>2</v>
      </c>
      <c r="U759" s="257">
        <f t="shared" si="23"/>
        <v>0</v>
      </c>
      <c r="V759">
        <v>1</v>
      </c>
      <c r="W759">
        <v>0</v>
      </c>
    </row>
    <row r="760" spans="1:23" ht="22.8" x14ac:dyDescent="0.3">
      <c r="A760" s="222">
        <v>38718</v>
      </c>
      <c r="B760" s="222">
        <v>39082</v>
      </c>
      <c r="C760" s="6">
        <v>1</v>
      </c>
      <c r="D760" s="6">
        <v>365</v>
      </c>
      <c r="E760" s="103">
        <v>2006</v>
      </c>
      <c r="F760" s="15" t="s">
        <v>22</v>
      </c>
      <c r="G760" s="18" t="s">
        <v>6255</v>
      </c>
      <c r="H760" s="9" t="s">
        <v>41</v>
      </c>
      <c r="I760" s="59" t="s">
        <v>1109</v>
      </c>
      <c r="J760" s="59" t="s">
        <v>1336</v>
      </c>
      <c r="K760" s="19">
        <v>3</v>
      </c>
      <c r="L760" s="234">
        <f t="shared" si="24"/>
        <v>3</v>
      </c>
      <c r="M760" s="19">
        <v>0</v>
      </c>
      <c r="N760" s="19">
        <v>0</v>
      </c>
      <c r="O760" s="19">
        <v>0</v>
      </c>
      <c r="P760" s="19">
        <v>0</v>
      </c>
      <c r="Q760" s="105">
        <v>0</v>
      </c>
      <c r="R760" s="93">
        <v>0</v>
      </c>
      <c r="S760" s="7" t="s">
        <v>1219</v>
      </c>
      <c r="T760" s="257">
        <f t="shared" si="22"/>
        <v>6</v>
      </c>
      <c r="U760" s="257">
        <f t="shared" si="23"/>
        <v>0</v>
      </c>
      <c r="V760">
        <v>1</v>
      </c>
      <c r="W760">
        <v>0</v>
      </c>
    </row>
    <row r="761" spans="1:23" ht="22.8" x14ac:dyDescent="0.3">
      <c r="A761" s="222">
        <v>38718</v>
      </c>
      <c r="B761" s="222">
        <v>39082</v>
      </c>
      <c r="C761" s="6">
        <v>1</v>
      </c>
      <c r="D761" s="6">
        <v>365</v>
      </c>
      <c r="E761" s="103">
        <v>2006</v>
      </c>
      <c r="F761" s="15" t="s">
        <v>22</v>
      </c>
      <c r="G761" s="18" t="s">
        <v>6255</v>
      </c>
      <c r="H761" s="9" t="s">
        <v>121</v>
      </c>
      <c r="I761" s="59" t="s">
        <v>1109</v>
      </c>
      <c r="J761" s="59" t="s">
        <v>1337</v>
      </c>
      <c r="K761" s="19">
        <v>6</v>
      </c>
      <c r="L761" s="234">
        <f t="shared" si="24"/>
        <v>6</v>
      </c>
      <c r="M761" s="19">
        <v>0</v>
      </c>
      <c r="N761" s="19">
        <v>0</v>
      </c>
      <c r="O761" s="19">
        <v>0</v>
      </c>
      <c r="P761" s="19">
        <v>0</v>
      </c>
      <c r="Q761" s="105">
        <v>0</v>
      </c>
      <c r="R761" s="93">
        <v>0</v>
      </c>
      <c r="S761" s="7" t="s">
        <v>1219</v>
      </c>
      <c r="T761" s="257">
        <f t="shared" si="22"/>
        <v>12</v>
      </c>
      <c r="U761" s="257">
        <f t="shared" si="23"/>
        <v>0</v>
      </c>
      <c r="V761">
        <v>1</v>
      </c>
      <c r="W761">
        <v>0</v>
      </c>
    </row>
    <row r="762" spans="1:23" ht="22.8" x14ac:dyDescent="0.3">
      <c r="A762" s="222">
        <v>38718</v>
      </c>
      <c r="B762" s="222">
        <v>39082</v>
      </c>
      <c r="C762" s="6">
        <v>1</v>
      </c>
      <c r="D762" s="6">
        <v>365</v>
      </c>
      <c r="E762" s="103">
        <v>2006</v>
      </c>
      <c r="F762" s="15" t="s">
        <v>22</v>
      </c>
      <c r="G762" s="18" t="s">
        <v>6255</v>
      </c>
      <c r="H762" s="9" t="s">
        <v>51</v>
      </c>
      <c r="I762" s="59" t="s">
        <v>1109</v>
      </c>
      <c r="J762" s="59" t="s">
        <v>1338</v>
      </c>
      <c r="K762" s="19">
        <v>1</v>
      </c>
      <c r="L762" s="234">
        <f t="shared" si="24"/>
        <v>1</v>
      </c>
      <c r="M762" s="19">
        <v>0</v>
      </c>
      <c r="N762" s="19">
        <v>0</v>
      </c>
      <c r="O762" s="19">
        <v>0</v>
      </c>
      <c r="P762" s="19">
        <v>0</v>
      </c>
      <c r="Q762" s="105">
        <v>0</v>
      </c>
      <c r="R762" s="93">
        <v>0</v>
      </c>
      <c r="S762" s="7" t="s">
        <v>1219</v>
      </c>
      <c r="T762" s="257">
        <f t="shared" si="22"/>
        <v>2</v>
      </c>
      <c r="U762" s="257">
        <f t="shared" si="23"/>
        <v>0</v>
      </c>
      <c r="V762">
        <v>1</v>
      </c>
      <c r="W762">
        <v>0</v>
      </c>
    </row>
    <row r="763" spans="1:23" ht="22.8" x14ac:dyDescent="0.3">
      <c r="A763" s="222">
        <v>38718</v>
      </c>
      <c r="B763" s="222">
        <v>39082</v>
      </c>
      <c r="C763" s="6">
        <v>1</v>
      </c>
      <c r="D763" s="6">
        <v>365</v>
      </c>
      <c r="E763" s="103">
        <v>2006</v>
      </c>
      <c r="F763" s="15" t="s">
        <v>22</v>
      </c>
      <c r="G763" s="18" t="s">
        <v>6255</v>
      </c>
      <c r="H763" s="9" t="s">
        <v>43</v>
      </c>
      <c r="I763" s="59" t="s">
        <v>1109</v>
      </c>
      <c r="J763" s="59" t="s">
        <v>1339</v>
      </c>
      <c r="K763" s="19">
        <v>2</v>
      </c>
      <c r="L763" s="234">
        <f t="shared" si="24"/>
        <v>2</v>
      </c>
      <c r="M763" s="19">
        <v>0</v>
      </c>
      <c r="N763" s="19">
        <v>0</v>
      </c>
      <c r="O763" s="19">
        <v>0</v>
      </c>
      <c r="P763" s="19">
        <v>0</v>
      </c>
      <c r="Q763" s="105">
        <v>0</v>
      </c>
      <c r="R763" s="93">
        <v>0</v>
      </c>
      <c r="S763" s="7" t="s">
        <v>1219</v>
      </c>
      <c r="T763" s="257">
        <f t="shared" si="22"/>
        <v>4</v>
      </c>
      <c r="U763" s="257">
        <f t="shared" si="23"/>
        <v>0</v>
      </c>
      <c r="V763">
        <v>1</v>
      </c>
      <c r="W763">
        <v>0</v>
      </c>
    </row>
    <row r="764" spans="1:23" ht="22.8" x14ac:dyDescent="0.3">
      <c r="A764" s="222">
        <v>38718</v>
      </c>
      <c r="B764" s="222">
        <v>39082</v>
      </c>
      <c r="C764" s="6">
        <v>1</v>
      </c>
      <c r="D764" s="6">
        <v>365</v>
      </c>
      <c r="E764" s="103">
        <v>2006</v>
      </c>
      <c r="F764" s="15" t="s">
        <v>22</v>
      </c>
      <c r="G764" s="18" t="s">
        <v>6255</v>
      </c>
      <c r="H764" s="9" t="s">
        <v>52</v>
      </c>
      <c r="I764" s="59" t="s">
        <v>1109</v>
      </c>
      <c r="J764" s="59" t="s">
        <v>1339</v>
      </c>
      <c r="K764" s="19">
        <v>2</v>
      </c>
      <c r="L764" s="234">
        <f t="shared" si="24"/>
        <v>2</v>
      </c>
      <c r="M764" s="19">
        <v>0</v>
      </c>
      <c r="N764" s="19">
        <v>0</v>
      </c>
      <c r="O764" s="19">
        <v>0</v>
      </c>
      <c r="P764" s="19">
        <v>0</v>
      </c>
      <c r="Q764" s="105">
        <v>0</v>
      </c>
      <c r="R764" s="93">
        <v>0</v>
      </c>
      <c r="S764" s="7" t="s">
        <v>1219</v>
      </c>
      <c r="T764" s="257">
        <f t="shared" si="22"/>
        <v>4</v>
      </c>
      <c r="U764" s="257">
        <f t="shared" si="23"/>
        <v>0</v>
      </c>
      <c r="V764">
        <v>1</v>
      </c>
      <c r="W764">
        <v>0</v>
      </c>
    </row>
    <row r="765" spans="1:23" ht="22.8" x14ac:dyDescent="0.3">
      <c r="A765" s="222">
        <v>38718</v>
      </c>
      <c r="B765" s="222">
        <v>39082</v>
      </c>
      <c r="C765" s="6">
        <v>1</v>
      </c>
      <c r="D765" s="6">
        <v>365</v>
      </c>
      <c r="E765" s="103">
        <v>2006</v>
      </c>
      <c r="F765" s="15" t="s">
        <v>22</v>
      </c>
      <c r="G765" s="18" t="s">
        <v>6255</v>
      </c>
      <c r="H765" s="9" t="s">
        <v>57</v>
      </c>
      <c r="I765" s="59" t="s">
        <v>1109</v>
      </c>
      <c r="J765" s="59" t="s">
        <v>1336</v>
      </c>
      <c r="K765" s="19">
        <v>3</v>
      </c>
      <c r="L765" s="234">
        <f t="shared" si="24"/>
        <v>3</v>
      </c>
      <c r="M765" s="19">
        <v>0</v>
      </c>
      <c r="N765" s="19">
        <v>0</v>
      </c>
      <c r="O765" s="19">
        <v>0</v>
      </c>
      <c r="P765" s="19">
        <v>0</v>
      </c>
      <c r="Q765" s="105">
        <v>0</v>
      </c>
      <c r="R765" s="93">
        <v>0</v>
      </c>
      <c r="S765" s="7" t="s">
        <v>1219</v>
      </c>
      <c r="T765" s="257">
        <f t="shared" si="22"/>
        <v>6</v>
      </c>
      <c r="U765" s="257">
        <f t="shared" si="23"/>
        <v>0</v>
      </c>
      <c r="V765">
        <v>1</v>
      </c>
      <c r="W765">
        <v>0</v>
      </c>
    </row>
    <row r="766" spans="1:23" ht="22.8" x14ac:dyDescent="0.3">
      <c r="A766" s="222">
        <v>38718</v>
      </c>
      <c r="B766" s="222">
        <v>39082</v>
      </c>
      <c r="C766" s="6">
        <v>1</v>
      </c>
      <c r="D766" s="6">
        <v>365</v>
      </c>
      <c r="E766" s="103">
        <v>2006</v>
      </c>
      <c r="F766" s="15" t="s">
        <v>22</v>
      </c>
      <c r="G766" s="18" t="s">
        <v>6255</v>
      </c>
      <c r="H766" s="9" t="s">
        <v>64</v>
      </c>
      <c r="I766" s="59" t="s">
        <v>1109</v>
      </c>
      <c r="J766" s="59" t="s">
        <v>1340</v>
      </c>
      <c r="K766" s="19">
        <v>8</v>
      </c>
      <c r="L766" s="234">
        <f t="shared" si="24"/>
        <v>8</v>
      </c>
      <c r="M766" s="19">
        <v>0</v>
      </c>
      <c r="N766" s="19">
        <v>0</v>
      </c>
      <c r="O766" s="19">
        <v>0</v>
      </c>
      <c r="P766" s="19">
        <v>0</v>
      </c>
      <c r="Q766" s="105">
        <v>0</v>
      </c>
      <c r="R766" s="93">
        <v>0</v>
      </c>
      <c r="S766" s="7" t="s">
        <v>1219</v>
      </c>
      <c r="T766" s="257">
        <f t="shared" si="22"/>
        <v>16</v>
      </c>
      <c r="U766" s="257">
        <f t="shared" si="23"/>
        <v>0</v>
      </c>
      <c r="V766">
        <v>1</v>
      </c>
      <c r="W766">
        <v>0</v>
      </c>
    </row>
    <row r="767" spans="1:23" ht="22.8" x14ac:dyDescent="0.3">
      <c r="A767" s="222">
        <v>38718</v>
      </c>
      <c r="B767" s="222">
        <v>39082</v>
      </c>
      <c r="C767" s="6">
        <v>1</v>
      </c>
      <c r="D767" s="6">
        <v>365</v>
      </c>
      <c r="E767" s="103">
        <v>2006</v>
      </c>
      <c r="F767" s="15" t="s">
        <v>22</v>
      </c>
      <c r="G767" s="18" t="s">
        <v>6255</v>
      </c>
      <c r="H767" s="9" t="s">
        <v>74</v>
      </c>
      <c r="I767" s="59" t="s">
        <v>1109</v>
      </c>
      <c r="J767" s="59" t="s">
        <v>1341</v>
      </c>
      <c r="K767" s="19">
        <v>14</v>
      </c>
      <c r="L767" s="234">
        <f t="shared" si="24"/>
        <v>14</v>
      </c>
      <c r="M767" s="19">
        <v>0</v>
      </c>
      <c r="N767" s="19">
        <v>0</v>
      </c>
      <c r="O767" s="19">
        <v>0</v>
      </c>
      <c r="P767" s="19">
        <v>0</v>
      </c>
      <c r="Q767" s="105">
        <v>0</v>
      </c>
      <c r="R767" s="93">
        <v>0</v>
      </c>
      <c r="S767" s="7" t="s">
        <v>1219</v>
      </c>
      <c r="T767" s="257">
        <f t="shared" si="22"/>
        <v>28</v>
      </c>
      <c r="U767" s="257">
        <f t="shared" si="23"/>
        <v>0</v>
      </c>
      <c r="V767">
        <v>1</v>
      </c>
      <c r="W767">
        <v>0</v>
      </c>
    </row>
    <row r="768" spans="1:23" ht="22.8" x14ac:dyDescent="0.3">
      <c r="A768" s="222">
        <v>38718</v>
      </c>
      <c r="B768" s="222">
        <v>39082</v>
      </c>
      <c r="C768" s="6">
        <v>1</v>
      </c>
      <c r="D768" s="6">
        <v>365</v>
      </c>
      <c r="E768" s="103">
        <v>2006</v>
      </c>
      <c r="F768" s="15" t="s">
        <v>22</v>
      </c>
      <c r="G768" s="18" t="s">
        <v>6255</v>
      </c>
      <c r="H768" s="9" t="s">
        <v>84</v>
      </c>
      <c r="I768" s="59" t="s">
        <v>1109</v>
      </c>
      <c r="J768" s="59" t="s">
        <v>1332</v>
      </c>
      <c r="K768" s="19">
        <v>4</v>
      </c>
      <c r="L768" s="234">
        <f t="shared" si="24"/>
        <v>4</v>
      </c>
      <c r="M768" s="19">
        <v>0</v>
      </c>
      <c r="N768" s="19">
        <v>0</v>
      </c>
      <c r="O768" s="19">
        <v>0</v>
      </c>
      <c r="P768" s="19">
        <v>0</v>
      </c>
      <c r="Q768" s="105">
        <v>0</v>
      </c>
      <c r="R768" s="93">
        <v>0</v>
      </c>
      <c r="S768" s="7" t="s">
        <v>1219</v>
      </c>
      <c r="T768" s="257">
        <f t="shared" si="22"/>
        <v>8</v>
      </c>
      <c r="U768" s="257">
        <f t="shared" si="23"/>
        <v>0</v>
      </c>
      <c r="V768">
        <v>1</v>
      </c>
      <c r="W768">
        <v>0</v>
      </c>
    </row>
    <row r="769" spans="1:23" ht="22.8" x14ac:dyDescent="0.3">
      <c r="A769" s="222">
        <v>38718</v>
      </c>
      <c r="B769" s="222">
        <v>39082</v>
      </c>
      <c r="C769" s="6">
        <v>1</v>
      </c>
      <c r="D769" s="6">
        <v>365</v>
      </c>
      <c r="E769" s="103">
        <v>2006</v>
      </c>
      <c r="F769" s="15" t="s">
        <v>22</v>
      </c>
      <c r="G769" s="18" t="s">
        <v>6255</v>
      </c>
      <c r="H769" s="9" t="s">
        <v>174</v>
      </c>
      <c r="I769" s="59" t="s">
        <v>1109</v>
      </c>
      <c r="J769" s="59" t="s">
        <v>1332</v>
      </c>
      <c r="K769" s="19">
        <v>4</v>
      </c>
      <c r="L769" s="234">
        <f t="shared" si="24"/>
        <v>4</v>
      </c>
      <c r="M769" s="19">
        <v>0</v>
      </c>
      <c r="N769" s="19">
        <v>0</v>
      </c>
      <c r="O769" s="19">
        <v>0</v>
      </c>
      <c r="P769" s="19">
        <v>0</v>
      </c>
      <c r="Q769" s="105">
        <v>0</v>
      </c>
      <c r="R769" s="93">
        <v>0</v>
      </c>
      <c r="S769" s="7" t="s">
        <v>1219</v>
      </c>
      <c r="T769" s="257">
        <f t="shared" si="22"/>
        <v>8</v>
      </c>
      <c r="U769" s="257">
        <f t="shared" si="23"/>
        <v>0</v>
      </c>
      <c r="V769">
        <v>1</v>
      </c>
      <c r="W769">
        <v>0</v>
      </c>
    </row>
    <row r="770" spans="1:23" ht="22.8" x14ac:dyDescent="0.3">
      <c r="A770" s="222">
        <v>38718</v>
      </c>
      <c r="B770" s="222">
        <v>39082</v>
      </c>
      <c r="C770" s="6">
        <v>1</v>
      </c>
      <c r="D770" s="6">
        <v>365</v>
      </c>
      <c r="E770" s="103">
        <v>2006</v>
      </c>
      <c r="F770" s="15" t="s">
        <v>22</v>
      </c>
      <c r="G770" s="18" t="s">
        <v>6255</v>
      </c>
      <c r="H770" s="9" t="s">
        <v>88</v>
      </c>
      <c r="I770" s="59" t="s">
        <v>1109</v>
      </c>
      <c r="J770" s="59" t="s">
        <v>1339</v>
      </c>
      <c r="K770" s="19">
        <v>2</v>
      </c>
      <c r="L770" s="234">
        <f t="shared" si="24"/>
        <v>2</v>
      </c>
      <c r="M770" s="19">
        <v>0</v>
      </c>
      <c r="N770" s="19">
        <v>0</v>
      </c>
      <c r="O770" s="19">
        <v>0</v>
      </c>
      <c r="P770" s="19">
        <v>0</v>
      </c>
      <c r="Q770" s="105">
        <v>0</v>
      </c>
      <c r="R770" s="93">
        <v>0</v>
      </c>
      <c r="S770" s="7" t="s">
        <v>1219</v>
      </c>
      <c r="T770" s="257">
        <f t="shared" si="22"/>
        <v>4</v>
      </c>
      <c r="U770" s="257">
        <f t="shared" si="23"/>
        <v>0</v>
      </c>
      <c r="V770">
        <v>1</v>
      </c>
      <c r="W770">
        <v>0</v>
      </c>
    </row>
    <row r="771" spans="1:23" ht="22.8" x14ac:dyDescent="0.3">
      <c r="A771" s="222">
        <v>38718</v>
      </c>
      <c r="B771" s="222">
        <v>39082</v>
      </c>
      <c r="C771" s="6">
        <v>1</v>
      </c>
      <c r="D771" s="6">
        <v>365</v>
      </c>
      <c r="E771" s="103">
        <v>2006</v>
      </c>
      <c r="F771" s="15" t="s">
        <v>22</v>
      </c>
      <c r="G771" s="16" t="s">
        <v>23</v>
      </c>
      <c r="H771" s="9" t="s">
        <v>52</v>
      </c>
      <c r="I771" s="59" t="s">
        <v>1109</v>
      </c>
      <c r="J771" s="59" t="s">
        <v>1342</v>
      </c>
      <c r="K771" s="19">
        <v>0</v>
      </c>
      <c r="L771" s="104">
        <v>1057</v>
      </c>
      <c r="M771" s="19">
        <v>0</v>
      </c>
      <c r="N771" s="19">
        <v>0</v>
      </c>
      <c r="O771" s="19">
        <v>0</v>
      </c>
      <c r="P771" s="19">
        <v>0</v>
      </c>
      <c r="Q771" s="105">
        <v>2624.53</v>
      </c>
      <c r="R771" s="93">
        <v>10.248654999999999</v>
      </c>
      <c r="S771" s="19" t="s">
        <v>1235</v>
      </c>
      <c r="T771" s="257">
        <f t="shared" ref="T771:T834" si="25">SUM(K771:L771)</f>
        <v>1057</v>
      </c>
      <c r="U771" s="257">
        <f t="shared" ref="U771:U834" si="26">SUM(M771:P771)</f>
        <v>0</v>
      </c>
      <c r="V771">
        <v>1</v>
      </c>
      <c r="W771">
        <v>0</v>
      </c>
    </row>
    <row r="772" spans="1:23" ht="22.8" x14ac:dyDescent="0.3">
      <c r="A772" s="222">
        <v>38718</v>
      </c>
      <c r="B772" s="222">
        <v>39082</v>
      </c>
      <c r="C772" s="6">
        <v>1</v>
      </c>
      <c r="D772" s="6">
        <v>365</v>
      </c>
      <c r="E772" s="103">
        <v>2006</v>
      </c>
      <c r="F772" s="15" t="s">
        <v>22</v>
      </c>
      <c r="G772" s="16" t="s">
        <v>23</v>
      </c>
      <c r="H772" s="9" t="s">
        <v>64</v>
      </c>
      <c r="I772" s="59" t="s">
        <v>1109</v>
      </c>
      <c r="J772" s="59" t="s">
        <v>1343</v>
      </c>
      <c r="K772" s="19">
        <v>0</v>
      </c>
      <c r="L772" s="104">
        <v>5074</v>
      </c>
      <c r="M772" s="19">
        <v>0</v>
      </c>
      <c r="N772" s="19">
        <v>0</v>
      </c>
      <c r="O772" s="19">
        <v>0</v>
      </c>
      <c r="P772" s="19">
        <v>0</v>
      </c>
      <c r="Q772" s="105">
        <v>11880.27</v>
      </c>
      <c r="R772" s="93">
        <v>45.109591000000002</v>
      </c>
      <c r="S772" s="19" t="s">
        <v>1235</v>
      </c>
      <c r="T772" s="257">
        <f t="shared" si="25"/>
        <v>5074</v>
      </c>
      <c r="U772" s="257">
        <f t="shared" si="26"/>
        <v>0</v>
      </c>
      <c r="V772">
        <v>1</v>
      </c>
      <c r="W772">
        <v>0</v>
      </c>
    </row>
    <row r="773" spans="1:23" ht="34.200000000000003" x14ac:dyDescent="0.3">
      <c r="A773" s="222">
        <v>38718</v>
      </c>
      <c r="B773" s="222">
        <v>39082</v>
      </c>
      <c r="C773" s="6">
        <v>1</v>
      </c>
      <c r="D773" s="6">
        <v>365</v>
      </c>
      <c r="E773" s="103">
        <v>2006</v>
      </c>
      <c r="F773" s="15" t="s">
        <v>22</v>
      </c>
      <c r="G773" s="16" t="s">
        <v>23</v>
      </c>
      <c r="H773" s="9" t="s">
        <v>66</v>
      </c>
      <c r="I773" s="59" t="s">
        <v>1109</v>
      </c>
      <c r="J773" s="59" t="s">
        <v>1344</v>
      </c>
      <c r="K773" s="19">
        <v>0</v>
      </c>
      <c r="L773" s="104">
        <v>2333</v>
      </c>
      <c r="M773" s="19">
        <v>0</v>
      </c>
      <c r="N773" s="19">
        <v>0</v>
      </c>
      <c r="O773" s="19">
        <v>0</v>
      </c>
      <c r="P773" s="19">
        <v>0</v>
      </c>
      <c r="Q773" s="105">
        <v>5225.83</v>
      </c>
      <c r="R773" s="93">
        <v>19.864071899999999</v>
      </c>
      <c r="S773" s="19" t="s">
        <v>1235</v>
      </c>
      <c r="T773" s="257">
        <f t="shared" si="25"/>
        <v>2333</v>
      </c>
      <c r="U773" s="257">
        <f t="shared" si="26"/>
        <v>0</v>
      </c>
      <c r="V773">
        <v>1</v>
      </c>
      <c r="W773">
        <v>0</v>
      </c>
    </row>
    <row r="774" spans="1:23" ht="148.19999999999999" x14ac:dyDescent="0.3">
      <c r="A774" s="218">
        <v>38793</v>
      </c>
      <c r="B774" s="218">
        <v>38793</v>
      </c>
      <c r="C774" s="6">
        <v>3</v>
      </c>
      <c r="D774" s="6">
        <v>1</v>
      </c>
      <c r="E774" s="103">
        <v>2006</v>
      </c>
      <c r="F774" s="7" t="s">
        <v>17</v>
      </c>
      <c r="G774" s="8" t="s">
        <v>6261</v>
      </c>
      <c r="H774" s="9" t="s">
        <v>31</v>
      </c>
      <c r="I774" s="66" t="s">
        <v>1345</v>
      </c>
      <c r="J774" s="67" t="s">
        <v>1346</v>
      </c>
      <c r="K774" s="67">
        <v>2</v>
      </c>
      <c r="L774" s="234">
        <v>5</v>
      </c>
      <c r="M774" s="19">
        <v>0</v>
      </c>
      <c r="N774" s="19">
        <v>0</v>
      </c>
      <c r="O774" s="19">
        <v>0</v>
      </c>
      <c r="P774" s="19">
        <v>0</v>
      </c>
      <c r="Q774" s="67">
        <v>0</v>
      </c>
      <c r="R774" s="107">
        <v>0</v>
      </c>
      <c r="S774" s="7" t="s">
        <v>115</v>
      </c>
      <c r="T774" s="257">
        <f t="shared" si="25"/>
        <v>7</v>
      </c>
      <c r="U774" s="257">
        <f t="shared" si="26"/>
        <v>0</v>
      </c>
      <c r="V774">
        <v>1</v>
      </c>
      <c r="W774">
        <v>0</v>
      </c>
    </row>
    <row r="775" spans="1:23" ht="57" x14ac:dyDescent="0.3">
      <c r="A775" s="218">
        <v>38845</v>
      </c>
      <c r="B775" s="218">
        <v>38845</v>
      </c>
      <c r="C775" s="6">
        <v>5</v>
      </c>
      <c r="D775" s="6">
        <v>1</v>
      </c>
      <c r="E775" s="103">
        <v>2006</v>
      </c>
      <c r="F775" s="7" t="s">
        <v>17</v>
      </c>
      <c r="G775" s="28" t="s">
        <v>6261</v>
      </c>
      <c r="H775" s="9" t="s">
        <v>31</v>
      </c>
      <c r="I775" s="66" t="s">
        <v>1347</v>
      </c>
      <c r="J775" s="67" t="s">
        <v>1348</v>
      </c>
      <c r="K775" s="67">
        <v>0</v>
      </c>
      <c r="L775" s="240">
        <v>0</v>
      </c>
      <c r="M775" s="67">
        <v>0</v>
      </c>
      <c r="N775" s="67">
        <v>0</v>
      </c>
      <c r="O775" s="19">
        <v>0</v>
      </c>
      <c r="P775" s="19">
        <v>0</v>
      </c>
      <c r="Q775" s="67">
        <v>2</v>
      </c>
      <c r="R775" s="107">
        <v>0.16</v>
      </c>
      <c r="S775" s="7" t="s">
        <v>115</v>
      </c>
      <c r="T775" s="257">
        <f t="shared" si="25"/>
        <v>0</v>
      </c>
      <c r="U775" s="257">
        <f t="shared" si="26"/>
        <v>0</v>
      </c>
      <c r="V775">
        <v>0</v>
      </c>
      <c r="W775">
        <v>0</v>
      </c>
    </row>
    <row r="776" spans="1:23" ht="57" x14ac:dyDescent="0.3">
      <c r="A776" s="218">
        <v>38902</v>
      </c>
      <c r="B776" s="218">
        <v>38902</v>
      </c>
      <c r="C776" s="6">
        <v>7</v>
      </c>
      <c r="D776" s="6">
        <v>1</v>
      </c>
      <c r="E776" s="103">
        <v>2006</v>
      </c>
      <c r="F776" s="7" t="s">
        <v>17</v>
      </c>
      <c r="G776" s="8" t="s">
        <v>6261</v>
      </c>
      <c r="H776" s="9" t="s">
        <v>31</v>
      </c>
      <c r="I776" s="66" t="s">
        <v>1350</v>
      </c>
      <c r="J776" s="67" t="s">
        <v>1351</v>
      </c>
      <c r="K776" s="67">
        <v>1</v>
      </c>
      <c r="L776" s="240">
        <v>1</v>
      </c>
      <c r="M776" s="67">
        <v>0</v>
      </c>
      <c r="N776" s="67">
        <v>0</v>
      </c>
      <c r="O776" s="19">
        <v>0</v>
      </c>
      <c r="P776" s="19">
        <v>0</v>
      </c>
      <c r="Q776" s="67">
        <v>0</v>
      </c>
      <c r="R776" s="107">
        <v>0</v>
      </c>
      <c r="S776" s="7" t="s">
        <v>115</v>
      </c>
      <c r="T776" s="257">
        <f t="shared" si="25"/>
        <v>2</v>
      </c>
      <c r="U776" s="257">
        <f t="shared" si="26"/>
        <v>0</v>
      </c>
      <c r="V776">
        <v>1</v>
      </c>
      <c r="W776">
        <v>0</v>
      </c>
    </row>
    <row r="777" spans="1:23" ht="45.6" x14ac:dyDescent="0.3">
      <c r="A777" s="218">
        <v>38931</v>
      </c>
      <c r="B777" s="218">
        <v>38931</v>
      </c>
      <c r="C777" s="6">
        <v>8</v>
      </c>
      <c r="D777" s="6">
        <v>1</v>
      </c>
      <c r="E777" s="103">
        <v>2006</v>
      </c>
      <c r="F777" s="7" t="s">
        <v>17</v>
      </c>
      <c r="G777" s="28" t="s">
        <v>6261</v>
      </c>
      <c r="H777" s="9" t="s">
        <v>61</v>
      </c>
      <c r="I777" s="66" t="s">
        <v>1352</v>
      </c>
      <c r="J777" s="108" t="s">
        <v>1353</v>
      </c>
      <c r="K777" s="67">
        <v>11</v>
      </c>
      <c r="L777" s="240">
        <v>11</v>
      </c>
      <c r="M777" s="67">
        <v>0</v>
      </c>
      <c r="N777" s="67">
        <v>0</v>
      </c>
      <c r="O777" s="19">
        <v>0</v>
      </c>
      <c r="P777" s="19">
        <v>0</v>
      </c>
      <c r="Q777" s="67">
        <v>0</v>
      </c>
      <c r="R777" s="107">
        <v>0</v>
      </c>
      <c r="S777" s="7" t="s">
        <v>115</v>
      </c>
      <c r="T777" s="257">
        <f t="shared" si="25"/>
        <v>22</v>
      </c>
      <c r="U777" s="257">
        <f t="shared" si="26"/>
        <v>0</v>
      </c>
      <c r="V777">
        <v>1</v>
      </c>
      <c r="W777">
        <v>0</v>
      </c>
    </row>
    <row r="778" spans="1:23" ht="34.200000000000003" x14ac:dyDescent="0.3">
      <c r="A778" s="218">
        <v>38955</v>
      </c>
      <c r="B778" s="129">
        <f>A778</f>
        <v>38955</v>
      </c>
      <c r="C778" s="6">
        <v>8</v>
      </c>
      <c r="D778" s="6">
        <v>1</v>
      </c>
      <c r="E778" s="103">
        <v>2006</v>
      </c>
      <c r="F778" s="7" t="s">
        <v>17</v>
      </c>
      <c r="G778" s="28" t="s">
        <v>6261</v>
      </c>
      <c r="H778" s="9" t="s">
        <v>118</v>
      </c>
      <c r="I778" s="66" t="s">
        <v>1014</v>
      </c>
      <c r="J778" s="67" t="s">
        <v>1354</v>
      </c>
      <c r="K778" s="67">
        <v>4</v>
      </c>
      <c r="L778" s="240">
        <v>4</v>
      </c>
      <c r="M778" s="67">
        <v>0</v>
      </c>
      <c r="N778" s="67">
        <v>0</v>
      </c>
      <c r="O778" s="19">
        <v>0</v>
      </c>
      <c r="P778" s="19">
        <v>0</v>
      </c>
      <c r="Q778" s="67">
        <v>0</v>
      </c>
      <c r="R778" s="107">
        <v>0</v>
      </c>
      <c r="S778" s="7" t="s">
        <v>115</v>
      </c>
      <c r="T778" s="257">
        <f t="shared" si="25"/>
        <v>8</v>
      </c>
      <c r="U778" s="257">
        <f t="shared" si="26"/>
        <v>0</v>
      </c>
      <c r="V778">
        <v>1</v>
      </c>
      <c r="W778">
        <v>0</v>
      </c>
    </row>
    <row r="779" spans="1:23" ht="57" x14ac:dyDescent="0.3">
      <c r="A779" s="218">
        <v>38966</v>
      </c>
      <c r="B779" s="129">
        <f>A779</f>
        <v>38966</v>
      </c>
      <c r="C779" s="6">
        <v>9</v>
      </c>
      <c r="D779" s="6">
        <v>1</v>
      </c>
      <c r="E779" s="103">
        <v>2006</v>
      </c>
      <c r="F779" s="7" t="s">
        <v>17</v>
      </c>
      <c r="G779" s="28" t="s">
        <v>6261</v>
      </c>
      <c r="H779" s="9" t="s">
        <v>41</v>
      </c>
      <c r="I779" s="66" t="s">
        <v>1355</v>
      </c>
      <c r="J779" s="108" t="s">
        <v>1356</v>
      </c>
      <c r="K779" s="67">
        <v>10</v>
      </c>
      <c r="L779" s="240">
        <v>13</v>
      </c>
      <c r="M779" s="67">
        <v>5</v>
      </c>
      <c r="N779" s="67">
        <v>0</v>
      </c>
      <c r="O779" s="19">
        <v>0</v>
      </c>
      <c r="P779" s="19">
        <v>0</v>
      </c>
      <c r="Q779" s="67">
        <v>0</v>
      </c>
      <c r="R779" s="107">
        <v>0.20849500000000001</v>
      </c>
      <c r="S779" s="7" t="s">
        <v>115</v>
      </c>
      <c r="T779" s="257">
        <f t="shared" si="25"/>
        <v>23</v>
      </c>
      <c r="U779" s="257">
        <f t="shared" si="26"/>
        <v>5</v>
      </c>
      <c r="V779">
        <v>1</v>
      </c>
      <c r="W779">
        <v>1</v>
      </c>
    </row>
    <row r="780" spans="1:23" ht="68.400000000000006" x14ac:dyDescent="0.3">
      <c r="A780" s="218">
        <v>38972</v>
      </c>
      <c r="B780" s="129">
        <f>A780</f>
        <v>38972</v>
      </c>
      <c r="C780" s="6">
        <v>9</v>
      </c>
      <c r="D780" s="6">
        <v>1</v>
      </c>
      <c r="E780" s="103">
        <v>2006</v>
      </c>
      <c r="F780" s="7" t="s">
        <v>17</v>
      </c>
      <c r="G780" s="28" t="s">
        <v>6261</v>
      </c>
      <c r="H780" s="9" t="s">
        <v>64</v>
      </c>
      <c r="I780" s="66" t="s">
        <v>1357</v>
      </c>
      <c r="J780" s="108" t="s">
        <v>1358</v>
      </c>
      <c r="K780" s="67">
        <v>0</v>
      </c>
      <c r="L780" s="240">
        <v>120</v>
      </c>
      <c r="M780" s="67">
        <v>3</v>
      </c>
      <c r="N780" s="67">
        <v>0</v>
      </c>
      <c r="O780" s="19">
        <v>0</v>
      </c>
      <c r="P780" s="19">
        <v>0</v>
      </c>
      <c r="Q780" s="67">
        <v>0</v>
      </c>
      <c r="R780" s="107">
        <v>0.40082099999999998</v>
      </c>
      <c r="S780" s="7" t="s">
        <v>115</v>
      </c>
      <c r="T780" s="257">
        <f t="shared" si="25"/>
        <v>120</v>
      </c>
      <c r="U780" s="257">
        <f t="shared" si="26"/>
        <v>3</v>
      </c>
      <c r="V780">
        <v>1</v>
      </c>
      <c r="W780">
        <v>1</v>
      </c>
    </row>
    <row r="781" spans="1:23" ht="118.8" x14ac:dyDescent="0.3">
      <c r="A781" s="219">
        <v>40420</v>
      </c>
      <c r="B781" s="219">
        <v>40420</v>
      </c>
      <c r="C781" s="6">
        <v>8</v>
      </c>
      <c r="D781" s="6">
        <v>1</v>
      </c>
      <c r="E781" s="73">
        <v>2010</v>
      </c>
      <c r="F781" s="15" t="s">
        <v>22</v>
      </c>
      <c r="G781" s="18" t="s">
        <v>6256</v>
      </c>
      <c r="H781" s="9" t="s">
        <v>48</v>
      </c>
      <c r="I781" s="74" t="s">
        <v>310</v>
      </c>
      <c r="J781" s="74" t="s">
        <v>1359</v>
      </c>
      <c r="K781" s="75">
        <v>0</v>
      </c>
      <c r="L781" s="241">
        <v>21274</v>
      </c>
      <c r="M781" s="75">
        <v>4105</v>
      </c>
      <c r="N781" s="75">
        <v>0</v>
      </c>
      <c r="O781" s="75">
        <v>0</v>
      </c>
      <c r="P781" s="75">
        <v>0</v>
      </c>
      <c r="Q781" s="75">
        <v>0</v>
      </c>
      <c r="R781" s="61">
        <v>21.017600000000002</v>
      </c>
      <c r="S781" s="73" t="s">
        <v>115</v>
      </c>
      <c r="T781" s="257">
        <f t="shared" si="25"/>
        <v>21274</v>
      </c>
      <c r="U781" s="257">
        <f t="shared" si="26"/>
        <v>4105</v>
      </c>
      <c r="V781">
        <v>2</v>
      </c>
      <c r="W781">
        <v>2</v>
      </c>
    </row>
    <row r="782" spans="1:23" ht="34.200000000000003" x14ac:dyDescent="0.3">
      <c r="A782" s="218">
        <v>38987</v>
      </c>
      <c r="B782" s="129">
        <f>A782</f>
        <v>38987</v>
      </c>
      <c r="C782" s="6">
        <v>9</v>
      </c>
      <c r="D782" s="6">
        <v>1</v>
      </c>
      <c r="E782" s="103">
        <v>2006</v>
      </c>
      <c r="F782" s="7" t="s">
        <v>17</v>
      </c>
      <c r="G782" s="28" t="s">
        <v>6261</v>
      </c>
      <c r="H782" s="9" t="s">
        <v>51</v>
      </c>
      <c r="I782" s="66" t="s">
        <v>1360</v>
      </c>
      <c r="J782" s="67" t="s">
        <v>1361</v>
      </c>
      <c r="K782" s="67">
        <v>3</v>
      </c>
      <c r="L782" s="240">
        <v>3</v>
      </c>
      <c r="M782" s="67">
        <v>0</v>
      </c>
      <c r="N782" s="67">
        <v>0</v>
      </c>
      <c r="O782" s="19">
        <v>0</v>
      </c>
      <c r="P782" s="19">
        <v>0</v>
      </c>
      <c r="Q782" s="67">
        <v>0</v>
      </c>
      <c r="R782" s="107">
        <v>0</v>
      </c>
      <c r="S782" s="7" t="s">
        <v>115</v>
      </c>
      <c r="T782" s="257">
        <f t="shared" si="25"/>
        <v>6</v>
      </c>
      <c r="U782" s="257">
        <f t="shared" si="26"/>
        <v>0</v>
      </c>
      <c r="V782">
        <v>1</v>
      </c>
      <c r="W782">
        <v>0</v>
      </c>
    </row>
    <row r="783" spans="1:23" ht="34.200000000000003" x14ac:dyDescent="0.3">
      <c r="A783" s="218">
        <v>38987</v>
      </c>
      <c r="B783" s="129">
        <f>A783</f>
        <v>38987</v>
      </c>
      <c r="C783" s="6">
        <v>9</v>
      </c>
      <c r="D783" s="6">
        <v>1</v>
      </c>
      <c r="E783" s="103">
        <v>2006</v>
      </c>
      <c r="F783" s="7" t="s">
        <v>17</v>
      </c>
      <c r="G783" s="8" t="s">
        <v>6261</v>
      </c>
      <c r="H783" s="9" t="s">
        <v>46</v>
      </c>
      <c r="I783" s="66" t="s">
        <v>300</v>
      </c>
      <c r="J783" s="67" t="s">
        <v>1362</v>
      </c>
      <c r="K783" s="67">
        <v>0</v>
      </c>
      <c r="L783" s="240">
        <v>1</v>
      </c>
      <c r="M783" s="67">
        <v>0</v>
      </c>
      <c r="N783" s="67">
        <v>0</v>
      </c>
      <c r="O783" s="19">
        <v>0</v>
      </c>
      <c r="P783" s="19">
        <v>0</v>
      </c>
      <c r="Q783" s="67">
        <v>0</v>
      </c>
      <c r="R783" s="107">
        <v>0</v>
      </c>
      <c r="S783" s="7" t="s">
        <v>115</v>
      </c>
      <c r="T783" s="257">
        <f t="shared" si="25"/>
        <v>1</v>
      </c>
      <c r="U783" s="257">
        <f t="shared" si="26"/>
        <v>0</v>
      </c>
      <c r="V783">
        <v>1</v>
      </c>
      <c r="W783">
        <v>0</v>
      </c>
    </row>
    <row r="784" spans="1:23" ht="34.200000000000003" x14ac:dyDescent="0.3">
      <c r="A784" s="218">
        <v>39048</v>
      </c>
      <c r="B784" s="218">
        <v>39050</v>
      </c>
      <c r="C784" s="6">
        <v>11</v>
      </c>
      <c r="D784" s="6">
        <v>3</v>
      </c>
      <c r="E784" s="103">
        <v>2006</v>
      </c>
      <c r="F784" s="7" t="s">
        <v>17</v>
      </c>
      <c r="G784" s="16" t="s">
        <v>6260</v>
      </c>
      <c r="H784" s="9" t="s">
        <v>28</v>
      </c>
      <c r="I784" s="66" t="s">
        <v>1066</v>
      </c>
      <c r="J784" s="67" t="s">
        <v>1363</v>
      </c>
      <c r="K784" s="67">
        <v>0</v>
      </c>
      <c r="L784" s="240">
        <v>0</v>
      </c>
      <c r="M784" s="67">
        <v>0</v>
      </c>
      <c r="N784" s="67">
        <v>0</v>
      </c>
      <c r="O784" s="19">
        <v>0</v>
      </c>
      <c r="P784" s="19">
        <v>0</v>
      </c>
      <c r="Q784" s="67">
        <v>0</v>
      </c>
      <c r="R784" s="107">
        <v>0</v>
      </c>
      <c r="S784" s="7" t="s">
        <v>115</v>
      </c>
      <c r="T784" s="257">
        <f t="shared" si="25"/>
        <v>0</v>
      </c>
      <c r="U784" s="257">
        <f t="shared" si="26"/>
        <v>0</v>
      </c>
      <c r="V784">
        <v>0</v>
      </c>
      <c r="W784">
        <v>0</v>
      </c>
    </row>
    <row r="785" spans="1:23" ht="79.8" x14ac:dyDescent="0.3">
      <c r="A785" s="129">
        <v>38723</v>
      </c>
      <c r="B785" s="129">
        <v>38723</v>
      </c>
      <c r="C785" s="6">
        <v>1</v>
      </c>
      <c r="D785" s="6">
        <v>1</v>
      </c>
      <c r="E785" s="103">
        <v>2006</v>
      </c>
      <c r="F785" s="15" t="s">
        <v>22</v>
      </c>
      <c r="G785" s="18" t="s">
        <v>6256</v>
      </c>
      <c r="H785" s="9" t="s">
        <v>61</v>
      </c>
      <c r="I785" s="17" t="s">
        <v>1395</v>
      </c>
      <c r="J785" s="110" t="s">
        <v>1396</v>
      </c>
      <c r="K785" s="23">
        <v>0</v>
      </c>
      <c r="L785" s="234">
        <v>100</v>
      </c>
      <c r="M785" s="23">
        <v>20</v>
      </c>
      <c r="N785" s="23">
        <v>0</v>
      </c>
      <c r="O785" s="19">
        <v>0</v>
      </c>
      <c r="P785" s="19">
        <v>0</v>
      </c>
      <c r="Q785" s="23">
        <v>0</v>
      </c>
      <c r="R785" s="93">
        <v>0.89239999999999997</v>
      </c>
      <c r="S785" s="7" t="s">
        <v>115</v>
      </c>
      <c r="T785" s="257">
        <f t="shared" si="25"/>
        <v>100</v>
      </c>
      <c r="U785" s="257">
        <f t="shared" si="26"/>
        <v>20</v>
      </c>
      <c r="V785">
        <v>1</v>
      </c>
      <c r="W785">
        <v>1</v>
      </c>
    </row>
    <row r="786" spans="1:23" ht="57" x14ac:dyDescent="0.3">
      <c r="A786" s="129">
        <v>38734</v>
      </c>
      <c r="B786" s="129">
        <v>38734</v>
      </c>
      <c r="C786" s="6">
        <v>1</v>
      </c>
      <c r="D786" s="6">
        <v>1</v>
      </c>
      <c r="E786" s="103">
        <v>2006</v>
      </c>
      <c r="F786" s="15" t="s">
        <v>22</v>
      </c>
      <c r="G786" s="18" t="s">
        <v>6256</v>
      </c>
      <c r="H786" s="9" t="s">
        <v>174</v>
      </c>
      <c r="I786" s="59" t="s">
        <v>1397</v>
      </c>
      <c r="J786" s="109" t="s">
        <v>1398</v>
      </c>
      <c r="K786" s="103">
        <v>0</v>
      </c>
      <c r="L786" s="234">
        <v>22</v>
      </c>
      <c r="M786" s="103">
        <v>4</v>
      </c>
      <c r="N786" s="103">
        <v>0</v>
      </c>
      <c r="O786" s="19">
        <v>0</v>
      </c>
      <c r="P786" s="19">
        <v>0</v>
      </c>
      <c r="Q786" s="19">
        <v>0</v>
      </c>
      <c r="R786" s="93">
        <v>4.0000000000000001E-3</v>
      </c>
      <c r="S786" s="7" t="s">
        <v>115</v>
      </c>
      <c r="T786" s="257">
        <f t="shared" si="25"/>
        <v>22</v>
      </c>
      <c r="U786" s="257">
        <f t="shared" si="26"/>
        <v>4</v>
      </c>
      <c r="V786">
        <v>1</v>
      </c>
      <c r="W786">
        <v>1</v>
      </c>
    </row>
    <row r="787" spans="1:23" ht="45.6" x14ac:dyDescent="0.3">
      <c r="A787" s="129">
        <v>38743</v>
      </c>
      <c r="B787" s="129">
        <v>38743</v>
      </c>
      <c r="C787" s="6">
        <v>1</v>
      </c>
      <c r="D787" s="6">
        <v>1</v>
      </c>
      <c r="E787" s="103">
        <v>2006</v>
      </c>
      <c r="F787" s="15" t="s">
        <v>22</v>
      </c>
      <c r="G787" s="18" t="s">
        <v>6256</v>
      </c>
      <c r="H787" s="17" t="s">
        <v>565</v>
      </c>
      <c r="I787" s="17" t="s">
        <v>1399</v>
      </c>
      <c r="J787" s="111" t="s">
        <v>1400</v>
      </c>
      <c r="K787" s="23">
        <v>0</v>
      </c>
      <c r="L787" s="234">
        <v>686</v>
      </c>
      <c r="M787" s="23">
        <v>169</v>
      </c>
      <c r="N787" s="23">
        <v>0</v>
      </c>
      <c r="O787" s="19">
        <v>0</v>
      </c>
      <c r="P787" s="19">
        <v>0</v>
      </c>
      <c r="Q787" s="23">
        <v>0</v>
      </c>
      <c r="R787" s="93">
        <v>0.16900000000000001</v>
      </c>
      <c r="S787" s="7" t="s">
        <v>115</v>
      </c>
      <c r="T787" s="257">
        <f t="shared" si="25"/>
        <v>686</v>
      </c>
      <c r="U787" s="257">
        <f t="shared" si="26"/>
        <v>169</v>
      </c>
      <c r="V787">
        <v>1</v>
      </c>
      <c r="W787">
        <v>1</v>
      </c>
    </row>
    <row r="788" spans="1:23" ht="45.6" x14ac:dyDescent="0.3">
      <c r="A788" s="129">
        <v>38743</v>
      </c>
      <c r="B788" s="129">
        <v>38743</v>
      </c>
      <c r="C788" s="6">
        <v>1</v>
      </c>
      <c r="D788" s="6">
        <v>1</v>
      </c>
      <c r="E788" s="103">
        <v>2006</v>
      </c>
      <c r="F788" s="15" t="s">
        <v>22</v>
      </c>
      <c r="G788" s="18" t="s">
        <v>6256</v>
      </c>
      <c r="H788" s="9" t="s">
        <v>31</v>
      </c>
      <c r="I788" s="17" t="s">
        <v>1401</v>
      </c>
      <c r="J788" s="110" t="s">
        <v>1402</v>
      </c>
      <c r="K788" s="23">
        <v>0</v>
      </c>
      <c r="L788" s="234">
        <v>145</v>
      </c>
      <c r="M788" s="23">
        <v>29</v>
      </c>
      <c r="N788" s="23">
        <v>0</v>
      </c>
      <c r="O788" s="19">
        <v>0</v>
      </c>
      <c r="P788" s="19">
        <v>0</v>
      </c>
      <c r="Q788" s="23">
        <v>0</v>
      </c>
      <c r="R788" s="93">
        <v>0.13525599999999999</v>
      </c>
      <c r="S788" s="7" t="s">
        <v>115</v>
      </c>
      <c r="T788" s="257">
        <f t="shared" si="25"/>
        <v>145</v>
      </c>
      <c r="U788" s="257">
        <f t="shared" si="26"/>
        <v>29</v>
      </c>
      <c r="V788">
        <v>1</v>
      </c>
      <c r="W788">
        <v>1</v>
      </c>
    </row>
    <row r="789" spans="1:23" ht="125.4" x14ac:dyDescent="0.3">
      <c r="A789" s="129">
        <v>38745</v>
      </c>
      <c r="B789" s="129">
        <v>38748</v>
      </c>
      <c r="C789" s="6">
        <v>1</v>
      </c>
      <c r="D789" s="6">
        <v>4</v>
      </c>
      <c r="E789" s="103">
        <v>2006</v>
      </c>
      <c r="F789" s="15" t="s">
        <v>22</v>
      </c>
      <c r="G789" s="18" t="s">
        <v>6256</v>
      </c>
      <c r="H789" s="17" t="s">
        <v>565</v>
      </c>
      <c r="I789" s="17" t="s">
        <v>1403</v>
      </c>
      <c r="J789" s="111" t="s">
        <v>1404</v>
      </c>
      <c r="K789" s="23">
        <v>0</v>
      </c>
      <c r="L789" s="234">
        <v>1646</v>
      </c>
      <c r="M789" s="23">
        <v>0</v>
      </c>
      <c r="N789" s="23">
        <v>0</v>
      </c>
      <c r="O789" s="19">
        <v>0</v>
      </c>
      <c r="P789" s="19">
        <v>0</v>
      </c>
      <c r="Q789" s="23">
        <v>1339</v>
      </c>
      <c r="R789" s="93">
        <v>6.7155886000000002</v>
      </c>
      <c r="S789" s="7" t="s">
        <v>115</v>
      </c>
      <c r="T789" s="257">
        <f t="shared" si="25"/>
        <v>1646</v>
      </c>
      <c r="U789" s="257">
        <f t="shared" si="26"/>
        <v>0</v>
      </c>
      <c r="V789">
        <v>1</v>
      </c>
      <c r="W789">
        <v>0</v>
      </c>
    </row>
    <row r="790" spans="1:23" ht="45.6" x14ac:dyDescent="0.3">
      <c r="A790" s="129">
        <v>38778</v>
      </c>
      <c r="B790" s="129">
        <v>38778</v>
      </c>
      <c r="C790" s="6">
        <v>3</v>
      </c>
      <c r="D790" s="6">
        <v>1</v>
      </c>
      <c r="E790" s="103">
        <v>2006</v>
      </c>
      <c r="F790" s="15" t="s">
        <v>22</v>
      </c>
      <c r="G790" s="18" t="s">
        <v>6256</v>
      </c>
      <c r="H790" s="9" t="s">
        <v>61</v>
      </c>
      <c r="I790" s="17" t="s">
        <v>1405</v>
      </c>
      <c r="J790" s="110" t="s">
        <v>1406</v>
      </c>
      <c r="K790" s="23">
        <v>0</v>
      </c>
      <c r="L790" s="234">
        <v>10</v>
      </c>
      <c r="M790" s="23">
        <v>2</v>
      </c>
      <c r="N790" s="23">
        <v>0</v>
      </c>
      <c r="O790" s="19">
        <v>0</v>
      </c>
      <c r="P790" s="19">
        <v>0</v>
      </c>
      <c r="Q790" s="23">
        <v>0</v>
      </c>
      <c r="R790" s="93">
        <v>9.3279999999999995E-3</v>
      </c>
      <c r="S790" s="7" t="s">
        <v>115</v>
      </c>
      <c r="T790" s="257">
        <f t="shared" si="25"/>
        <v>10</v>
      </c>
      <c r="U790" s="257">
        <f t="shared" si="26"/>
        <v>2</v>
      </c>
      <c r="V790">
        <v>1</v>
      </c>
      <c r="W790">
        <v>1</v>
      </c>
    </row>
    <row r="791" spans="1:23" ht="79.8" x14ac:dyDescent="0.3">
      <c r="A791" s="129">
        <v>38800</v>
      </c>
      <c r="B791" s="129">
        <v>38800</v>
      </c>
      <c r="C791" s="6">
        <v>3</v>
      </c>
      <c r="D791" s="6">
        <v>1</v>
      </c>
      <c r="E791" s="103">
        <v>2006</v>
      </c>
      <c r="F791" s="15" t="s">
        <v>22</v>
      </c>
      <c r="G791" s="18" t="s">
        <v>6256</v>
      </c>
      <c r="H791" s="9" t="s">
        <v>121</v>
      </c>
      <c r="I791" s="17" t="s">
        <v>1407</v>
      </c>
      <c r="J791" s="111" t="s">
        <v>1408</v>
      </c>
      <c r="K791" s="23">
        <v>0</v>
      </c>
      <c r="L791" s="234">
        <v>180</v>
      </c>
      <c r="M791" s="23">
        <v>45</v>
      </c>
      <c r="N791" s="23">
        <v>0</v>
      </c>
      <c r="O791" s="19">
        <v>0</v>
      </c>
      <c r="P791" s="19">
        <v>0</v>
      </c>
      <c r="Q791" s="23">
        <v>0</v>
      </c>
      <c r="R791" s="93">
        <v>0.65548499999999998</v>
      </c>
      <c r="S791" s="7" t="s">
        <v>115</v>
      </c>
      <c r="T791" s="257">
        <f t="shared" si="25"/>
        <v>180</v>
      </c>
      <c r="U791" s="257">
        <f t="shared" si="26"/>
        <v>45</v>
      </c>
      <c r="V791">
        <v>1</v>
      </c>
      <c r="W791">
        <v>1</v>
      </c>
    </row>
    <row r="792" spans="1:23" ht="34.200000000000003" x14ac:dyDescent="0.3">
      <c r="A792" s="129">
        <v>38815</v>
      </c>
      <c r="B792" s="129">
        <v>38815</v>
      </c>
      <c r="C792" s="6">
        <v>4</v>
      </c>
      <c r="D792" s="6">
        <v>1</v>
      </c>
      <c r="E792" s="103">
        <v>2006</v>
      </c>
      <c r="F792" s="15" t="s">
        <v>22</v>
      </c>
      <c r="G792" s="18" t="s">
        <v>6256</v>
      </c>
      <c r="H792" s="9" t="s">
        <v>112</v>
      </c>
      <c r="I792" s="17" t="s">
        <v>1409</v>
      </c>
      <c r="J792" s="111" t="s">
        <v>1410</v>
      </c>
      <c r="K792" s="23">
        <v>0</v>
      </c>
      <c r="L792" s="234">
        <v>105</v>
      </c>
      <c r="M792" s="23">
        <v>21</v>
      </c>
      <c r="N792" s="23">
        <v>0</v>
      </c>
      <c r="O792" s="19">
        <v>0</v>
      </c>
      <c r="P792" s="19">
        <v>0</v>
      </c>
      <c r="Q792" s="23">
        <v>0</v>
      </c>
      <c r="R792" s="93">
        <v>2.1000000000000001E-2</v>
      </c>
      <c r="S792" s="7" t="s">
        <v>115</v>
      </c>
      <c r="T792" s="257">
        <f t="shared" si="25"/>
        <v>105</v>
      </c>
      <c r="U792" s="257">
        <f t="shared" si="26"/>
        <v>21</v>
      </c>
      <c r="V792">
        <v>1</v>
      </c>
      <c r="W792">
        <v>1</v>
      </c>
    </row>
    <row r="793" spans="1:23" ht="57" x14ac:dyDescent="0.3">
      <c r="A793" s="129">
        <v>38826</v>
      </c>
      <c r="B793" s="129">
        <v>38827</v>
      </c>
      <c r="C793" s="6">
        <v>4</v>
      </c>
      <c r="D793" s="6">
        <v>2</v>
      </c>
      <c r="E793" s="103">
        <v>2006</v>
      </c>
      <c r="F793" s="15" t="s">
        <v>22</v>
      </c>
      <c r="G793" s="18" t="s">
        <v>6256</v>
      </c>
      <c r="H793" s="9" t="s">
        <v>174</v>
      </c>
      <c r="I793" s="17" t="s">
        <v>1411</v>
      </c>
      <c r="J793" s="111" t="s">
        <v>1412</v>
      </c>
      <c r="K793" s="23">
        <v>0</v>
      </c>
      <c r="L793" s="234">
        <v>22860</v>
      </c>
      <c r="M793" s="23">
        <v>4572</v>
      </c>
      <c r="N793" s="23">
        <v>9</v>
      </c>
      <c r="O793" s="19">
        <v>0</v>
      </c>
      <c r="P793" s="19">
        <v>0</v>
      </c>
      <c r="Q793" s="23">
        <v>100</v>
      </c>
      <c r="R793" s="93">
        <v>4.5720000000000001</v>
      </c>
      <c r="S793" s="7" t="s">
        <v>115</v>
      </c>
      <c r="T793" s="257">
        <f t="shared" si="25"/>
        <v>22860</v>
      </c>
      <c r="U793" s="257">
        <f t="shared" si="26"/>
        <v>4581</v>
      </c>
      <c r="V793">
        <v>2</v>
      </c>
      <c r="W793">
        <v>2</v>
      </c>
    </row>
    <row r="794" spans="1:23" ht="45.6" x14ac:dyDescent="0.3">
      <c r="A794" s="129">
        <v>38827</v>
      </c>
      <c r="B794" s="129">
        <v>38827</v>
      </c>
      <c r="C794" s="6">
        <v>4</v>
      </c>
      <c r="D794" s="6">
        <v>1</v>
      </c>
      <c r="E794" s="103">
        <v>2006</v>
      </c>
      <c r="F794" s="15" t="s">
        <v>22</v>
      </c>
      <c r="G794" s="18" t="s">
        <v>6256</v>
      </c>
      <c r="H794" s="9" t="s">
        <v>64</v>
      </c>
      <c r="I794" s="17" t="s">
        <v>1413</v>
      </c>
      <c r="J794" s="110" t="s">
        <v>1414</v>
      </c>
      <c r="K794" s="23">
        <v>0</v>
      </c>
      <c r="L794" s="234">
        <v>230</v>
      </c>
      <c r="M794" s="23">
        <v>46</v>
      </c>
      <c r="N794" s="23">
        <v>0</v>
      </c>
      <c r="O794" s="19">
        <v>0</v>
      </c>
      <c r="P794" s="19">
        <v>0</v>
      </c>
      <c r="Q794" s="23">
        <v>0</v>
      </c>
      <c r="R794" s="93">
        <v>4.5999999999999999E-2</v>
      </c>
      <c r="S794" s="7" t="s">
        <v>115</v>
      </c>
      <c r="T794" s="257">
        <f t="shared" si="25"/>
        <v>230</v>
      </c>
      <c r="U794" s="257">
        <f t="shared" si="26"/>
        <v>46</v>
      </c>
      <c r="V794">
        <v>1</v>
      </c>
      <c r="W794">
        <v>1</v>
      </c>
    </row>
    <row r="795" spans="1:23" ht="45.6" x14ac:dyDescent="0.3">
      <c r="A795" s="129">
        <v>38828</v>
      </c>
      <c r="B795" s="129">
        <v>38828</v>
      </c>
      <c r="C795" s="6">
        <v>4</v>
      </c>
      <c r="D795" s="6">
        <v>1</v>
      </c>
      <c r="E795" s="103">
        <v>2006</v>
      </c>
      <c r="F795" s="15" t="s">
        <v>22</v>
      </c>
      <c r="G795" s="18" t="s">
        <v>6256</v>
      </c>
      <c r="H795" s="9" t="s">
        <v>43</v>
      </c>
      <c r="I795" s="17" t="s">
        <v>1415</v>
      </c>
      <c r="J795" s="110" t="s">
        <v>1416</v>
      </c>
      <c r="K795" s="23">
        <v>0</v>
      </c>
      <c r="L795" s="234">
        <v>85</v>
      </c>
      <c r="M795" s="23">
        <v>17</v>
      </c>
      <c r="N795" s="23">
        <v>0</v>
      </c>
      <c r="O795" s="19">
        <v>0</v>
      </c>
      <c r="P795" s="19">
        <v>0</v>
      </c>
      <c r="Q795" s="23">
        <v>0</v>
      </c>
      <c r="R795" s="93">
        <v>1.7000000000000001E-2</v>
      </c>
      <c r="S795" s="7" t="s">
        <v>115</v>
      </c>
      <c r="T795" s="257">
        <f t="shared" si="25"/>
        <v>85</v>
      </c>
      <c r="U795" s="257">
        <f t="shared" si="26"/>
        <v>17</v>
      </c>
      <c r="V795">
        <v>1</v>
      </c>
      <c r="W795">
        <v>1</v>
      </c>
    </row>
    <row r="796" spans="1:23" ht="45.6" x14ac:dyDescent="0.3">
      <c r="A796" s="129">
        <v>38830</v>
      </c>
      <c r="B796" s="129">
        <v>38830</v>
      </c>
      <c r="C796" s="6">
        <v>4</v>
      </c>
      <c r="D796" s="6">
        <v>1</v>
      </c>
      <c r="E796" s="103">
        <v>2006</v>
      </c>
      <c r="F796" s="15" t="s">
        <v>22</v>
      </c>
      <c r="G796" s="18" t="s">
        <v>6256</v>
      </c>
      <c r="H796" s="9" t="s">
        <v>31</v>
      </c>
      <c r="I796" s="17" t="s">
        <v>196</v>
      </c>
      <c r="J796" s="111" t="s">
        <v>1417</v>
      </c>
      <c r="K796" s="23">
        <v>0</v>
      </c>
      <c r="L796" s="234">
        <v>100</v>
      </c>
      <c r="M796" s="23">
        <v>20</v>
      </c>
      <c r="N796" s="23">
        <v>0</v>
      </c>
      <c r="O796" s="19">
        <v>0</v>
      </c>
      <c r="P796" s="19">
        <v>0</v>
      </c>
      <c r="Q796" s="23">
        <v>0</v>
      </c>
      <c r="R796" s="93">
        <v>0.02</v>
      </c>
      <c r="S796" s="7" t="s">
        <v>115</v>
      </c>
      <c r="T796" s="257">
        <f t="shared" si="25"/>
        <v>100</v>
      </c>
      <c r="U796" s="257">
        <f t="shared" si="26"/>
        <v>20</v>
      </c>
      <c r="V796">
        <v>1</v>
      </c>
      <c r="W796">
        <v>1</v>
      </c>
    </row>
    <row r="797" spans="1:23" ht="91.2" x14ac:dyDescent="0.3">
      <c r="A797" s="129">
        <v>38837</v>
      </c>
      <c r="B797" s="129">
        <v>38837</v>
      </c>
      <c r="C797" s="6">
        <v>4</v>
      </c>
      <c r="D797" s="6">
        <v>1</v>
      </c>
      <c r="E797" s="103">
        <v>2006</v>
      </c>
      <c r="F797" s="15" t="s">
        <v>22</v>
      </c>
      <c r="G797" s="18" t="s">
        <v>6256</v>
      </c>
      <c r="H797" s="9" t="s">
        <v>174</v>
      </c>
      <c r="I797" s="10" t="s">
        <v>1418</v>
      </c>
      <c r="J797" s="111" t="s">
        <v>1419</v>
      </c>
      <c r="K797" s="23">
        <v>0</v>
      </c>
      <c r="L797" s="234">
        <v>9085</v>
      </c>
      <c r="M797" s="23">
        <v>1817</v>
      </c>
      <c r="N797" s="23">
        <v>0</v>
      </c>
      <c r="O797" s="19">
        <v>0</v>
      </c>
      <c r="P797" s="19">
        <v>0</v>
      </c>
      <c r="Q797" s="23">
        <v>200</v>
      </c>
      <c r="R797" s="93">
        <v>3.9927199999999998</v>
      </c>
      <c r="S797" s="7" t="s">
        <v>115</v>
      </c>
      <c r="T797" s="257">
        <f t="shared" si="25"/>
        <v>9085</v>
      </c>
      <c r="U797" s="257">
        <f t="shared" si="26"/>
        <v>1817</v>
      </c>
      <c r="V797">
        <v>1</v>
      </c>
      <c r="W797">
        <v>2</v>
      </c>
    </row>
    <row r="798" spans="1:23" ht="34.200000000000003" x14ac:dyDescent="0.3">
      <c r="A798" s="129">
        <v>38839</v>
      </c>
      <c r="B798" s="129">
        <v>38839</v>
      </c>
      <c r="C798" s="6">
        <v>5</v>
      </c>
      <c r="D798" s="6">
        <v>1</v>
      </c>
      <c r="E798" s="103">
        <v>2006</v>
      </c>
      <c r="F798" s="15" t="s">
        <v>22</v>
      </c>
      <c r="G798" s="18" t="s">
        <v>6256</v>
      </c>
      <c r="H798" s="9" t="s">
        <v>31</v>
      </c>
      <c r="I798" s="17" t="s">
        <v>1420</v>
      </c>
      <c r="J798" s="110" t="s">
        <v>1421</v>
      </c>
      <c r="K798" s="23">
        <v>0</v>
      </c>
      <c r="L798" s="234">
        <v>45</v>
      </c>
      <c r="M798" s="23">
        <v>9</v>
      </c>
      <c r="N798" s="23">
        <v>0</v>
      </c>
      <c r="O798" s="19">
        <v>0</v>
      </c>
      <c r="P798" s="19">
        <v>0</v>
      </c>
      <c r="Q798" s="23">
        <v>0</v>
      </c>
      <c r="R798" s="93">
        <v>8.9999999999999993E-3</v>
      </c>
      <c r="S798" s="7" t="s">
        <v>115</v>
      </c>
      <c r="T798" s="257">
        <f t="shared" si="25"/>
        <v>45</v>
      </c>
      <c r="U798" s="257">
        <f t="shared" si="26"/>
        <v>9</v>
      </c>
      <c r="V798">
        <v>1</v>
      </c>
      <c r="W798">
        <v>1</v>
      </c>
    </row>
    <row r="799" spans="1:23" ht="45.6" x14ac:dyDescent="0.3">
      <c r="A799" s="129">
        <v>38842</v>
      </c>
      <c r="B799" s="129">
        <v>38842</v>
      </c>
      <c r="C799" s="6">
        <v>5</v>
      </c>
      <c r="D799" s="6">
        <v>1</v>
      </c>
      <c r="E799" s="103">
        <v>2006</v>
      </c>
      <c r="F799" s="15" t="s">
        <v>22</v>
      </c>
      <c r="G799" s="18" t="s">
        <v>6256</v>
      </c>
      <c r="H799" s="9" t="s">
        <v>61</v>
      </c>
      <c r="I799" s="17" t="s">
        <v>1304</v>
      </c>
      <c r="J799" s="110" t="s">
        <v>1422</v>
      </c>
      <c r="K799" s="23">
        <v>3</v>
      </c>
      <c r="L799" s="234">
        <v>3</v>
      </c>
      <c r="M799" s="23">
        <v>1</v>
      </c>
      <c r="N799" s="23">
        <v>0</v>
      </c>
      <c r="O799" s="19">
        <v>0</v>
      </c>
      <c r="P799" s="19">
        <v>0</v>
      </c>
      <c r="Q799" s="23">
        <v>0</v>
      </c>
      <c r="R799" s="93">
        <v>0</v>
      </c>
      <c r="S799" s="7" t="s">
        <v>115</v>
      </c>
      <c r="T799" s="257">
        <f t="shared" si="25"/>
        <v>6</v>
      </c>
      <c r="U799" s="257">
        <f t="shared" si="26"/>
        <v>1</v>
      </c>
      <c r="V799">
        <v>1</v>
      </c>
      <c r="W799">
        <v>1</v>
      </c>
    </row>
    <row r="800" spans="1:23" ht="34.200000000000003" x14ac:dyDescent="0.3">
      <c r="A800" s="129">
        <v>38843</v>
      </c>
      <c r="B800" s="129">
        <v>38843</v>
      </c>
      <c r="C800" s="6">
        <v>5</v>
      </c>
      <c r="D800" s="6">
        <v>1</v>
      </c>
      <c r="E800" s="103">
        <v>2006</v>
      </c>
      <c r="F800" s="15" t="s">
        <v>22</v>
      </c>
      <c r="G800" s="18" t="s">
        <v>6256</v>
      </c>
      <c r="H800" s="9" t="s">
        <v>84</v>
      </c>
      <c r="I800" s="17" t="s">
        <v>1423</v>
      </c>
      <c r="J800" s="110" t="s">
        <v>1424</v>
      </c>
      <c r="K800" s="23">
        <v>0</v>
      </c>
      <c r="L800" s="234">
        <v>70</v>
      </c>
      <c r="M800" s="23">
        <v>14</v>
      </c>
      <c r="N800" s="23">
        <v>0</v>
      </c>
      <c r="O800" s="19">
        <v>0</v>
      </c>
      <c r="P800" s="19">
        <v>0</v>
      </c>
      <c r="Q800" s="23">
        <v>0</v>
      </c>
      <c r="R800" s="93">
        <v>0.16279199999999999</v>
      </c>
      <c r="S800" s="7" t="s">
        <v>115</v>
      </c>
      <c r="T800" s="257">
        <f t="shared" si="25"/>
        <v>70</v>
      </c>
      <c r="U800" s="257">
        <f t="shared" si="26"/>
        <v>14</v>
      </c>
      <c r="V800">
        <v>1</v>
      </c>
      <c r="W800">
        <v>1</v>
      </c>
    </row>
    <row r="801" spans="1:23" ht="22.8" x14ac:dyDescent="0.3">
      <c r="A801" s="129">
        <v>38848</v>
      </c>
      <c r="B801" s="129">
        <v>38848</v>
      </c>
      <c r="C801" s="6">
        <v>5</v>
      </c>
      <c r="D801" s="6">
        <v>1</v>
      </c>
      <c r="E801" s="103">
        <v>2006</v>
      </c>
      <c r="F801" s="15" t="s">
        <v>22</v>
      </c>
      <c r="G801" s="18" t="s">
        <v>6256</v>
      </c>
      <c r="H801" s="9" t="s">
        <v>57</v>
      </c>
      <c r="I801" s="17" t="s">
        <v>1280</v>
      </c>
      <c r="J801" s="110" t="s">
        <v>1425</v>
      </c>
      <c r="K801" s="23">
        <v>0</v>
      </c>
      <c r="L801" s="234">
        <v>3</v>
      </c>
      <c r="M801" s="23">
        <v>0</v>
      </c>
      <c r="N801" s="23">
        <v>0</v>
      </c>
      <c r="O801" s="19">
        <v>0</v>
      </c>
      <c r="P801" s="19">
        <v>0</v>
      </c>
      <c r="Q801" s="23">
        <v>0</v>
      </c>
      <c r="R801" s="93">
        <v>0</v>
      </c>
      <c r="S801" s="7" t="s">
        <v>115</v>
      </c>
      <c r="T801" s="257">
        <f t="shared" si="25"/>
        <v>3</v>
      </c>
      <c r="U801" s="257">
        <f t="shared" si="26"/>
        <v>0</v>
      </c>
      <c r="V801">
        <v>1</v>
      </c>
      <c r="W801">
        <v>0</v>
      </c>
    </row>
    <row r="802" spans="1:23" ht="45.6" x14ac:dyDescent="0.3">
      <c r="A802" s="129">
        <v>38848</v>
      </c>
      <c r="B802" s="129">
        <v>38848</v>
      </c>
      <c r="C802" s="6">
        <v>5</v>
      </c>
      <c r="D802" s="6">
        <v>1</v>
      </c>
      <c r="E802" s="103">
        <v>2006</v>
      </c>
      <c r="F802" s="15" t="s">
        <v>22</v>
      </c>
      <c r="G802" s="18" t="s">
        <v>6256</v>
      </c>
      <c r="H802" s="9" t="s">
        <v>46</v>
      </c>
      <c r="I802" s="17" t="s">
        <v>300</v>
      </c>
      <c r="J802" s="110" t="s">
        <v>1426</v>
      </c>
      <c r="K802" s="23">
        <v>0</v>
      </c>
      <c r="L802" s="234">
        <v>5</v>
      </c>
      <c r="M802" s="23">
        <v>1</v>
      </c>
      <c r="N802" s="23">
        <v>0</v>
      </c>
      <c r="O802" s="19">
        <v>0</v>
      </c>
      <c r="P802" s="19">
        <v>0</v>
      </c>
      <c r="Q802" s="23">
        <v>0</v>
      </c>
      <c r="R802" s="93">
        <v>4.1699E-2</v>
      </c>
      <c r="S802" s="7" t="s">
        <v>115</v>
      </c>
      <c r="T802" s="257">
        <f t="shared" si="25"/>
        <v>5</v>
      </c>
      <c r="U802" s="257">
        <f t="shared" si="26"/>
        <v>1</v>
      </c>
      <c r="V802">
        <v>1</v>
      </c>
      <c r="W802">
        <v>1</v>
      </c>
    </row>
    <row r="803" spans="1:23" ht="22.8" x14ac:dyDescent="0.3">
      <c r="A803" s="129">
        <v>38848</v>
      </c>
      <c r="B803" s="129">
        <v>38848</v>
      </c>
      <c r="C803" s="6">
        <v>5</v>
      </c>
      <c r="D803" s="6">
        <v>1</v>
      </c>
      <c r="E803" s="103">
        <v>2006</v>
      </c>
      <c r="F803" s="15" t="s">
        <v>22</v>
      </c>
      <c r="G803" s="18" t="s">
        <v>6256</v>
      </c>
      <c r="H803" s="9" t="s">
        <v>88</v>
      </c>
      <c r="I803" s="17" t="s">
        <v>1271</v>
      </c>
      <c r="J803" s="110" t="s">
        <v>1427</v>
      </c>
      <c r="K803" s="23">
        <v>1</v>
      </c>
      <c r="L803" s="234">
        <v>1</v>
      </c>
      <c r="M803" s="23">
        <v>0</v>
      </c>
      <c r="N803" s="23">
        <v>0</v>
      </c>
      <c r="O803" s="19">
        <v>0</v>
      </c>
      <c r="P803" s="19">
        <v>0</v>
      </c>
      <c r="Q803" s="23">
        <v>0</v>
      </c>
      <c r="R803" s="93">
        <v>0</v>
      </c>
      <c r="S803" s="7" t="s">
        <v>115</v>
      </c>
      <c r="T803" s="257">
        <f t="shared" si="25"/>
        <v>2</v>
      </c>
      <c r="U803" s="257">
        <f t="shared" si="26"/>
        <v>0</v>
      </c>
      <c r="V803">
        <v>1</v>
      </c>
      <c r="W803">
        <v>0</v>
      </c>
    </row>
    <row r="804" spans="1:23" ht="57" x14ac:dyDescent="0.3">
      <c r="A804" s="129">
        <v>38851</v>
      </c>
      <c r="B804" s="129">
        <v>38851</v>
      </c>
      <c r="C804" s="6">
        <v>5</v>
      </c>
      <c r="D804" s="6">
        <v>1</v>
      </c>
      <c r="E804" s="103">
        <v>2006</v>
      </c>
      <c r="F804" s="15" t="s">
        <v>22</v>
      </c>
      <c r="G804" s="18" t="s">
        <v>6256</v>
      </c>
      <c r="H804" s="9" t="s">
        <v>31</v>
      </c>
      <c r="I804" s="17" t="s">
        <v>274</v>
      </c>
      <c r="J804" s="110" t="s">
        <v>1428</v>
      </c>
      <c r="K804" s="23">
        <v>1</v>
      </c>
      <c r="L804" s="234">
        <v>66</v>
      </c>
      <c r="M804" s="23">
        <v>13</v>
      </c>
      <c r="N804" s="23">
        <v>0</v>
      </c>
      <c r="O804" s="19">
        <v>0</v>
      </c>
      <c r="P804" s="19">
        <v>0</v>
      </c>
      <c r="Q804" s="23">
        <v>0</v>
      </c>
      <c r="R804" s="93">
        <v>1.2999999999999999E-2</v>
      </c>
      <c r="S804" s="7" t="s">
        <v>115</v>
      </c>
      <c r="T804" s="257">
        <f t="shared" si="25"/>
        <v>67</v>
      </c>
      <c r="U804" s="257">
        <f t="shared" si="26"/>
        <v>13</v>
      </c>
      <c r="V804">
        <v>1</v>
      </c>
      <c r="W804">
        <v>1</v>
      </c>
    </row>
    <row r="805" spans="1:23" ht="68.400000000000006" x14ac:dyDescent="0.3">
      <c r="A805" s="129">
        <v>38852</v>
      </c>
      <c r="B805" s="129">
        <v>38852</v>
      </c>
      <c r="C805" s="6">
        <v>5</v>
      </c>
      <c r="D805" s="6">
        <v>1</v>
      </c>
      <c r="E805" s="103">
        <v>2006</v>
      </c>
      <c r="F805" s="15" t="s">
        <v>22</v>
      </c>
      <c r="G805" s="18" t="s">
        <v>6256</v>
      </c>
      <c r="H805" s="9" t="s">
        <v>70</v>
      </c>
      <c r="I805" s="17" t="s">
        <v>1429</v>
      </c>
      <c r="J805" s="110" t="s">
        <v>1430</v>
      </c>
      <c r="K805" s="23">
        <v>0</v>
      </c>
      <c r="L805" s="234">
        <v>1165</v>
      </c>
      <c r="M805" s="23">
        <v>233</v>
      </c>
      <c r="N805" s="23">
        <v>1</v>
      </c>
      <c r="O805" s="19">
        <v>0</v>
      </c>
      <c r="P805" s="19">
        <v>0</v>
      </c>
      <c r="Q805" s="23">
        <v>0</v>
      </c>
      <c r="R805" s="93">
        <v>3.0100340000000001</v>
      </c>
      <c r="S805" s="7" t="s">
        <v>115</v>
      </c>
      <c r="T805" s="257">
        <f t="shared" si="25"/>
        <v>1165</v>
      </c>
      <c r="U805" s="257">
        <f t="shared" si="26"/>
        <v>234</v>
      </c>
      <c r="V805">
        <v>1</v>
      </c>
      <c r="W805">
        <v>1</v>
      </c>
    </row>
    <row r="806" spans="1:23" ht="68.400000000000006" x14ac:dyDescent="0.3">
      <c r="A806" s="129">
        <v>38852</v>
      </c>
      <c r="B806" s="129">
        <v>38852</v>
      </c>
      <c r="C806" s="6">
        <v>5</v>
      </c>
      <c r="D806" s="6">
        <v>1</v>
      </c>
      <c r="E806" s="103">
        <v>2006</v>
      </c>
      <c r="F806" s="15" t="s">
        <v>22</v>
      </c>
      <c r="G806" s="18" t="s">
        <v>6256</v>
      </c>
      <c r="H806" s="9" t="s">
        <v>121</v>
      </c>
      <c r="I806" s="17" t="s">
        <v>1431</v>
      </c>
      <c r="J806" s="110" t="s">
        <v>1432</v>
      </c>
      <c r="K806" s="23">
        <v>0</v>
      </c>
      <c r="L806" s="234">
        <v>580</v>
      </c>
      <c r="M806" s="23">
        <v>116</v>
      </c>
      <c r="N806" s="23">
        <v>0</v>
      </c>
      <c r="O806" s="19">
        <v>0</v>
      </c>
      <c r="P806" s="19">
        <v>0</v>
      </c>
      <c r="Q806" s="23">
        <v>0</v>
      </c>
      <c r="R806" s="93">
        <v>0.11600000000000001</v>
      </c>
      <c r="S806" s="7" t="s">
        <v>115</v>
      </c>
      <c r="T806" s="257">
        <f t="shared" si="25"/>
        <v>580</v>
      </c>
      <c r="U806" s="257">
        <f t="shared" si="26"/>
        <v>116</v>
      </c>
      <c r="V806">
        <v>1</v>
      </c>
      <c r="W806">
        <v>1</v>
      </c>
    </row>
    <row r="807" spans="1:23" ht="57" x14ac:dyDescent="0.3">
      <c r="A807" s="129">
        <v>38852</v>
      </c>
      <c r="B807" s="129">
        <v>38852</v>
      </c>
      <c r="C807" s="6">
        <v>5</v>
      </c>
      <c r="D807" s="6">
        <v>1</v>
      </c>
      <c r="E807" s="103">
        <v>2006</v>
      </c>
      <c r="F807" s="15" t="s">
        <v>22</v>
      </c>
      <c r="G807" s="18" t="s">
        <v>6256</v>
      </c>
      <c r="H807" s="9" t="s">
        <v>174</v>
      </c>
      <c r="I807" s="17" t="s">
        <v>1109</v>
      </c>
      <c r="J807" s="111" t="s">
        <v>1433</v>
      </c>
      <c r="K807" s="23">
        <v>0</v>
      </c>
      <c r="L807" s="234">
        <v>17195</v>
      </c>
      <c r="M807" s="23">
        <v>3439</v>
      </c>
      <c r="N807" s="23">
        <v>10</v>
      </c>
      <c r="O807" s="19">
        <v>0</v>
      </c>
      <c r="P807" s="19">
        <v>0</v>
      </c>
      <c r="Q807" s="23">
        <v>610</v>
      </c>
      <c r="R807" s="93">
        <v>3.4390000000000001</v>
      </c>
      <c r="S807" s="7" t="s">
        <v>115</v>
      </c>
      <c r="T807" s="257">
        <f t="shared" si="25"/>
        <v>17195</v>
      </c>
      <c r="U807" s="257">
        <f t="shared" si="26"/>
        <v>3449</v>
      </c>
      <c r="V807">
        <v>2</v>
      </c>
      <c r="W807">
        <v>2</v>
      </c>
    </row>
    <row r="808" spans="1:23" ht="148.19999999999999" x14ac:dyDescent="0.3">
      <c r="A808" s="129">
        <v>38853</v>
      </c>
      <c r="B808" s="129">
        <v>38853</v>
      </c>
      <c r="C808" s="6">
        <v>5</v>
      </c>
      <c r="D808" s="6">
        <v>1</v>
      </c>
      <c r="E808" s="103">
        <v>2006</v>
      </c>
      <c r="F808" s="15" t="s">
        <v>22</v>
      </c>
      <c r="G808" s="18" t="s">
        <v>6256</v>
      </c>
      <c r="H808" s="17" t="s">
        <v>565</v>
      </c>
      <c r="I808" s="17" t="s">
        <v>1434</v>
      </c>
      <c r="J808" s="111" t="s">
        <v>1435</v>
      </c>
      <c r="K808" s="23">
        <v>8</v>
      </c>
      <c r="L808" s="234">
        <v>1515</v>
      </c>
      <c r="M808" s="23">
        <v>300</v>
      </c>
      <c r="N808" s="23">
        <v>0</v>
      </c>
      <c r="O808" s="19">
        <v>0</v>
      </c>
      <c r="P808" s="19">
        <v>0</v>
      </c>
      <c r="Q808" s="23">
        <v>0</v>
      </c>
      <c r="R808" s="93">
        <v>1.5880000000000001</v>
      </c>
      <c r="S808" s="7" t="s">
        <v>115</v>
      </c>
      <c r="T808" s="257">
        <f t="shared" si="25"/>
        <v>1523</v>
      </c>
      <c r="U808" s="257">
        <f t="shared" si="26"/>
        <v>300</v>
      </c>
      <c r="V808">
        <v>1</v>
      </c>
      <c r="W808">
        <v>1</v>
      </c>
    </row>
    <row r="809" spans="1:23" ht="22.8" x14ac:dyDescent="0.3">
      <c r="A809" s="129">
        <v>38854</v>
      </c>
      <c r="B809" s="129">
        <f>A809</f>
        <v>38854</v>
      </c>
      <c r="C809" s="6">
        <v>5</v>
      </c>
      <c r="D809" s="6">
        <v>1</v>
      </c>
      <c r="E809" s="103">
        <v>2006</v>
      </c>
      <c r="F809" s="15" t="s">
        <v>22</v>
      </c>
      <c r="G809" s="18" t="s">
        <v>6256</v>
      </c>
      <c r="H809" s="9" t="s">
        <v>52</v>
      </c>
      <c r="I809" s="17" t="s">
        <v>126</v>
      </c>
      <c r="J809" s="110" t="s">
        <v>1436</v>
      </c>
      <c r="K809" s="23">
        <v>0</v>
      </c>
      <c r="L809" s="234">
        <v>50</v>
      </c>
      <c r="M809" s="23">
        <v>10</v>
      </c>
      <c r="N809" s="23">
        <v>0</v>
      </c>
      <c r="O809" s="19">
        <v>0</v>
      </c>
      <c r="P809" s="19">
        <v>0</v>
      </c>
      <c r="Q809" s="23">
        <v>0</v>
      </c>
      <c r="R809" s="93">
        <v>4.6640000000000001E-2</v>
      </c>
      <c r="S809" s="7" t="s">
        <v>115</v>
      </c>
      <c r="T809" s="257">
        <f t="shared" si="25"/>
        <v>50</v>
      </c>
      <c r="U809" s="257">
        <f t="shared" si="26"/>
        <v>10</v>
      </c>
      <c r="V809">
        <v>1</v>
      </c>
      <c r="W809">
        <v>1</v>
      </c>
    </row>
    <row r="810" spans="1:23" ht="57" x14ac:dyDescent="0.3">
      <c r="A810" s="129">
        <v>38856</v>
      </c>
      <c r="B810" s="129">
        <v>38856</v>
      </c>
      <c r="C810" s="6">
        <v>5</v>
      </c>
      <c r="D810" s="6">
        <v>1</v>
      </c>
      <c r="E810" s="103">
        <v>2006</v>
      </c>
      <c r="F810" s="15" t="s">
        <v>22</v>
      </c>
      <c r="G810" s="18" t="s">
        <v>6256</v>
      </c>
      <c r="H810" s="9" t="s">
        <v>31</v>
      </c>
      <c r="I810" s="17" t="s">
        <v>456</v>
      </c>
      <c r="J810" s="110" t="s">
        <v>1437</v>
      </c>
      <c r="K810" s="23">
        <v>0</v>
      </c>
      <c r="L810" s="234">
        <v>0</v>
      </c>
      <c r="M810" s="23">
        <v>0</v>
      </c>
      <c r="N810" s="23">
        <v>0</v>
      </c>
      <c r="O810" s="19">
        <v>0</v>
      </c>
      <c r="P810" s="19">
        <v>0</v>
      </c>
      <c r="Q810" s="23">
        <v>0</v>
      </c>
      <c r="R810" s="93">
        <v>0.82250000000000001</v>
      </c>
      <c r="S810" s="7" t="s">
        <v>115</v>
      </c>
      <c r="T810" s="257">
        <f t="shared" si="25"/>
        <v>0</v>
      </c>
      <c r="U810" s="257">
        <f t="shared" si="26"/>
        <v>0</v>
      </c>
      <c r="V810">
        <v>0</v>
      </c>
      <c r="W810">
        <v>0</v>
      </c>
    </row>
    <row r="811" spans="1:23" ht="68.400000000000006" x14ac:dyDescent="0.3">
      <c r="A811" s="129">
        <v>38856</v>
      </c>
      <c r="B811" s="129">
        <v>38856</v>
      </c>
      <c r="C811" s="6">
        <v>5</v>
      </c>
      <c r="D811" s="6">
        <v>1</v>
      </c>
      <c r="E811" s="103">
        <v>2006</v>
      </c>
      <c r="F811" s="15" t="s">
        <v>22</v>
      </c>
      <c r="G811" s="18" t="s">
        <v>6256</v>
      </c>
      <c r="H811" s="9" t="s">
        <v>31</v>
      </c>
      <c r="I811" s="17" t="s">
        <v>1438</v>
      </c>
      <c r="J811" s="110" t="s">
        <v>1439</v>
      </c>
      <c r="K811" s="23">
        <v>0</v>
      </c>
      <c r="L811" s="234">
        <v>0</v>
      </c>
      <c r="M811" s="23">
        <v>0</v>
      </c>
      <c r="N811" s="23">
        <v>0</v>
      </c>
      <c r="O811" s="19">
        <v>0</v>
      </c>
      <c r="P811" s="19">
        <v>0</v>
      </c>
      <c r="Q811" s="23">
        <v>0</v>
      </c>
      <c r="R811" s="93">
        <v>0.82250000000000001</v>
      </c>
      <c r="S811" s="7" t="s">
        <v>115</v>
      </c>
      <c r="T811" s="257">
        <f t="shared" si="25"/>
        <v>0</v>
      </c>
      <c r="U811" s="257">
        <f t="shared" si="26"/>
        <v>0</v>
      </c>
      <c r="V811">
        <v>0</v>
      </c>
      <c r="W811">
        <v>0</v>
      </c>
    </row>
    <row r="812" spans="1:23" ht="34.200000000000003" x14ac:dyDescent="0.3">
      <c r="A812" s="129">
        <v>38863</v>
      </c>
      <c r="B812" s="129">
        <v>38863</v>
      </c>
      <c r="C812" s="6">
        <v>5</v>
      </c>
      <c r="D812" s="6">
        <v>1</v>
      </c>
      <c r="E812" s="103">
        <v>2006</v>
      </c>
      <c r="F812" s="15" t="s">
        <v>22</v>
      </c>
      <c r="G812" s="18" t="s">
        <v>6256</v>
      </c>
      <c r="H812" s="9" t="s">
        <v>55</v>
      </c>
      <c r="I812" s="17" t="s">
        <v>763</v>
      </c>
      <c r="J812" s="110" t="s">
        <v>1440</v>
      </c>
      <c r="K812" s="23">
        <v>0</v>
      </c>
      <c r="L812" s="234">
        <v>20</v>
      </c>
      <c r="M812" s="23">
        <v>4</v>
      </c>
      <c r="N812" s="23">
        <v>0</v>
      </c>
      <c r="O812" s="19">
        <v>0</v>
      </c>
      <c r="P812" s="19">
        <v>0</v>
      </c>
      <c r="Q812" s="23">
        <v>0</v>
      </c>
      <c r="R812" s="93">
        <v>4.0000000000000001E-3</v>
      </c>
      <c r="S812" s="7" t="s">
        <v>115</v>
      </c>
      <c r="T812" s="257">
        <f t="shared" si="25"/>
        <v>20</v>
      </c>
      <c r="U812" s="257">
        <f t="shared" si="26"/>
        <v>4</v>
      </c>
      <c r="V812">
        <v>1</v>
      </c>
      <c r="W812">
        <v>1</v>
      </c>
    </row>
    <row r="813" spans="1:23" ht="45.6" x14ac:dyDescent="0.3">
      <c r="A813" s="129">
        <v>38867</v>
      </c>
      <c r="B813" s="129">
        <v>38867</v>
      </c>
      <c r="C813" s="6">
        <v>5</v>
      </c>
      <c r="D813" s="6">
        <v>1</v>
      </c>
      <c r="E813" s="103">
        <v>2006</v>
      </c>
      <c r="F813" s="15" t="s">
        <v>22</v>
      </c>
      <c r="G813" s="18" t="s">
        <v>6256</v>
      </c>
      <c r="H813" s="9" t="s">
        <v>64</v>
      </c>
      <c r="I813" s="17" t="s">
        <v>1441</v>
      </c>
      <c r="J813" s="110" t="s">
        <v>1442</v>
      </c>
      <c r="K813" s="23">
        <v>0</v>
      </c>
      <c r="L813" s="234">
        <v>643</v>
      </c>
      <c r="M813" s="23">
        <v>89</v>
      </c>
      <c r="N813" s="23">
        <v>0</v>
      </c>
      <c r="O813" s="19">
        <v>0</v>
      </c>
      <c r="P813" s="19">
        <v>0</v>
      </c>
      <c r="Q813" s="23">
        <v>0</v>
      </c>
      <c r="R813" s="93">
        <v>1.0348919999999999</v>
      </c>
      <c r="S813" s="7" t="s">
        <v>115</v>
      </c>
      <c r="T813" s="257">
        <f t="shared" si="25"/>
        <v>643</v>
      </c>
      <c r="U813" s="257">
        <f t="shared" si="26"/>
        <v>89</v>
      </c>
      <c r="V813">
        <v>1</v>
      </c>
      <c r="W813">
        <v>1</v>
      </c>
    </row>
    <row r="814" spans="1:23" ht="22.8" x14ac:dyDescent="0.3">
      <c r="A814" s="129">
        <v>38867</v>
      </c>
      <c r="B814" s="129">
        <v>38867</v>
      </c>
      <c r="C814" s="6">
        <v>5</v>
      </c>
      <c r="D814" s="6">
        <v>1</v>
      </c>
      <c r="E814" s="103">
        <v>2006</v>
      </c>
      <c r="F814" s="15" t="s">
        <v>22</v>
      </c>
      <c r="G814" s="18" t="s">
        <v>6256</v>
      </c>
      <c r="H814" s="9" t="s">
        <v>174</v>
      </c>
      <c r="I814" s="17" t="s">
        <v>1443</v>
      </c>
      <c r="J814" s="110" t="s">
        <v>1444</v>
      </c>
      <c r="K814" s="23">
        <v>0</v>
      </c>
      <c r="L814" s="234">
        <v>95</v>
      </c>
      <c r="M814" s="23">
        <v>19</v>
      </c>
      <c r="N814" s="23">
        <v>0</v>
      </c>
      <c r="O814" s="19">
        <v>0</v>
      </c>
      <c r="P814" s="19">
        <v>0</v>
      </c>
      <c r="Q814" s="23">
        <v>0</v>
      </c>
      <c r="R814" s="93">
        <v>1.9E-2</v>
      </c>
      <c r="S814" s="7" t="s">
        <v>115</v>
      </c>
      <c r="T814" s="257">
        <f t="shared" si="25"/>
        <v>95</v>
      </c>
      <c r="U814" s="257">
        <f t="shared" si="26"/>
        <v>19</v>
      </c>
      <c r="V814">
        <v>1</v>
      </c>
      <c r="W814">
        <v>1</v>
      </c>
    </row>
    <row r="815" spans="1:23" ht="57" x14ac:dyDescent="0.3">
      <c r="A815" s="129">
        <v>38871</v>
      </c>
      <c r="B815" s="129">
        <v>38871</v>
      </c>
      <c r="C815" s="6">
        <v>6</v>
      </c>
      <c r="D815" s="6">
        <v>1</v>
      </c>
      <c r="E815" s="103">
        <v>2006</v>
      </c>
      <c r="F815" s="15" t="s">
        <v>22</v>
      </c>
      <c r="G815" s="18" t="s">
        <v>6256</v>
      </c>
      <c r="H815" s="9" t="s">
        <v>174</v>
      </c>
      <c r="I815" s="17" t="s">
        <v>1371</v>
      </c>
      <c r="J815" s="110" t="s">
        <v>1445</v>
      </c>
      <c r="K815" s="23">
        <v>0</v>
      </c>
      <c r="L815" s="234">
        <v>200</v>
      </c>
      <c r="M815" s="23">
        <v>50</v>
      </c>
      <c r="N815" s="23">
        <v>0</v>
      </c>
      <c r="O815" s="19">
        <v>0</v>
      </c>
      <c r="P815" s="19">
        <v>0</v>
      </c>
      <c r="Q815" s="23">
        <v>0</v>
      </c>
      <c r="R815" s="93">
        <v>0.23319999999999999</v>
      </c>
      <c r="S815" s="7" t="s">
        <v>115</v>
      </c>
      <c r="T815" s="257">
        <f t="shared" si="25"/>
        <v>200</v>
      </c>
      <c r="U815" s="257">
        <f t="shared" si="26"/>
        <v>50</v>
      </c>
      <c r="V815">
        <v>1</v>
      </c>
      <c r="W815">
        <v>1</v>
      </c>
    </row>
    <row r="816" spans="1:23" ht="57" x14ac:dyDescent="0.3">
      <c r="A816" s="129">
        <v>38959</v>
      </c>
      <c r="B816" s="129">
        <v>38960</v>
      </c>
      <c r="C816" s="6">
        <v>8</v>
      </c>
      <c r="D816" s="6">
        <v>2</v>
      </c>
      <c r="E816" s="103">
        <v>2006</v>
      </c>
      <c r="F816" s="15" t="s">
        <v>22</v>
      </c>
      <c r="G816" s="16" t="s">
        <v>6254</v>
      </c>
      <c r="H816" s="9" t="s">
        <v>48</v>
      </c>
      <c r="I816" s="17" t="s">
        <v>1446</v>
      </c>
      <c r="J816" s="110" t="s">
        <v>1447</v>
      </c>
      <c r="K816" s="23">
        <v>0</v>
      </c>
      <c r="L816" s="234">
        <v>3316</v>
      </c>
      <c r="M816" s="23">
        <v>0</v>
      </c>
      <c r="N816" s="23">
        <v>0</v>
      </c>
      <c r="O816" s="19">
        <v>0</v>
      </c>
      <c r="P816" s="19">
        <v>0</v>
      </c>
      <c r="Q816" s="23">
        <v>3453</v>
      </c>
      <c r="R816" s="93">
        <v>13.114459</v>
      </c>
      <c r="S816" s="7" t="s">
        <v>115</v>
      </c>
      <c r="T816" s="257">
        <f t="shared" si="25"/>
        <v>3316</v>
      </c>
      <c r="U816" s="257">
        <f t="shared" si="26"/>
        <v>0</v>
      </c>
      <c r="V816">
        <v>1</v>
      </c>
      <c r="W816">
        <v>0</v>
      </c>
    </row>
    <row r="817" spans="1:23" ht="57" x14ac:dyDescent="0.3">
      <c r="A817" s="129">
        <v>38876</v>
      </c>
      <c r="B817" s="129">
        <v>38876</v>
      </c>
      <c r="C817" s="6">
        <v>6</v>
      </c>
      <c r="D817" s="6">
        <v>1</v>
      </c>
      <c r="E817" s="103">
        <v>2006</v>
      </c>
      <c r="F817" s="15" t="s">
        <v>22</v>
      </c>
      <c r="G817" s="18" t="s">
        <v>6256</v>
      </c>
      <c r="H817" s="9" t="s">
        <v>31</v>
      </c>
      <c r="I817" s="17" t="s">
        <v>1448</v>
      </c>
      <c r="J817" s="110" t="s">
        <v>1449</v>
      </c>
      <c r="K817" s="23">
        <v>0</v>
      </c>
      <c r="L817" s="234">
        <v>155</v>
      </c>
      <c r="M817" s="23">
        <v>31</v>
      </c>
      <c r="N817" s="23">
        <v>0</v>
      </c>
      <c r="O817" s="19">
        <v>0</v>
      </c>
      <c r="P817" s="19">
        <v>0</v>
      </c>
      <c r="Q817" s="23">
        <v>0</v>
      </c>
      <c r="R817" s="93">
        <v>0.96708400000000005</v>
      </c>
      <c r="S817" s="7" t="s">
        <v>115</v>
      </c>
      <c r="T817" s="257">
        <f t="shared" si="25"/>
        <v>155</v>
      </c>
      <c r="U817" s="257">
        <f t="shared" si="26"/>
        <v>31</v>
      </c>
      <c r="V817">
        <v>1</v>
      </c>
      <c r="W817">
        <v>1</v>
      </c>
    </row>
    <row r="818" spans="1:23" ht="79.8" x14ac:dyDescent="0.3">
      <c r="A818" s="129">
        <v>38884</v>
      </c>
      <c r="B818" s="129">
        <v>38884</v>
      </c>
      <c r="C818" s="6">
        <v>6</v>
      </c>
      <c r="D818" s="6">
        <v>1</v>
      </c>
      <c r="E818" s="103">
        <v>2006</v>
      </c>
      <c r="F818" s="15" t="s">
        <v>22</v>
      </c>
      <c r="G818" s="18" t="s">
        <v>6256</v>
      </c>
      <c r="H818" s="9" t="s">
        <v>84</v>
      </c>
      <c r="I818" s="17" t="s">
        <v>1026</v>
      </c>
      <c r="J818" s="110" t="s">
        <v>1450</v>
      </c>
      <c r="K818" s="23">
        <v>0</v>
      </c>
      <c r="L818" s="234">
        <v>75</v>
      </c>
      <c r="M818" s="23">
        <v>15</v>
      </c>
      <c r="N818" s="23">
        <v>0</v>
      </c>
      <c r="O818" s="19">
        <v>0</v>
      </c>
      <c r="P818" s="19">
        <v>0</v>
      </c>
      <c r="Q818" s="23">
        <v>0</v>
      </c>
      <c r="R818" s="93">
        <v>1.4999999999999999E-2</v>
      </c>
      <c r="S818" s="7" t="s">
        <v>115</v>
      </c>
      <c r="T818" s="257">
        <f t="shared" si="25"/>
        <v>75</v>
      </c>
      <c r="U818" s="257">
        <f t="shared" si="26"/>
        <v>15</v>
      </c>
      <c r="V818">
        <v>1</v>
      </c>
      <c r="W818">
        <v>1</v>
      </c>
    </row>
    <row r="819" spans="1:23" ht="57" x14ac:dyDescent="0.3">
      <c r="A819" s="129">
        <v>38888</v>
      </c>
      <c r="B819" s="129">
        <v>38888</v>
      </c>
      <c r="C819" s="6">
        <v>6</v>
      </c>
      <c r="D819" s="6">
        <v>1</v>
      </c>
      <c r="E819" s="103">
        <v>2006</v>
      </c>
      <c r="F819" s="15" t="s">
        <v>22</v>
      </c>
      <c r="G819" s="18" t="s">
        <v>6256</v>
      </c>
      <c r="H819" s="9" t="s">
        <v>72</v>
      </c>
      <c r="I819" s="17" t="s">
        <v>682</v>
      </c>
      <c r="J819" s="111" t="s">
        <v>1451</v>
      </c>
      <c r="K819" s="23">
        <v>0</v>
      </c>
      <c r="L819" s="234">
        <v>1612</v>
      </c>
      <c r="M819" s="23">
        <v>653</v>
      </c>
      <c r="N819" s="23">
        <v>0</v>
      </c>
      <c r="O819" s="19">
        <v>0</v>
      </c>
      <c r="P819" s="19">
        <v>0</v>
      </c>
      <c r="Q819" s="23">
        <v>0</v>
      </c>
      <c r="R819" s="93">
        <v>0.81222000000000005</v>
      </c>
      <c r="S819" s="7" t="s">
        <v>115</v>
      </c>
      <c r="T819" s="257">
        <f t="shared" si="25"/>
        <v>1612</v>
      </c>
      <c r="U819" s="257">
        <f t="shared" si="26"/>
        <v>653</v>
      </c>
      <c r="V819">
        <v>1</v>
      </c>
      <c r="W819">
        <v>1</v>
      </c>
    </row>
    <row r="820" spans="1:23" ht="34.200000000000003" x14ac:dyDescent="0.3">
      <c r="A820" s="129">
        <v>38893</v>
      </c>
      <c r="B820" s="129">
        <v>38893</v>
      </c>
      <c r="C820" s="6">
        <v>6</v>
      </c>
      <c r="D820" s="6">
        <v>1</v>
      </c>
      <c r="E820" s="103">
        <v>2006</v>
      </c>
      <c r="F820" s="15" t="s">
        <v>22</v>
      </c>
      <c r="G820" s="18" t="s">
        <v>6256</v>
      </c>
      <c r="H820" s="9" t="s">
        <v>51</v>
      </c>
      <c r="I820" s="17" t="s">
        <v>1452</v>
      </c>
      <c r="J820" s="110" t="s">
        <v>1453</v>
      </c>
      <c r="K820" s="23">
        <v>0</v>
      </c>
      <c r="L820" s="234">
        <v>250</v>
      </c>
      <c r="M820" s="23">
        <v>50</v>
      </c>
      <c r="N820" s="23">
        <v>0</v>
      </c>
      <c r="O820" s="19">
        <v>0</v>
      </c>
      <c r="P820" s="19">
        <v>0</v>
      </c>
      <c r="Q820" s="23">
        <v>0</v>
      </c>
      <c r="R820" s="93">
        <v>0.58140000000000003</v>
      </c>
      <c r="S820" s="7" t="s">
        <v>115</v>
      </c>
      <c r="T820" s="257">
        <f t="shared" si="25"/>
        <v>250</v>
      </c>
      <c r="U820" s="257">
        <f t="shared" si="26"/>
        <v>50</v>
      </c>
      <c r="V820">
        <v>1</v>
      </c>
      <c r="W820">
        <v>1</v>
      </c>
    </row>
    <row r="821" spans="1:23" ht="45.6" x14ac:dyDescent="0.3">
      <c r="A821" s="129">
        <v>38894</v>
      </c>
      <c r="B821" s="129">
        <v>38894</v>
      </c>
      <c r="C821" s="6">
        <v>6</v>
      </c>
      <c r="D821" s="6">
        <v>1</v>
      </c>
      <c r="E821" s="103">
        <v>2006</v>
      </c>
      <c r="F821" s="15" t="s">
        <v>22</v>
      </c>
      <c r="G821" s="18" t="s">
        <v>6256</v>
      </c>
      <c r="H821" s="9" t="s">
        <v>174</v>
      </c>
      <c r="I821" s="17" t="s">
        <v>1454</v>
      </c>
      <c r="J821" s="110" t="s">
        <v>1455</v>
      </c>
      <c r="K821" s="23">
        <v>0</v>
      </c>
      <c r="L821" s="234">
        <v>2200</v>
      </c>
      <c r="M821" s="23">
        <v>464</v>
      </c>
      <c r="N821" s="23">
        <v>0</v>
      </c>
      <c r="O821" s="19">
        <v>0</v>
      </c>
      <c r="P821" s="19">
        <v>0</v>
      </c>
      <c r="Q821" s="23">
        <v>0</v>
      </c>
      <c r="R821" s="93">
        <v>0.43</v>
      </c>
      <c r="S821" s="7" t="s">
        <v>115</v>
      </c>
      <c r="T821" s="257">
        <f t="shared" si="25"/>
        <v>2200</v>
      </c>
      <c r="U821" s="257">
        <f t="shared" si="26"/>
        <v>464</v>
      </c>
      <c r="V821">
        <v>1</v>
      </c>
      <c r="W821">
        <v>1</v>
      </c>
    </row>
    <row r="822" spans="1:23" ht="34.200000000000003" x14ac:dyDescent="0.3">
      <c r="A822" s="129">
        <v>38895</v>
      </c>
      <c r="B822" s="129">
        <v>38895</v>
      </c>
      <c r="C822" s="6">
        <v>6</v>
      </c>
      <c r="D822" s="6">
        <v>1</v>
      </c>
      <c r="E822" s="103">
        <v>2006</v>
      </c>
      <c r="F822" s="15" t="s">
        <v>22</v>
      </c>
      <c r="G822" s="18" t="s">
        <v>6256</v>
      </c>
      <c r="H822" s="9" t="s">
        <v>72</v>
      </c>
      <c r="I822" s="17" t="s">
        <v>1317</v>
      </c>
      <c r="J822" s="110" t="s">
        <v>1456</v>
      </c>
      <c r="K822" s="23">
        <v>0</v>
      </c>
      <c r="L822" s="234">
        <v>700</v>
      </c>
      <c r="M822" s="23">
        <v>140</v>
      </c>
      <c r="N822" s="23">
        <v>0</v>
      </c>
      <c r="O822" s="19">
        <v>0</v>
      </c>
      <c r="P822" s="19">
        <v>0</v>
      </c>
      <c r="Q822" s="23">
        <v>0</v>
      </c>
      <c r="R822" s="93">
        <v>0.14000000000000001</v>
      </c>
      <c r="S822" s="7" t="s">
        <v>115</v>
      </c>
      <c r="T822" s="257">
        <f t="shared" si="25"/>
        <v>700</v>
      </c>
      <c r="U822" s="257">
        <f t="shared" si="26"/>
        <v>140</v>
      </c>
      <c r="V822">
        <v>1</v>
      </c>
      <c r="W822">
        <v>1</v>
      </c>
    </row>
    <row r="823" spans="1:23" ht="57" x14ac:dyDescent="0.3">
      <c r="A823" s="129">
        <v>38896</v>
      </c>
      <c r="B823" s="129">
        <v>38899</v>
      </c>
      <c r="C823" s="6">
        <v>6</v>
      </c>
      <c r="D823" s="6">
        <v>4</v>
      </c>
      <c r="E823" s="103">
        <v>2006</v>
      </c>
      <c r="F823" s="15" t="s">
        <v>22</v>
      </c>
      <c r="G823" s="18" t="s">
        <v>6256</v>
      </c>
      <c r="H823" s="9" t="s">
        <v>174</v>
      </c>
      <c r="I823" s="17" t="s">
        <v>1109</v>
      </c>
      <c r="J823" s="111" t="s">
        <v>1457</v>
      </c>
      <c r="K823" s="23">
        <v>0</v>
      </c>
      <c r="L823" s="234">
        <v>43564</v>
      </c>
      <c r="M823" s="23">
        <v>10891</v>
      </c>
      <c r="N823" s="23">
        <v>0</v>
      </c>
      <c r="O823" s="19">
        <v>0</v>
      </c>
      <c r="P823" s="19">
        <v>0</v>
      </c>
      <c r="Q823" s="23">
        <v>0</v>
      </c>
      <c r="R823" s="93">
        <v>10.891</v>
      </c>
      <c r="S823" s="7" t="s">
        <v>115</v>
      </c>
      <c r="T823" s="257">
        <f t="shared" si="25"/>
        <v>43564</v>
      </c>
      <c r="U823" s="257">
        <f t="shared" si="26"/>
        <v>10891</v>
      </c>
      <c r="V823">
        <v>2</v>
      </c>
      <c r="W823">
        <v>3</v>
      </c>
    </row>
    <row r="824" spans="1:23" ht="34.200000000000003" x14ac:dyDescent="0.3">
      <c r="A824" s="129">
        <v>38900</v>
      </c>
      <c r="B824" s="129">
        <v>38900</v>
      </c>
      <c r="C824" s="6">
        <v>7</v>
      </c>
      <c r="D824" s="6">
        <v>1</v>
      </c>
      <c r="E824" s="103">
        <v>2006</v>
      </c>
      <c r="F824" s="15" t="s">
        <v>22</v>
      </c>
      <c r="G824" s="18" t="s">
        <v>6256</v>
      </c>
      <c r="H824" s="9" t="s">
        <v>64</v>
      </c>
      <c r="I824" s="17" t="s">
        <v>1458</v>
      </c>
      <c r="J824" s="110" t="s">
        <v>1459</v>
      </c>
      <c r="K824" s="23">
        <v>0</v>
      </c>
      <c r="L824" s="234">
        <v>5125</v>
      </c>
      <c r="M824" s="23">
        <v>1025</v>
      </c>
      <c r="N824" s="23">
        <v>0</v>
      </c>
      <c r="O824" s="19">
        <v>0</v>
      </c>
      <c r="P824" s="19">
        <v>0</v>
      </c>
      <c r="Q824" s="23">
        <v>0</v>
      </c>
      <c r="R824" s="93">
        <v>1.0249999999999999</v>
      </c>
      <c r="S824" s="7" t="s">
        <v>115</v>
      </c>
      <c r="T824" s="257">
        <f t="shared" si="25"/>
        <v>5125</v>
      </c>
      <c r="U824" s="257">
        <f t="shared" si="26"/>
        <v>1025</v>
      </c>
      <c r="V824">
        <v>1</v>
      </c>
      <c r="W824">
        <v>2</v>
      </c>
    </row>
    <row r="825" spans="1:23" ht="79.8" x14ac:dyDescent="0.3">
      <c r="A825" s="129">
        <v>38900</v>
      </c>
      <c r="B825" s="129">
        <v>38900</v>
      </c>
      <c r="C825" s="6">
        <v>7</v>
      </c>
      <c r="D825" s="6">
        <v>1</v>
      </c>
      <c r="E825" s="103">
        <v>2006</v>
      </c>
      <c r="F825" s="15" t="s">
        <v>22</v>
      </c>
      <c r="G825" s="18" t="s">
        <v>6256</v>
      </c>
      <c r="H825" s="9" t="s">
        <v>43</v>
      </c>
      <c r="I825" s="17" t="s">
        <v>1460</v>
      </c>
      <c r="J825" s="110" t="s">
        <v>1461</v>
      </c>
      <c r="K825" s="23">
        <v>0</v>
      </c>
      <c r="L825" s="234">
        <v>2040</v>
      </c>
      <c r="M825" s="23">
        <v>200</v>
      </c>
      <c r="N825" s="23">
        <v>0</v>
      </c>
      <c r="O825" s="19">
        <v>0</v>
      </c>
      <c r="P825" s="19">
        <v>0</v>
      </c>
      <c r="Q825" s="23">
        <v>0</v>
      </c>
      <c r="R825" s="93">
        <v>1.9441999999999999</v>
      </c>
      <c r="S825" s="7" t="s">
        <v>115</v>
      </c>
      <c r="T825" s="257">
        <f t="shared" si="25"/>
        <v>2040</v>
      </c>
      <c r="U825" s="257">
        <f t="shared" si="26"/>
        <v>200</v>
      </c>
      <c r="V825">
        <v>1</v>
      </c>
      <c r="W825">
        <v>1</v>
      </c>
    </row>
    <row r="826" spans="1:23" ht="45.6" x14ac:dyDescent="0.3">
      <c r="A826" s="129">
        <v>38900</v>
      </c>
      <c r="B826" s="129">
        <v>38900</v>
      </c>
      <c r="C826" s="6">
        <v>7</v>
      </c>
      <c r="D826" s="6">
        <v>1</v>
      </c>
      <c r="E826" s="103">
        <v>2006</v>
      </c>
      <c r="F826" s="15" t="s">
        <v>22</v>
      </c>
      <c r="G826" s="18" t="s">
        <v>6256</v>
      </c>
      <c r="H826" s="9" t="s">
        <v>84</v>
      </c>
      <c r="I826" s="17" t="s">
        <v>1462</v>
      </c>
      <c r="J826" s="110" t="s">
        <v>1463</v>
      </c>
      <c r="K826" s="23">
        <v>0</v>
      </c>
      <c r="L826" s="234">
        <v>125</v>
      </c>
      <c r="M826" s="23">
        <v>25</v>
      </c>
      <c r="N826" s="23">
        <v>0</v>
      </c>
      <c r="O826" s="19">
        <v>0</v>
      </c>
      <c r="P826" s="19">
        <v>0</v>
      </c>
      <c r="Q826" s="23">
        <v>0</v>
      </c>
      <c r="R826" s="93">
        <v>2.5000000000000001E-2</v>
      </c>
      <c r="S826" s="7" t="s">
        <v>115</v>
      </c>
      <c r="T826" s="257">
        <f t="shared" si="25"/>
        <v>125</v>
      </c>
      <c r="U826" s="257">
        <f t="shared" si="26"/>
        <v>25</v>
      </c>
      <c r="V826">
        <v>1</v>
      </c>
      <c r="W826">
        <v>1</v>
      </c>
    </row>
    <row r="827" spans="1:23" ht="45.6" x14ac:dyDescent="0.3">
      <c r="A827" s="129">
        <v>38901</v>
      </c>
      <c r="B827" s="129">
        <v>38901</v>
      </c>
      <c r="C827" s="6">
        <v>7</v>
      </c>
      <c r="D827" s="6">
        <v>1</v>
      </c>
      <c r="E827" s="103">
        <v>2006</v>
      </c>
      <c r="F827" s="15" t="s">
        <v>22</v>
      </c>
      <c r="G827" s="18" t="s">
        <v>6256</v>
      </c>
      <c r="H827" s="9" t="s">
        <v>43</v>
      </c>
      <c r="I827" s="17" t="s">
        <v>917</v>
      </c>
      <c r="J827" s="111" t="s">
        <v>1464</v>
      </c>
      <c r="K827" s="23">
        <v>0</v>
      </c>
      <c r="L827" s="234">
        <v>0</v>
      </c>
      <c r="M827" s="23">
        <v>0</v>
      </c>
      <c r="N827" s="23">
        <v>0</v>
      </c>
      <c r="O827" s="19">
        <v>0</v>
      </c>
      <c r="P827" s="19">
        <v>0</v>
      </c>
      <c r="Q827" s="23">
        <v>2</v>
      </c>
      <c r="R827" s="93">
        <v>1.16772E-2</v>
      </c>
      <c r="S827" s="7" t="s">
        <v>115</v>
      </c>
      <c r="T827" s="257">
        <f t="shared" si="25"/>
        <v>0</v>
      </c>
      <c r="U827" s="257">
        <f t="shared" si="26"/>
        <v>0</v>
      </c>
      <c r="V827">
        <v>0</v>
      </c>
      <c r="W827">
        <v>0</v>
      </c>
    </row>
    <row r="828" spans="1:23" ht="205.2" x14ac:dyDescent="0.3">
      <c r="A828" s="211">
        <v>41504</v>
      </c>
      <c r="B828" s="211">
        <v>41504</v>
      </c>
      <c r="C828" s="6">
        <v>8</v>
      </c>
      <c r="D828" s="6">
        <v>1</v>
      </c>
      <c r="E828" s="19">
        <v>2013</v>
      </c>
      <c r="F828" s="15" t="s">
        <v>22</v>
      </c>
      <c r="G828" s="18" t="s">
        <v>6256</v>
      </c>
      <c r="H828" s="9" t="s">
        <v>48</v>
      </c>
      <c r="I828" s="20" t="s">
        <v>1465</v>
      </c>
      <c r="J828" s="21" t="s">
        <v>1466</v>
      </c>
      <c r="K828" s="22">
        <v>1</v>
      </c>
      <c r="L828" s="234">
        <v>189</v>
      </c>
      <c r="M828" s="23">
        <v>37</v>
      </c>
      <c r="N828" s="23">
        <v>0</v>
      </c>
      <c r="O828" s="23">
        <v>0</v>
      </c>
      <c r="P828" s="23">
        <v>0</v>
      </c>
      <c r="Q828" s="23">
        <v>1500</v>
      </c>
      <c r="R828" s="24">
        <v>12.6</v>
      </c>
      <c r="S828" s="25" t="s">
        <v>115</v>
      </c>
      <c r="T828" s="257">
        <f t="shared" si="25"/>
        <v>190</v>
      </c>
      <c r="U828" s="257">
        <f t="shared" si="26"/>
        <v>37</v>
      </c>
      <c r="V828">
        <v>1</v>
      </c>
      <c r="W828">
        <v>1</v>
      </c>
    </row>
    <row r="829" spans="1:23" ht="57" x14ac:dyDescent="0.3">
      <c r="A829" s="129">
        <v>38903</v>
      </c>
      <c r="B829" s="129">
        <v>38903</v>
      </c>
      <c r="C829" s="6">
        <v>7</v>
      </c>
      <c r="D829" s="6">
        <v>1</v>
      </c>
      <c r="E829" s="103">
        <v>2006</v>
      </c>
      <c r="F829" s="15" t="s">
        <v>22</v>
      </c>
      <c r="G829" s="18" t="s">
        <v>6256</v>
      </c>
      <c r="H829" s="9" t="s">
        <v>57</v>
      </c>
      <c r="I829" s="17" t="s">
        <v>1467</v>
      </c>
      <c r="J829" s="111" t="s">
        <v>1468</v>
      </c>
      <c r="K829" s="23">
        <v>1</v>
      </c>
      <c r="L829" s="234">
        <v>5</v>
      </c>
      <c r="M829" s="23">
        <v>0</v>
      </c>
      <c r="N829" s="23">
        <v>0</v>
      </c>
      <c r="O829" s="19">
        <v>0</v>
      </c>
      <c r="P829" s="19">
        <v>0</v>
      </c>
      <c r="Q829" s="23">
        <v>0</v>
      </c>
      <c r="R829" s="93">
        <v>0</v>
      </c>
      <c r="S829" s="7" t="s">
        <v>115</v>
      </c>
      <c r="T829" s="257">
        <f t="shared" si="25"/>
        <v>6</v>
      </c>
      <c r="U829" s="257">
        <f t="shared" si="26"/>
        <v>0</v>
      </c>
      <c r="V829">
        <v>1</v>
      </c>
      <c r="W829">
        <v>0</v>
      </c>
    </row>
    <row r="830" spans="1:23" ht="57" x14ac:dyDescent="0.3">
      <c r="A830" s="129">
        <v>38904</v>
      </c>
      <c r="B830" s="129">
        <v>38904</v>
      </c>
      <c r="C830" s="6">
        <v>7</v>
      </c>
      <c r="D830" s="6">
        <v>1</v>
      </c>
      <c r="E830" s="103">
        <v>2006</v>
      </c>
      <c r="F830" s="15" t="s">
        <v>22</v>
      </c>
      <c r="G830" s="18" t="s">
        <v>6256</v>
      </c>
      <c r="H830" s="9" t="s">
        <v>34</v>
      </c>
      <c r="I830" s="17" t="s">
        <v>1469</v>
      </c>
      <c r="J830" s="111" t="s">
        <v>1470</v>
      </c>
      <c r="K830" s="23">
        <v>4</v>
      </c>
      <c r="L830" s="234">
        <v>13520</v>
      </c>
      <c r="M830" s="23">
        <v>2704</v>
      </c>
      <c r="N830" s="23">
        <v>36</v>
      </c>
      <c r="O830" s="19">
        <v>0</v>
      </c>
      <c r="P830" s="19">
        <v>0</v>
      </c>
      <c r="Q830" s="23">
        <v>295.5</v>
      </c>
      <c r="R830" s="93">
        <v>516.26</v>
      </c>
      <c r="S830" s="7" t="s">
        <v>115</v>
      </c>
      <c r="T830" s="257">
        <f t="shared" si="25"/>
        <v>13524</v>
      </c>
      <c r="U830" s="257">
        <f t="shared" si="26"/>
        <v>2740</v>
      </c>
      <c r="V830">
        <v>2</v>
      </c>
      <c r="W830">
        <v>2</v>
      </c>
    </row>
    <row r="831" spans="1:23" ht="34.200000000000003" x14ac:dyDescent="0.3">
      <c r="A831" s="129">
        <v>38905</v>
      </c>
      <c r="B831" s="129">
        <v>38905</v>
      </c>
      <c r="C831" s="6">
        <v>7</v>
      </c>
      <c r="D831" s="6">
        <v>1</v>
      </c>
      <c r="E831" s="103">
        <v>2006</v>
      </c>
      <c r="F831" s="15" t="s">
        <v>22</v>
      </c>
      <c r="G831" s="18" t="s">
        <v>6256</v>
      </c>
      <c r="H831" s="9" t="s">
        <v>57</v>
      </c>
      <c r="I831" s="17" t="s">
        <v>1471</v>
      </c>
      <c r="J831" s="110" t="s">
        <v>1472</v>
      </c>
      <c r="K831" s="23">
        <v>1</v>
      </c>
      <c r="L831" s="234">
        <v>1</v>
      </c>
      <c r="M831" s="23">
        <v>0</v>
      </c>
      <c r="N831" s="23">
        <v>0</v>
      </c>
      <c r="O831" s="19">
        <v>0</v>
      </c>
      <c r="P831" s="19">
        <v>0</v>
      </c>
      <c r="Q831" s="23">
        <v>0</v>
      </c>
      <c r="R831" s="93">
        <v>0</v>
      </c>
      <c r="S831" s="7" t="s">
        <v>115</v>
      </c>
      <c r="T831" s="257">
        <f t="shared" si="25"/>
        <v>2</v>
      </c>
      <c r="U831" s="257">
        <f t="shared" si="26"/>
        <v>0</v>
      </c>
      <c r="V831">
        <v>1</v>
      </c>
      <c r="W831">
        <v>0</v>
      </c>
    </row>
    <row r="832" spans="1:23" ht="57" x14ac:dyDescent="0.3">
      <c r="A832" s="129">
        <v>38907</v>
      </c>
      <c r="B832" s="129">
        <v>38907</v>
      </c>
      <c r="C832" s="6">
        <v>7</v>
      </c>
      <c r="D832" s="6">
        <v>1</v>
      </c>
      <c r="E832" s="103">
        <v>2006</v>
      </c>
      <c r="F832" s="15" t="s">
        <v>22</v>
      </c>
      <c r="G832" s="18" t="s">
        <v>6256</v>
      </c>
      <c r="H832" s="9" t="s">
        <v>51</v>
      </c>
      <c r="I832" s="17" t="s">
        <v>1011</v>
      </c>
      <c r="J832" s="110" t="s">
        <v>1473</v>
      </c>
      <c r="K832" s="23">
        <v>1</v>
      </c>
      <c r="L832" s="234">
        <v>616</v>
      </c>
      <c r="M832" s="23">
        <v>123</v>
      </c>
      <c r="N832" s="23">
        <v>0</v>
      </c>
      <c r="O832" s="19">
        <v>0</v>
      </c>
      <c r="P832" s="19">
        <v>0</v>
      </c>
      <c r="Q832" s="23">
        <v>0</v>
      </c>
      <c r="R832" s="93">
        <v>0.57367199999999996</v>
      </c>
      <c r="S832" s="7" t="s">
        <v>115</v>
      </c>
      <c r="T832" s="257">
        <f t="shared" si="25"/>
        <v>617</v>
      </c>
      <c r="U832" s="257">
        <f t="shared" si="26"/>
        <v>123</v>
      </c>
      <c r="V832">
        <v>1</v>
      </c>
      <c r="W832">
        <v>1</v>
      </c>
    </row>
    <row r="833" spans="1:23" ht="68.400000000000006" x14ac:dyDescent="0.3">
      <c r="A833" s="129">
        <v>38908</v>
      </c>
      <c r="B833" s="129">
        <f>A833</f>
        <v>38908</v>
      </c>
      <c r="C833" s="6">
        <v>7</v>
      </c>
      <c r="D833" s="6">
        <v>1</v>
      </c>
      <c r="E833" s="103">
        <v>2006</v>
      </c>
      <c r="F833" s="15" t="s">
        <v>22</v>
      </c>
      <c r="G833" s="18" t="s">
        <v>6256</v>
      </c>
      <c r="H833" s="9" t="s">
        <v>174</v>
      </c>
      <c r="I833" s="17" t="s">
        <v>1474</v>
      </c>
      <c r="J833" s="110" t="s">
        <v>1475</v>
      </c>
      <c r="K833" s="23">
        <v>1</v>
      </c>
      <c r="L833" s="234">
        <v>3</v>
      </c>
      <c r="M833" s="23">
        <v>0</v>
      </c>
      <c r="N833" s="23">
        <v>0</v>
      </c>
      <c r="O833" s="19">
        <v>0</v>
      </c>
      <c r="P833" s="19">
        <v>0</v>
      </c>
      <c r="Q833" s="23">
        <v>0</v>
      </c>
      <c r="R833" s="93">
        <v>0</v>
      </c>
      <c r="S833" s="7" t="s">
        <v>115</v>
      </c>
      <c r="T833" s="257">
        <f t="shared" si="25"/>
        <v>4</v>
      </c>
      <c r="U833" s="257">
        <f t="shared" si="26"/>
        <v>0</v>
      </c>
      <c r="V833">
        <v>1</v>
      </c>
      <c r="W833">
        <v>0</v>
      </c>
    </row>
    <row r="834" spans="1:23" ht="34.200000000000003" x14ac:dyDescent="0.3">
      <c r="A834" s="129">
        <v>38908</v>
      </c>
      <c r="B834" s="129">
        <v>38908</v>
      </c>
      <c r="C834" s="6">
        <v>7</v>
      </c>
      <c r="D834" s="6">
        <v>1</v>
      </c>
      <c r="E834" s="103">
        <v>2006</v>
      </c>
      <c r="F834" s="15" t="s">
        <v>22</v>
      </c>
      <c r="G834" s="18" t="s">
        <v>6256</v>
      </c>
      <c r="H834" s="9" t="s">
        <v>72</v>
      </c>
      <c r="I834" s="17" t="s">
        <v>1372</v>
      </c>
      <c r="J834" s="110" t="s">
        <v>1476</v>
      </c>
      <c r="K834" s="23">
        <v>1</v>
      </c>
      <c r="L834" s="234">
        <v>1</v>
      </c>
      <c r="M834" s="23">
        <v>0</v>
      </c>
      <c r="N834" s="23">
        <v>0</v>
      </c>
      <c r="O834" s="19">
        <v>0</v>
      </c>
      <c r="P834" s="19">
        <v>0</v>
      </c>
      <c r="Q834" s="23">
        <v>0</v>
      </c>
      <c r="R834" s="93">
        <v>0</v>
      </c>
      <c r="S834" s="7" t="s">
        <v>115</v>
      </c>
      <c r="T834" s="257">
        <f t="shared" si="25"/>
        <v>2</v>
      </c>
      <c r="U834" s="257">
        <f t="shared" si="26"/>
        <v>0</v>
      </c>
      <c r="V834">
        <v>1</v>
      </c>
      <c r="W834">
        <v>0</v>
      </c>
    </row>
    <row r="835" spans="1:23" ht="34.200000000000003" x14ac:dyDescent="0.3">
      <c r="A835" s="129">
        <v>38909</v>
      </c>
      <c r="B835" s="129">
        <v>38909</v>
      </c>
      <c r="C835" s="6">
        <v>7</v>
      </c>
      <c r="D835" s="6">
        <v>1</v>
      </c>
      <c r="E835" s="103">
        <v>2006</v>
      </c>
      <c r="F835" s="15" t="s">
        <v>22</v>
      </c>
      <c r="G835" s="18" t="s">
        <v>6256</v>
      </c>
      <c r="H835" s="9" t="s">
        <v>56</v>
      </c>
      <c r="I835" s="17" t="s">
        <v>1385</v>
      </c>
      <c r="J835" s="110" t="s">
        <v>1477</v>
      </c>
      <c r="K835" s="23">
        <v>1</v>
      </c>
      <c r="L835" s="234">
        <v>1</v>
      </c>
      <c r="M835" s="23">
        <v>0</v>
      </c>
      <c r="N835" s="23">
        <v>0</v>
      </c>
      <c r="O835" s="19">
        <v>0</v>
      </c>
      <c r="P835" s="19">
        <v>0</v>
      </c>
      <c r="Q835" s="23">
        <v>0</v>
      </c>
      <c r="R835" s="93">
        <v>0</v>
      </c>
      <c r="S835" s="7" t="s">
        <v>115</v>
      </c>
      <c r="T835" s="257">
        <f t="shared" ref="T835:T898" si="27">SUM(K835:L835)</f>
        <v>2</v>
      </c>
      <c r="U835" s="257">
        <f t="shared" ref="U835:U898" si="28">SUM(M835:P835)</f>
        <v>0</v>
      </c>
      <c r="V835">
        <v>1</v>
      </c>
      <c r="W835">
        <v>0</v>
      </c>
    </row>
    <row r="836" spans="1:23" ht="22.8" x14ac:dyDescent="0.3">
      <c r="A836" s="129">
        <v>38911</v>
      </c>
      <c r="B836" s="129">
        <v>38911</v>
      </c>
      <c r="C836" s="6">
        <v>7</v>
      </c>
      <c r="D836" s="6">
        <v>1</v>
      </c>
      <c r="E836" s="103">
        <v>2006</v>
      </c>
      <c r="F836" s="15" t="s">
        <v>22</v>
      </c>
      <c r="G836" s="18" t="s">
        <v>6256</v>
      </c>
      <c r="H836" s="9" t="s">
        <v>74</v>
      </c>
      <c r="I836" s="17" t="s">
        <v>1478</v>
      </c>
      <c r="J836" s="110" t="s">
        <v>1479</v>
      </c>
      <c r="K836" s="23">
        <v>0</v>
      </c>
      <c r="L836" s="234">
        <v>45</v>
      </c>
      <c r="M836" s="23">
        <v>9</v>
      </c>
      <c r="N836" s="23">
        <v>0</v>
      </c>
      <c r="O836" s="19">
        <v>0</v>
      </c>
      <c r="P836" s="19">
        <v>0</v>
      </c>
      <c r="Q836" s="23">
        <v>0</v>
      </c>
      <c r="R836" s="93">
        <v>8.9999999999999993E-3</v>
      </c>
      <c r="S836" s="7" t="s">
        <v>115</v>
      </c>
      <c r="T836" s="257">
        <f t="shared" si="27"/>
        <v>45</v>
      </c>
      <c r="U836" s="257">
        <f t="shared" si="28"/>
        <v>9</v>
      </c>
      <c r="V836">
        <v>1</v>
      </c>
      <c r="W836">
        <v>1</v>
      </c>
    </row>
    <row r="837" spans="1:23" ht="79.8" x14ac:dyDescent="0.3">
      <c r="A837" s="129">
        <v>38912</v>
      </c>
      <c r="B837" s="129">
        <v>38912</v>
      </c>
      <c r="C837" s="6">
        <v>7</v>
      </c>
      <c r="D837" s="6">
        <v>1</v>
      </c>
      <c r="E837" s="103">
        <v>2006</v>
      </c>
      <c r="F837" s="15" t="s">
        <v>22</v>
      </c>
      <c r="G837" s="18" t="s">
        <v>6256</v>
      </c>
      <c r="H837" s="9" t="s">
        <v>31</v>
      </c>
      <c r="I837" s="17" t="s">
        <v>1480</v>
      </c>
      <c r="J837" s="110" t="s">
        <v>1481</v>
      </c>
      <c r="K837" s="23">
        <v>0</v>
      </c>
      <c r="L837" s="234">
        <v>180</v>
      </c>
      <c r="M837" s="23">
        <v>36</v>
      </c>
      <c r="N837" s="23">
        <v>0</v>
      </c>
      <c r="O837" s="19">
        <v>0</v>
      </c>
      <c r="P837" s="19">
        <v>0</v>
      </c>
      <c r="Q837" s="23">
        <v>0</v>
      </c>
      <c r="R837" s="93">
        <v>0.53889200000000004</v>
      </c>
      <c r="S837" s="7" t="s">
        <v>115</v>
      </c>
      <c r="T837" s="257">
        <f t="shared" si="27"/>
        <v>180</v>
      </c>
      <c r="U837" s="257">
        <f t="shared" si="28"/>
        <v>36</v>
      </c>
      <c r="V837">
        <v>1</v>
      </c>
      <c r="W837">
        <v>1</v>
      </c>
    </row>
    <row r="838" spans="1:23" ht="79.8" x14ac:dyDescent="0.3">
      <c r="A838" s="129">
        <v>38912</v>
      </c>
      <c r="B838" s="129">
        <v>38912</v>
      </c>
      <c r="C838" s="6">
        <v>7</v>
      </c>
      <c r="D838" s="6">
        <v>1</v>
      </c>
      <c r="E838" s="103">
        <v>2006</v>
      </c>
      <c r="F838" s="15" t="s">
        <v>22</v>
      </c>
      <c r="G838" s="18" t="s">
        <v>6256</v>
      </c>
      <c r="H838" s="9" t="s">
        <v>52</v>
      </c>
      <c r="I838" s="17" t="s">
        <v>663</v>
      </c>
      <c r="J838" s="110" t="s">
        <v>1482</v>
      </c>
      <c r="K838" s="23">
        <v>0</v>
      </c>
      <c r="L838" s="234">
        <v>115</v>
      </c>
      <c r="M838" s="23">
        <v>23</v>
      </c>
      <c r="N838" s="23">
        <v>0</v>
      </c>
      <c r="O838" s="19">
        <v>0</v>
      </c>
      <c r="P838" s="19">
        <v>0</v>
      </c>
      <c r="Q838" s="23">
        <v>0</v>
      </c>
      <c r="R838" s="93">
        <v>2.3E-2</v>
      </c>
      <c r="S838" s="7" t="s">
        <v>115</v>
      </c>
      <c r="T838" s="257">
        <f t="shared" si="27"/>
        <v>115</v>
      </c>
      <c r="U838" s="257">
        <f t="shared" si="28"/>
        <v>23</v>
      </c>
      <c r="V838">
        <v>1</v>
      </c>
      <c r="W838">
        <v>1</v>
      </c>
    </row>
    <row r="839" spans="1:23" ht="34.200000000000003" x14ac:dyDescent="0.3">
      <c r="A839" s="129">
        <v>38912</v>
      </c>
      <c r="B839" s="129">
        <v>38912</v>
      </c>
      <c r="C839" s="6">
        <v>7</v>
      </c>
      <c r="D839" s="6">
        <v>1</v>
      </c>
      <c r="E839" s="103">
        <v>2006</v>
      </c>
      <c r="F839" s="15" t="s">
        <v>22</v>
      </c>
      <c r="G839" s="18" t="s">
        <v>6256</v>
      </c>
      <c r="H839" s="9" t="s">
        <v>174</v>
      </c>
      <c r="I839" s="17" t="s">
        <v>1263</v>
      </c>
      <c r="J839" s="110" t="s">
        <v>1483</v>
      </c>
      <c r="K839" s="23">
        <v>0</v>
      </c>
      <c r="L839" s="234">
        <v>0</v>
      </c>
      <c r="M839" s="23">
        <v>0</v>
      </c>
      <c r="N839" s="23">
        <v>0</v>
      </c>
      <c r="O839" s="19">
        <v>0</v>
      </c>
      <c r="P839" s="19">
        <v>0</v>
      </c>
      <c r="Q839" s="23">
        <v>0</v>
      </c>
      <c r="R839" s="93">
        <v>0</v>
      </c>
      <c r="S839" s="7" t="s">
        <v>115</v>
      </c>
      <c r="T839" s="257">
        <f t="shared" si="27"/>
        <v>0</v>
      </c>
      <c r="U839" s="257">
        <f t="shared" si="28"/>
        <v>0</v>
      </c>
      <c r="V839">
        <v>0</v>
      </c>
      <c r="W839">
        <v>0</v>
      </c>
    </row>
    <row r="840" spans="1:23" ht="68.400000000000006" x14ac:dyDescent="0.3">
      <c r="A840" s="129">
        <v>38916</v>
      </c>
      <c r="B840" s="129">
        <v>38916</v>
      </c>
      <c r="C840" s="6">
        <v>7</v>
      </c>
      <c r="D840" s="6">
        <v>1</v>
      </c>
      <c r="E840" s="103">
        <v>2006</v>
      </c>
      <c r="F840" s="15" t="s">
        <v>22</v>
      </c>
      <c r="G840" s="18" t="s">
        <v>6256</v>
      </c>
      <c r="H840" s="9" t="s">
        <v>74</v>
      </c>
      <c r="I840" s="17" t="s">
        <v>451</v>
      </c>
      <c r="J840" s="110" t="s">
        <v>1484</v>
      </c>
      <c r="K840" s="23">
        <v>0</v>
      </c>
      <c r="L840" s="234">
        <v>65</v>
      </c>
      <c r="M840" s="23">
        <v>13</v>
      </c>
      <c r="N840" s="23">
        <v>0</v>
      </c>
      <c r="O840" s="19">
        <v>0</v>
      </c>
      <c r="P840" s="19">
        <v>0</v>
      </c>
      <c r="Q840" s="23">
        <v>0</v>
      </c>
      <c r="R840" s="93">
        <v>1.2999999999999999E-2</v>
      </c>
      <c r="S840" s="7" t="s">
        <v>115</v>
      </c>
      <c r="T840" s="257">
        <f t="shared" si="27"/>
        <v>65</v>
      </c>
      <c r="U840" s="257">
        <f t="shared" si="28"/>
        <v>13</v>
      </c>
      <c r="V840">
        <v>1</v>
      </c>
      <c r="W840">
        <v>1</v>
      </c>
    </row>
    <row r="841" spans="1:23" ht="91.2" x14ac:dyDescent="0.3">
      <c r="A841" s="129">
        <v>38918</v>
      </c>
      <c r="B841" s="129">
        <v>38918</v>
      </c>
      <c r="C841" s="6">
        <v>7</v>
      </c>
      <c r="D841" s="6">
        <v>1</v>
      </c>
      <c r="E841" s="103">
        <v>2006</v>
      </c>
      <c r="F841" s="15" t="s">
        <v>22</v>
      </c>
      <c r="G841" s="18" t="s">
        <v>6256</v>
      </c>
      <c r="H841" s="9" t="s">
        <v>31</v>
      </c>
      <c r="I841" s="10" t="s">
        <v>1485</v>
      </c>
      <c r="J841" s="110" t="s">
        <v>1486</v>
      </c>
      <c r="K841" s="23">
        <v>2</v>
      </c>
      <c r="L841" s="234">
        <v>62</v>
      </c>
      <c r="M841" s="23">
        <v>12</v>
      </c>
      <c r="N841" s="23">
        <v>0</v>
      </c>
      <c r="O841" s="19">
        <v>0</v>
      </c>
      <c r="P841" s="19">
        <v>0</v>
      </c>
      <c r="Q841" s="23">
        <v>0</v>
      </c>
      <c r="R841" s="93">
        <v>1.2E-2</v>
      </c>
      <c r="S841" s="7" t="s">
        <v>115</v>
      </c>
      <c r="T841" s="257">
        <f t="shared" si="27"/>
        <v>64</v>
      </c>
      <c r="U841" s="257">
        <f t="shared" si="28"/>
        <v>12</v>
      </c>
      <c r="V841">
        <v>1</v>
      </c>
      <c r="W841">
        <v>1</v>
      </c>
    </row>
    <row r="842" spans="1:23" ht="45.6" x14ac:dyDescent="0.3">
      <c r="A842" s="129">
        <v>38918</v>
      </c>
      <c r="B842" s="129">
        <v>38918</v>
      </c>
      <c r="C842" s="6">
        <v>7</v>
      </c>
      <c r="D842" s="6">
        <v>1</v>
      </c>
      <c r="E842" s="103">
        <v>2006</v>
      </c>
      <c r="F842" s="15" t="s">
        <v>22</v>
      </c>
      <c r="G842" s="18" t="s">
        <v>6256</v>
      </c>
      <c r="H842" s="9" t="s">
        <v>51</v>
      </c>
      <c r="I842" s="17" t="s">
        <v>1487</v>
      </c>
      <c r="J842" s="110" t="s">
        <v>1488</v>
      </c>
      <c r="K842" s="23">
        <v>1</v>
      </c>
      <c r="L842" s="234">
        <v>456</v>
      </c>
      <c r="M842" s="23">
        <v>91</v>
      </c>
      <c r="N842" s="23">
        <v>0</v>
      </c>
      <c r="O842" s="19">
        <v>0</v>
      </c>
      <c r="P842" s="19">
        <v>0</v>
      </c>
      <c r="Q842" s="23">
        <v>0</v>
      </c>
      <c r="R842" s="93">
        <v>9.0999999999999998E-2</v>
      </c>
      <c r="S842" s="7" t="s">
        <v>115</v>
      </c>
      <c r="T842" s="257">
        <f t="shared" si="27"/>
        <v>457</v>
      </c>
      <c r="U842" s="257">
        <f t="shared" si="28"/>
        <v>91</v>
      </c>
      <c r="V842">
        <v>1</v>
      </c>
      <c r="W842">
        <v>1</v>
      </c>
    </row>
    <row r="843" spans="1:23" ht="57" x14ac:dyDescent="0.3">
      <c r="A843" s="129">
        <v>38918</v>
      </c>
      <c r="B843" s="129">
        <v>38918</v>
      </c>
      <c r="C843" s="6">
        <v>7</v>
      </c>
      <c r="D843" s="6">
        <v>1</v>
      </c>
      <c r="E843" s="103">
        <v>2006</v>
      </c>
      <c r="F843" s="15" t="s">
        <v>22</v>
      </c>
      <c r="G843" s="18" t="s">
        <v>6256</v>
      </c>
      <c r="H843" s="9" t="s">
        <v>174</v>
      </c>
      <c r="I843" s="17" t="s">
        <v>1489</v>
      </c>
      <c r="J843" s="111" t="s">
        <v>1490</v>
      </c>
      <c r="K843" s="23">
        <v>0</v>
      </c>
      <c r="L843" s="234">
        <v>1350</v>
      </c>
      <c r="M843" s="23">
        <v>270</v>
      </c>
      <c r="N843" s="23">
        <v>0</v>
      </c>
      <c r="O843" s="19">
        <v>0</v>
      </c>
      <c r="P843" s="19">
        <v>0</v>
      </c>
      <c r="Q843" s="23">
        <v>0</v>
      </c>
      <c r="R843" s="93">
        <v>1.25928</v>
      </c>
      <c r="S843" s="7" t="s">
        <v>115</v>
      </c>
      <c r="T843" s="257">
        <f t="shared" si="27"/>
        <v>1350</v>
      </c>
      <c r="U843" s="257">
        <f t="shared" si="28"/>
        <v>270</v>
      </c>
      <c r="V843">
        <v>1</v>
      </c>
      <c r="W843">
        <v>1</v>
      </c>
    </row>
    <row r="844" spans="1:23" ht="45.6" x14ac:dyDescent="0.3">
      <c r="A844" s="129">
        <v>38919</v>
      </c>
      <c r="B844" s="129">
        <v>38919</v>
      </c>
      <c r="C844" s="6">
        <v>7</v>
      </c>
      <c r="D844" s="6">
        <v>1</v>
      </c>
      <c r="E844" s="103">
        <v>2006</v>
      </c>
      <c r="F844" s="15" t="s">
        <v>22</v>
      </c>
      <c r="G844" s="18" t="s">
        <v>6256</v>
      </c>
      <c r="H844" s="9" t="s">
        <v>74</v>
      </c>
      <c r="I844" s="17" t="s">
        <v>432</v>
      </c>
      <c r="J844" s="110" t="s">
        <v>1491</v>
      </c>
      <c r="K844" s="23">
        <v>0</v>
      </c>
      <c r="L844" s="234">
        <v>210</v>
      </c>
      <c r="M844" s="23">
        <v>42</v>
      </c>
      <c r="N844" s="23">
        <v>0</v>
      </c>
      <c r="O844" s="19">
        <v>0</v>
      </c>
      <c r="P844" s="19">
        <v>0</v>
      </c>
      <c r="Q844" s="23">
        <v>0</v>
      </c>
      <c r="R844" s="93">
        <v>0.84922799999999998</v>
      </c>
      <c r="S844" s="7" t="s">
        <v>115</v>
      </c>
      <c r="T844" s="257">
        <f t="shared" si="27"/>
        <v>210</v>
      </c>
      <c r="U844" s="257">
        <f t="shared" si="28"/>
        <v>42</v>
      </c>
      <c r="V844">
        <v>1</v>
      </c>
      <c r="W844">
        <v>1</v>
      </c>
    </row>
    <row r="845" spans="1:23" x14ac:dyDescent="0.3">
      <c r="A845" s="219">
        <v>43248</v>
      </c>
      <c r="B845" s="219">
        <v>43248</v>
      </c>
      <c r="C845" s="6">
        <v>5</v>
      </c>
      <c r="D845" s="6">
        <v>1</v>
      </c>
      <c r="E845" s="84">
        <v>2018</v>
      </c>
      <c r="F845" s="15" t="s">
        <v>22</v>
      </c>
      <c r="G845" s="9" t="s">
        <v>6258</v>
      </c>
      <c r="H845" s="9" t="s">
        <v>48</v>
      </c>
      <c r="I845" s="86">
        <v>18</v>
      </c>
      <c r="J845" s="34" t="s">
        <v>1492</v>
      </c>
      <c r="K845" s="87">
        <v>0</v>
      </c>
      <c r="L845" s="241">
        <v>0</v>
      </c>
      <c r="M845" s="87">
        <v>0</v>
      </c>
      <c r="N845" s="87">
        <v>0</v>
      </c>
      <c r="O845" s="87">
        <v>0</v>
      </c>
      <c r="P845" s="87">
        <v>0</v>
      </c>
      <c r="Q845" s="88">
        <v>0</v>
      </c>
      <c r="R845" s="61">
        <v>12.123086476999999</v>
      </c>
      <c r="S845" s="89" t="s">
        <v>149</v>
      </c>
      <c r="T845" s="257">
        <f t="shared" si="27"/>
        <v>0</v>
      </c>
      <c r="U845" s="257">
        <f t="shared" si="28"/>
        <v>0</v>
      </c>
      <c r="V845">
        <v>0</v>
      </c>
      <c r="W845">
        <v>0</v>
      </c>
    </row>
    <row r="846" spans="1:23" ht="91.2" x14ac:dyDescent="0.3">
      <c r="A846" s="129">
        <v>38920</v>
      </c>
      <c r="B846" s="129">
        <v>38920</v>
      </c>
      <c r="C846" s="6">
        <v>7</v>
      </c>
      <c r="D846" s="6">
        <v>1</v>
      </c>
      <c r="E846" s="103">
        <v>2006</v>
      </c>
      <c r="F846" s="15" t="s">
        <v>22</v>
      </c>
      <c r="G846" s="18" t="s">
        <v>6256</v>
      </c>
      <c r="H846" s="9" t="s">
        <v>31</v>
      </c>
      <c r="I846" s="17" t="s">
        <v>1493</v>
      </c>
      <c r="J846" s="110" t="s">
        <v>1494</v>
      </c>
      <c r="K846" s="23">
        <v>0</v>
      </c>
      <c r="L846" s="234">
        <v>100</v>
      </c>
      <c r="M846" s="23">
        <v>20</v>
      </c>
      <c r="N846" s="23">
        <v>0</v>
      </c>
      <c r="O846" s="19">
        <v>0</v>
      </c>
      <c r="P846" s="19">
        <v>0</v>
      </c>
      <c r="Q846" s="23">
        <v>0</v>
      </c>
      <c r="R846" s="93">
        <v>9.3280000000000002E-2</v>
      </c>
      <c r="S846" s="7" t="s">
        <v>115</v>
      </c>
      <c r="T846" s="257">
        <f t="shared" si="27"/>
        <v>100</v>
      </c>
      <c r="U846" s="257">
        <f t="shared" si="28"/>
        <v>20</v>
      </c>
      <c r="V846">
        <v>1</v>
      </c>
      <c r="W846">
        <v>1</v>
      </c>
    </row>
    <row r="847" spans="1:23" ht="68.400000000000006" x14ac:dyDescent="0.3">
      <c r="A847" s="129">
        <v>38920</v>
      </c>
      <c r="B847" s="129">
        <v>38920</v>
      </c>
      <c r="C847" s="6">
        <v>7</v>
      </c>
      <c r="D847" s="6">
        <v>1</v>
      </c>
      <c r="E847" s="103">
        <v>2006</v>
      </c>
      <c r="F847" s="15" t="s">
        <v>22</v>
      </c>
      <c r="G847" s="18" t="s">
        <v>6256</v>
      </c>
      <c r="H847" s="9" t="s">
        <v>52</v>
      </c>
      <c r="I847" s="17" t="s">
        <v>1495</v>
      </c>
      <c r="J847" s="110" t="s">
        <v>1496</v>
      </c>
      <c r="K847" s="23">
        <v>0</v>
      </c>
      <c r="L847" s="234">
        <v>300</v>
      </c>
      <c r="M847" s="23">
        <v>50</v>
      </c>
      <c r="N847" s="23">
        <v>0</v>
      </c>
      <c r="O847" s="19">
        <v>0</v>
      </c>
      <c r="P847" s="19">
        <v>0</v>
      </c>
      <c r="Q847" s="23">
        <v>0</v>
      </c>
      <c r="R847" s="93">
        <v>0.23319999999999999</v>
      </c>
      <c r="S847" s="7" t="s">
        <v>115</v>
      </c>
      <c r="T847" s="257">
        <f t="shared" si="27"/>
        <v>300</v>
      </c>
      <c r="U847" s="257">
        <f t="shared" si="28"/>
        <v>50</v>
      </c>
      <c r="V847">
        <v>1</v>
      </c>
      <c r="W847">
        <v>1</v>
      </c>
    </row>
    <row r="848" spans="1:23" ht="57" x14ac:dyDescent="0.3">
      <c r="A848" s="129">
        <v>38922</v>
      </c>
      <c r="B848" s="129">
        <v>38922</v>
      </c>
      <c r="C848" s="6">
        <v>7</v>
      </c>
      <c r="D848" s="6">
        <v>1</v>
      </c>
      <c r="E848" s="103">
        <v>2006</v>
      </c>
      <c r="F848" s="15" t="s">
        <v>22</v>
      </c>
      <c r="G848" s="18" t="s">
        <v>6256</v>
      </c>
      <c r="H848" s="9" t="s">
        <v>28</v>
      </c>
      <c r="I848" s="17" t="s">
        <v>1497</v>
      </c>
      <c r="J848" s="110" t="s">
        <v>1498</v>
      </c>
      <c r="K848" s="23">
        <v>0</v>
      </c>
      <c r="L848" s="234">
        <v>200</v>
      </c>
      <c r="M848" s="23">
        <v>0</v>
      </c>
      <c r="N848" s="23">
        <v>0</v>
      </c>
      <c r="O848" s="19">
        <v>0</v>
      </c>
      <c r="P848" s="19">
        <v>0</v>
      </c>
      <c r="Q848" s="23">
        <v>0</v>
      </c>
      <c r="R848" s="93">
        <v>0</v>
      </c>
      <c r="S848" s="7" t="s">
        <v>115</v>
      </c>
      <c r="T848" s="257">
        <f t="shared" si="27"/>
        <v>200</v>
      </c>
      <c r="U848" s="257">
        <f t="shared" si="28"/>
        <v>0</v>
      </c>
      <c r="V848">
        <v>1</v>
      </c>
      <c r="W848">
        <v>0</v>
      </c>
    </row>
    <row r="849" spans="1:23" ht="34.200000000000003" x14ac:dyDescent="0.3">
      <c r="A849" s="129">
        <v>38924</v>
      </c>
      <c r="B849" s="129">
        <v>38924</v>
      </c>
      <c r="C849" s="6">
        <v>7</v>
      </c>
      <c r="D849" s="6">
        <v>1</v>
      </c>
      <c r="E849" s="103">
        <v>2006</v>
      </c>
      <c r="F849" s="15" t="s">
        <v>22</v>
      </c>
      <c r="G849" s="18" t="s">
        <v>6256</v>
      </c>
      <c r="H849" s="9" t="s">
        <v>70</v>
      </c>
      <c r="I849" s="17" t="s">
        <v>1381</v>
      </c>
      <c r="J849" s="110" t="s">
        <v>1499</v>
      </c>
      <c r="K849" s="23">
        <v>2</v>
      </c>
      <c r="L849" s="234">
        <v>5</v>
      </c>
      <c r="M849" s="23">
        <v>0</v>
      </c>
      <c r="N849" s="23">
        <v>0</v>
      </c>
      <c r="O849" s="19">
        <v>0</v>
      </c>
      <c r="P849" s="19">
        <v>0</v>
      </c>
      <c r="Q849" s="23">
        <v>0</v>
      </c>
      <c r="R849" s="93">
        <v>0</v>
      </c>
      <c r="S849" s="7" t="s">
        <v>115</v>
      </c>
      <c r="T849" s="257">
        <f t="shared" si="27"/>
        <v>7</v>
      </c>
      <c r="U849" s="257">
        <f t="shared" si="28"/>
        <v>0</v>
      </c>
      <c r="V849">
        <v>1</v>
      </c>
      <c r="W849">
        <v>0</v>
      </c>
    </row>
    <row r="850" spans="1:23" ht="45.6" x14ac:dyDescent="0.3">
      <c r="A850" s="129">
        <v>38924</v>
      </c>
      <c r="B850" s="129">
        <v>38924</v>
      </c>
      <c r="C850" s="6">
        <v>7</v>
      </c>
      <c r="D850" s="6">
        <v>1</v>
      </c>
      <c r="E850" s="103">
        <v>2006</v>
      </c>
      <c r="F850" s="15" t="s">
        <v>22</v>
      </c>
      <c r="G850" s="18" t="s">
        <v>6256</v>
      </c>
      <c r="H850" s="9" t="s">
        <v>88</v>
      </c>
      <c r="I850" s="17" t="s">
        <v>136</v>
      </c>
      <c r="J850" s="110" t="s">
        <v>1500</v>
      </c>
      <c r="K850" s="23">
        <v>2</v>
      </c>
      <c r="L850" s="234">
        <v>2</v>
      </c>
      <c r="M850" s="23">
        <v>0</v>
      </c>
      <c r="N850" s="23">
        <v>0</v>
      </c>
      <c r="O850" s="19">
        <v>0</v>
      </c>
      <c r="P850" s="19">
        <v>0</v>
      </c>
      <c r="Q850" s="23">
        <v>0</v>
      </c>
      <c r="R850" s="93">
        <v>0</v>
      </c>
      <c r="S850" s="7" t="s">
        <v>115</v>
      </c>
      <c r="T850" s="257">
        <f t="shared" si="27"/>
        <v>4</v>
      </c>
      <c r="U850" s="257">
        <f t="shared" si="28"/>
        <v>0</v>
      </c>
      <c r="V850">
        <v>1</v>
      </c>
      <c r="W850">
        <v>0</v>
      </c>
    </row>
    <row r="851" spans="1:23" ht="57" x14ac:dyDescent="0.3">
      <c r="A851" s="129">
        <v>38926</v>
      </c>
      <c r="B851" s="129">
        <v>38926</v>
      </c>
      <c r="C851" s="6">
        <v>7</v>
      </c>
      <c r="D851" s="6">
        <v>1</v>
      </c>
      <c r="E851" s="103">
        <v>2006</v>
      </c>
      <c r="F851" s="15" t="s">
        <v>22</v>
      </c>
      <c r="G851" s="18" t="s">
        <v>6256</v>
      </c>
      <c r="H851" s="9" t="s">
        <v>34</v>
      </c>
      <c r="I851" s="17" t="s">
        <v>1501</v>
      </c>
      <c r="J851" s="110" t="s">
        <v>1502</v>
      </c>
      <c r="K851" s="23">
        <v>0</v>
      </c>
      <c r="L851" s="234">
        <v>150</v>
      </c>
      <c r="M851" s="23">
        <v>30</v>
      </c>
      <c r="N851" s="23">
        <v>1</v>
      </c>
      <c r="O851" s="19">
        <v>0</v>
      </c>
      <c r="P851" s="19">
        <v>0</v>
      </c>
      <c r="Q851" s="23">
        <v>0</v>
      </c>
      <c r="R851" s="93">
        <v>0.32584000000000002</v>
      </c>
      <c r="S851" s="7" t="s">
        <v>115</v>
      </c>
      <c r="T851" s="257">
        <f t="shared" si="27"/>
        <v>150</v>
      </c>
      <c r="U851" s="257">
        <f t="shared" si="28"/>
        <v>31</v>
      </c>
      <c r="V851">
        <v>1</v>
      </c>
      <c r="W851">
        <v>1</v>
      </c>
    </row>
    <row r="852" spans="1:23" ht="68.400000000000006" x14ac:dyDescent="0.3">
      <c r="A852" s="129">
        <v>38926</v>
      </c>
      <c r="B852" s="129">
        <v>38926</v>
      </c>
      <c r="C852" s="6">
        <v>7</v>
      </c>
      <c r="D852" s="6">
        <v>1</v>
      </c>
      <c r="E852" s="103">
        <v>2006</v>
      </c>
      <c r="F852" s="15" t="s">
        <v>22</v>
      </c>
      <c r="G852" s="18" t="s">
        <v>6256</v>
      </c>
      <c r="H852" s="9" t="s">
        <v>72</v>
      </c>
      <c r="I852" s="17" t="s">
        <v>1503</v>
      </c>
      <c r="J852" s="110" t="s">
        <v>1504</v>
      </c>
      <c r="K852" s="23">
        <v>0</v>
      </c>
      <c r="L852" s="234">
        <v>145</v>
      </c>
      <c r="M852" s="23">
        <v>29</v>
      </c>
      <c r="N852" s="23">
        <v>0</v>
      </c>
      <c r="O852" s="19">
        <v>0</v>
      </c>
      <c r="P852" s="19">
        <v>0</v>
      </c>
      <c r="Q852" s="23">
        <v>0</v>
      </c>
      <c r="R852" s="93">
        <v>0.13525599999999999</v>
      </c>
      <c r="S852" s="7" t="s">
        <v>115</v>
      </c>
      <c r="T852" s="257">
        <f t="shared" si="27"/>
        <v>145</v>
      </c>
      <c r="U852" s="257">
        <f t="shared" si="28"/>
        <v>29</v>
      </c>
      <c r="V852">
        <v>1</v>
      </c>
      <c r="W852">
        <v>1</v>
      </c>
    </row>
    <row r="853" spans="1:23" ht="68.400000000000006" x14ac:dyDescent="0.3">
      <c r="A853" s="210">
        <v>41840</v>
      </c>
      <c r="B853" s="210">
        <v>41841</v>
      </c>
      <c r="C853" s="6">
        <v>7</v>
      </c>
      <c r="D853" s="6">
        <v>2</v>
      </c>
      <c r="E853" s="33">
        <v>2014</v>
      </c>
      <c r="F853" s="15" t="s">
        <v>22</v>
      </c>
      <c r="G853" s="9" t="s">
        <v>6257</v>
      </c>
      <c r="H853" s="9" t="s">
        <v>48</v>
      </c>
      <c r="I853" s="47" t="s">
        <v>1505</v>
      </c>
      <c r="J853" s="48" t="s">
        <v>1506</v>
      </c>
      <c r="K853" s="112">
        <v>0</v>
      </c>
      <c r="L853" s="236">
        <v>0</v>
      </c>
      <c r="M853" s="35">
        <v>0</v>
      </c>
      <c r="N853" s="35">
        <v>0</v>
      </c>
      <c r="O853" s="35">
        <v>0</v>
      </c>
      <c r="P853" s="35">
        <v>0</v>
      </c>
      <c r="Q853" s="35">
        <v>0</v>
      </c>
      <c r="R853" s="36">
        <v>11.76866042</v>
      </c>
      <c r="S853" s="50" t="s">
        <v>661</v>
      </c>
      <c r="T853" s="257">
        <f t="shared" si="27"/>
        <v>0</v>
      </c>
      <c r="U853" s="257">
        <f t="shared" si="28"/>
        <v>0</v>
      </c>
      <c r="V853">
        <v>0</v>
      </c>
      <c r="W853">
        <v>0</v>
      </c>
    </row>
    <row r="854" spans="1:23" ht="34.200000000000003" x14ac:dyDescent="0.3">
      <c r="A854" s="129">
        <v>38935</v>
      </c>
      <c r="B854" s="129">
        <f t="shared" ref="B854:B863" si="29">A854</f>
        <v>38935</v>
      </c>
      <c r="C854" s="6">
        <v>8</v>
      </c>
      <c r="D854" s="6">
        <v>1</v>
      </c>
      <c r="E854" s="103">
        <v>2006</v>
      </c>
      <c r="F854" s="15" t="s">
        <v>22</v>
      </c>
      <c r="G854" s="18" t="s">
        <v>6256</v>
      </c>
      <c r="H854" s="9" t="s">
        <v>88</v>
      </c>
      <c r="I854" s="17" t="s">
        <v>1507</v>
      </c>
      <c r="J854" s="110" t="s">
        <v>1508</v>
      </c>
      <c r="K854" s="23">
        <v>1</v>
      </c>
      <c r="L854" s="234">
        <v>1</v>
      </c>
      <c r="M854" s="23">
        <v>0</v>
      </c>
      <c r="N854" s="23">
        <v>0</v>
      </c>
      <c r="O854" s="19">
        <v>0</v>
      </c>
      <c r="P854" s="19">
        <v>0</v>
      </c>
      <c r="Q854" s="23">
        <v>0</v>
      </c>
      <c r="R854" s="93">
        <v>0</v>
      </c>
      <c r="S854" s="7" t="s">
        <v>115</v>
      </c>
      <c r="T854" s="257">
        <f t="shared" si="27"/>
        <v>2</v>
      </c>
      <c r="U854" s="257">
        <f t="shared" si="28"/>
        <v>0</v>
      </c>
      <c r="V854">
        <v>1</v>
      </c>
      <c r="W854">
        <v>0</v>
      </c>
    </row>
    <row r="855" spans="1:23" ht="34.200000000000003" x14ac:dyDescent="0.3">
      <c r="A855" s="129">
        <v>38936</v>
      </c>
      <c r="B855" s="129">
        <f t="shared" si="29"/>
        <v>38936</v>
      </c>
      <c r="C855" s="6">
        <v>8</v>
      </c>
      <c r="D855" s="6">
        <v>1</v>
      </c>
      <c r="E855" s="103">
        <v>2006</v>
      </c>
      <c r="F855" s="15" t="s">
        <v>22</v>
      </c>
      <c r="G855" s="18" t="s">
        <v>6256</v>
      </c>
      <c r="H855" s="9" t="s">
        <v>84</v>
      </c>
      <c r="I855" s="17" t="s">
        <v>1509</v>
      </c>
      <c r="J855" s="110" t="s">
        <v>1510</v>
      </c>
      <c r="K855" s="23">
        <v>0</v>
      </c>
      <c r="L855" s="234">
        <v>25</v>
      </c>
      <c r="M855" s="23">
        <v>5</v>
      </c>
      <c r="N855" s="23">
        <v>0</v>
      </c>
      <c r="O855" s="19">
        <v>0</v>
      </c>
      <c r="P855" s="19">
        <v>0</v>
      </c>
      <c r="Q855" s="23">
        <v>0</v>
      </c>
      <c r="R855" s="93">
        <v>2.332E-2</v>
      </c>
      <c r="S855" s="7" t="s">
        <v>115</v>
      </c>
      <c r="T855" s="257">
        <f t="shared" si="27"/>
        <v>25</v>
      </c>
      <c r="U855" s="257">
        <f t="shared" si="28"/>
        <v>5</v>
      </c>
      <c r="V855">
        <v>1</v>
      </c>
      <c r="W855">
        <v>1</v>
      </c>
    </row>
    <row r="856" spans="1:23" ht="22.8" x14ac:dyDescent="0.3">
      <c r="A856" s="129">
        <v>38936</v>
      </c>
      <c r="B856" s="129">
        <f t="shared" si="29"/>
        <v>38936</v>
      </c>
      <c r="C856" s="6">
        <v>8</v>
      </c>
      <c r="D856" s="6">
        <v>1</v>
      </c>
      <c r="E856" s="103">
        <v>2006</v>
      </c>
      <c r="F856" s="15" t="s">
        <v>22</v>
      </c>
      <c r="G856" s="18" t="s">
        <v>6256</v>
      </c>
      <c r="H856" s="9" t="s">
        <v>46</v>
      </c>
      <c r="I856" s="17" t="s">
        <v>1364</v>
      </c>
      <c r="J856" s="110" t="s">
        <v>1511</v>
      </c>
      <c r="K856" s="23">
        <v>0</v>
      </c>
      <c r="L856" s="234">
        <v>150</v>
      </c>
      <c r="M856" s="23">
        <v>30</v>
      </c>
      <c r="N856" s="23">
        <v>0</v>
      </c>
      <c r="O856" s="19">
        <v>0</v>
      </c>
      <c r="P856" s="19">
        <v>0</v>
      </c>
      <c r="Q856" s="23">
        <v>0</v>
      </c>
      <c r="R856" s="93">
        <v>0.13991999999999999</v>
      </c>
      <c r="S856" s="7" t="s">
        <v>115</v>
      </c>
      <c r="T856" s="257">
        <f t="shared" si="27"/>
        <v>150</v>
      </c>
      <c r="U856" s="257">
        <f t="shared" si="28"/>
        <v>30</v>
      </c>
      <c r="V856">
        <v>1</v>
      </c>
      <c r="W856">
        <v>1</v>
      </c>
    </row>
    <row r="857" spans="1:23" ht="34.200000000000003" x14ac:dyDescent="0.3">
      <c r="A857" s="129">
        <v>38938</v>
      </c>
      <c r="B857" s="129">
        <f t="shared" si="29"/>
        <v>38938</v>
      </c>
      <c r="C857" s="6">
        <v>8</v>
      </c>
      <c r="D857" s="6">
        <v>1</v>
      </c>
      <c r="E857" s="103">
        <v>2006</v>
      </c>
      <c r="F857" s="15" t="s">
        <v>22</v>
      </c>
      <c r="G857" s="18" t="s">
        <v>6256</v>
      </c>
      <c r="H857" s="9" t="s">
        <v>34</v>
      </c>
      <c r="I857" s="17" t="s">
        <v>1512</v>
      </c>
      <c r="J857" s="110" t="s">
        <v>1513</v>
      </c>
      <c r="K857" s="23">
        <v>1</v>
      </c>
      <c r="L857" s="234">
        <v>1</v>
      </c>
      <c r="M857" s="23">
        <v>0</v>
      </c>
      <c r="N857" s="23">
        <v>0</v>
      </c>
      <c r="O857" s="19">
        <v>0</v>
      </c>
      <c r="P857" s="19">
        <v>0</v>
      </c>
      <c r="Q857" s="23">
        <v>0</v>
      </c>
      <c r="R857" s="93">
        <v>0</v>
      </c>
      <c r="S857" s="7" t="s">
        <v>115</v>
      </c>
      <c r="T857" s="257">
        <f t="shared" si="27"/>
        <v>2</v>
      </c>
      <c r="U857" s="257">
        <f t="shared" si="28"/>
        <v>0</v>
      </c>
      <c r="V857">
        <v>1</v>
      </c>
      <c r="W857">
        <v>0</v>
      </c>
    </row>
    <row r="858" spans="1:23" ht="57" x14ac:dyDescent="0.3">
      <c r="A858" s="129">
        <v>38940</v>
      </c>
      <c r="B858" s="129">
        <f t="shared" si="29"/>
        <v>38940</v>
      </c>
      <c r="C858" s="6">
        <v>8</v>
      </c>
      <c r="D858" s="6">
        <v>1</v>
      </c>
      <c r="E858" s="103">
        <v>2006</v>
      </c>
      <c r="F858" s="15" t="s">
        <v>22</v>
      </c>
      <c r="G858" s="18" t="s">
        <v>6256</v>
      </c>
      <c r="H858" s="9" t="s">
        <v>43</v>
      </c>
      <c r="I858" s="17" t="s">
        <v>1514</v>
      </c>
      <c r="J858" s="110" t="s">
        <v>1515</v>
      </c>
      <c r="K858" s="23">
        <v>0</v>
      </c>
      <c r="L858" s="234">
        <v>2730</v>
      </c>
      <c r="M858" s="23">
        <v>546</v>
      </c>
      <c r="N858" s="23">
        <v>0</v>
      </c>
      <c r="O858" s="19">
        <v>0</v>
      </c>
      <c r="P858" s="19">
        <v>0</v>
      </c>
      <c r="Q858" s="23">
        <v>0</v>
      </c>
      <c r="R858" s="93">
        <v>3.096762</v>
      </c>
      <c r="S858" s="7" t="s">
        <v>115</v>
      </c>
      <c r="T858" s="257">
        <f t="shared" si="27"/>
        <v>2730</v>
      </c>
      <c r="U858" s="257">
        <f t="shared" si="28"/>
        <v>546</v>
      </c>
      <c r="V858">
        <v>1</v>
      </c>
      <c r="W858">
        <v>1</v>
      </c>
    </row>
    <row r="859" spans="1:23" ht="22.8" x14ac:dyDescent="0.3">
      <c r="A859" s="129">
        <v>38942</v>
      </c>
      <c r="B859" s="129">
        <f t="shared" si="29"/>
        <v>38942</v>
      </c>
      <c r="C859" s="6">
        <v>8</v>
      </c>
      <c r="D859" s="6">
        <v>1</v>
      </c>
      <c r="E859" s="103">
        <v>2006</v>
      </c>
      <c r="F859" s="15" t="s">
        <v>22</v>
      </c>
      <c r="G859" s="18" t="s">
        <v>6256</v>
      </c>
      <c r="H859" s="9" t="s">
        <v>51</v>
      </c>
      <c r="I859" s="17" t="s">
        <v>1516</v>
      </c>
      <c r="J859" s="110" t="s">
        <v>1517</v>
      </c>
      <c r="K859" s="23">
        <v>0</v>
      </c>
      <c r="L859" s="234">
        <v>65</v>
      </c>
      <c r="M859" s="23">
        <v>13</v>
      </c>
      <c r="N859" s="23">
        <v>0</v>
      </c>
      <c r="O859" s="19">
        <v>0</v>
      </c>
      <c r="P859" s="19">
        <v>0</v>
      </c>
      <c r="Q859" s="23">
        <v>0</v>
      </c>
      <c r="R859" s="93">
        <v>1.2999999999999999E-2</v>
      </c>
      <c r="S859" s="7" t="s">
        <v>115</v>
      </c>
      <c r="T859" s="257">
        <f t="shared" si="27"/>
        <v>65</v>
      </c>
      <c r="U859" s="257">
        <f t="shared" si="28"/>
        <v>13</v>
      </c>
      <c r="V859">
        <v>1</v>
      </c>
      <c r="W859">
        <v>1</v>
      </c>
    </row>
    <row r="860" spans="1:23" ht="34.200000000000003" x14ac:dyDescent="0.3">
      <c r="A860" s="129">
        <v>38942</v>
      </c>
      <c r="B860" s="129">
        <f t="shared" si="29"/>
        <v>38942</v>
      </c>
      <c r="C860" s="6">
        <v>8</v>
      </c>
      <c r="D860" s="6">
        <v>1</v>
      </c>
      <c r="E860" s="103">
        <v>2006</v>
      </c>
      <c r="F860" s="15" t="s">
        <v>22</v>
      </c>
      <c r="G860" s="18" t="s">
        <v>6256</v>
      </c>
      <c r="H860" s="9" t="s">
        <v>56</v>
      </c>
      <c r="I860" s="17" t="s">
        <v>1256</v>
      </c>
      <c r="J860" s="110" t="s">
        <v>1518</v>
      </c>
      <c r="K860" s="23">
        <v>2</v>
      </c>
      <c r="L860" s="234">
        <v>2</v>
      </c>
      <c r="M860" s="23">
        <v>0</v>
      </c>
      <c r="N860" s="23">
        <v>0</v>
      </c>
      <c r="O860" s="19">
        <v>0</v>
      </c>
      <c r="P860" s="19">
        <v>0</v>
      </c>
      <c r="Q860" s="23">
        <v>0</v>
      </c>
      <c r="R860" s="93">
        <v>0</v>
      </c>
      <c r="S860" s="7" t="s">
        <v>115</v>
      </c>
      <c r="T860" s="257">
        <f t="shared" si="27"/>
        <v>4</v>
      </c>
      <c r="U860" s="257">
        <f t="shared" si="28"/>
        <v>0</v>
      </c>
      <c r="V860">
        <v>1</v>
      </c>
      <c r="W860">
        <v>0</v>
      </c>
    </row>
    <row r="861" spans="1:23" ht="34.200000000000003" x14ac:dyDescent="0.3">
      <c r="A861" s="129">
        <v>38945</v>
      </c>
      <c r="B861" s="129">
        <f t="shared" si="29"/>
        <v>38945</v>
      </c>
      <c r="C861" s="6">
        <v>8</v>
      </c>
      <c r="D861" s="6">
        <v>1</v>
      </c>
      <c r="E861" s="103">
        <v>2006</v>
      </c>
      <c r="F861" s="15" t="s">
        <v>22</v>
      </c>
      <c r="G861" s="18" t="s">
        <v>6256</v>
      </c>
      <c r="H861" s="9" t="s">
        <v>64</v>
      </c>
      <c r="I861" s="17" t="s">
        <v>1519</v>
      </c>
      <c r="J861" s="110" t="s">
        <v>1520</v>
      </c>
      <c r="K861" s="23">
        <v>0</v>
      </c>
      <c r="L861" s="234">
        <v>50</v>
      </c>
      <c r="M861" s="23">
        <v>10</v>
      </c>
      <c r="N861" s="23">
        <v>0</v>
      </c>
      <c r="O861" s="19">
        <v>0</v>
      </c>
      <c r="P861" s="19">
        <v>0</v>
      </c>
      <c r="Q861" s="23">
        <v>0</v>
      </c>
      <c r="R861" s="93">
        <v>0.01</v>
      </c>
      <c r="S861" s="7" t="s">
        <v>115</v>
      </c>
      <c r="T861" s="257">
        <f t="shared" si="27"/>
        <v>50</v>
      </c>
      <c r="U861" s="257">
        <f t="shared" si="28"/>
        <v>10</v>
      </c>
      <c r="V861">
        <v>1</v>
      </c>
      <c r="W861">
        <v>1</v>
      </c>
    </row>
    <row r="862" spans="1:23" ht="45.6" x14ac:dyDescent="0.3">
      <c r="A862" s="129">
        <v>38946</v>
      </c>
      <c r="B862" s="129">
        <f t="shared" si="29"/>
        <v>38946</v>
      </c>
      <c r="C862" s="6">
        <v>8</v>
      </c>
      <c r="D862" s="6">
        <v>1</v>
      </c>
      <c r="E862" s="103">
        <v>2006</v>
      </c>
      <c r="F862" s="15" t="s">
        <v>22</v>
      </c>
      <c r="G862" s="18" t="s">
        <v>6256</v>
      </c>
      <c r="H862" s="9" t="s">
        <v>37</v>
      </c>
      <c r="I862" s="53" t="s">
        <v>1521</v>
      </c>
      <c r="J862" s="113" t="s">
        <v>1522</v>
      </c>
      <c r="K862" s="19">
        <v>1</v>
      </c>
      <c r="L862" s="234">
        <v>2501</v>
      </c>
      <c r="M862" s="19">
        <v>500</v>
      </c>
      <c r="N862" s="19">
        <v>0</v>
      </c>
      <c r="O862" s="19">
        <v>0</v>
      </c>
      <c r="P862" s="19">
        <v>0</v>
      </c>
      <c r="Q862" s="19">
        <v>0</v>
      </c>
      <c r="R862" s="93">
        <v>2.3319999999999999</v>
      </c>
      <c r="S862" s="7" t="s">
        <v>115</v>
      </c>
      <c r="T862" s="257">
        <f t="shared" si="27"/>
        <v>2502</v>
      </c>
      <c r="U862" s="257">
        <f t="shared" si="28"/>
        <v>500</v>
      </c>
      <c r="V862">
        <v>1</v>
      </c>
      <c r="W862">
        <v>1</v>
      </c>
    </row>
    <row r="863" spans="1:23" ht="34.200000000000003" x14ac:dyDescent="0.3">
      <c r="A863" s="129">
        <v>38951</v>
      </c>
      <c r="B863" s="129">
        <f t="shared" si="29"/>
        <v>38951</v>
      </c>
      <c r="C863" s="6">
        <v>8</v>
      </c>
      <c r="D863" s="6">
        <v>1</v>
      </c>
      <c r="E863" s="103">
        <v>2006</v>
      </c>
      <c r="F863" s="15" t="s">
        <v>22</v>
      </c>
      <c r="G863" s="16" t="s">
        <v>6254</v>
      </c>
      <c r="H863" s="9" t="s">
        <v>28</v>
      </c>
      <c r="I863" s="17" t="s">
        <v>1497</v>
      </c>
      <c r="J863" s="110" t="s">
        <v>1523</v>
      </c>
      <c r="K863" s="23">
        <v>1</v>
      </c>
      <c r="L863" s="234">
        <v>1</v>
      </c>
      <c r="M863" s="23">
        <v>0</v>
      </c>
      <c r="N863" s="23">
        <v>0</v>
      </c>
      <c r="O863" s="19">
        <v>0</v>
      </c>
      <c r="P863" s="19">
        <v>0</v>
      </c>
      <c r="Q863" s="23">
        <v>0</v>
      </c>
      <c r="R863" s="93">
        <v>0</v>
      </c>
      <c r="S863" s="7" t="s">
        <v>115</v>
      </c>
      <c r="T863" s="257">
        <f t="shared" si="27"/>
        <v>2</v>
      </c>
      <c r="U863" s="257">
        <f t="shared" si="28"/>
        <v>0</v>
      </c>
      <c r="V863">
        <v>1</v>
      </c>
      <c r="W863">
        <v>0</v>
      </c>
    </row>
    <row r="864" spans="1:23" ht="45.6" x14ac:dyDescent="0.3">
      <c r="A864" s="129">
        <v>38952</v>
      </c>
      <c r="B864" s="129">
        <v>38954</v>
      </c>
      <c r="C864" s="6">
        <v>8</v>
      </c>
      <c r="D864" s="6">
        <v>3</v>
      </c>
      <c r="E864" s="103">
        <v>2006</v>
      </c>
      <c r="F864" s="15" t="s">
        <v>22</v>
      </c>
      <c r="G864" s="18" t="s">
        <v>6256</v>
      </c>
      <c r="H864" s="9" t="s">
        <v>64</v>
      </c>
      <c r="I864" s="17" t="s">
        <v>1524</v>
      </c>
      <c r="J864" s="110" t="s">
        <v>1525</v>
      </c>
      <c r="K864" s="23">
        <v>0</v>
      </c>
      <c r="L864" s="234">
        <v>3691</v>
      </c>
      <c r="M864" s="23">
        <v>0</v>
      </c>
      <c r="N864" s="23">
        <v>0</v>
      </c>
      <c r="O864" s="19">
        <v>0</v>
      </c>
      <c r="P864" s="19">
        <v>0</v>
      </c>
      <c r="Q864" s="23">
        <v>7671.73</v>
      </c>
      <c r="R864" s="93">
        <v>29.138179000000001</v>
      </c>
      <c r="S864" s="7" t="s">
        <v>115</v>
      </c>
      <c r="T864" s="257">
        <f t="shared" si="27"/>
        <v>3691</v>
      </c>
      <c r="U864" s="257">
        <f t="shared" si="28"/>
        <v>0</v>
      </c>
      <c r="V864">
        <v>1</v>
      </c>
      <c r="W864">
        <v>0</v>
      </c>
    </row>
    <row r="865" spans="1:23" ht="34.200000000000003" x14ac:dyDescent="0.3">
      <c r="A865" s="129">
        <v>38954</v>
      </c>
      <c r="B865" s="129">
        <f>A865</f>
        <v>38954</v>
      </c>
      <c r="C865" s="6">
        <v>8</v>
      </c>
      <c r="D865" s="6">
        <v>1</v>
      </c>
      <c r="E865" s="103">
        <v>2006</v>
      </c>
      <c r="F865" s="15" t="s">
        <v>22</v>
      </c>
      <c r="G865" s="18" t="s">
        <v>6256</v>
      </c>
      <c r="H865" s="9" t="s">
        <v>52</v>
      </c>
      <c r="I865" s="17" t="s">
        <v>126</v>
      </c>
      <c r="J865" s="111" t="s">
        <v>1526</v>
      </c>
      <c r="K865" s="23">
        <v>0</v>
      </c>
      <c r="L865" s="234">
        <v>350</v>
      </c>
      <c r="M865" s="23">
        <v>77</v>
      </c>
      <c r="N865" s="23">
        <v>0</v>
      </c>
      <c r="O865" s="19">
        <v>0</v>
      </c>
      <c r="P865" s="19">
        <v>0</v>
      </c>
      <c r="Q865" s="23">
        <v>0</v>
      </c>
      <c r="R865" s="93">
        <v>0.359128</v>
      </c>
      <c r="S865" s="7" t="s">
        <v>115</v>
      </c>
      <c r="T865" s="257">
        <f t="shared" si="27"/>
        <v>350</v>
      </c>
      <c r="U865" s="257">
        <f t="shared" si="28"/>
        <v>77</v>
      </c>
      <c r="V865">
        <v>1</v>
      </c>
      <c r="W865">
        <v>1</v>
      </c>
    </row>
    <row r="866" spans="1:23" ht="34.200000000000003" x14ac:dyDescent="0.3">
      <c r="A866" s="129">
        <v>38955</v>
      </c>
      <c r="B866" s="129">
        <f>A866</f>
        <v>38955</v>
      </c>
      <c r="C866" s="6">
        <v>8</v>
      </c>
      <c r="D866" s="6">
        <v>1</v>
      </c>
      <c r="E866" s="103">
        <v>2006</v>
      </c>
      <c r="F866" s="15" t="s">
        <v>22</v>
      </c>
      <c r="G866" s="18" t="s">
        <v>6256</v>
      </c>
      <c r="H866" s="9" t="s">
        <v>72</v>
      </c>
      <c r="I866" s="17" t="s">
        <v>657</v>
      </c>
      <c r="J866" s="110" t="s">
        <v>1527</v>
      </c>
      <c r="K866" s="23">
        <v>1</v>
      </c>
      <c r="L866" s="234">
        <v>1</v>
      </c>
      <c r="M866" s="23">
        <v>0</v>
      </c>
      <c r="N866" s="23">
        <v>0</v>
      </c>
      <c r="O866" s="19">
        <v>0</v>
      </c>
      <c r="P866" s="19">
        <v>0</v>
      </c>
      <c r="Q866" s="23">
        <v>0</v>
      </c>
      <c r="R866" s="93">
        <v>0</v>
      </c>
      <c r="S866" s="7" t="s">
        <v>115</v>
      </c>
      <c r="T866" s="257">
        <f t="shared" si="27"/>
        <v>2</v>
      </c>
      <c r="U866" s="257">
        <f t="shared" si="28"/>
        <v>0</v>
      </c>
      <c r="V866">
        <v>1</v>
      </c>
      <c r="W866">
        <v>0</v>
      </c>
    </row>
    <row r="867" spans="1:23" ht="34.200000000000003" x14ac:dyDescent="0.3">
      <c r="A867" s="129">
        <v>38955</v>
      </c>
      <c r="B867" s="129">
        <f>A867</f>
        <v>38955</v>
      </c>
      <c r="C867" s="6">
        <v>8</v>
      </c>
      <c r="D867" s="6">
        <v>1</v>
      </c>
      <c r="E867" s="103">
        <v>2006</v>
      </c>
      <c r="F867" s="15" t="s">
        <v>22</v>
      </c>
      <c r="G867" s="18" t="s">
        <v>6256</v>
      </c>
      <c r="H867" s="9" t="s">
        <v>51</v>
      </c>
      <c r="I867" s="17" t="s">
        <v>653</v>
      </c>
      <c r="J867" s="110" t="s">
        <v>1528</v>
      </c>
      <c r="K867" s="23">
        <v>1</v>
      </c>
      <c r="L867" s="234">
        <v>2</v>
      </c>
      <c r="M867" s="23">
        <v>0</v>
      </c>
      <c r="N867" s="23">
        <v>0</v>
      </c>
      <c r="O867" s="19">
        <v>0</v>
      </c>
      <c r="P867" s="19">
        <v>0</v>
      </c>
      <c r="Q867" s="23">
        <v>0</v>
      </c>
      <c r="R867" s="93">
        <v>0</v>
      </c>
      <c r="S867" s="7" t="s">
        <v>115</v>
      </c>
      <c r="T867" s="257">
        <f t="shared" si="27"/>
        <v>3</v>
      </c>
      <c r="U867" s="257">
        <f t="shared" si="28"/>
        <v>0</v>
      </c>
      <c r="V867">
        <v>1</v>
      </c>
      <c r="W867">
        <v>0</v>
      </c>
    </row>
    <row r="868" spans="1:23" ht="45.6" x14ac:dyDescent="0.3">
      <c r="A868" s="129">
        <v>38959</v>
      </c>
      <c r="B868" s="129">
        <f>A868</f>
        <v>38959</v>
      </c>
      <c r="C868" s="6">
        <v>8</v>
      </c>
      <c r="D868" s="6">
        <v>1</v>
      </c>
      <c r="E868" s="103">
        <v>2006</v>
      </c>
      <c r="F868" s="15" t="s">
        <v>22</v>
      </c>
      <c r="G868" s="16" t="s">
        <v>6254</v>
      </c>
      <c r="H868" s="9" t="s">
        <v>52</v>
      </c>
      <c r="I868" s="17" t="s">
        <v>948</v>
      </c>
      <c r="J868" s="110" t="s">
        <v>1529</v>
      </c>
      <c r="K868" s="23">
        <v>0</v>
      </c>
      <c r="L868" s="234">
        <v>10</v>
      </c>
      <c r="M868" s="23">
        <v>2</v>
      </c>
      <c r="N868" s="23">
        <v>0</v>
      </c>
      <c r="O868" s="19">
        <v>0</v>
      </c>
      <c r="P868" s="19">
        <v>0</v>
      </c>
      <c r="Q868" s="23">
        <v>0</v>
      </c>
      <c r="R868" s="93">
        <v>9.3279999999999995E-3</v>
      </c>
      <c r="S868" s="7" t="s">
        <v>115</v>
      </c>
      <c r="T868" s="257">
        <f t="shared" si="27"/>
        <v>10</v>
      </c>
      <c r="U868" s="257">
        <f t="shared" si="28"/>
        <v>2</v>
      </c>
      <c r="V868">
        <v>1</v>
      </c>
      <c r="W868">
        <v>1</v>
      </c>
    </row>
    <row r="869" spans="1:23" ht="68.400000000000006" x14ac:dyDescent="0.3">
      <c r="A869" s="210">
        <v>41840</v>
      </c>
      <c r="B869" s="210">
        <v>41845</v>
      </c>
      <c r="C869" s="6">
        <v>7</v>
      </c>
      <c r="D869" s="6">
        <v>6</v>
      </c>
      <c r="E869" s="33">
        <v>2014</v>
      </c>
      <c r="F869" s="15" t="s">
        <v>22</v>
      </c>
      <c r="G869" s="82" t="s">
        <v>6256</v>
      </c>
      <c r="H869" s="9" t="s">
        <v>48</v>
      </c>
      <c r="I869" s="47" t="s">
        <v>1530</v>
      </c>
      <c r="J869" s="48" t="s">
        <v>1531</v>
      </c>
      <c r="K869" s="112">
        <v>0</v>
      </c>
      <c r="L869" s="236">
        <v>0</v>
      </c>
      <c r="M869" s="35">
        <v>0</v>
      </c>
      <c r="N869" s="35">
        <v>0</v>
      </c>
      <c r="O869" s="35">
        <v>0</v>
      </c>
      <c r="P869" s="35">
        <v>0</v>
      </c>
      <c r="Q869" s="35">
        <v>0</v>
      </c>
      <c r="R869" s="36">
        <v>11.147334599999999</v>
      </c>
      <c r="S869" s="50" t="s">
        <v>661</v>
      </c>
      <c r="T869" s="257">
        <f t="shared" si="27"/>
        <v>0</v>
      </c>
      <c r="U869" s="257">
        <f t="shared" si="28"/>
        <v>0</v>
      </c>
      <c r="V869">
        <v>0</v>
      </c>
      <c r="W869">
        <v>0</v>
      </c>
    </row>
    <row r="870" spans="1:23" ht="45.6" x14ac:dyDescent="0.3">
      <c r="A870" s="129">
        <v>38961</v>
      </c>
      <c r="B870" s="129">
        <v>38963</v>
      </c>
      <c r="C870" s="6">
        <v>9</v>
      </c>
      <c r="D870" s="6">
        <v>3</v>
      </c>
      <c r="E870" s="103">
        <v>2006</v>
      </c>
      <c r="F870" s="15" t="s">
        <v>22</v>
      </c>
      <c r="G870" s="16" t="s">
        <v>6254</v>
      </c>
      <c r="H870" s="9" t="s">
        <v>28</v>
      </c>
      <c r="I870" s="17" t="s">
        <v>1532</v>
      </c>
      <c r="J870" s="111" t="s">
        <v>1533</v>
      </c>
      <c r="K870" s="23">
        <v>5</v>
      </c>
      <c r="L870" s="234">
        <v>13090</v>
      </c>
      <c r="M870" s="23">
        <v>2617</v>
      </c>
      <c r="N870" s="23">
        <v>101</v>
      </c>
      <c r="O870" s="23">
        <v>8</v>
      </c>
      <c r="P870" s="19">
        <v>0</v>
      </c>
      <c r="Q870" s="23">
        <v>403</v>
      </c>
      <c r="R870" s="93">
        <v>984.85</v>
      </c>
      <c r="S870" s="7" t="s">
        <v>115</v>
      </c>
      <c r="T870" s="257">
        <f t="shared" si="27"/>
        <v>13095</v>
      </c>
      <c r="U870" s="257">
        <f t="shared" si="28"/>
        <v>2726</v>
      </c>
      <c r="V870">
        <v>2</v>
      </c>
      <c r="W870">
        <v>2</v>
      </c>
    </row>
    <row r="871" spans="1:23" ht="34.200000000000003" x14ac:dyDescent="0.3">
      <c r="A871" s="129">
        <v>38962</v>
      </c>
      <c r="B871" s="129">
        <v>38963</v>
      </c>
      <c r="C871" s="6">
        <v>9</v>
      </c>
      <c r="D871" s="6">
        <v>2</v>
      </c>
      <c r="E871" s="103">
        <v>2006</v>
      </c>
      <c r="F871" s="15" t="s">
        <v>22</v>
      </c>
      <c r="G871" s="18" t="s">
        <v>6256</v>
      </c>
      <c r="H871" s="9" t="s">
        <v>34</v>
      </c>
      <c r="I871" s="17" t="s">
        <v>1534</v>
      </c>
      <c r="J871" s="110" t="s">
        <v>1535</v>
      </c>
      <c r="K871" s="23">
        <v>0</v>
      </c>
      <c r="L871" s="234">
        <v>1054</v>
      </c>
      <c r="M871" s="23">
        <v>0</v>
      </c>
      <c r="N871" s="23">
        <v>0</v>
      </c>
      <c r="O871" s="23">
        <v>0</v>
      </c>
      <c r="P871" s="19">
        <v>0</v>
      </c>
      <c r="Q871" s="23">
        <v>4713.71</v>
      </c>
      <c r="R871" s="93">
        <v>17.913723999999998</v>
      </c>
      <c r="S871" s="7" t="s">
        <v>115</v>
      </c>
      <c r="T871" s="257">
        <f t="shared" si="27"/>
        <v>1054</v>
      </c>
      <c r="U871" s="257">
        <f t="shared" si="28"/>
        <v>0</v>
      </c>
      <c r="V871">
        <v>1</v>
      </c>
      <c r="W871">
        <v>0</v>
      </c>
    </row>
    <row r="872" spans="1:23" ht="34.200000000000003" x14ac:dyDescent="0.3">
      <c r="A872" s="129">
        <v>38965</v>
      </c>
      <c r="B872" s="129">
        <f t="shared" ref="B872:B877" si="30">A872</f>
        <v>38965</v>
      </c>
      <c r="C872" s="6">
        <v>9</v>
      </c>
      <c r="D872" s="6">
        <v>1</v>
      </c>
      <c r="E872" s="103">
        <v>2006</v>
      </c>
      <c r="F872" s="15" t="s">
        <v>22</v>
      </c>
      <c r="G872" s="18" t="s">
        <v>6256</v>
      </c>
      <c r="H872" s="9" t="s">
        <v>55</v>
      </c>
      <c r="I872" s="17" t="s">
        <v>1536</v>
      </c>
      <c r="J872" s="111" t="s">
        <v>1537</v>
      </c>
      <c r="K872" s="23">
        <v>0</v>
      </c>
      <c r="L872" s="234">
        <v>400</v>
      </c>
      <c r="M872" s="23">
        <v>80</v>
      </c>
      <c r="N872" s="23">
        <v>0</v>
      </c>
      <c r="O872" s="23">
        <v>0</v>
      </c>
      <c r="P872" s="19">
        <v>0</v>
      </c>
      <c r="Q872" s="23">
        <v>0</v>
      </c>
      <c r="R872" s="93">
        <v>0.51239999999999997</v>
      </c>
      <c r="S872" s="7" t="s">
        <v>115</v>
      </c>
      <c r="T872" s="257">
        <f t="shared" si="27"/>
        <v>400</v>
      </c>
      <c r="U872" s="257">
        <f t="shared" si="28"/>
        <v>80</v>
      </c>
      <c r="V872">
        <v>1</v>
      </c>
      <c r="W872">
        <v>1</v>
      </c>
    </row>
    <row r="873" spans="1:23" ht="45.6" x14ac:dyDescent="0.3">
      <c r="A873" s="129">
        <v>38965</v>
      </c>
      <c r="B873" s="129">
        <f t="shared" si="30"/>
        <v>38965</v>
      </c>
      <c r="C873" s="6">
        <v>9</v>
      </c>
      <c r="D873" s="6">
        <v>1</v>
      </c>
      <c r="E873" s="103">
        <v>2006</v>
      </c>
      <c r="F873" s="15" t="s">
        <v>22</v>
      </c>
      <c r="G873" s="18" t="s">
        <v>6256</v>
      </c>
      <c r="H873" s="9" t="s">
        <v>56</v>
      </c>
      <c r="I873" s="17" t="s">
        <v>1538</v>
      </c>
      <c r="J873" s="111" t="s">
        <v>1539</v>
      </c>
      <c r="K873" s="23">
        <v>1</v>
      </c>
      <c r="L873" s="234">
        <v>1</v>
      </c>
      <c r="M873" s="23">
        <v>1</v>
      </c>
      <c r="N873" s="23">
        <v>0</v>
      </c>
      <c r="O873" s="23">
        <v>0</v>
      </c>
      <c r="P873" s="19">
        <v>0</v>
      </c>
      <c r="Q873" s="23">
        <v>0</v>
      </c>
      <c r="R873" s="93">
        <v>1.1627999999999999E-2</v>
      </c>
      <c r="S873" s="7" t="s">
        <v>115</v>
      </c>
      <c r="T873" s="257">
        <f t="shared" si="27"/>
        <v>2</v>
      </c>
      <c r="U873" s="257">
        <f t="shared" si="28"/>
        <v>1</v>
      </c>
      <c r="V873">
        <v>1</v>
      </c>
      <c r="W873">
        <v>1</v>
      </c>
    </row>
    <row r="874" spans="1:23" ht="34.200000000000003" x14ac:dyDescent="0.3">
      <c r="A874" s="129">
        <v>38965</v>
      </c>
      <c r="B874" s="129">
        <f t="shared" si="30"/>
        <v>38965</v>
      </c>
      <c r="C874" s="6">
        <v>9</v>
      </c>
      <c r="D874" s="6">
        <v>1</v>
      </c>
      <c r="E874" s="103">
        <v>2006</v>
      </c>
      <c r="F874" s="15" t="s">
        <v>22</v>
      </c>
      <c r="G874" s="18" t="s">
        <v>6256</v>
      </c>
      <c r="H874" s="9" t="s">
        <v>43</v>
      </c>
      <c r="I874" s="17" t="s">
        <v>721</v>
      </c>
      <c r="J874" s="111" t="s">
        <v>1540</v>
      </c>
      <c r="K874" s="23">
        <v>0</v>
      </c>
      <c r="L874" s="234">
        <v>470</v>
      </c>
      <c r="M874" s="23">
        <v>94</v>
      </c>
      <c r="N874" s="23">
        <v>0</v>
      </c>
      <c r="O874" s="23">
        <v>0</v>
      </c>
      <c r="P874" s="19">
        <v>0</v>
      </c>
      <c r="Q874" s="23">
        <v>0</v>
      </c>
      <c r="R874" s="93">
        <v>9.4E-2</v>
      </c>
      <c r="S874" s="7" t="s">
        <v>115</v>
      </c>
      <c r="T874" s="257">
        <f t="shared" si="27"/>
        <v>470</v>
      </c>
      <c r="U874" s="257">
        <f t="shared" si="28"/>
        <v>94</v>
      </c>
      <c r="V874">
        <v>1</v>
      </c>
      <c r="W874">
        <v>1</v>
      </c>
    </row>
    <row r="875" spans="1:23" ht="34.200000000000003" x14ac:dyDescent="0.3">
      <c r="A875" s="129">
        <v>38967</v>
      </c>
      <c r="B875" s="129">
        <f t="shared" si="30"/>
        <v>38967</v>
      </c>
      <c r="C875" s="6">
        <v>9</v>
      </c>
      <c r="D875" s="6">
        <v>1</v>
      </c>
      <c r="E875" s="103">
        <v>2006</v>
      </c>
      <c r="F875" s="15" t="s">
        <v>22</v>
      </c>
      <c r="G875" s="18" t="s">
        <v>6256</v>
      </c>
      <c r="H875" s="9" t="s">
        <v>46</v>
      </c>
      <c r="I875" s="17" t="s">
        <v>46</v>
      </c>
      <c r="J875" s="110" t="s">
        <v>1541</v>
      </c>
      <c r="K875" s="23">
        <v>1</v>
      </c>
      <c r="L875" s="234">
        <v>1</v>
      </c>
      <c r="M875" s="23">
        <v>0</v>
      </c>
      <c r="N875" s="23">
        <v>0</v>
      </c>
      <c r="O875" s="23">
        <v>0</v>
      </c>
      <c r="P875" s="19">
        <v>0</v>
      </c>
      <c r="Q875" s="23">
        <v>0</v>
      </c>
      <c r="R875" s="93">
        <v>0</v>
      </c>
      <c r="S875" s="7" t="s">
        <v>115</v>
      </c>
      <c r="T875" s="257">
        <f t="shared" si="27"/>
        <v>2</v>
      </c>
      <c r="U875" s="257">
        <f t="shared" si="28"/>
        <v>0</v>
      </c>
      <c r="V875">
        <v>1</v>
      </c>
      <c r="W875">
        <v>0</v>
      </c>
    </row>
    <row r="876" spans="1:23" ht="57" x14ac:dyDescent="0.3">
      <c r="A876" s="129">
        <v>38969</v>
      </c>
      <c r="B876" s="129">
        <f t="shared" si="30"/>
        <v>38969</v>
      </c>
      <c r="C876" s="6">
        <v>9</v>
      </c>
      <c r="D876" s="6">
        <v>1</v>
      </c>
      <c r="E876" s="103">
        <v>2006</v>
      </c>
      <c r="F876" s="15" t="s">
        <v>22</v>
      </c>
      <c r="G876" s="18" t="s">
        <v>6256</v>
      </c>
      <c r="H876" s="9" t="s">
        <v>57</v>
      </c>
      <c r="I876" s="17" t="s">
        <v>678</v>
      </c>
      <c r="J876" s="110" t="s">
        <v>1542</v>
      </c>
      <c r="K876" s="23">
        <v>4</v>
      </c>
      <c r="L876" s="234">
        <v>4</v>
      </c>
      <c r="M876" s="23">
        <v>0</v>
      </c>
      <c r="N876" s="23">
        <v>0</v>
      </c>
      <c r="O876" s="23">
        <v>0</v>
      </c>
      <c r="P876" s="19">
        <v>0</v>
      </c>
      <c r="Q876" s="23">
        <v>0</v>
      </c>
      <c r="R876" s="93">
        <v>0</v>
      </c>
      <c r="S876" s="7" t="s">
        <v>115</v>
      </c>
      <c r="T876" s="257">
        <f t="shared" si="27"/>
        <v>8</v>
      </c>
      <c r="U876" s="257">
        <f t="shared" si="28"/>
        <v>0</v>
      </c>
      <c r="V876">
        <v>1</v>
      </c>
      <c r="W876">
        <v>0</v>
      </c>
    </row>
    <row r="877" spans="1:23" ht="45.6" x14ac:dyDescent="0.3">
      <c r="A877" s="129">
        <v>38970</v>
      </c>
      <c r="B877" s="129">
        <f t="shared" si="30"/>
        <v>38970</v>
      </c>
      <c r="C877" s="6">
        <v>9</v>
      </c>
      <c r="D877" s="6">
        <v>1</v>
      </c>
      <c r="E877" s="103">
        <v>2006</v>
      </c>
      <c r="F877" s="15" t="s">
        <v>22</v>
      </c>
      <c r="G877" s="18" t="s">
        <v>6256</v>
      </c>
      <c r="H877" s="9" t="s">
        <v>41</v>
      </c>
      <c r="I877" s="17" t="s">
        <v>1543</v>
      </c>
      <c r="J877" s="110" t="s">
        <v>1544</v>
      </c>
      <c r="K877" s="23">
        <v>1</v>
      </c>
      <c r="L877" s="234">
        <v>101</v>
      </c>
      <c r="M877" s="23">
        <v>20</v>
      </c>
      <c r="N877" s="23">
        <v>0</v>
      </c>
      <c r="O877" s="23">
        <v>0</v>
      </c>
      <c r="P877" s="19">
        <v>0</v>
      </c>
      <c r="Q877" s="23">
        <v>0</v>
      </c>
      <c r="R877" s="93">
        <v>0.02</v>
      </c>
      <c r="S877" s="7" t="s">
        <v>115</v>
      </c>
      <c r="T877" s="257">
        <f t="shared" si="27"/>
        <v>102</v>
      </c>
      <c r="U877" s="257">
        <f t="shared" si="28"/>
        <v>20</v>
      </c>
      <c r="V877">
        <v>1</v>
      </c>
      <c r="W877">
        <v>1</v>
      </c>
    </row>
    <row r="878" spans="1:23" x14ac:dyDescent="0.3">
      <c r="A878" s="211">
        <v>36800</v>
      </c>
      <c r="B878" s="211">
        <v>36800</v>
      </c>
      <c r="C878" s="6">
        <v>10</v>
      </c>
      <c r="D878" s="6">
        <v>1</v>
      </c>
      <c r="E878" s="6">
        <v>2000</v>
      </c>
      <c r="F878" s="15" t="s">
        <v>22</v>
      </c>
      <c r="G878" s="16" t="s">
        <v>6254</v>
      </c>
      <c r="H878" s="9" t="s">
        <v>48</v>
      </c>
      <c r="I878" s="17" t="s">
        <v>25</v>
      </c>
      <c r="J878" s="11" t="s">
        <v>33</v>
      </c>
      <c r="K878" s="12">
        <v>0</v>
      </c>
      <c r="L878" s="233">
        <v>0</v>
      </c>
      <c r="M878" s="13">
        <v>0</v>
      </c>
      <c r="N878" s="13">
        <v>0</v>
      </c>
      <c r="O878" s="13">
        <v>0</v>
      </c>
      <c r="P878" s="13">
        <v>0</v>
      </c>
      <c r="Q878" s="13">
        <v>0</v>
      </c>
      <c r="R878" s="14">
        <v>10.302</v>
      </c>
      <c r="S878" s="6" t="s">
        <v>21</v>
      </c>
      <c r="T878" s="257">
        <f t="shared" si="27"/>
        <v>0</v>
      </c>
      <c r="U878" s="257">
        <f t="shared" si="28"/>
        <v>0</v>
      </c>
      <c r="V878">
        <v>0</v>
      </c>
      <c r="W878">
        <v>0</v>
      </c>
    </row>
    <row r="879" spans="1:23" ht="22.8" x14ac:dyDescent="0.3">
      <c r="A879" s="129">
        <v>38975</v>
      </c>
      <c r="B879" s="129">
        <f>A879</f>
        <v>38975</v>
      </c>
      <c r="C879" s="6">
        <v>9</v>
      </c>
      <c r="D879" s="6">
        <v>1</v>
      </c>
      <c r="E879" s="103">
        <v>2006</v>
      </c>
      <c r="F879" s="15" t="s">
        <v>22</v>
      </c>
      <c r="G879" s="18" t="s">
        <v>6256</v>
      </c>
      <c r="H879" s="9" t="s">
        <v>46</v>
      </c>
      <c r="I879" s="17" t="s">
        <v>1545</v>
      </c>
      <c r="J879" s="110" t="s">
        <v>1546</v>
      </c>
      <c r="K879" s="23">
        <v>0</v>
      </c>
      <c r="L879" s="234">
        <v>25</v>
      </c>
      <c r="M879" s="23">
        <v>0</v>
      </c>
      <c r="N879" s="23">
        <v>0</v>
      </c>
      <c r="O879" s="23">
        <v>0</v>
      </c>
      <c r="P879" s="19">
        <v>0</v>
      </c>
      <c r="Q879" s="23">
        <v>0</v>
      </c>
      <c r="R879" s="93">
        <v>2.332E-2</v>
      </c>
      <c r="S879" s="7" t="s">
        <v>115</v>
      </c>
      <c r="T879" s="257">
        <f t="shared" si="27"/>
        <v>25</v>
      </c>
      <c r="U879" s="257">
        <f t="shared" si="28"/>
        <v>0</v>
      </c>
      <c r="V879">
        <v>1</v>
      </c>
      <c r="W879">
        <v>0</v>
      </c>
    </row>
    <row r="880" spans="1:23" ht="45.6" x14ac:dyDescent="0.3">
      <c r="A880" s="129">
        <v>38975</v>
      </c>
      <c r="B880" s="129">
        <f>A880</f>
        <v>38975</v>
      </c>
      <c r="C880" s="6">
        <v>9</v>
      </c>
      <c r="D880" s="6">
        <v>1</v>
      </c>
      <c r="E880" s="103">
        <v>2006</v>
      </c>
      <c r="F880" s="15" t="s">
        <v>22</v>
      </c>
      <c r="G880" s="18" t="s">
        <v>6256</v>
      </c>
      <c r="H880" s="9" t="s">
        <v>121</v>
      </c>
      <c r="I880" s="17" t="s">
        <v>1547</v>
      </c>
      <c r="J880" s="110" t="s">
        <v>1548</v>
      </c>
      <c r="K880" s="23">
        <v>0</v>
      </c>
      <c r="L880" s="234">
        <v>17</v>
      </c>
      <c r="M880" s="23">
        <v>2</v>
      </c>
      <c r="N880" s="23">
        <v>0</v>
      </c>
      <c r="O880" s="23">
        <v>0</v>
      </c>
      <c r="P880" s="19">
        <v>0</v>
      </c>
      <c r="Q880" s="23">
        <v>0</v>
      </c>
      <c r="R880" s="93">
        <v>0.340918</v>
      </c>
      <c r="S880" s="7" t="s">
        <v>115</v>
      </c>
      <c r="T880" s="257">
        <f t="shared" si="27"/>
        <v>17</v>
      </c>
      <c r="U880" s="257">
        <f t="shared" si="28"/>
        <v>2</v>
      </c>
      <c r="V880">
        <v>1</v>
      </c>
      <c r="W880">
        <v>1</v>
      </c>
    </row>
    <row r="881" spans="1:23" ht="91.2" x14ac:dyDescent="0.3">
      <c r="A881" s="129">
        <v>38974</v>
      </c>
      <c r="B881" s="129">
        <v>38975</v>
      </c>
      <c r="C881" s="6">
        <v>9</v>
      </c>
      <c r="D881" s="6">
        <v>2</v>
      </c>
      <c r="E881" s="103">
        <v>2006</v>
      </c>
      <c r="F881" s="15" t="s">
        <v>22</v>
      </c>
      <c r="G881" s="18" t="s">
        <v>6256</v>
      </c>
      <c r="H881" s="9" t="s">
        <v>39</v>
      </c>
      <c r="I881" s="10" t="s">
        <v>1549</v>
      </c>
      <c r="J881" s="111" t="s">
        <v>1550</v>
      </c>
      <c r="K881" s="23">
        <v>0</v>
      </c>
      <c r="L881" s="234">
        <v>210</v>
      </c>
      <c r="M881" s="23">
        <v>42</v>
      </c>
      <c r="N881" s="23">
        <v>14</v>
      </c>
      <c r="O881" s="23">
        <v>0</v>
      </c>
      <c r="P881" s="19">
        <v>0</v>
      </c>
      <c r="Q881" s="23">
        <v>1577</v>
      </c>
      <c r="R881" s="93">
        <v>162.47999999999999</v>
      </c>
      <c r="S881" s="7" t="s">
        <v>115</v>
      </c>
      <c r="T881" s="257">
        <f t="shared" si="27"/>
        <v>210</v>
      </c>
      <c r="U881" s="257">
        <f t="shared" si="28"/>
        <v>56</v>
      </c>
      <c r="V881">
        <v>1</v>
      </c>
      <c r="W881">
        <v>1</v>
      </c>
    </row>
    <row r="882" spans="1:23" ht="34.200000000000003" x14ac:dyDescent="0.3">
      <c r="A882" s="129">
        <v>38976</v>
      </c>
      <c r="B882" s="129">
        <f>A882</f>
        <v>38976</v>
      </c>
      <c r="C882" s="6">
        <v>9</v>
      </c>
      <c r="D882" s="6">
        <v>1</v>
      </c>
      <c r="E882" s="103">
        <v>2006</v>
      </c>
      <c r="F882" s="15" t="s">
        <v>22</v>
      </c>
      <c r="G882" s="16" t="s">
        <v>6254</v>
      </c>
      <c r="H882" s="9" t="s">
        <v>56</v>
      </c>
      <c r="I882" s="17" t="s">
        <v>1551</v>
      </c>
      <c r="J882" s="110" t="s">
        <v>1552</v>
      </c>
      <c r="K882" s="23">
        <v>0</v>
      </c>
      <c r="L882" s="234">
        <v>97</v>
      </c>
      <c r="M882" s="23">
        <v>0</v>
      </c>
      <c r="N882" s="23">
        <v>0</v>
      </c>
      <c r="O882" s="23">
        <v>0</v>
      </c>
      <c r="P882" s="19">
        <v>0</v>
      </c>
      <c r="Q882" s="23">
        <v>0</v>
      </c>
      <c r="R882" s="93">
        <v>0</v>
      </c>
      <c r="S882" s="7" t="s">
        <v>115</v>
      </c>
      <c r="T882" s="257">
        <f t="shared" si="27"/>
        <v>97</v>
      </c>
      <c r="U882" s="257">
        <f t="shared" si="28"/>
        <v>0</v>
      </c>
      <c r="V882">
        <v>1</v>
      </c>
      <c r="W882">
        <v>0</v>
      </c>
    </row>
    <row r="883" spans="1:23" ht="68.400000000000006" x14ac:dyDescent="0.3">
      <c r="A883" s="129">
        <v>38976</v>
      </c>
      <c r="B883" s="129">
        <f>A883</f>
        <v>38976</v>
      </c>
      <c r="C883" s="6">
        <v>9</v>
      </c>
      <c r="D883" s="6">
        <v>1</v>
      </c>
      <c r="E883" s="103">
        <v>2006</v>
      </c>
      <c r="F883" s="15" t="s">
        <v>22</v>
      </c>
      <c r="G883" s="16" t="s">
        <v>6254</v>
      </c>
      <c r="H883" s="9" t="s">
        <v>72</v>
      </c>
      <c r="I883" s="17" t="s">
        <v>1553</v>
      </c>
      <c r="J883" s="111" t="s">
        <v>1554</v>
      </c>
      <c r="K883" s="23">
        <v>2</v>
      </c>
      <c r="L883" s="234">
        <v>150000</v>
      </c>
      <c r="M883" s="23">
        <v>3203</v>
      </c>
      <c r="N883" s="23">
        <v>149</v>
      </c>
      <c r="O883" s="23">
        <v>0</v>
      </c>
      <c r="P883" s="19">
        <v>0</v>
      </c>
      <c r="Q883" s="23">
        <v>54176</v>
      </c>
      <c r="R883" s="93">
        <v>1922.84</v>
      </c>
      <c r="S883" s="7" t="s">
        <v>115</v>
      </c>
      <c r="T883" s="257">
        <f t="shared" si="27"/>
        <v>150002</v>
      </c>
      <c r="U883" s="257">
        <f t="shared" si="28"/>
        <v>3352</v>
      </c>
      <c r="V883">
        <v>3</v>
      </c>
      <c r="W883">
        <v>2</v>
      </c>
    </row>
    <row r="884" spans="1:23" ht="79.8" x14ac:dyDescent="0.3">
      <c r="A884" s="129">
        <v>38975</v>
      </c>
      <c r="B884" s="129">
        <v>38976</v>
      </c>
      <c r="C884" s="6">
        <v>9</v>
      </c>
      <c r="D884" s="6">
        <v>2</v>
      </c>
      <c r="E884" s="103">
        <v>2006</v>
      </c>
      <c r="F884" s="15" t="s">
        <v>22</v>
      </c>
      <c r="G884" s="16" t="s">
        <v>6254</v>
      </c>
      <c r="H884" s="9" t="s">
        <v>51</v>
      </c>
      <c r="I884" s="17" t="s">
        <v>1555</v>
      </c>
      <c r="J884" s="110" t="s">
        <v>1556</v>
      </c>
      <c r="K884" s="23">
        <v>0</v>
      </c>
      <c r="L884" s="234">
        <v>4470</v>
      </c>
      <c r="M884" s="23">
        <v>894</v>
      </c>
      <c r="N884" s="23">
        <v>12</v>
      </c>
      <c r="O884" s="23">
        <v>0</v>
      </c>
      <c r="P884" s="19">
        <v>0</v>
      </c>
      <c r="Q884" s="23">
        <v>1834</v>
      </c>
      <c r="R884" s="93">
        <v>134.08000000000001</v>
      </c>
      <c r="S884" s="7" t="s">
        <v>115</v>
      </c>
      <c r="T884" s="257">
        <f t="shared" si="27"/>
        <v>4470</v>
      </c>
      <c r="U884" s="257">
        <f t="shared" si="28"/>
        <v>906</v>
      </c>
      <c r="V884">
        <v>1</v>
      </c>
      <c r="W884">
        <v>1</v>
      </c>
    </row>
    <row r="885" spans="1:23" ht="34.200000000000003" x14ac:dyDescent="0.3">
      <c r="A885" s="129">
        <v>38977</v>
      </c>
      <c r="B885" s="129">
        <f>A885</f>
        <v>38977</v>
      </c>
      <c r="C885" s="6">
        <v>9</v>
      </c>
      <c r="D885" s="6">
        <v>1</v>
      </c>
      <c r="E885" s="103">
        <v>2006</v>
      </c>
      <c r="F885" s="15" t="s">
        <v>22</v>
      </c>
      <c r="G885" s="16" t="s">
        <v>6254</v>
      </c>
      <c r="H885" s="9" t="s">
        <v>41</v>
      </c>
      <c r="I885" s="17" t="s">
        <v>1557</v>
      </c>
      <c r="J885" s="110" t="s">
        <v>1558</v>
      </c>
      <c r="K885" s="23">
        <v>1</v>
      </c>
      <c r="L885" s="234">
        <v>1</v>
      </c>
      <c r="M885" s="23">
        <v>0</v>
      </c>
      <c r="N885" s="23">
        <v>0</v>
      </c>
      <c r="O885" s="23">
        <v>0</v>
      </c>
      <c r="P885" s="19">
        <v>0</v>
      </c>
      <c r="Q885" s="23">
        <v>0</v>
      </c>
      <c r="R885" s="93">
        <v>0</v>
      </c>
      <c r="S885" s="7" t="s">
        <v>115</v>
      </c>
      <c r="T885" s="257">
        <f t="shared" si="27"/>
        <v>2</v>
      </c>
      <c r="U885" s="257">
        <f t="shared" si="28"/>
        <v>0</v>
      </c>
      <c r="V885">
        <v>1</v>
      </c>
      <c r="W885">
        <v>0</v>
      </c>
    </row>
    <row r="886" spans="1:23" ht="34.200000000000003" x14ac:dyDescent="0.3">
      <c r="A886" s="129">
        <v>38977</v>
      </c>
      <c r="B886" s="129">
        <f>A886</f>
        <v>38977</v>
      </c>
      <c r="C886" s="6">
        <v>9</v>
      </c>
      <c r="D886" s="6">
        <v>1</v>
      </c>
      <c r="E886" s="103">
        <v>2006</v>
      </c>
      <c r="F886" s="15" t="s">
        <v>22</v>
      </c>
      <c r="G886" s="18" t="s">
        <v>6256</v>
      </c>
      <c r="H886" s="9" t="s">
        <v>70</v>
      </c>
      <c r="I886" s="17" t="s">
        <v>1559</v>
      </c>
      <c r="J886" s="110" t="s">
        <v>1560</v>
      </c>
      <c r="K886" s="23">
        <v>1</v>
      </c>
      <c r="L886" s="234">
        <v>4</v>
      </c>
      <c r="M886" s="23">
        <v>0</v>
      </c>
      <c r="N886" s="23">
        <v>0</v>
      </c>
      <c r="O886" s="23">
        <v>0</v>
      </c>
      <c r="P886" s="19">
        <v>0</v>
      </c>
      <c r="Q886" s="23">
        <v>0</v>
      </c>
      <c r="R886" s="93">
        <v>0</v>
      </c>
      <c r="S886" s="7" t="s">
        <v>115</v>
      </c>
      <c r="T886" s="257">
        <f t="shared" si="27"/>
        <v>5</v>
      </c>
      <c r="U886" s="257">
        <f t="shared" si="28"/>
        <v>0</v>
      </c>
      <c r="V886">
        <v>1</v>
      </c>
      <c r="W886">
        <v>0</v>
      </c>
    </row>
    <row r="887" spans="1:23" ht="79.8" x14ac:dyDescent="0.3">
      <c r="A887" s="129">
        <v>38978</v>
      </c>
      <c r="B887" s="129">
        <f>A887</f>
        <v>38978</v>
      </c>
      <c r="C887" s="6">
        <v>9</v>
      </c>
      <c r="D887" s="6">
        <v>1</v>
      </c>
      <c r="E887" s="103">
        <v>2006</v>
      </c>
      <c r="F887" s="15" t="s">
        <v>22</v>
      </c>
      <c r="G887" s="18" t="s">
        <v>6256</v>
      </c>
      <c r="H887" s="9" t="s">
        <v>78</v>
      </c>
      <c r="I887" s="17" t="s">
        <v>1561</v>
      </c>
      <c r="J887" s="111" t="s">
        <v>1562</v>
      </c>
      <c r="K887" s="23">
        <v>4</v>
      </c>
      <c r="L887" s="234">
        <v>76572</v>
      </c>
      <c r="M887" s="23">
        <v>2733</v>
      </c>
      <c r="N887" s="23">
        <v>44</v>
      </c>
      <c r="O887" s="23">
        <v>0</v>
      </c>
      <c r="P887" s="19">
        <v>0</v>
      </c>
      <c r="Q887" s="23">
        <v>0</v>
      </c>
      <c r="R887" s="93">
        <v>133.55000000000001</v>
      </c>
      <c r="S887" s="7" t="s">
        <v>115</v>
      </c>
      <c r="T887" s="257">
        <f t="shared" si="27"/>
        <v>76576</v>
      </c>
      <c r="U887" s="257">
        <f t="shared" si="28"/>
        <v>2777</v>
      </c>
      <c r="V887">
        <v>2</v>
      </c>
      <c r="W887">
        <v>2</v>
      </c>
    </row>
    <row r="888" spans="1:23" ht="57" x14ac:dyDescent="0.3">
      <c r="A888" s="129">
        <v>38979</v>
      </c>
      <c r="B888" s="129">
        <f>A888</f>
        <v>38979</v>
      </c>
      <c r="C888" s="6">
        <v>9</v>
      </c>
      <c r="D888" s="6">
        <v>1</v>
      </c>
      <c r="E888" s="103">
        <v>2006</v>
      </c>
      <c r="F888" s="15" t="s">
        <v>22</v>
      </c>
      <c r="G888" s="18" t="s">
        <v>6256</v>
      </c>
      <c r="H888" s="9" t="s">
        <v>41</v>
      </c>
      <c r="I888" s="17" t="s">
        <v>1563</v>
      </c>
      <c r="J888" s="110" t="s">
        <v>1564</v>
      </c>
      <c r="K888" s="23">
        <v>6</v>
      </c>
      <c r="L888" s="234">
        <v>8</v>
      </c>
      <c r="M888" s="23">
        <v>2</v>
      </c>
      <c r="N888" s="23">
        <v>0</v>
      </c>
      <c r="O888" s="23">
        <v>0</v>
      </c>
      <c r="P888" s="19">
        <v>0</v>
      </c>
      <c r="Q888" s="23">
        <v>0</v>
      </c>
      <c r="R888" s="93">
        <v>8.3398E-2</v>
      </c>
      <c r="S888" s="7" t="s">
        <v>115</v>
      </c>
      <c r="T888" s="257">
        <f t="shared" si="27"/>
        <v>14</v>
      </c>
      <c r="U888" s="257">
        <f t="shared" si="28"/>
        <v>2</v>
      </c>
      <c r="V888">
        <v>1</v>
      </c>
      <c r="W888">
        <v>1</v>
      </c>
    </row>
    <row r="889" spans="1:23" ht="34.200000000000003" x14ac:dyDescent="0.3">
      <c r="A889" s="129">
        <v>38982</v>
      </c>
      <c r="B889" s="129">
        <v>38984</v>
      </c>
      <c r="C889" s="6">
        <v>9</v>
      </c>
      <c r="D889" s="6">
        <v>3</v>
      </c>
      <c r="E889" s="103">
        <v>2006</v>
      </c>
      <c r="F889" s="15" t="s">
        <v>22</v>
      </c>
      <c r="G889" s="18" t="s">
        <v>6256</v>
      </c>
      <c r="H889" s="9" t="s">
        <v>46</v>
      </c>
      <c r="I889" s="17" t="s">
        <v>1565</v>
      </c>
      <c r="J889" s="110" t="s">
        <v>1566</v>
      </c>
      <c r="K889" s="23">
        <v>0</v>
      </c>
      <c r="L889" s="234">
        <v>80</v>
      </c>
      <c r="M889" s="23">
        <v>16</v>
      </c>
      <c r="N889" s="23">
        <v>0</v>
      </c>
      <c r="O889" s="23">
        <v>0</v>
      </c>
      <c r="P889" s="19">
        <v>0</v>
      </c>
      <c r="Q889" s="23">
        <v>0</v>
      </c>
      <c r="R889" s="93">
        <v>7.4623999999999996E-2</v>
      </c>
      <c r="S889" s="7" t="s">
        <v>115</v>
      </c>
      <c r="T889" s="257">
        <f t="shared" si="27"/>
        <v>80</v>
      </c>
      <c r="U889" s="257">
        <f t="shared" si="28"/>
        <v>16</v>
      </c>
      <c r="V889">
        <v>1</v>
      </c>
      <c r="W889">
        <v>1</v>
      </c>
    </row>
    <row r="890" spans="1:23" ht="45.6" x14ac:dyDescent="0.3">
      <c r="A890" s="129">
        <v>38984</v>
      </c>
      <c r="B890" s="129">
        <v>38985</v>
      </c>
      <c r="C890" s="6">
        <v>9</v>
      </c>
      <c r="D890" s="6">
        <v>2</v>
      </c>
      <c r="E890" s="103">
        <v>2006</v>
      </c>
      <c r="F890" s="15" t="s">
        <v>22</v>
      </c>
      <c r="G890" s="18" t="s">
        <v>6256</v>
      </c>
      <c r="H890" s="9" t="s">
        <v>174</v>
      </c>
      <c r="I890" s="17" t="s">
        <v>1109</v>
      </c>
      <c r="J890" s="110" t="s">
        <v>1567</v>
      </c>
      <c r="K890" s="23">
        <v>1</v>
      </c>
      <c r="L890" s="234">
        <v>237</v>
      </c>
      <c r="M890" s="23">
        <v>47</v>
      </c>
      <c r="N890" s="23">
        <v>0</v>
      </c>
      <c r="O890" s="23">
        <v>0</v>
      </c>
      <c r="P890" s="19">
        <v>0</v>
      </c>
      <c r="Q890" s="23">
        <v>0</v>
      </c>
      <c r="R890" s="93">
        <v>0.21920799999999999</v>
      </c>
      <c r="S890" s="7" t="s">
        <v>115</v>
      </c>
      <c r="T890" s="257">
        <f t="shared" si="27"/>
        <v>238</v>
      </c>
      <c r="U890" s="257">
        <f t="shared" si="28"/>
        <v>47</v>
      </c>
      <c r="V890">
        <v>1</v>
      </c>
      <c r="W890">
        <v>1</v>
      </c>
    </row>
    <row r="891" spans="1:23" ht="34.200000000000003" x14ac:dyDescent="0.3">
      <c r="A891" s="129">
        <v>38986</v>
      </c>
      <c r="B891" s="129">
        <f t="shared" ref="B891:B898" si="31">A891</f>
        <v>38986</v>
      </c>
      <c r="C891" s="6">
        <v>9</v>
      </c>
      <c r="D891" s="6">
        <v>1</v>
      </c>
      <c r="E891" s="103">
        <v>2006</v>
      </c>
      <c r="F891" s="15" t="s">
        <v>22</v>
      </c>
      <c r="G891" s="18" t="s">
        <v>6256</v>
      </c>
      <c r="H891" s="9" t="s">
        <v>174</v>
      </c>
      <c r="I891" s="17" t="s">
        <v>1109</v>
      </c>
      <c r="J891" s="111" t="s">
        <v>1568</v>
      </c>
      <c r="K891" s="23">
        <v>5</v>
      </c>
      <c r="L891" s="234">
        <v>35520</v>
      </c>
      <c r="M891" s="23">
        <v>7104</v>
      </c>
      <c r="N891" s="23">
        <v>0</v>
      </c>
      <c r="O891" s="23">
        <v>0</v>
      </c>
      <c r="P891" s="19">
        <v>0</v>
      </c>
      <c r="Q891" s="23">
        <v>0</v>
      </c>
      <c r="R891" s="93">
        <v>7.1040000000000001</v>
      </c>
      <c r="S891" s="7" t="s">
        <v>115</v>
      </c>
      <c r="T891" s="257">
        <f t="shared" si="27"/>
        <v>35525</v>
      </c>
      <c r="U891" s="257">
        <f t="shared" si="28"/>
        <v>7104</v>
      </c>
      <c r="V891">
        <v>2</v>
      </c>
      <c r="W891">
        <v>2</v>
      </c>
    </row>
    <row r="892" spans="1:23" ht="22.8" x14ac:dyDescent="0.3">
      <c r="A892" s="129">
        <v>38990</v>
      </c>
      <c r="B892" s="129">
        <f t="shared" si="31"/>
        <v>38990</v>
      </c>
      <c r="C892" s="6">
        <v>9</v>
      </c>
      <c r="D892" s="6">
        <v>1</v>
      </c>
      <c r="E892" s="103">
        <v>2006</v>
      </c>
      <c r="F892" s="15" t="s">
        <v>22</v>
      </c>
      <c r="G892" s="18" t="s">
        <v>6256</v>
      </c>
      <c r="H892" s="9" t="s">
        <v>46</v>
      </c>
      <c r="I892" s="17" t="s">
        <v>1569</v>
      </c>
      <c r="J892" s="110" t="s">
        <v>1570</v>
      </c>
      <c r="K892" s="23">
        <v>0</v>
      </c>
      <c r="L892" s="234">
        <v>25</v>
      </c>
      <c r="M892" s="23">
        <v>5</v>
      </c>
      <c r="N892" s="23">
        <v>0</v>
      </c>
      <c r="O892" s="23">
        <v>0</v>
      </c>
      <c r="P892" s="19">
        <v>0</v>
      </c>
      <c r="Q892" s="23">
        <v>0</v>
      </c>
      <c r="R892" s="93">
        <v>5.0000000000000001E-3</v>
      </c>
      <c r="S892" s="7" t="s">
        <v>115</v>
      </c>
      <c r="T892" s="257">
        <f t="shared" si="27"/>
        <v>25</v>
      </c>
      <c r="U892" s="257">
        <f t="shared" si="28"/>
        <v>5</v>
      </c>
      <c r="V892">
        <v>1</v>
      </c>
      <c r="W892">
        <v>1</v>
      </c>
    </row>
    <row r="893" spans="1:23" ht="34.200000000000003" x14ac:dyDescent="0.3">
      <c r="A893" s="129">
        <v>38993</v>
      </c>
      <c r="B893" s="129">
        <f t="shared" si="31"/>
        <v>38993</v>
      </c>
      <c r="C893" s="6">
        <v>10</v>
      </c>
      <c r="D893" s="6">
        <v>1</v>
      </c>
      <c r="E893" s="103">
        <v>2006</v>
      </c>
      <c r="F893" s="15" t="s">
        <v>22</v>
      </c>
      <c r="G893" s="18" t="s">
        <v>6256</v>
      </c>
      <c r="H893" s="9" t="s">
        <v>118</v>
      </c>
      <c r="I893" s="17" t="s">
        <v>1571</v>
      </c>
      <c r="J893" s="110" t="s">
        <v>1572</v>
      </c>
      <c r="K893" s="23">
        <v>0</v>
      </c>
      <c r="L893" s="234">
        <v>25</v>
      </c>
      <c r="M893" s="23">
        <v>0</v>
      </c>
      <c r="N893" s="23">
        <v>0</v>
      </c>
      <c r="O893" s="23">
        <v>0</v>
      </c>
      <c r="P893" s="19">
        <v>0</v>
      </c>
      <c r="Q893" s="23">
        <v>0</v>
      </c>
      <c r="R893" s="93">
        <v>0</v>
      </c>
      <c r="S893" s="7" t="s">
        <v>115</v>
      </c>
      <c r="T893" s="257">
        <f t="shared" si="27"/>
        <v>25</v>
      </c>
      <c r="U893" s="257">
        <f t="shared" si="28"/>
        <v>0</v>
      </c>
      <c r="V893">
        <v>1</v>
      </c>
      <c r="W893">
        <v>0</v>
      </c>
    </row>
    <row r="894" spans="1:23" ht="57" x14ac:dyDescent="0.3">
      <c r="A894" s="129">
        <v>38995</v>
      </c>
      <c r="B894" s="129">
        <f t="shared" si="31"/>
        <v>38995</v>
      </c>
      <c r="C894" s="6">
        <v>10</v>
      </c>
      <c r="D894" s="6">
        <v>1</v>
      </c>
      <c r="E894" s="103">
        <v>2006</v>
      </c>
      <c r="F894" s="15" t="s">
        <v>22</v>
      </c>
      <c r="G894" s="18" t="s">
        <v>6256</v>
      </c>
      <c r="H894" s="9" t="s">
        <v>31</v>
      </c>
      <c r="I894" s="17" t="s">
        <v>1573</v>
      </c>
      <c r="J894" s="110" t="s">
        <v>1574</v>
      </c>
      <c r="K894" s="23">
        <v>0</v>
      </c>
      <c r="L894" s="234">
        <v>25</v>
      </c>
      <c r="M894" s="23">
        <v>5</v>
      </c>
      <c r="N894" s="23">
        <v>0</v>
      </c>
      <c r="O894" s="23">
        <v>0</v>
      </c>
      <c r="P894" s="19">
        <v>0</v>
      </c>
      <c r="Q894" s="23">
        <v>0</v>
      </c>
      <c r="R894" s="93">
        <v>2.332E-2</v>
      </c>
      <c r="S894" s="7" t="s">
        <v>115</v>
      </c>
      <c r="T894" s="257">
        <f t="shared" si="27"/>
        <v>25</v>
      </c>
      <c r="U894" s="257">
        <f t="shared" si="28"/>
        <v>5</v>
      </c>
      <c r="V894">
        <v>1</v>
      </c>
      <c r="W894">
        <v>1</v>
      </c>
    </row>
    <row r="895" spans="1:23" ht="57" x14ac:dyDescent="0.3">
      <c r="A895" s="129">
        <v>38996</v>
      </c>
      <c r="B895" s="129">
        <f t="shared" si="31"/>
        <v>38996</v>
      </c>
      <c r="C895" s="6">
        <v>10</v>
      </c>
      <c r="D895" s="6">
        <v>1</v>
      </c>
      <c r="E895" s="103">
        <v>2006</v>
      </c>
      <c r="F895" s="15" t="s">
        <v>22</v>
      </c>
      <c r="G895" s="18" t="s">
        <v>6256</v>
      </c>
      <c r="H895" s="17" t="s">
        <v>565</v>
      </c>
      <c r="I895" s="17" t="s">
        <v>1575</v>
      </c>
      <c r="J895" s="111" t="s">
        <v>1576</v>
      </c>
      <c r="K895" s="23">
        <v>0</v>
      </c>
      <c r="L895" s="234">
        <v>7585</v>
      </c>
      <c r="M895" s="23">
        <v>1845</v>
      </c>
      <c r="N895" s="23">
        <v>0</v>
      </c>
      <c r="O895" s="23">
        <v>0</v>
      </c>
      <c r="P895" s="19">
        <v>0</v>
      </c>
      <c r="Q895" s="23">
        <v>0</v>
      </c>
      <c r="R895" s="93">
        <v>1.845</v>
      </c>
      <c r="S895" s="7" t="s">
        <v>115</v>
      </c>
      <c r="T895" s="257">
        <f t="shared" si="27"/>
        <v>7585</v>
      </c>
      <c r="U895" s="257">
        <f t="shared" si="28"/>
        <v>1845</v>
      </c>
      <c r="V895">
        <v>1</v>
      </c>
      <c r="W895">
        <v>2</v>
      </c>
    </row>
    <row r="896" spans="1:23" ht="57" x14ac:dyDescent="0.3">
      <c r="A896" s="129">
        <v>39002</v>
      </c>
      <c r="B896" s="129">
        <f t="shared" si="31"/>
        <v>39002</v>
      </c>
      <c r="C896" s="6">
        <v>10</v>
      </c>
      <c r="D896" s="6">
        <v>1</v>
      </c>
      <c r="E896" s="103">
        <v>2006</v>
      </c>
      <c r="F896" s="15" t="s">
        <v>22</v>
      </c>
      <c r="G896" s="18" t="s">
        <v>6256</v>
      </c>
      <c r="H896" s="9" t="s">
        <v>24</v>
      </c>
      <c r="I896" s="10" t="s">
        <v>1577</v>
      </c>
      <c r="J896" s="111" t="s">
        <v>1578</v>
      </c>
      <c r="K896" s="23">
        <v>0</v>
      </c>
      <c r="L896" s="234">
        <v>662</v>
      </c>
      <c r="M896" s="23">
        <v>158</v>
      </c>
      <c r="N896" s="23">
        <v>0</v>
      </c>
      <c r="O896" s="23">
        <v>0</v>
      </c>
      <c r="P896" s="19">
        <v>0</v>
      </c>
      <c r="Q896" s="23">
        <v>0</v>
      </c>
      <c r="R896" s="93">
        <v>0.73691200000000001</v>
      </c>
      <c r="S896" s="7" t="s">
        <v>115</v>
      </c>
      <c r="T896" s="257">
        <f t="shared" si="27"/>
        <v>662</v>
      </c>
      <c r="U896" s="257">
        <f t="shared" si="28"/>
        <v>158</v>
      </c>
      <c r="V896">
        <v>1</v>
      </c>
      <c r="W896">
        <v>1</v>
      </c>
    </row>
    <row r="897" spans="1:23" ht="45.6" x14ac:dyDescent="0.3">
      <c r="A897" s="129">
        <v>39003</v>
      </c>
      <c r="B897" s="129">
        <f t="shared" si="31"/>
        <v>39003</v>
      </c>
      <c r="C897" s="6">
        <v>10</v>
      </c>
      <c r="D897" s="6">
        <v>1</v>
      </c>
      <c r="E897" s="103">
        <v>2006</v>
      </c>
      <c r="F897" s="15" t="s">
        <v>22</v>
      </c>
      <c r="G897" s="18" t="s">
        <v>6256</v>
      </c>
      <c r="H897" s="9" t="s">
        <v>31</v>
      </c>
      <c r="I897" s="17" t="s">
        <v>1579</v>
      </c>
      <c r="J897" s="111" t="s">
        <v>1580</v>
      </c>
      <c r="K897" s="23">
        <v>9</v>
      </c>
      <c r="L897" s="234">
        <v>12</v>
      </c>
      <c r="M897" s="23">
        <v>0</v>
      </c>
      <c r="N897" s="23">
        <v>0</v>
      </c>
      <c r="O897" s="23">
        <v>0</v>
      </c>
      <c r="P897" s="19">
        <v>0</v>
      </c>
      <c r="Q897" s="23">
        <v>0</v>
      </c>
      <c r="R897" s="93">
        <v>0</v>
      </c>
      <c r="S897" s="7" t="s">
        <v>115</v>
      </c>
      <c r="T897" s="257">
        <f t="shared" si="27"/>
        <v>21</v>
      </c>
      <c r="U897" s="257">
        <f t="shared" si="28"/>
        <v>0</v>
      </c>
      <c r="V897">
        <v>1</v>
      </c>
      <c r="W897">
        <v>0</v>
      </c>
    </row>
    <row r="898" spans="1:23" ht="68.400000000000006" x14ac:dyDescent="0.3">
      <c r="A898" s="129">
        <v>39004</v>
      </c>
      <c r="B898" s="129">
        <f t="shared" si="31"/>
        <v>39004</v>
      </c>
      <c r="C898" s="6">
        <v>10</v>
      </c>
      <c r="D898" s="6">
        <v>1</v>
      </c>
      <c r="E898" s="103">
        <v>2006</v>
      </c>
      <c r="F898" s="15" t="s">
        <v>22</v>
      </c>
      <c r="G898" s="18" t="s">
        <v>6256</v>
      </c>
      <c r="H898" s="9" t="s">
        <v>27</v>
      </c>
      <c r="I898" s="17" t="s">
        <v>671</v>
      </c>
      <c r="J898" s="111" t="s">
        <v>1581</v>
      </c>
      <c r="K898" s="23">
        <v>1</v>
      </c>
      <c r="L898" s="234">
        <v>26</v>
      </c>
      <c r="M898" s="23">
        <v>5</v>
      </c>
      <c r="N898" s="23">
        <v>0</v>
      </c>
      <c r="O898" s="23">
        <v>0</v>
      </c>
      <c r="P898" s="19">
        <v>0</v>
      </c>
      <c r="Q898" s="23">
        <v>0</v>
      </c>
      <c r="R898" s="93">
        <v>2.332E-2</v>
      </c>
      <c r="S898" s="7" t="s">
        <v>115</v>
      </c>
      <c r="T898" s="257">
        <f t="shared" si="27"/>
        <v>27</v>
      </c>
      <c r="U898" s="257">
        <f t="shared" si="28"/>
        <v>5</v>
      </c>
      <c r="V898">
        <v>1</v>
      </c>
      <c r="W898">
        <v>1</v>
      </c>
    </row>
    <row r="899" spans="1:23" ht="34.200000000000003" x14ac:dyDescent="0.3">
      <c r="A899" s="129">
        <v>39003</v>
      </c>
      <c r="B899" s="129">
        <v>39004</v>
      </c>
      <c r="C899" s="6">
        <v>10</v>
      </c>
      <c r="D899" s="6">
        <v>2</v>
      </c>
      <c r="E899" s="103">
        <v>2006</v>
      </c>
      <c r="F899" s="15" t="s">
        <v>22</v>
      </c>
      <c r="G899" s="18" t="s">
        <v>6256</v>
      </c>
      <c r="H899" s="9" t="s">
        <v>174</v>
      </c>
      <c r="I899" s="17" t="s">
        <v>1582</v>
      </c>
      <c r="J899" s="110" t="s">
        <v>1583</v>
      </c>
      <c r="K899" s="23">
        <v>2</v>
      </c>
      <c r="L899" s="234">
        <v>12632</v>
      </c>
      <c r="M899" s="23">
        <v>2526</v>
      </c>
      <c r="N899" s="23">
        <v>0</v>
      </c>
      <c r="O899" s="23">
        <v>0</v>
      </c>
      <c r="P899" s="19">
        <v>0</v>
      </c>
      <c r="Q899" s="23">
        <v>0</v>
      </c>
      <c r="R899" s="93">
        <v>2.5259999999999998</v>
      </c>
      <c r="S899" s="7" t="s">
        <v>115</v>
      </c>
      <c r="T899" s="257">
        <f t="shared" ref="T899:T962" si="32">SUM(K899:L899)</f>
        <v>12634</v>
      </c>
      <c r="U899" s="257">
        <f t="shared" ref="U899:U962" si="33">SUM(M899:P899)</f>
        <v>2526</v>
      </c>
      <c r="V899">
        <v>2</v>
      </c>
      <c r="W899">
        <v>2</v>
      </c>
    </row>
    <row r="900" spans="1:23" ht="22.8" x14ac:dyDescent="0.3">
      <c r="A900" s="129">
        <v>39004</v>
      </c>
      <c r="B900" s="129">
        <v>39006</v>
      </c>
      <c r="C900" s="6">
        <v>10</v>
      </c>
      <c r="D900" s="6">
        <v>3</v>
      </c>
      <c r="E900" s="103">
        <v>2006</v>
      </c>
      <c r="F900" s="15" t="s">
        <v>22</v>
      </c>
      <c r="G900" s="18" t="s">
        <v>6256</v>
      </c>
      <c r="H900" s="9" t="s">
        <v>46</v>
      </c>
      <c r="I900" s="10" t="s">
        <v>1584</v>
      </c>
      <c r="J900" s="110" t="s">
        <v>1585</v>
      </c>
      <c r="K900" s="23">
        <v>0</v>
      </c>
      <c r="L900" s="234">
        <v>30</v>
      </c>
      <c r="M900" s="23">
        <v>6</v>
      </c>
      <c r="N900" s="23">
        <v>0</v>
      </c>
      <c r="O900" s="23">
        <v>0</v>
      </c>
      <c r="P900" s="19">
        <v>0</v>
      </c>
      <c r="Q900" s="23">
        <v>0</v>
      </c>
      <c r="R900" s="93">
        <v>2.7983999999999998E-2</v>
      </c>
      <c r="S900" s="7" t="s">
        <v>115</v>
      </c>
      <c r="T900" s="257">
        <f t="shared" si="32"/>
        <v>30</v>
      </c>
      <c r="U900" s="257">
        <f t="shared" si="33"/>
        <v>6</v>
      </c>
      <c r="V900">
        <v>1</v>
      </c>
      <c r="W900">
        <v>1</v>
      </c>
    </row>
    <row r="901" spans="1:23" ht="34.200000000000003" x14ac:dyDescent="0.3">
      <c r="A901" s="129">
        <v>39005</v>
      </c>
      <c r="B901" s="129">
        <f>A901</f>
        <v>39005</v>
      </c>
      <c r="C901" s="6">
        <v>10</v>
      </c>
      <c r="D901" s="6">
        <v>1</v>
      </c>
      <c r="E901" s="103">
        <v>2006</v>
      </c>
      <c r="F901" s="15" t="s">
        <v>22</v>
      </c>
      <c r="G901" s="18" t="s">
        <v>6256</v>
      </c>
      <c r="H901" s="9" t="s">
        <v>51</v>
      </c>
      <c r="I901" s="17" t="s">
        <v>1586</v>
      </c>
      <c r="J901" s="110" t="s">
        <v>1587</v>
      </c>
      <c r="K901" s="23">
        <v>0</v>
      </c>
      <c r="L901" s="234">
        <v>90</v>
      </c>
      <c r="M901" s="23">
        <v>18</v>
      </c>
      <c r="N901" s="23">
        <v>0</v>
      </c>
      <c r="O901" s="23">
        <v>0</v>
      </c>
      <c r="P901" s="19">
        <v>0</v>
      </c>
      <c r="Q901" s="23">
        <v>0</v>
      </c>
      <c r="R901" s="93">
        <v>1.7999999999999999E-2</v>
      </c>
      <c r="S901" s="7" t="s">
        <v>115</v>
      </c>
      <c r="T901" s="257">
        <f t="shared" si="32"/>
        <v>90</v>
      </c>
      <c r="U901" s="257">
        <f t="shared" si="33"/>
        <v>18</v>
      </c>
      <c r="V901">
        <v>1</v>
      </c>
      <c r="W901">
        <v>1</v>
      </c>
    </row>
    <row r="902" spans="1:23" ht="34.200000000000003" x14ac:dyDescent="0.3">
      <c r="A902" s="129">
        <v>39005</v>
      </c>
      <c r="B902" s="129">
        <f>A902</f>
        <v>39005</v>
      </c>
      <c r="C902" s="6">
        <v>10</v>
      </c>
      <c r="D902" s="6">
        <v>1</v>
      </c>
      <c r="E902" s="103">
        <v>2006</v>
      </c>
      <c r="F902" s="15" t="s">
        <v>22</v>
      </c>
      <c r="G902" s="18" t="s">
        <v>6256</v>
      </c>
      <c r="H902" s="9" t="s">
        <v>88</v>
      </c>
      <c r="I902" s="17" t="s">
        <v>1588</v>
      </c>
      <c r="J902" s="110" t="s">
        <v>1589</v>
      </c>
      <c r="K902" s="23">
        <v>0</v>
      </c>
      <c r="L902" s="234">
        <v>130</v>
      </c>
      <c r="M902" s="23">
        <v>26</v>
      </c>
      <c r="N902" s="23">
        <v>0</v>
      </c>
      <c r="O902" s="23">
        <v>0</v>
      </c>
      <c r="P902" s="19">
        <v>0</v>
      </c>
      <c r="Q902" s="23">
        <v>0</v>
      </c>
      <c r="R902" s="93">
        <v>0.121264</v>
      </c>
      <c r="S902" s="7" t="s">
        <v>115</v>
      </c>
      <c r="T902" s="257">
        <f t="shared" si="32"/>
        <v>130</v>
      </c>
      <c r="U902" s="257">
        <f t="shared" si="33"/>
        <v>26</v>
      </c>
      <c r="V902">
        <v>1</v>
      </c>
      <c r="W902">
        <v>1</v>
      </c>
    </row>
    <row r="903" spans="1:23" ht="34.200000000000003" x14ac:dyDescent="0.3">
      <c r="A903" s="129">
        <v>39012</v>
      </c>
      <c r="B903" s="129">
        <f>A903</f>
        <v>39012</v>
      </c>
      <c r="C903" s="6">
        <v>10</v>
      </c>
      <c r="D903" s="6">
        <v>1</v>
      </c>
      <c r="E903" s="103">
        <v>2006</v>
      </c>
      <c r="F903" s="15" t="s">
        <v>22</v>
      </c>
      <c r="G903" s="18" t="s">
        <v>6256</v>
      </c>
      <c r="H903" s="9" t="s">
        <v>64</v>
      </c>
      <c r="I903" s="17" t="s">
        <v>1590</v>
      </c>
      <c r="J903" s="110" t="s">
        <v>1591</v>
      </c>
      <c r="K903" s="23">
        <v>0</v>
      </c>
      <c r="L903" s="234">
        <v>1090</v>
      </c>
      <c r="M903" s="23">
        <v>218</v>
      </c>
      <c r="N903" s="23">
        <v>0</v>
      </c>
      <c r="O903" s="23">
        <v>0</v>
      </c>
      <c r="P903" s="19">
        <v>0</v>
      </c>
      <c r="Q903" s="23">
        <v>0</v>
      </c>
      <c r="R903" s="93">
        <v>1.1675199999999999</v>
      </c>
      <c r="S903" s="7" t="s">
        <v>115</v>
      </c>
      <c r="T903" s="257">
        <f t="shared" si="32"/>
        <v>1090</v>
      </c>
      <c r="U903" s="257">
        <f t="shared" si="33"/>
        <v>218</v>
      </c>
      <c r="V903">
        <v>1</v>
      </c>
      <c r="W903">
        <v>1</v>
      </c>
    </row>
    <row r="904" spans="1:23" ht="22.8" x14ac:dyDescent="0.3">
      <c r="A904" s="129">
        <v>39013</v>
      </c>
      <c r="B904" s="129">
        <f>A904</f>
        <v>39013</v>
      </c>
      <c r="C904" s="6">
        <v>10</v>
      </c>
      <c r="D904" s="6">
        <v>1</v>
      </c>
      <c r="E904" s="103">
        <v>2006</v>
      </c>
      <c r="F904" s="15" t="s">
        <v>22</v>
      </c>
      <c r="G904" s="18" t="s">
        <v>6256</v>
      </c>
      <c r="H904" s="9" t="s">
        <v>174</v>
      </c>
      <c r="I904" s="17" t="s">
        <v>995</v>
      </c>
      <c r="J904" s="110" t="s">
        <v>1592</v>
      </c>
      <c r="K904" s="23">
        <v>0</v>
      </c>
      <c r="L904" s="234">
        <v>5765</v>
      </c>
      <c r="M904" s="23">
        <v>1153</v>
      </c>
      <c r="N904" s="23">
        <v>2</v>
      </c>
      <c r="O904" s="23">
        <v>0</v>
      </c>
      <c r="P904" s="19">
        <v>0</v>
      </c>
      <c r="Q904" s="23">
        <v>0</v>
      </c>
      <c r="R904" s="93">
        <v>1.153</v>
      </c>
      <c r="S904" s="7" t="s">
        <v>115</v>
      </c>
      <c r="T904" s="257">
        <f t="shared" si="32"/>
        <v>5765</v>
      </c>
      <c r="U904" s="257">
        <f t="shared" si="33"/>
        <v>1155</v>
      </c>
      <c r="V904">
        <v>1</v>
      </c>
      <c r="W904">
        <v>2</v>
      </c>
    </row>
    <row r="905" spans="1:23" ht="180" x14ac:dyDescent="0.3">
      <c r="A905" s="114">
        <v>44823</v>
      </c>
      <c r="B905" s="114">
        <v>44831</v>
      </c>
      <c r="C905" s="6">
        <v>9</v>
      </c>
      <c r="D905" s="6">
        <v>9</v>
      </c>
      <c r="E905" s="115">
        <v>2022</v>
      </c>
      <c r="F905" s="15" t="s">
        <v>22</v>
      </c>
      <c r="G905" s="116" t="s">
        <v>6256</v>
      </c>
      <c r="H905" s="9" t="s">
        <v>48</v>
      </c>
      <c r="I905" s="117" t="s">
        <v>1593</v>
      </c>
      <c r="J905" s="118" t="s">
        <v>1594</v>
      </c>
      <c r="K905" s="117">
        <v>7</v>
      </c>
      <c r="L905" s="245">
        <v>7</v>
      </c>
      <c r="M905" s="119">
        <v>149</v>
      </c>
      <c r="N905" s="119">
        <v>2</v>
      </c>
      <c r="O905" s="119">
        <v>0</v>
      </c>
      <c r="P905" s="119">
        <v>0</v>
      </c>
      <c r="Q905" s="119">
        <v>0</v>
      </c>
      <c r="R905" s="120">
        <v>9.4174541999999999</v>
      </c>
      <c r="S905" s="119" t="s">
        <v>115</v>
      </c>
      <c r="T905" s="257">
        <f t="shared" si="32"/>
        <v>14</v>
      </c>
      <c r="U905" s="257">
        <f t="shared" si="33"/>
        <v>151</v>
      </c>
      <c r="V905">
        <v>1</v>
      </c>
      <c r="W905">
        <v>1</v>
      </c>
    </row>
    <row r="906" spans="1:23" ht="79.8" x14ac:dyDescent="0.3">
      <c r="A906" s="129">
        <v>39014</v>
      </c>
      <c r="B906" s="129">
        <f>A906</f>
        <v>39014</v>
      </c>
      <c r="C906" s="6">
        <v>10</v>
      </c>
      <c r="D906" s="6">
        <v>1</v>
      </c>
      <c r="E906" s="103">
        <v>2006</v>
      </c>
      <c r="F906" s="15" t="s">
        <v>22</v>
      </c>
      <c r="G906" s="16" t="s">
        <v>6254</v>
      </c>
      <c r="H906" s="9" t="s">
        <v>72</v>
      </c>
      <c r="I906" s="17" t="s">
        <v>1595</v>
      </c>
      <c r="J906" s="111" t="s">
        <v>1596</v>
      </c>
      <c r="K906" s="23">
        <v>2</v>
      </c>
      <c r="L906" s="234">
        <v>65540</v>
      </c>
      <c r="M906" s="23">
        <v>613</v>
      </c>
      <c r="N906" s="23">
        <v>13</v>
      </c>
      <c r="O906" s="23">
        <v>0</v>
      </c>
      <c r="P906" s="19">
        <v>0</v>
      </c>
      <c r="Q906" s="23">
        <v>8338</v>
      </c>
      <c r="R906" s="93">
        <v>123.35299999999999</v>
      </c>
      <c r="S906" s="7" t="s">
        <v>115</v>
      </c>
      <c r="T906" s="257">
        <f t="shared" si="32"/>
        <v>65542</v>
      </c>
      <c r="U906" s="257">
        <f t="shared" si="33"/>
        <v>626</v>
      </c>
      <c r="V906">
        <v>2</v>
      </c>
      <c r="W906">
        <v>1</v>
      </c>
    </row>
    <row r="907" spans="1:23" ht="34.200000000000003" x14ac:dyDescent="0.3">
      <c r="A907" s="129">
        <v>39015</v>
      </c>
      <c r="B907" s="129">
        <f>A907</f>
        <v>39015</v>
      </c>
      <c r="C907" s="6">
        <v>10</v>
      </c>
      <c r="D907" s="6">
        <v>1</v>
      </c>
      <c r="E907" s="103">
        <v>2006</v>
      </c>
      <c r="F907" s="15" t="s">
        <v>22</v>
      </c>
      <c r="G907" s="18" t="s">
        <v>6256</v>
      </c>
      <c r="H907" s="9" t="s">
        <v>46</v>
      </c>
      <c r="I907" s="17" t="s">
        <v>1597</v>
      </c>
      <c r="J907" s="110" t="s">
        <v>1598</v>
      </c>
      <c r="K907" s="23">
        <v>0</v>
      </c>
      <c r="L907" s="234">
        <v>35</v>
      </c>
      <c r="M907" s="23">
        <v>7</v>
      </c>
      <c r="N907" s="23">
        <v>0</v>
      </c>
      <c r="O907" s="23">
        <v>0</v>
      </c>
      <c r="P907" s="19">
        <v>0</v>
      </c>
      <c r="Q907" s="23">
        <v>0</v>
      </c>
      <c r="R907" s="93">
        <v>3.2648000000000003E-2</v>
      </c>
      <c r="S907" s="7" t="s">
        <v>115</v>
      </c>
      <c r="T907" s="257">
        <f t="shared" si="32"/>
        <v>35</v>
      </c>
      <c r="U907" s="257">
        <f t="shared" si="33"/>
        <v>7</v>
      </c>
      <c r="V907">
        <v>1</v>
      </c>
      <c r="W907">
        <v>1</v>
      </c>
    </row>
    <row r="908" spans="1:23" ht="57" x14ac:dyDescent="0.3">
      <c r="A908" s="212">
        <v>39090</v>
      </c>
      <c r="B908" s="212">
        <v>39100</v>
      </c>
      <c r="C908" s="6">
        <v>1</v>
      </c>
      <c r="D908" s="6">
        <v>11</v>
      </c>
      <c r="E908" s="6">
        <v>2007</v>
      </c>
      <c r="F908" s="15" t="s">
        <v>22</v>
      </c>
      <c r="G908" s="18" t="s">
        <v>6256</v>
      </c>
      <c r="H908" s="17" t="s">
        <v>565</v>
      </c>
      <c r="I908" s="17" t="s">
        <v>1599</v>
      </c>
      <c r="J908" s="121" t="s">
        <v>1600</v>
      </c>
      <c r="K908" s="13">
        <v>0</v>
      </c>
      <c r="L908" s="233">
        <v>420</v>
      </c>
      <c r="M908" s="13" t="s">
        <v>95</v>
      </c>
      <c r="N908" s="13" t="s">
        <v>95</v>
      </c>
      <c r="O908" s="13">
        <v>0</v>
      </c>
      <c r="P908" s="13">
        <v>0</v>
      </c>
      <c r="Q908" s="60">
        <v>0</v>
      </c>
      <c r="R908" s="61">
        <v>644.28300000000002</v>
      </c>
      <c r="S908" s="6" t="s">
        <v>149</v>
      </c>
      <c r="T908" s="257">
        <f t="shared" si="32"/>
        <v>420</v>
      </c>
      <c r="U908" s="257">
        <f t="shared" si="33"/>
        <v>0</v>
      </c>
      <c r="V908">
        <v>1</v>
      </c>
      <c r="W908">
        <v>0</v>
      </c>
    </row>
    <row r="909" spans="1:23" ht="57" x14ac:dyDescent="0.3">
      <c r="A909" s="212">
        <v>39089</v>
      </c>
      <c r="B909" s="212">
        <v>39092</v>
      </c>
      <c r="C909" s="6">
        <v>1</v>
      </c>
      <c r="D909" s="6">
        <v>4</v>
      </c>
      <c r="E909" s="6">
        <v>2007</v>
      </c>
      <c r="F909" s="15" t="s">
        <v>22</v>
      </c>
      <c r="G909" s="18" t="s">
        <v>6256</v>
      </c>
      <c r="H909" s="9" t="s">
        <v>31</v>
      </c>
      <c r="I909" s="17" t="s">
        <v>1601</v>
      </c>
      <c r="J909" s="121" t="s">
        <v>1602</v>
      </c>
      <c r="K909" s="13">
        <v>0</v>
      </c>
      <c r="L909" s="233">
        <v>94</v>
      </c>
      <c r="M909" s="13">
        <v>43</v>
      </c>
      <c r="N909" s="13">
        <v>0</v>
      </c>
      <c r="O909" s="13">
        <v>0</v>
      </c>
      <c r="P909" s="13">
        <v>0</v>
      </c>
      <c r="Q909" s="60">
        <v>0</v>
      </c>
      <c r="R909" s="61">
        <v>127.627</v>
      </c>
      <c r="S909" s="6" t="s">
        <v>149</v>
      </c>
      <c r="T909" s="257">
        <f t="shared" si="32"/>
        <v>94</v>
      </c>
      <c r="U909" s="257">
        <f t="shared" si="33"/>
        <v>43</v>
      </c>
      <c r="V909">
        <v>1</v>
      </c>
      <c r="W909">
        <v>1</v>
      </c>
    </row>
    <row r="910" spans="1:23" ht="34.200000000000003" x14ac:dyDescent="0.3">
      <c r="A910" s="212">
        <v>39101</v>
      </c>
      <c r="B910" s="212">
        <v>39101</v>
      </c>
      <c r="C910" s="6">
        <v>1</v>
      </c>
      <c r="D910" s="6">
        <v>1</v>
      </c>
      <c r="E910" s="6">
        <v>2007</v>
      </c>
      <c r="F910" s="15" t="s">
        <v>22</v>
      </c>
      <c r="G910" s="18" t="s">
        <v>6256</v>
      </c>
      <c r="H910" s="9" t="s">
        <v>174</v>
      </c>
      <c r="I910" s="17" t="s">
        <v>1369</v>
      </c>
      <c r="J910" s="122" t="s">
        <v>1603</v>
      </c>
      <c r="K910" s="13">
        <v>0</v>
      </c>
      <c r="L910" s="233">
        <v>3415</v>
      </c>
      <c r="M910" s="13">
        <v>171</v>
      </c>
      <c r="N910" s="13">
        <v>0</v>
      </c>
      <c r="O910" s="13">
        <v>0</v>
      </c>
      <c r="P910" s="13">
        <v>0</v>
      </c>
      <c r="Q910" s="60">
        <v>0</v>
      </c>
      <c r="R910" s="61">
        <v>0.34200000000000003</v>
      </c>
      <c r="S910" s="7" t="s">
        <v>115</v>
      </c>
      <c r="T910" s="257">
        <f t="shared" si="32"/>
        <v>3415</v>
      </c>
      <c r="U910" s="257">
        <f t="shared" si="33"/>
        <v>171</v>
      </c>
      <c r="V910">
        <v>1</v>
      </c>
      <c r="W910">
        <v>1</v>
      </c>
    </row>
    <row r="911" spans="1:23" ht="68.400000000000006" x14ac:dyDescent="0.3">
      <c r="A911" s="212">
        <v>39113</v>
      </c>
      <c r="B911" s="212">
        <v>39113</v>
      </c>
      <c r="C911" s="6">
        <v>1</v>
      </c>
      <c r="D911" s="6">
        <v>1</v>
      </c>
      <c r="E911" s="6">
        <v>2007</v>
      </c>
      <c r="F911" s="15" t="s">
        <v>22</v>
      </c>
      <c r="G911" s="18" t="s">
        <v>6256</v>
      </c>
      <c r="H911" s="9" t="s">
        <v>31</v>
      </c>
      <c r="I911" s="17" t="s">
        <v>1604</v>
      </c>
      <c r="J911" s="122" t="s">
        <v>1605</v>
      </c>
      <c r="K911" s="13">
        <v>0</v>
      </c>
      <c r="L911" s="233">
        <v>160</v>
      </c>
      <c r="M911" s="13">
        <v>40</v>
      </c>
      <c r="N911" s="13">
        <v>0</v>
      </c>
      <c r="O911" s="13">
        <v>0</v>
      </c>
      <c r="P911" s="13">
        <v>0</v>
      </c>
      <c r="Q911" s="60">
        <v>0</v>
      </c>
      <c r="R911" s="61">
        <v>0.08</v>
      </c>
      <c r="S911" s="7" t="s">
        <v>115</v>
      </c>
      <c r="T911" s="257">
        <f t="shared" si="32"/>
        <v>160</v>
      </c>
      <c r="U911" s="257">
        <f t="shared" si="33"/>
        <v>40</v>
      </c>
      <c r="V911">
        <v>1</v>
      </c>
      <c r="W911">
        <v>1</v>
      </c>
    </row>
    <row r="912" spans="1:23" ht="34.200000000000003" x14ac:dyDescent="0.3">
      <c r="A912" s="212">
        <v>39118</v>
      </c>
      <c r="B912" s="212">
        <v>39118</v>
      </c>
      <c r="C912" s="6">
        <v>2</v>
      </c>
      <c r="D912" s="6">
        <v>1</v>
      </c>
      <c r="E912" s="6">
        <v>2007</v>
      </c>
      <c r="F912" s="15" t="s">
        <v>22</v>
      </c>
      <c r="G912" s="18" t="s">
        <v>6256</v>
      </c>
      <c r="H912" s="9" t="s">
        <v>69</v>
      </c>
      <c r="I912" s="17" t="s">
        <v>1606</v>
      </c>
      <c r="J912" s="121" t="s">
        <v>1607</v>
      </c>
      <c r="K912" s="13">
        <v>0</v>
      </c>
      <c r="L912" s="233">
        <v>85</v>
      </c>
      <c r="M912" s="13">
        <v>17</v>
      </c>
      <c r="N912" s="13">
        <v>0</v>
      </c>
      <c r="O912" s="13">
        <v>0</v>
      </c>
      <c r="P912" s="13">
        <v>0</v>
      </c>
      <c r="Q912" s="60">
        <v>0</v>
      </c>
      <c r="R912" s="61">
        <v>7.9000000000000001E-2</v>
      </c>
      <c r="S912" s="7" t="s">
        <v>115</v>
      </c>
      <c r="T912" s="257">
        <f t="shared" si="32"/>
        <v>85</v>
      </c>
      <c r="U912" s="257">
        <f t="shared" si="33"/>
        <v>17</v>
      </c>
      <c r="V912">
        <v>1</v>
      </c>
      <c r="W912">
        <v>1</v>
      </c>
    </row>
    <row r="913" spans="1:23" ht="45.6" x14ac:dyDescent="0.3">
      <c r="A913" s="212">
        <v>39132</v>
      </c>
      <c r="B913" s="212">
        <v>39132</v>
      </c>
      <c r="C913" s="6">
        <v>2</v>
      </c>
      <c r="D913" s="6">
        <v>1</v>
      </c>
      <c r="E913" s="6">
        <v>2007</v>
      </c>
      <c r="F913" s="15" t="s">
        <v>22</v>
      </c>
      <c r="G913" s="18" t="s">
        <v>6256</v>
      </c>
      <c r="H913" s="9" t="s">
        <v>27</v>
      </c>
      <c r="I913" s="17" t="s">
        <v>671</v>
      </c>
      <c r="J913" s="122" t="s">
        <v>1608</v>
      </c>
      <c r="K913" s="13">
        <v>0</v>
      </c>
      <c r="L913" s="233">
        <v>32</v>
      </c>
      <c r="M913" s="13">
        <v>5</v>
      </c>
      <c r="N913" s="13">
        <v>0</v>
      </c>
      <c r="O913" s="13">
        <v>0</v>
      </c>
      <c r="P913" s="13">
        <v>0</v>
      </c>
      <c r="Q913" s="60">
        <v>0</v>
      </c>
      <c r="R913" s="61">
        <v>2.3E-2</v>
      </c>
      <c r="S913" s="7" t="s">
        <v>115</v>
      </c>
      <c r="T913" s="257">
        <f t="shared" si="32"/>
        <v>32</v>
      </c>
      <c r="U913" s="257">
        <f t="shared" si="33"/>
        <v>5</v>
      </c>
      <c r="V913">
        <v>1</v>
      </c>
      <c r="W913">
        <v>1</v>
      </c>
    </row>
    <row r="914" spans="1:23" ht="45.6" x14ac:dyDescent="0.3">
      <c r="A914" s="212">
        <v>39153</v>
      </c>
      <c r="B914" s="212">
        <v>39153</v>
      </c>
      <c r="C914" s="6">
        <v>3</v>
      </c>
      <c r="D914" s="6">
        <v>1</v>
      </c>
      <c r="E914" s="6">
        <v>2007</v>
      </c>
      <c r="F914" s="15" t="s">
        <v>22</v>
      </c>
      <c r="G914" s="18" t="s">
        <v>6256</v>
      </c>
      <c r="H914" s="9" t="s">
        <v>78</v>
      </c>
      <c r="I914" s="17" t="s">
        <v>1031</v>
      </c>
      <c r="J914" s="122" t="s">
        <v>1609</v>
      </c>
      <c r="K914" s="13">
        <v>0</v>
      </c>
      <c r="L914" s="233">
        <v>288</v>
      </c>
      <c r="M914" s="13">
        <v>1</v>
      </c>
      <c r="N914" s="13">
        <v>0</v>
      </c>
      <c r="O914" s="13">
        <v>0</v>
      </c>
      <c r="P914" s="13">
        <v>0</v>
      </c>
      <c r="Q914" s="60">
        <v>0</v>
      </c>
      <c r="R914" s="61">
        <v>4.5999999999999999E-3</v>
      </c>
      <c r="S914" s="7" t="s">
        <v>115</v>
      </c>
      <c r="T914" s="257">
        <f t="shared" si="32"/>
        <v>288</v>
      </c>
      <c r="U914" s="257">
        <f t="shared" si="33"/>
        <v>1</v>
      </c>
      <c r="V914">
        <v>1</v>
      </c>
      <c r="W914">
        <v>1</v>
      </c>
    </row>
    <row r="915" spans="1:23" ht="22.8" x14ac:dyDescent="0.3">
      <c r="A915" s="212">
        <v>39154</v>
      </c>
      <c r="B915" s="212">
        <v>39154</v>
      </c>
      <c r="C915" s="6">
        <v>3</v>
      </c>
      <c r="D915" s="6">
        <v>1</v>
      </c>
      <c r="E915" s="6">
        <v>2007</v>
      </c>
      <c r="F915" s="15" t="s">
        <v>22</v>
      </c>
      <c r="G915" s="18" t="s">
        <v>6256</v>
      </c>
      <c r="H915" s="9" t="s">
        <v>78</v>
      </c>
      <c r="I915" s="17" t="s">
        <v>1610</v>
      </c>
      <c r="J915" s="122" t="s">
        <v>1611</v>
      </c>
      <c r="K915" s="13">
        <v>0</v>
      </c>
      <c r="L915" s="233">
        <v>975</v>
      </c>
      <c r="M915" s="13">
        <v>195</v>
      </c>
      <c r="N915" s="13">
        <v>2</v>
      </c>
      <c r="O915" s="13">
        <v>0</v>
      </c>
      <c r="P915" s="13">
        <v>0</v>
      </c>
      <c r="Q915" s="60">
        <v>0</v>
      </c>
      <c r="R915" s="61">
        <v>0.90900000000000003</v>
      </c>
      <c r="S915" s="7" t="s">
        <v>115</v>
      </c>
      <c r="T915" s="257">
        <f t="shared" si="32"/>
        <v>975</v>
      </c>
      <c r="U915" s="257">
        <f t="shared" si="33"/>
        <v>197</v>
      </c>
      <c r="V915">
        <v>1</v>
      </c>
      <c r="W915">
        <v>1</v>
      </c>
    </row>
    <row r="916" spans="1:23" ht="22.8" x14ac:dyDescent="0.3">
      <c r="A916" s="212">
        <v>39173</v>
      </c>
      <c r="B916" s="212">
        <v>39173</v>
      </c>
      <c r="C916" s="6">
        <v>4</v>
      </c>
      <c r="D916" s="6">
        <v>1</v>
      </c>
      <c r="E916" s="6">
        <v>2007</v>
      </c>
      <c r="F916" s="15" t="s">
        <v>22</v>
      </c>
      <c r="G916" s="18" t="s">
        <v>6256</v>
      </c>
      <c r="H916" s="9" t="s">
        <v>66</v>
      </c>
      <c r="I916" s="17" t="s">
        <v>1612</v>
      </c>
      <c r="J916" s="122" t="s">
        <v>1613</v>
      </c>
      <c r="K916" s="13">
        <v>0</v>
      </c>
      <c r="L916" s="233">
        <v>610</v>
      </c>
      <c r="M916" s="13">
        <v>120</v>
      </c>
      <c r="N916" s="13">
        <v>0</v>
      </c>
      <c r="O916" s="13">
        <v>0</v>
      </c>
      <c r="P916" s="13">
        <v>0</v>
      </c>
      <c r="Q916" s="60">
        <v>0</v>
      </c>
      <c r="R916" s="61">
        <v>0.55900000000000005</v>
      </c>
      <c r="S916" s="7" t="s">
        <v>115</v>
      </c>
      <c r="T916" s="257">
        <f t="shared" si="32"/>
        <v>610</v>
      </c>
      <c r="U916" s="257">
        <f t="shared" si="33"/>
        <v>120</v>
      </c>
      <c r="V916">
        <v>1</v>
      </c>
      <c r="W916">
        <v>1</v>
      </c>
    </row>
    <row r="917" spans="1:23" ht="34.200000000000003" x14ac:dyDescent="0.3">
      <c r="A917" s="212">
        <v>39197</v>
      </c>
      <c r="B917" s="212">
        <v>39197</v>
      </c>
      <c r="C917" s="6">
        <v>4</v>
      </c>
      <c r="D917" s="6">
        <v>1</v>
      </c>
      <c r="E917" s="6">
        <v>2007</v>
      </c>
      <c r="F917" s="15" t="s">
        <v>22</v>
      </c>
      <c r="G917" s="18" t="s">
        <v>6256</v>
      </c>
      <c r="H917" s="9" t="s">
        <v>174</v>
      </c>
      <c r="I917" s="17" t="s">
        <v>1614</v>
      </c>
      <c r="J917" s="122" t="s">
        <v>1615</v>
      </c>
      <c r="K917" s="13">
        <v>0</v>
      </c>
      <c r="L917" s="233">
        <v>8125</v>
      </c>
      <c r="M917" s="13">
        <v>1725</v>
      </c>
      <c r="N917" s="13">
        <v>0</v>
      </c>
      <c r="O917" s="13">
        <v>0</v>
      </c>
      <c r="P917" s="13">
        <v>0</v>
      </c>
      <c r="Q917" s="60">
        <v>0</v>
      </c>
      <c r="R917" s="61">
        <v>3.45</v>
      </c>
      <c r="S917" s="7" t="s">
        <v>115</v>
      </c>
      <c r="T917" s="257">
        <f t="shared" si="32"/>
        <v>8125</v>
      </c>
      <c r="U917" s="257">
        <f t="shared" si="33"/>
        <v>1725</v>
      </c>
      <c r="V917">
        <v>1</v>
      </c>
      <c r="W917">
        <v>2</v>
      </c>
    </row>
    <row r="918" spans="1:23" ht="22.8" x14ac:dyDescent="0.3">
      <c r="A918" s="212">
        <v>39204</v>
      </c>
      <c r="B918" s="212">
        <v>39204</v>
      </c>
      <c r="C918" s="6">
        <v>5</v>
      </c>
      <c r="D918" s="6">
        <v>1</v>
      </c>
      <c r="E918" s="6">
        <v>2007</v>
      </c>
      <c r="F918" s="15" t="s">
        <v>22</v>
      </c>
      <c r="G918" s="18" t="s">
        <v>6256</v>
      </c>
      <c r="H918" s="9" t="s">
        <v>31</v>
      </c>
      <c r="I918" s="17" t="s">
        <v>196</v>
      </c>
      <c r="J918" s="122" t="s">
        <v>1616</v>
      </c>
      <c r="K918" s="13">
        <v>0</v>
      </c>
      <c r="L918" s="233">
        <v>25</v>
      </c>
      <c r="M918" s="13">
        <v>5</v>
      </c>
      <c r="N918" s="13">
        <v>0</v>
      </c>
      <c r="O918" s="13">
        <v>0</v>
      </c>
      <c r="P918" s="13">
        <v>0</v>
      </c>
      <c r="Q918" s="60">
        <v>0</v>
      </c>
      <c r="R918" s="61">
        <v>0.57999999999999996</v>
      </c>
      <c r="S918" s="7" t="s">
        <v>115</v>
      </c>
      <c r="T918" s="257">
        <f t="shared" si="32"/>
        <v>25</v>
      </c>
      <c r="U918" s="257">
        <f t="shared" si="33"/>
        <v>5</v>
      </c>
      <c r="V918">
        <v>1</v>
      </c>
      <c r="W918">
        <v>1</v>
      </c>
    </row>
    <row r="919" spans="1:23" ht="45.6" x14ac:dyDescent="0.3">
      <c r="A919" s="212">
        <v>39204</v>
      </c>
      <c r="B919" s="212">
        <v>39204</v>
      </c>
      <c r="C919" s="6">
        <v>5</v>
      </c>
      <c r="D919" s="6">
        <v>1</v>
      </c>
      <c r="E919" s="6">
        <v>2007</v>
      </c>
      <c r="F919" s="15" t="s">
        <v>22</v>
      </c>
      <c r="G919" s="18" t="s">
        <v>6256</v>
      </c>
      <c r="H919" s="9" t="s">
        <v>84</v>
      </c>
      <c r="I919" s="17" t="s">
        <v>1617</v>
      </c>
      <c r="J919" s="122" t="s">
        <v>1618</v>
      </c>
      <c r="K919" s="13">
        <v>0</v>
      </c>
      <c r="L919" s="233">
        <v>110</v>
      </c>
      <c r="M919" s="13">
        <v>22</v>
      </c>
      <c r="N919" s="13">
        <v>0</v>
      </c>
      <c r="O919" s="13">
        <v>0</v>
      </c>
      <c r="P919" s="13">
        <v>0</v>
      </c>
      <c r="Q919" s="60">
        <v>0</v>
      </c>
      <c r="R919" s="61">
        <v>0.10199999999999999</v>
      </c>
      <c r="S919" s="7" t="s">
        <v>115</v>
      </c>
      <c r="T919" s="257">
        <f t="shared" si="32"/>
        <v>110</v>
      </c>
      <c r="U919" s="257">
        <f t="shared" si="33"/>
        <v>22</v>
      </c>
      <c r="V919">
        <v>1</v>
      </c>
      <c r="W919">
        <v>1</v>
      </c>
    </row>
    <row r="920" spans="1:23" ht="34.200000000000003" x14ac:dyDescent="0.3">
      <c r="A920" s="212">
        <v>39207</v>
      </c>
      <c r="B920" s="212">
        <v>39207</v>
      </c>
      <c r="C920" s="6">
        <v>5</v>
      </c>
      <c r="D920" s="6">
        <v>1</v>
      </c>
      <c r="E920" s="6">
        <v>2007</v>
      </c>
      <c r="F920" s="15" t="s">
        <v>22</v>
      </c>
      <c r="G920" s="18" t="s">
        <v>6256</v>
      </c>
      <c r="H920" s="9" t="s">
        <v>61</v>
      </c>
      <c r="I920" s="17" t="s">
        <v>1619</v>
      </c>
      <c r="J920" s="122" t="s">
        <v>1620</v>
      </c>
      <c r="K920" s="13">
        <v>0</v>
      </c>
      <c r="L920" s="233">
        <v>355</v>
      </c>
      <c r="M920" s="13">
        <v>71</v>
      </c>
      <c r="N920" s="13">
        <v>1</v>
      </c>
      <c r="O920" s="13">
        <v>0</v>
      </c>
      <c r="P920" s="13">
        <v>0</v>
      </c>
      <c r="Q920" s="60">
        <v>0</v>
      </c>
      <c r="R920" s="61">
        <v>0.33110000000000001</v>
      </c>
      <c r="S920" s="7" t="s">
        <v>115</v>
      </c>
      <c r="T920" s="257">
        <f t="shared" si="32"/>
        <v>355</v>
      </c>
      <c r="U920" s="257">
        <f t="shared" si="33"/>
        <v>72</v>
      </c>
      <c r="V920">
        <v>1</v>
      </c>
      <c r="W920">
        <v>1</v>
      </c>
    </row>
    <row r="921" spans="1:23" ht="22.8" x14ac:dyDescent="0.3">
      <c r="A921" s="212">
        <v>39207</v>
      </c>
      <c r="B921" s="212">
        <v>39207</v>
      </c>
      <c r="C921" s="6">
        <v>5</v>
      </c>
      <c r="D921" s="6">
        <v>1</v>
      </c>
      <c r="E921" s="6">
        <v>2007</v>
      </c>
      <c r="F921" s="15" t="s">
        <v>22</v>
      </c>
      <c r="G921" s="18" t="s">
        <v>6256</v>
      </c>
      <c r="H921" s="9" t="s">
        <v>174</v>
      </c>
      <c r="I921" s="17" t="s">
        <v>1621</v>
      </c>
      <c r="J921" s="122" t="s">
        <v>1622</v>
      </c>
      <c r="K921" s="13">
        <v>0</v>
      </c>
      <c r="L921" s="233">
        <v>3085</v>
      </c>
      <c r="M921" s="13">
        <v>617</v>
      </c>
      <c r="N921" s="13">
        <v>0</v>
      </c>
      <c r="O921" s="13">
        <v>0</v>
      </c>
      <c r="P921" s="13">
        <v>0</v>
      </c>
      <c r="Q921" s="60">
        <v>0</v>
      </c>
      <c r="R921" s="61">
        <v>2.8769999999999998</v>
      </c>
      <c r="S921" s="7" t="s">
        <v>115</v>
      </c>
      <c r="T921" s="257">
        <f t="shared" si="32"/>
        <v>3085</v>
      </c>
      <c r="U921" s="257">
        <f t="shared" si="33"/>
        <v>617</v>
      </c>
      <c r="V921">
        <v>1</v>
      </c>
      <c r="W921">
        <v>1</v>
      </c>
    </row>
    <row r="922" spans="1:23" ht="22.8" x14ac:dyDescent="0.3">
      <c r="A922" s="212">
        <v>39208</v>
      </c>
      <c r="B922" s="212">
        <v>39208</v>
      </c>
      <c r="C922" s="6">
        <v>5</v>
      </c>
      <c r="D922" s="6">
        <v>1</v>
      </c>
      <c r="E922" s="6">
        <v>2007</v>
      </c>
      <c r="F922" s="15" t="s">
        <v>22</v>
      </c>
      <c r="G922" s="18" t="s">
        <v>6256</v>
      </c>
      <c r="H922" s="9" t="s">
        <v>64</v>
      </c>
      <c r="I922" s="17" t="s">
        <v>1623</v>
      </c>
      <c r="J922" s="122" t="s">
        <v>1624</v>
      </c>
      <c r="K922" s="13">
        <v>0</v>
      </c>
      <c r="L922" s="233">
        <v>750</v>
      </c>
      <c r="M922" s="13">
        <v>150</v>
      </c>
      <c r="N922" s="13">
        <v>0</v>
      </c>
      <c r="O922" s="13">
        <v>0</v>
      </c>
      <c r="P922" s="13">
        <v>0</v>
      </c>
      <c r="Q922" s="60">
        <v>0</v>
      </c>
      <c r="R922" s="61">
        <v>0.69899999999999995</v>
      </c>
      <c r="S922" s="7" t="s">
        <v>115</v>
      </c>
      <c r="T922" s="257">
        <f t="shared" si="32"/>
        <v>750</v>
      </c>
      <c r="U922" s="257">
        <f t="shared" si="33"/>
        <v>150</v>
      </c>
      <c r="V922">
        <v>1</v>
      </c>
      <c r="W922">
        <v>1</v>
      </c>
    </row>
    <row r="923" spans="1:23" ht="34.200000000000003" x14ac:dyDescent="0.3">
      <c r="A923" s="212">
        <v>39210</v>
      </c>
      <c r="B923" s="212">
        <v>39210</v>
      </c>
      <c r="C923" s="6">
        <v>5</v>
      </c>
      <c r="D923" s="6">
        <v>1</v>
      </c>
      <c r="E923" s="6">
        <v>2007</v>
      </c>
      <c r="F923" s="15" t="s">
        <v>22</v>
      </c>
      <c r="G923" s="18" t="s">
        <v>6256</v>
      </c>
      <c r="H923" s="9" t="s">
        <v>37</v>
      </c>
      <c r="I923" s="17" t="s">
        <v>1625</v>
      </c>
      <c r="J923" s="121" t="s">
        <v>1626</v>
      </c>
      <c r="K923" s="13">
        <v>1</v>
      </c>
      <c r="L923" s="233">
        <v>87</v>
      </c>
      <c r="M923" s="13">
        <v>17</v>
      </c>
      <c r="N923" s="13">
        <v>0</v>
      </c>
      <c r="O923" s="13">
        <v>0</v>
      </c>
      <c r="P923" s="13">
        <v>0</v>
      </c>
      <c r="Q923" s="60">
        <v>0</v>
      </c>
      <c r="R923" s="61">
        <v>0.03</v>
      </c>
      <c r="S923" s="7" t="s">
        <v>115</v>
      </c>
      <c r="T923" s="257">
        <f t="shared" si="32"/>
        <v>88</v>
      </c>
      <c r="U923" s="257">
        <f t="shared" si="33"/>
        <v>17</v>
      </c>
      <c r="V923">
        <v>1</v>
      </c>
      <c r="W923">
        <v>1</v>
      </c>
    </row>
    <row r="924" spans="1:23" ht="22.8" x14ac:dyDescent="0.3">
      <c r="A924" s="212">
        <v>39210</v>
      </c>
      <c r="B924" s="212">
        <v>39210</v>
      </c>
      <c r="C924" s="6">
        <v>5</v>
      </c>
      <c r="D924" s="6">
        <v>1</v>
      </c>
      <c r="E924" s="6">
        <v>2007</v>
      </c>
      <c r="F924" s="15" t="s">
        <v>22</v>
      </c>
      <c r="G924" s="18" t="s">
        <v>6256</v>
      </c>
      <c r="H924" s="9" t="s">
        <v>37</v>
      </c>
      <c r="I924" s="17" t="s">
        <v>1627</v>
      </c>
      <c r="J924" s="122" t="s">
        <v>1628</v>
      </c>
      <c r="K924" s="13">
        <v>0</v>
      </c>
      <c r="L924" s="233">
        <v>130</v>
      </c>
      <c r="M924" s="13">
        <v>26</v>
      </c>
      <c r="N924" s="13">
        <v>0</v>
      </c>
      <c r="O924" s="13">
        <v>0</v>
      </c>
      <c r="P924" s="13">
        <v>0</v>
      </c>
      <c r="Q924" s="60">
        <v>0</v>
      </c>
      <c r="R924" s="61">
        <v>0.12</v>
      </c>
      <c r="S924" s="7" t="s">
        <v>115</v>
      </c>
      <c r="T924" s="257">
        <f t="shared" si="32"/>
        <v>130</v>
      </c>
      <c r="U924" s="257">
        <f t="shared" si="33"/>
        <v>26</v>
      </c>
      <c r="V924">
        <v>1</v>
      </c>
      <c r="W924">
        <v>1</v>
      </c>
    </row>
    <row r="925" spans="1:23" ht="22.8" x14ac:dyDescent="0.3">
      <c r="A925" s="212">
        <v>39221</v>
      </c>
      <c r="B925" s="212">
        <v>39221</v>
      </c>
      <c r="C925" s="6">
        <v>5</v>
      </c>
      <c r="D925" s="6">
        <v>1</v>
      </c>
      <c r="E925" s="6">
        <v>2007</v>
      </c>
      <c r="F925" s="15" t="s">
        <v>22</v>
      </c>
      <c r="G925" s="18" t="s">
        <v>6256</v>
      </c>
      <c r="H925" s="9" t="s">
        <v>43</v>
      </c>
      <c r="I925" s="17" t="s">
        <v>305</v>
      </c>
      <c r="J925" s="122" t="s">
        <v>1629</v>
      </c>
      <c r="K925" s="13">
        <v>0</v>
      </c>
      <c r="L925" s="233">
        <v>1000</v>
      </c>
      <c r="M925" s="13">
        <v>200</v>
      </c>
      <c r="N925" s="13">
        <v>0</v>
      </c>
      <c r="O925" s="13">
        <v>0</v>
      </c>
      <c r="P925" s="13">
        <v>0</v>
      </c>
      <c r="Q925" s="60">
        <v>0</v>
      </c>
      <c r="R925" s="61">
        <v>0.4</v>
      </c>
      <c r="S925" s="7" t="s">
        <v>115</v>
      </c>
      <c r="T925" s="257">
        <f t="shared" si="32"/>
        <v>1000</v>
      </c>
      <c r="U925" s="257">
        <f t="shared" si="33"/>
        <v>200</v>
      </c>
      <c r="V925">
        <v>1</v>
      </c>
      <c r="W925">
        <v>1</v>
      </c>
    </row>
    <row r="926" spans="1:23" ht="45.6" x14ac:dyDescent="0.3">
      <c r="A926" s="212">
        <v>39226</v>
      </c>
      <c r="B926" s="212">
        <v>39226</v>
      </c>
      <c r="C926" s="6">
        <v>5</v>
      </c>
      <c r="D926" s="6">
        <v>1</v>
      </c>
      <c r="E926" s="6">
        <v>2007</v>
      </c>
      <c r="F926" s="15" t="s">
        <v>22</v>
      </c>
      <c r="G926" s="18" t="s">
        <v>6256</v>
      </c>
      <c r="H926" s="9" t="s">
        <v>37</v>
      </c>
      <c r="I926" s="17" t="s">
        <v>1630</v>
      </c>
      <c r="J926" s="122" t="s">
        <v>1631</v>
      </c>
      <c r="K926" s="13">
        <v>0</v>
      </c>
      <c r="L926" s="233">
        <v>37</v>
      </c>
      <c r="M926" s="13">
        <v>3</v>
      </c>
      <c r="N926" s="13">
        <v>0</v>
      </c>
      <c r="O926" s="13">
        <v>0</v>
      </c>
      <c r="P926" s="13">
        <v>0</v>
      </c>
      <c r="Q926" s="60">
        <v>0</v>
      </c>
      <c r="R926" s="61">
        <v>1.2999999999999999E-2</v>
      </c>
      <c r="S926" s="7" t="s">
        <v>115</v>
      </c>
      <c r="T926" s="257">
        <f t="shared" si="32"/>
        <v>37</v>
      </c>
      <c r="U926" s="257">
        <f t="shared" si="33"/>
        <v>3</v>
      </c>
      <c r="V926">
        <v>1</v>
      </c>
      <c r="W926">
        <v>1</v>
      </c>
    </row>
    <row r="927" spans="1:23" ht="22.8" x14ac:dyDescent="0.3">
      <c r="A927" s="212">
        <v>39231</v>
      </c>
      <c r="B927" s="212">
        <v>39231</v>
      </c>
      <c r="C927" s="6">
        <v>5</v>
      </c>
      <c r="D927" s="6">
        <v>1</v>
      </c>
      <c r="E927" s="6">
        <v>2007</v>
      </c>
      <c r="F927" s="15" t="s">
        <v>22</v>
      </c>
      <c r="G927" s="18" t="s">
        <v>6256</v>
      </c>
      <c r="H927" s="9" t="s">
        <v>37</v>
      </c>
      <c r="I927" s="17" t="s">
        <v>1632</v>
      </c>
      <c r="J927" s="122" t="s">
        <v>1633</v>
      </c>
      <c r="K927" s="13">
        <v>0</v>
      </c>
      <c r="L927" s="233">
        <v>225</v>
      </c>
      <c r="M927" s="13">
        <v>45</v>
      </c>
      <c r="N927" s="13">
        <v>0</v>
      </c>
      <c r="O927" s="13">
        <v>0</v>
      </c>
      <c r="P927" s="13">
        <v>0</v>
      </c>
      <c r="Q927" s="60">
        <v>0</v>
      </c>
      <c r="R927" s="61">
        <v>0.20899999999999999</v>
      </c>
      <c r="S927" s="7" t="s">
        <v>115</v>
      </c>
      <c r="T927" s="257">
        <f t="shared" si="32"/>
        <v>225</v>
      </c>
      <c r="U927" s="257">
        <f t="shared" si="33"/>
        <v>45</v>
      </c>
      <c r="V927">
        <v>1</v>
      </c>
      <c r="W927">
        <v>1</v>
      </c>
    </row>
    <row r="928" spans="1:23" ht="34.200000000000003" x14ac:dyDescent="0.3">
      <c r="A928" s="212">
        <v>39235</v>
      </c>
      <c r="B928" s="212">
        <v>39235</v>
      </c>
      <c r="C928" s="6">
        <v>6</v>
      </c>
      <c r="D928" s="6">
        <v>1</v>
      </c>
      <c r="E928" s="6">
        <v>2007</v>
      </c>
      <c r="F928" s="15" t="s">
        <v>22</v>
      </c>
      <c r="G928" s="18" t="s">
        <v>6256</v>
      </c>
      <c r="H928" s="9" t="s">
        <v>69</v>
      </c>
      <c r="I928" s="17" t="s">
        <v>1634</v>
      </c>
      <c r="J928" s="122" t="s">
        <v>1635</v>
      </c>
      <c r="K928" s="13">
        <v>0</v>
      </c>
      <c r="L928" s="233">
        <v>300</v>
      </c>
      <c r="M928" s="13">
        <v>60</v>
      </c>
      <c r="N928" s="13">
        <v>0</v>
      </c>
      <c r="O928" s="13">
        <v>0</v>
      </c>
      <c r="P928" s="13">
        <v>0</v>
      </c>
      <c r="Q928" s="60">
        <v>0</v>
      </c>
      <c r="R928" s="61">
        <v>0.27900000000000003</v>
      </c>
      <c r="S928" s="7" t="s">
        <v>115</v>
      </c>
      <c r="T928" s="257">
        <f t="shared" si="32"/>
        <v>300</v>
      </c>
      <c r="U928" s="257">
        <f t="shared" si="33"/>
        <v>60</v>
      </c>
      <c r="V928">
        <v>1</v>
      </c>
      <c r="W928">
        <v>1</v>
      </c>
    </row>
    <row r="929" spans="1:23" ht="79.8" x14ac:dyDescent="0.3">
      <c r="A929" s="212">
        <v>39235</v>
      </c>
      <c r="B929" s="212">
        <v>39235</v>
      </c>
      <c r="C929" s="6">
        <v>6</v>
      </c>
      <c r="D929" s="6">
        <v>1</v>
      </c>
      <c r="E929" s="6">
        <v>2007</v>
      </c>
      <c r="F929" s="15" t="s">
        <v>22</v>
      </c>
      <c r="G929" s="16" t="s">
        <v>6254</v>
      </c>
      <c r="H929" s="9" t="s">
        <v>31</v>
      </c>
      <c r="I929" s="17" t="s">
        <v>1636</v>
      </c>
      <c r="J929" s="122" t="s">
        <v>1637</v>
      </c>
      <c r="K929" s="13">
        <v>0</v>
      </c>
      <c r="L929" s="233">
        <v>3500</v>
      </c>
      <c r="M929" s="13">
        <v>3655</v>
      </c>
      <c r="N929" s="13">
        <v>51</v>
      </c>
      <c r="O929" s="13">
        <v>0</v>
      </c>
      <c r="P929" s="13">
        <v>0</v>
      </c>
      <c r="Q929" s="60">
        <v>12264</v>
      </c>
      <c r="R929" s="61">
        <v>307.60000000000002</v>
      </c>
      <c r="S929" s="6" t="s">
        <v>21</v>
      </c>
      <c r="T929" s="257">
        <f t="shared" si="32"/>
        <v>3500</v>
      </c>
      <c r="U929" s="257">
        <f t="shared" si="33"/>
        <v>3706</v>
      </c>
      <c r="V929">
        <v>1</v>
      </c>
      <c r="W929">
        <v>2</v>
      </c>
    </row>
    <row r="930" spans="1:23" ht="34.200000000000003" x14ac:dyDescent="0.3">
      <c r="A930" s="212">
        <v>39236</v>
      </c>
      <c r="B930" s="212">
        <v>39236</v>
      </c>
      <c r="C930" s="6">
        <v>6</v>
      </c>
      <c r="D930" s="6">
        <v>1</v>
      </c>
      <c r="E930" s="6">
        <v>2007</v>
      </c>
      <c r="F930" s="15" t="s">
        <v>22</v>
      </c>
      <c r="G930" s="18" t="s">
        <v>6256</v>
      </c>
      <c r="H930" s="9" t="s">
        <v>70</v>
      </c>
      <c r="I930" s="17" t="s">
        <v>1638</v>
      </c>
      <c r="J930" s="122" t="s">
        <v>1639</v>
      </c>
      <c r="K930" s="13">
        <v>0</v>
      </c>
      <c r="L930" s="233">
        <v>0</v>
      </c>
      <c r="M930" s="13">
        <v>0</v>
      </c>
      <c r="N930" s="13">
        <v>0</v>
      </c>
      <c r="O930" s="13">
        <v>0</v>
      </c>
      <c r="P930" s="13">
        <v>0</v>
      </c>
      <c r="Q930" s="60">
        <v>0</v>
      </c>
      <c r="R930" s="61">
        <v>0</v>
      </c>
      <c r="S930" s="7" t="s">
        <v>115</v>
      </c>
      <c r="T930" s="257">
        <f t="shared" si="32"/>
        <v>0</v>
      </c>
      <c r="U930" s="257">
        <f t="shared" si="33"/>
        <v>0</v>
      </c>
      <c r="V930">
        <v>0</v>
      </c>
      <c r="W930">
        <v>0</v>
      </c>
    </row>
    <row r="931" spans="1:23" ht="34.200000000000003" x14ac:dyDescent="0.3">
      <c r="A931" s="212">
        <v>39237</v>
      </c>
      <c r="B931" s="212">
        <v>39237</v>
      </c>
      <c r="C931" s="6">
        <v>6</v>
      </c>
      <c r="D931" s="6">
        <v>1</v>
      </c>
      <c r="E931" s="6">
        <v>2007</v>
      </c>
      <c r="F931" s="15" t="s">
        <v>22</v>
      </c>
      <c r="G931" s="18" t="s">
        <v>6256</v>
      </c>
      <c r="H931" s="9" t="s">
        <v>70</v>
      </c>
      <c r="I931" s="17" t="s">
        <v>1640</v>
      </c>
      <c r="J931" s="122" t="s">
        <v>1641</v>
      </c>
      <c r="K931" s="13">
        <v>3</v>
      </c>
      <c r="L931" s="233">
        <v>4</v>
      </c>
      <c r="M931" s="13">
        <v>0</v>
      </c>
      <c r="N931" s="13">
        <v>0</v>
      </c>
      <c r="O931" s="13">
        <v>0</v>
      </c>
      <c r="P931" s="13">
        <v>0</v>
      </c>
      <c r="Q931" s="60">
        <v>0</v>
      </c>
      <c r="R931" s="61">
        <v>0</v>
      </c>
      <c r="S931" s="7" t="s">
        <v>115</v>
      </c>
      <c r="T931" s="257">
        <f t="shared" si="32"/>
        <v>7</v>
      </c>
      <c r="U931" s="257">
        <f t="shared" si="33"/>
        <v>0</v>
      </c>
      <c r="V931">
        <v>1</v>
      </c>
      <c r="W931">
        <v>0</v>
      </c>
    </row>
    <row r="932" spans="1:23" ht="34.200000000000003" x14ac:dyDescent="0.3">
      <c r="A932" s="212">
        <v>39240</v>
      </c>
      <c r="B932" s="212">
        <v>39240</v>
      </c>
      <c r="C932" s="6">
        <v>6</v>
      </c>
      <c r="D932" s="6">
        <v>1</v>
      </c>
      <c r="E932" s="6">
        <v>2007</v>
      </c>
      <c r="F932" s="15" t="s">
        <v>22</v>
      </c>
      <c r="G932" s="18" t="s">
        <v>6256</v>
      </c>
      <c r="H932" s="9" t="s">
        <v>84</v>
      </c>
      <c r="I932" s="17" t="s">
        <v>1642</v>
      </c>
      <c r="J932" s="122" t="s">
        <v>1643</v>
      </c>
      <c r="K932" s="13">
        <v>0</v>
      </c>
      <c r="L932" s="233">
        <v>85</v>
      </c>
      <c r="M932" s="13">
        <v>17</v>
      </c>
      <c r="N932" s="13">
        <v>0</v>
      </c>
      <c r="O932" s="13">
        <v>0</v>
      </c>
      <c r="P932" s="13">
        <v>0</v>
      </c>
      <c r="Q932" s="60">
        <v>0</v>
      </c>
      <c r="R932" s="61">
        <v>3.4000000000000002E-2</v>
      </c>
      <c r="S932" s="7" t="s">
        <v>115</v>
      </c>
      <c r="T932" s="257">
        <f t="shared" si="32"/>
        <v>85</v>
      </c>
      <c r="U932" s="257">
        <f t="shared" si="33"/>
        <v>17</v>
      </c>
      <c r="V932">
        <v>1</v>
      </c>
      <c r="W932">
        <v>1</v>
      </c>
    </row>
    <row r="933" spans="1:23" ht="45.6" x14ac:dyDescent="0.3">
      <c r="A933" s="212">
        <v>39241</v>
      </c>
      <c r="B933" s="212">
        <v>39241</v>
      </c>
      <c r="C933" s="6">
        <v>6</v>
      </c>
      <c r="D933" s="6">
        <v>1</v>
      </c>
      <c r="E933" s="6">
        <v>2007</v>
      </c>
      <c r="F933" s="15" t="s">
        <v>22</v>
      </c>
      <c r="G933" s="18" t="s">
        <v>6256</v>
      </c>
      <c r="H933" s="9" t="s">
        <v>174</v>
      </c>
      <c r="I933" s="17" t="s">
        <v>1644</v>
      </c>
      <c r="J933" s="122" t="s">
        <v>1645</v>
      </c>
      <c r="K933" s="13">
        <v>0</v>
      </c>
      <c r="L933" s="233">
        <v>350</v>
      </c>
      <c r="M933" s="13">
        <v>70</v>
      </c>
      <c r="N933" s="13">
        <v>0</v>
      </c>
      <c r="O933" s="13">
        <v>0</v>
      </c>
      <c r="P933" s="13">
        <v>0</v>
      </c>
      <c r="Q933" s="60">
        <v>0</v>
      </c>
      <c r="R933" s="61">
        <v>0.14000000000000001</v>
      </c>
      <c r="S933" s="7" t="s">
        <v>115</v>
      </c>
      <c r="T933" s="257">
        <f t="shared" si="32"/>
        <v>350</v>
      </c>
      <c r="U933" s="257">
        <f t="shared" si="33"/>
        <v>70</v>
      </c>
      <c r="V933">
        <v>1</v>
      </c>
      <c r="W933">
        <v>1</v>
      </c>
    </row>
    <row r="934" spans="1:23" ht="34.200000000000003" x14ac:dyDescent="0.3">
      <c r="A934" s="212">
        <v>39246</v>
      </c>
      <c r="B934" s="212">
        <v>39246</v>
      </c>
      <c r="C934" s="6">
        <v>6</v>
      </c>
      <c r="D934" s="6">
        <v>1</v>
      </c>
      <c r="E934" s="6">
        <v>2007</v>
      </c>
      <c r="F934" s="15" t="s">
        <v>22</v>
      </c>
      <c r="G934" s="18" t="s">
        <v>6256</v>
      </c>
      <c r="H934" s="9" t="s">
        <v>88</v>
      </c>
      <c r="I934" s="17" t="s">
        <v>674</v>
      </c>
      <c r="J934" s="122" t="s">
        <v>1646</v>
      </c>
      <c r="K934" s="13">
        <v>0</v>
      </c>
      <c r="L934" s="233">
        <v>16</v>
      </c>
      <c r="M934" s="13">
        <v>0</v>
      </c>
      <c r="N934" s="13">
        <v>0</v>
      </c>
      <c r="O934" s="13">
        <v>0</v>
      </c>
      <c r="P934" s="13">
        <v>0</v>
      </c>
      <c r="Q934" s="60">
        <v>0</v>
      </c>
      <c r="R934" s="61">
        <v>0</v>
      </c>
      <c r="S934" s="7" t="s">
        <v>115</v>
      </c>
      <c r="T934" s="257">
        <f t="shared" si="32"/>
        <v>16</v>
      </c>
      <c r="U934" s="257">
        <f t="shared" si="33"/>
        <v>0</v>
      </c>
      <c r="V934">
        <v>1</v>
      </c>
      <c r="W934">
        <v>0</v>
      </c>
    </row>
    <row r="935" spans="1:23" ht="22.8" x14ac:dyDescent="0.3">
      <c r="A935" s="212">
        <v>39249</v>
      </c>
      <c r="B935" s="212">
        <v>39249</v>
      </c>
      <c r="C935" s="6">
        <v>6</v>
      </c>
      <c r="D935" s="6">
        <v>1</v>
      </c>
      <c r="E935" s="6">
        <v>2007</v>
      </c>
      <c r="F935" s="15" t="s">
        <v>22</v>
      </c>
      <c r="G935" s="18" t="s">
        <v>6256</v>
      </c>
      <c r="H935" s="9" t="s">
        <v>64</v>
      </c>
      <c r="I935" s="17" t="s">
        <v>1647</v>
      </c>
      <c r="J935" s="122" t="s">
        <v>1648</v>
      </c>
      <c r="K935" s="13">
        <v>0</v>
      </c>
      <c r="L935" s="233">
        <v>120</v>
      </c>
      <c r="M935" s="13">
        <v>25</v>
      </c>
      <c r="N935" s="13">
        <v>0</v>
      </c>
      <c r="O935" s="13">
        <v>0</v>
      </c>
      <c r="P935" s="13">
        <v>0</v>
      </c>
      <c r="Q935" s="60">
        <v>0</v>
      </c>
      <c r="R935" s="61">
        <v>0.11600000000000001</v>
      </c>
      <c r="S935" s="7" t="s">
        <v>115</v>
      </c>
      <c r="T935" s="257">
        <f t="shared" si="32"/>
        <v>120</v>
      </c>
      <c r="U935" s="257">
        <f t="shared" si="33"/>
        <v>25</v>
      </c>
      <c r="V935">
        <v>1</v>
      </c>
      <c r="W935">
        <v>1</v>
      </c>
    </row>
    <row r="936" spans="1:23" x14ac:dyDescent="0.3">
      <c r="A936" s="219">
        <v>43304</v>
      </c>
      <c r="B936" s="219">
        <v>43307</v>
      </c>
      <c r="C936" s="6">
        <v>7</v>
      </c>
      <c r="D936" s="6">
        <v>4</v>
      </c>
      <c r="E936" s="84">
        <v>2018</v>
      </c>
      <c r="F936" s="15" t="s">
        <v>22</v>
      </c>
      <c r="G936" s="9" t="s">
        <v>6258</v>
      </c>
      <c r="H936" s="9" t="s">
        <v>48</v>
      </c>
      <c r="I936" s="86">
        <v>18</v>
      </c>
      <c r="J936" s="34" t="s">
        <v>1649</v>
      </c>
      <c r="K936" s="87">
        <v>0</v>
      </c>
      <c r="L936" s="241">
        <v>0</v>
      </c>
      <c r="M936" s="87">
        <v>0</v>
      </c>
      <c r="N936" s="87">
        <v>0</v>
      </c>
      <c r="O936" s="87">
        <v>0</v>
      </c>
      <c r="P936" s="87">
        <v>0</v>
      </c>
      <c r="Q936" s="88">
        <v>0</v>
      </c>
      <c r="R936" s="61">
        <v>8.6038784770000003</v>
      </c>
      <c r="S936" s="89" t="s">
        <v>149</v>
      </c>
      <c r="T936" s="257">
        <f t="shared" si="32"/>
        <v>0</v>
      </c>
      <c r="U936" s="257">
        <f t="shared" si="33"/>
        <v>0</v>
      </c>
      <c r="V936">
        <v>0</v>
      </c>
      <c r="W936">
        <v>0</v>
      </c>
    </row>
    <row r="937" spans="1:23" ht="22.8" x14ac:dyDescent="0.3">
      <c r="A937" s="212">
        <v>39252</v>
      </c>
      <c r="B937" s="212">
        <v>39252</v>
      </c>
      <c r="C937" s="6">
        <v>6</v>
      </c>
      <c r="D937" s="6">
        <v>1</v>
      </c>
      <c r="E937" s="6">
        <v>2007</v>
      </c>
      <c r="F937" s="15" t="s">
        <v>22</v>
      </c>
      <c r="G937" s="18" t="s">
        <v>6256</v>
      </c>
      <c r="H937" s="9" t="s">
        <v>46</v>
      </c>
      <c r="I937" s="17" t="s">
        <v>1650</v>
      </c>
      <c r="J937" s="122" t="s">
        <v>1651</v>
      </c>
      <c r="K937" s="13">
        <v>0</v>
      </c>
      <c r="L937" s="233">
        <v>55</v>
      </c>
      <c r="M937" s="13">
        <v>11</v>
      </c>
      <c r="N937" s="13">
        <v>0</v>
      </c>
      <c r="O937" s="13">
        <v>0</v>
      </c>
      <c r="P937" s="13">
        <v>0</v>
      </c>
      <c r="Q937" s="60">
        <v>0</v>
      </c>
      <c r="R937" s="61">
        <v>2.1999999999999999E-2</v>
      </c>
      <c r="S937" s="7" t="s">
        <v>115</v>
      </c>
      <c r="T937" s="257">
        <f t="shared" si="32"/>
        <v>55</v>
      </c>
      <c r="U937" s="257">
        <f t="shared" si="33"/>
        <v>11</v>
      </c>
      <c r="V937">
        <v>1</v>
      </c>
      <c r="W937">
        <v>1</v>
      </c>
    </row>
    <row r="938" spans="1:23" ht="34.200000000000003" x14ac:dyDescent="0.3">
      <c r="A938" s="212">
        <v>39252</v>
      </c>
      <c r="B938" s="212">
        <v>39252</v>
      </c>
      <c r="C938" s="6">
        <v>6</v>
      </c>
      <c r="D938" s="6">
        <v>1</v>
      </c>
      <c r="E938" s="6">
        <v>2007</v>
      </c>
      <c r="F938" s="15" t="s">
        <v>22</v>
      </c>
      <c r="G938" s="18" t="s">
        <v>6256</v>
      </c>
      <c r="H938" s="9" t="s">
        <v>51</v>
      </c>
      <c r="I938" s="17" t="s">
        <v>1652</v>
      </c>
      <c r="J938" s="122" t="s">
        <v>1653</v>
      </c>
      <c r="K938" s="13">
        <v>0</v>
      </c>
      <c r="L938" s="233">
        <v>190</v>
      </c>
      <c r="M938" s="13">
        <v>38</v>
      </c>
      <c r="N938" s="13">
        <v>0</v>
      </c>
      <c r="O938" s="13">
        <v>0</v>
      </c>
      <c r="P938" s="13">
        <v>0</v>
      </c>
      <c r="Q938" s="60">
        <v>0</v>
      </c>
      <c r="R938" s="61">
        <v>0.17699999999999999</v>
      </c>
      <c r="S938" s="7" t="s">
        <v>115</v>
      </c>
      <c r="T938" s="257">
        <f t="shared" si="32"/>
        <v>190</v>
      </c>
      <c r="U938" s="257">
        <f t="shared" si="33"/>
        <v>38</v>
      </c>
      <c r="V938">
        <v>1</v>
      </c>
      <c r="W938">
        <v>1</v>
      </c>
    </row>
    <row r="939" spans="1:23" ht="22.8" x14ac:dyDescent="0.3">
      <c r="A939" s="212">
        <v>39252</v>
      </c>
      <c r="B939" s="212">
        <v>39252</v>
      </c>
      <c r="C939" s="6">
        <v>6</v>
      </c>
      <c r="D939" s="6">
        <v>1</v>
      </c>
      <c r="E939" s="6">
        <v>2007</v>
      </c>
      <c r="F939" s="15" t="s">
        <v>22</v>
      </c>
      <c r="G939" s="18" t="s">
        <v>6256</v>
      </c>
      <c r="H939" s="9" t="s">
        <v>61</v>
      </c>
      <c r="I939" s="17" t="s">
        <v>1654</v>
      </c>
      <c r="J939" s="122" t="s">
        <v>1655</v>
      </c>
      <c r="K939" s="13">
        <v>0</v>
      </c>
      <c r="L939" s="233">
        <v>101</v>
      </c>
      <c r="M939" s="13">
        <v>28</v>
      </c>
      <c r="N939" s="13">
        <v>0</v>
      </c>
      <c r="O939" s="13">
        <v>0</v>
      </c>
      <c r="P939" s="13">
        <v>0</v>
      </c>
      <c r="Q939" s="60">
        <v>0</v>
      </c>
      <c r="R939" s="61">
        <v>5.6000000000000001E-2</v>
      </c>
      <c r="S939" s="7" t="s">
        <v>115</v>
      </c>
      <c r="T939" s="257">
        <f t="shared" si="32"/>
        <v>101</v>
      </c>
      <c r="U939" s="257">
        <f t="shared" si="33"/>
        <v>28</v>
      </c>
      <c r="V939">
        <v>1</v>
      </c>
      <c r="W939">
        <v>1</v>
      </c>
    </row>
    <row r="940" spans="1:23" ht="22.8" x14ac:dyDescent="0.3">
      <c r="A940" s="212">
        <v>39258</v>
      </c>
      <c r="B940" s="212">
        <v>39258</v>
      </c>
      <c r="C940" s="6">
        <v>6</v>
      </c>
      <c r="D940" s="6">
        <v>1</v>
      </c>
      <c r="E940" s="6">
        <v>2007</v>
      </c>
      <c r="F940" s="15" t="s">
        <v>22</v>
      </c>
      <c r="G940" s="18" t="s">
        <v>6256</v>
      </c>
      <c r="H940" s="9" t="s">
        <v>46</v>
      </c>
      <c r="I940" s="17" t="s">
        <v>1656</v>
      </c>
      <c r="J940" s="122" t="s">
        <v>1657</v>
      </c>
      <c r="K940" s="13">
        <v>0</v>
      </c>
      <c r="L940" s="233">
        <v>125</v>
      </c>
      <c r="M940" s="13">
        <v>25</v>
      </c>
      <c r="N940" s="13">
        <v>1</v>
      </c>
      <c r="O940" s="13">
        <v>0</v>
      </c>
      <c r="P940" s="13">
        <v>0</v>
      </c>
      <c r="Q940" s="60">
        <v>0</v>
      </c>
      <c r="R940" s="61">
        <v>0.11600000000000001</v>
      </c>
      <c r="S940" s="7" t="s">
        <v>115</v>
      </c>
      <c r="T940" s="257">
        <f t="shared" si="32"/>
        <v>125</v>
      </c>
      <c r="U940" s="257">
        <f t="shared" si="33"/>
        <v>26</v>
      </c>
      <c r="V940">
        <v>1</v>
      </c>
      <c r="W940">
        <v>1</v>
      </c>
    </row>
    <row r="941" spans="1:23" ht="22.8" x14ac:dyDescent="0.3">
      <c r="A941" s="212">
        <v>39258</v>
      </c>
      <c r="B941" s="212">
        <v>39258</v>
      </c>
      <c r="C941" s="6">
        <v>6</v>
      </c>
      <c r="D941" s="6">
        <v>1</v>
      </c>
      <c r="E941" s="6">
        <v>2007</v>
      </c>
      <c r="F941" s="15" t="s">
        <v>22</v>
      </c>
      <c r="G941" s="18" t="s">
        <v>6256</v>
      </c>
      <c r="H941" s="9" t="s">
        <v>51</v>
      </c>
      <c r="I941" s="17" t="s">
        <v>653</v>
      </c>
      <c r="J941" s="122" t="s">
        <v>1658</v>
      </c>
      <c r="K941" s="13">
        <v>0</v>
      </c>
      <c r="L941" s="233">
        <v>125</v>
      </c>
      <c r="M941" s="13">
        <v>25</v>
      </c>
      <c r="N941" s="13">
        <v>0</v>
      </c>
      <c r="O941" s="13">
        <v>0</v>
      </c>
      <c r="P941" s="13">
        <v>0</v>
      </c>
      <c r="Q941" s="60">
        <v>0</v>
      </c>
      <c r="R941" s="61">
        <v>0.05</v>
      </c>
      <c r="S941" s="7" t="s">
        <v>115</v>
      </c>
      <c r="T941" s="257">
        <f t="shared" si="32"/>
        <v>125</v>
      </c>
      <c r="U941" s="257">
        <f t="shared" si="33"/>
        <v>25</v>
      </c>
      <c r="V941">
        <v>1</v>
      </c>
      <c r="W941">
        <v>1</v>
      </c>
    </row>
    <row r="942" spans="1:23" ht="22.8" x14ac:dyDescent="0.3">
      <c r="A942" s="212">
        <v>39258</v>
      </c>
      <c r="B942" s="212">
        <v>39258</v>
      </c>
      <c r="C942" s="6">
        <v>6</v>
      </c>
      <c r="D942" s="6">
        <v>1</v>
      </c>
      <c r="E942" s="6">
        <v>2007</v>
      </c>
      <c r="F942" s="15" t="s">
        <v>22</v>
      </c>
      <c r="G942" s="18" t="s">
        <v>6256</v>
      </c>
      <c r="H942" s="9" t="s">
        <v>55</v>
      </c>
      <c r="I942" s="17" t="s">
        <v>1659</v>
      </c>
      <c r="J942" s="122" t="s">
        <v>1660</v>
      </c>
      <c r="K942" s="13">
        <v>0</v>
      </c>
      <c r="L942" s="233">
        <v>36</v>
      </c>
      <c r="M942" s="13">
        <v>7</v>
      </c>
      <c r="N942" s="13">
        <v>1</v>
      </c>
      <c r="O942" s="13">
        <v>0</v>
      </c>
      <c r="P942" s="13">
        <v>0</v>
      </c>
      <c r="Q942" s="60">
        <v>0</v>
      </c>
      <c r="R942" s="61">
        <v>3.2000000000000001E-2</v>
      </c>
      <c r="S942" s="7" t="s">
        <v>115</v>
      </c>
      <c r="T942" s="257">
        <f t="shared" si="32"/>
        <v>36</v>
      </c>
      <c r="U942" s="257">
        <f t="shared" si="33"/>
        <v>8</v>
      </c>
      <c r="V942">
        <v>1</v>
      </c>
      <c r="W942">
        <v>1</v>
      </c>
    </row>
    <row r="943" spans="1:23" ht="68.400000000000006" x14ac:dyDescent="0.3">
      <c r="A943" s="212">
        <v>39209</v>
      </c>
      <c r="B943" s="212">
        <v>39228</v>
      </c>
      <c r="C943" s="6">
        <v>5</v>
      </c>
      <c r="D943" s="6">
        <v>20</v>
      </c>
      <c r="E943" s="6">
        <v>2007</v>
      </c>
      <c r="F943" s="15" t="s">
        <v>22</v>
      </c>
      <c r="G943" s="18" t="s">
        <v>6256</v>
      </c>
      <c r="H943" s="9" t="s">
        <v>57</v>
      </c>
      <c r="I943" s="10" t="s">
        <v>1661</v>
      </c>
      <c r="J943" s="121" t="s">
        <v>1662</v>
      </c>
      <c r="K943" s="13">
        <v>0</v>
      </c>
      <c r="L943" s="233">
        <v>0</v>
      </c>
      <c r="M943" s="13">
        <v>64</v>
      </c>
      <c r="N943" s="13">
        <v>0</v>
      </c>
      <c r="O943" s="13">
        <v>9</v>
      </c>
      <c r="P943" s="13">
        <v>0</v>
      </c>
      <c r="Q943" s="60">
        <v>0</v>
      </c>
      <c r="R943" s="61">
        <v>150.54</v>
      </c>
      <c r="S943" s="6" t="s">
        <v>21</v>
      </c>
      <c r="T943" s="257">
        <f t="shared" si="32"/>
        <v>0</v>
      </c>
      <c r="U943" s="257">
        <f t="shared" si="33"/>
        <v>73</v>
      </c>
      <c r="V943">
        <v>0</v>
      </c>
      <c r="W943">
        <v>1</v>
      </c>
    </row>
    <row r="944" spans="1:23" ht="45.6" x14ac:dyDescent="0.3">
      <c r="A944" s="212">
        <v>39264</v>
      </c>
      <c r="B944" s="212">
        <v>39264</v>
      </c>
      <c r="C944" s="6">
        <v>7</v>
      </c>
      <c r="D944" s="6">
        <v>1</v>
      </c>
      <c r="E944" s="6">
        <v>2007</v>
      </c>
      <c r="F944" s="15" t="s">
        <v>22</v>
      </c>
      <c r="G944" s="18" t="s">
        <v>6256</v>
      </c>
      <c r="H944" s="9" t="s">
        <v>64</v>
      </c>
      <c r="I944" s="17" t="s">
        <v>1663</v>
      </c>
      <c r="J944" s="17" t="s">
        <v>1664</v>
      </c>
      <c r="K944" s="13">
        <v>0</v>
      </c>
      <c r="L944" s="233">
        <v>500</v>
      </c>
      <c r="M944" s="13">
        <v>100</v>
      </c>
      <c r="N944" s="13">
        <v>0</v>
      </c>
      <c r="O944" s="13">
        <v>0</v>
      </c>
      <c r="P944" s="13">
        <v>0</v>
      </c>
      <c r="Q944" s="60">
        <v>0</v>
      </c>
      <c r="R944" s="61">
        <v>0.46600000000000003</v>
      </c>
      <c r="S944" s="7" t="s">
        <v>115</v>
      </c>
      <c r="T944" s="257">
        <f t="shared" si="32"/>
        <v>500</v>
      </c>
      <c r="U944" s="257">
        <f t="shared" si="33"/>
        <v>100</v>
      </c>
      <c r="V944">
        <v>1</v>
      </c>
      <c r="W944">
        <v>1</v>
      </c>
    </row>
    <row r="945" spans="1:23" ht="34.200000000000003" x14ac:dyDescent="0.3">
      <c r="A945" s="212">
        <v>39264</v>
      </c>
      <c r="B945" s="212">
        <f>A945</f>
        <v>39264</v>
      </c>
      <c r="C945" s="6">
        <v>7</v>
      </c>
      <c r="D945" s="6">
        <v>1</v>
      </c>
      <c r="E945" s="6">
        <v>2007</v>
      </c>
      <c r="F945" s="15" t="s">
        <v>22</v>
      </c>
      <c r="G945" s="16" t="s">
        <v>6256</v>
      </c>
      <c r="H945" s="9" t="s">
        <v>52</v>
      </c>
      <c r="I945" s="17" t="s">
        <v>1665</v>
      </c>
      <c r="J945" s="17" t="s">
        <v>1666</v>
      </c>
      <c r="K945" s="13">
        <v>0</v>
      </c>
      <c r="L945" s="233">
        <v>653</v>
      </c>
      <c r="M945" s="13">
        <v>0</v>
      </c>
      <c r="N945" s="13">
        <v>0</v>
      </c>
      <c r="O945" s="13">
        <v>0</v>
      </c>
      <c r="P945" s="13">
        <v>0</v>
      </c>
      <c r="Q945" s="60">
        <v>1397.59</v>
      </c>
      <c r="R945" s="61">
        <v>1.1180000000000001</v>
      </c>
      <c r="S945" s="6" t="s">
        <v>1667</v>
      </c>
      <c r="T945" s="257">
        <f t="shared" si="32"/>
        <v>653</v>
      </c>
      <c r="U945" s="257">
        <f t="shared" si="33"/>
        <v>0</v>
      </c>
      <c r="V945">
        <v>1</v>
      </c>
      <c r="W945">
        <v>0</v>
      </c>
    </row>
    <row r="946" spans="1:23" ht="34.200000000000003" x14ac:dyDescent="0.3">
      <c r="A946" s="212">
        <v>39266</v>
      </c>
      <c r="B946" s="212">
        <v>39266</v>
      </c>
      <c r="C946" s="6">
        <v>7</v>
      </c>
      <c r="D946" s="6">
        <v>1</v>
      </c>
      <c r="E946" s="6">
        <v>2007</v>
      </c>
      <c r="F946" s="15" t="s">
        <v>22</v>
      </c>
      <c r="G946" s="18" t="s">
        <v>6256</v>
      </c>
      <c r="H946" s="9" t="s">
        <v>78</v>
      </c>
      <c r="I946" s="17" t="s">
        <v>1668</v>
      </c>
      <c r="J946" s="17" t="s">
        <v>1669</v>
      </c>
      <c r="K946" s="13">
        <v>0</v>
      </c>
      <c r="L946" s="233">
        <v>35</v>
      </c>
      <c r="M946" s="13">
        <v>7</v>
      </c>
      <c r="N946" s="13">
        <v>0</v>
      </c>
      <c r="O946" s="13">
        <v>0</v>
      </c>
      <c r="P946" s="13">
        <v>0</v>
      </c>
      <c r="Q946" s="60">
        <v>0</v>
      </c>
      <c r="R946" s="61">
        <v>3.2000000000000001E-2</v>
      </c>
      <c r="S946" s="7" t="s">
        <v>115</v>
      </c>
      <c r="T946" s="257">
        <f t="shared" si="32"/>
        <v>35</v>
      </c>
      <c r="U946" s="257">
        <f t="shared" si="33"/>
        <v>7</v>
      </c>
      <c r="V946">
        <v>1</v>
      </c>
      <c r="W946">
        <v>1</v>
      </c>
    </row>
    <row r="947" spans="1:23" ht="79.2" x14ac:dyDescent="0.3">
      <c r="A947" s="219">
        <v>40425</v>
      </c>
      <c r="B947" s="219">
        <v>40425</v>
      </c>
      <c r="C947" s="6">
        <v>9</v>
      </c>
      <c r="D947" s="6">
        <v>1</v>
      </c>
      <c r="E947" s="73">
        <v>2010</v>
      </c>
      <c r="F947" s="15" t="s">
        <v>22</v>
      </c>
      <c r="G947" s="18" t="s">
        <v>6256</v>
      </c>
      <c r="H947" s="9" t="s">
        <v>48</v>
      </c>
      <c r="I947" s="74" t="s">
        <v>1670</v>
      </c>
      <c r="J947" s="74" t="s">
        <v>1671</v>
      </c>
      <c r="K947" s="75">
        <v>0</v>
      </c>
      <c r="L947" s="241">
        <v>2191</v>
      </c>
      <c r="M947" s="75">
        <v>434</v>
      </c>
      <c r="N947" s="75">
        <v>0</v>
      </c>
      <c r="O947" s="75">
        <v>0</v>
      </c>
      <c r="P947" s="75">
        <v>31</v>
      </c>
      <c r="Q947" s="75">
        <v>0</v>
      </c>
      <c r="R947" s="61">
        <v>8.1322919999999996</v>
      </c>
      <c r="S947" s="73" t="s">
        <v>115</v>
      </c>
      <c r="T947" s="257">
        <f t="shared" si="32"/>
        <v>2191</v>
      </c>
      <c r="U947" s="257">
        <f t="shared" si="33"/>
        <v>465</v>
      </c>
      <c r="V947">
        <v>1</v>
      </c>
      <c r="W947">
        <v>1</v>
      </c>
    </row>
    <row r="948" spans="1:23" ht="45.6" x14ac:dyDescent="0.3">
      <c r="A948" s="212">
        <v>39273</v>
      </c>
      <c r="B948" s="212">
        <v>39273</v>
      </c>
      <c r="C948" s="6">
        <v>7</v>
      </c>
      <c r="D948" s="6">
        <v>1</v>
      </c>
      <c r="E948" s="6">
        <v>2007</v>
      </c>
      <c r="F948" s="15" t="s">
        <v>22</v>
      </c>
      <c r="G948" s="18" t="s">
        <v>6256</v>
      </c>
      <c r="H948" s="9" t="s">
        <v>39</v>
      </c>
      <c r="I948" s="17" t="s">
        <v>1672</v>
      </c>
      <c r="J948" s="17" t="s">
        <v>1673</v>
      </c>
      <c r="K948" s="13">
        <v>0</v>
      </c>
      <c r="L948" s="233">
        <v>76</v>
      </c>
      <c r="M948" s="13">
        <v>0</v>
      </c>
      <c r="N948" s="13">
        <v>0</v>
      </c>
      <c r="O948" s="13">
        <v>0</v>
      </c>
      <c r="P948" s="13">
        <v>0</v>
      </c>
      <c r="Q948" s="60">
        <v>0</v>
      </c>
      <c r="R948" s="61">
        <v>0</v>
      </c>
      <c r="S948" s="7" t="s">
        <v>115</v>
      </c>
      <c r="T948" s="257">
        <f t="shared" si="32"/>
        <v>76</v>
      </c>
      <c r="U948" s="257">
        <f t="shared" si="33"/>
        <v>0</v>
      </c>
      <c r="V948">
        <v>1</v>
      </c>
      <c r="W948">
        <v>0</v>
      </c>
    </row>
    <row r="949" spans="1:23" ht="45.6" x14ac:dyDescent="0.3">
      <c r="A949" s="212">
        <v>39274</v>
      </c>
      <c r="B949" s="212">
        <v>39274</v>
      </c>
      <c r="C949" s="6">
        <v>7</v>
      </c>
      <c r="D949" s="6">
        <v>1</v>
      </c>
      <c r="E949" s="6">
        <v>2007</v>
      </c>
      <c r="F949" s="15" t="s">
        <v>22</v>
      </c>
      <c r="G949" s="18" t="s">
        <v>6256</v>
      </c>
      <c r="H949" s="9" t="s">
        <v>174</v>
      </c>
      <c r="I949" s="17" t="s">
        <v>1674</v>
      </c>
      <c r="J949" s="17" t="s">
        <v>1675</v>
      </c>
      <c r="K949" s="13">
        <v>2</v>
      </c>
      <c r="L949" s="233">
        <v>982</v>
      </c>
      <c r="M949" s="13">
        <v>196</v>
      </c>
      <c r="N949" s="13">
        <v>0</v>
      </c>
      <c r="O949" s="13">
        <v>0</v>
      </c>
      <c r="P949" s="13">
        <v>0</v>
      </c>
      <c r="Q949" s="60">
        <v>0</v>
      </c>
      <c r="R949" s="61">
        <v>0.39200000000000002</v>
      </c>
      <c r="S949" s="7" t="s">
        <v>115</v>
      </c>
      <c r="T949" s="257">
        <f t="shared" si="32"/>
        <v>984</v>
      </c>
      <c r="U949" s="257">
        <f t="shared" si="33"/>
        <v>196</v>
      </c>
      <c r="V949">
        <v>1</v>
      </c>
      <c r="W949">
        <v>1</v>
      </c>
    </row>
    <row r="950" spans="1:23" ht="114" x14ac:dyDescent="0.3">
      <c r="A950" s="212">
        <v>39278</v>
      </c>
      <c r="B950" s="212">
        <v>39279</v>
      </c>
      <c r="C950" s="6">
        <v>7</v>
      </c>
      <c r="D950" s="6">
        <v>2</v>
      </c>
      <c r="E950" s="6">
        <v>2007</v>
      </c>
      <c r="F950" s="15" t="s">
        <v>22</v>
      </c>
      <c r="G950" s="18" t="s">
        <v>6256</v>
      </c>
      <c r="H950" s="9" t="s">
        <v>61</v>
      </c>
      <c r="I950" s="17" t="s">
        <v>1676</v>
      </c>
      <c r="J950" s="17" t="s">
        <v>1677</v>
      </c>
      <c r="K950" s="13">
        <v>0</v>
      </c>
      <c r="L950" s="233" t="s">
        <v>1678</v>
      </c>
      <c r="M950" s="13">
        <v>0</v>
      </c>
      <c r="N950" s="13">
        <v>0</v>
      </c>
      <c r="O950" s="13">
        <v>0</v>
      </c>
      <c r="P950" s="13">
        <v>0</v>
      </c>
      <c r="Q950" s="60">
        <v>0</v>
      </c>
      <c r="R950" s="61">
        <v>102.86499999999999</v>
      </c>
      <c r="S950" s="6" t="s">
        <v>149</v>
      </c>
      <c r="T950" s="257">
        <f t="shared" si="32"/>
        <v>0</v>
      </c>
      <c r="U950" s="257">
        <f t="shared" si="33"/>
        <v>0</v>
      </c>
      <c r="V950">
        <v>0</v>
      </c>
      <c r="W950">
        <v>0</v>
      </c>
    </row>
    <row r="951" spans="1:23" ht="34.200000000000003" x14ac:dyDescent="0.3">
      <c r="A951" s="212">
        <v>39279</v>
      </c>
      <c r="B951" s="212">
        <v>39279</v>
      </c>
      <c r="C951" s="6">
        <v>7</v>
      </c>
      <c r="D951" s="6">
        <v>1</v>
      </c>
      <c r="E951" s="6">
        <v>2007</v>
      </c>
      <c r="F951" s="15" t="s">
        <v>22</v>
      </c>
      <c r="G951" s="18" t="s">
        <v>6256</v>
      </c>
      <c r="H951" s="9" t="s">
        <v>118</v>
      </c>
      <c r="I951" s="17" t="s">
        <v>1679</v>
      </c>
      <c r="J951" s="17" t="s">
        <v>1680</v>
      </c>
      <c r="K951" s="13">
        <v>0</v>
      </c>
      <c r="L951" s="233">
        <v>70</v>
      </c>
      <c r="M951" s="13">
        <v>20</v>
      </c>
      <c r="N951" s="13">
        <v>0</v>
      </c>
      <c r="O951" s="13">
        <v>0</v>
      </c>
      <c r="P951" s="13">
        <v>0</v>
      </c>
      <c r="Q951" s="60">
        <v>0</v>
      </c>
      <c r="R951" s="61">
        <v>9.2999999999999999E-2</v>
      </c>
      <c r="S951" s="7" t="s">
        <v>115</v>
      </c>
      <c r="T951" s="257">
        <f t="shared" si="32"/>
        <v>70</v>
      </c>
      <c r="U951" s="257">
        <f t="shared" si="33"/>
        <v>20</v>
      </c>
      <c r="V951">
        <v>1</v>
      </c>
      <c r="W951">
        <v>1</v>
      </c>
    </row>
    <row r="952" spans="1:23" ht="45.6" x14ac:dyDescent="0.3">
      <c r="A952" s="212">
        <v>39279</v>
      </c>
      <c r="B952" s="212">
        <v>39279</v>
      </c>
      <c r="C952" s="6">
        <v>7</v>
      </c>
      <c r="D952" s="6">
        <v>1</v>
      </c>
      <c r="E952" s="6">
        <v>2007</v>
      </c>
      <c r="F952" s="15" t="s">
        <v>22</v>
      </c>
      <c r="G952" s="18" t="s">
        <v>6256</v>
      </c>
      <c r="H952" s="17" t="s">
        <v>565</v>
      </c>
      <c r="I952" s="17" t="s">
        <v>1681</v>
      </c>
      <c r="J952" s="17" t="s">
        <v>1682</v>
      </c>
      <c r="K952" s="13">
        <v>0</v>
      </c>
      <c r="L952" s="233">
        <v>155</v>
      </c>
      <c r="M952" s="13">
        <v>31</v>
      </c>
      <c r="N952" s="13">
        <v>0</v>
      </c>
      <c r="O952" s="13">
        <v>0</v>
      </c>
      <c r="P952" s="13">
        <v>0</v>
      </c>
      <c r="Q952" s="60">
        <v>0</v>
      </c>
      <c r="R952" s="61">
        <v>0.14399999999999999</v>
      </c>
      <c r="S952" s="7" t="s">
        <v>115</v>
      </c>
      <c r="T952" s="257">
        <f t="shared" si="32"/>
        <v>155</v>
      </c>
      <c r="U952" s="257">
        <f t="shared" si="33"/>
        <v>31</v>
      </c>
      <c r="V952">
        <v>1</v>
      </c>
      <c r="W952">
        <v>1</v>
      </c>
    </row>
    <row r="953" spans="1:23" ht="68.400000000000006" x14ac:dyDescent="0.3">
      <c r="A953" s="212">
        <v>39281</v>
      </c>
      <c r="B953" s="212">
        <v>39281</v>
      </c>
      <c r="C953" s="6">
        <v>7</v>
      </c>
      <c r="D953" s="6">
        <v>1</v>
      </c>
      <c r="E953" s="6">
        <v>2007</v>
      </c>
      <c r="F953" s="15" t="s">
        <v>22</v>
      </c>
      <c r="G953" s="18" t="s">
        <v>6256</v>
      </c>
      <c r="H953" s="9" t="s">
        <v>78</v>
      </c>
      <c r="I953" s="17" t="s">
        <v>1683</v>
      </c>
      <c r="J953" s="17" t="s">
        <v>1684</v>
      </c>
      <c r="K953" s="13">
        <v>0</v>
      </c>
      <c r="L953" s="233">
        <v>9242</v>
      </c>
      <c r="M953" s="13">
        <v>1844</v>
      </c>
      <c r="N953" s="13">
        <v>0</v>
      </c>
      <c r="O953" s="13">
        <v>0</v>
      </c>
      <c r="P953" s="13">
        <v>0</v>
      </c>
      <c r="Q953" s="60">
        <v>0</v>
      </c>
      <c r="R953" s="61">
        <v>3.6880000000000002</v>
      </c>
      <c r="S953" s="7" t="s">
        <v>115</v>
      </c>
      <c r="T953" s="257">
        <f t="shared" si="32"/>
        <v>9242</v>
      </c>
      <c r="U953" s="257">
        <f t="shared" si="33"/>
        <v>1844</v>
      </c>
      <c r="V953">
        <v>1</v>
      </c>
      <c r="W953">
        <v>2</v>
      </c>
    </row>
    <row r="954" spans="1:23" ht="57" x14ac:dyDescent="0.3">
      <c r="A954" s="212">
        <v>39287</v>
      </c>
      <c r="B954" s="212">
        <v>39287</v>
      </c>
      <c r="C954" s="6">
        <v>7</v>
      </c>
      <c r="D954" s="6">
        <v>1</v>
      </c>
      <c r="E954" s="6">
        <v>2007</v>
      </c>
      <c r="F954" s="15" t="s">
        <v>22</v>
      </c>
      <c r="G954" s="18" t="s">
        <v>6256</v>
      </c>
      <c r="H954" s="9" t="s">
        <v>24</v>
      </c>
      <c r="I954" s="17" t="s">
        <v>668</v>
      </c>
      <c r="J954" s="17" t="s">
        <v>1685</v>
      </c>
      <c r="K954" s="13">
        <v>0</v>
      </c>
      <c r="L954" s="233">
        <v>175</v>
      </c>
      <c r="M954" s="13">
        <v>35</v>
      </c>
      <c r="N954" s="13">
        <v>0</v>
      </c>
      <c r="O954" s="13">
        <v>0</v>
      </c>
      <c r="P954" s="13">
        <v>0</v>
      </c>
      <c r="Q954" s="60">
        <v>0</v>
      </c>
      <c r="R954" s="61">
        <v>0.91</v>
      </c>
      <c r="S954" s="7" t="s">
        <v>115</v>
      </c>
      <c r="T954" s="257">
        <f t="shared" si="32"/>
        <v>175</v>
      </c>
      <c r="U954" s="257">
        <f t="shared" si="33"/>
        <v>35</v>
      </c>
      <c r="V954">
        <v>1</v>
      </c>
      <c r="W954">
        <v>1</v>
      </c>
    </row>
    <row r="955" spans="1:23" ht="34.200000000000003" x14ac:dyDescent="0.3">
      <c r="A955" s="212">
        <v>39291</v>
      </c>
      <c r="B955" s="212">
        <f>A955</f>
        <v>39291</v>
      </c>
      <c r="C955" s="6">
        <v>7</v>
      </c>
      <c r="D955" s="6">
        <v>1</v>
      </c>
      <c r="E955" s="6">
        <v>2007</v>
      </c>
      <c r="F955" s="15" t="s">
        <v>22</v>
      </c>
      <c r="G955" s="18" t="s">
        <v>6256</v>
      </c>
      <c r="H955" s="9" t="s">
        <v>52</v>
      </c>
      <c r="I955" s="17" t="s">
        <v>1686</v>
      </c>
      <c r="J955" s="17" t="s">
        <v>1687</v>
      </c>
      <c r="K955" s="13">
        <v>0</v>
      </c>
      <c r="L955" s="233">
        <v>383</v>
      </c>
      <c r="M955" s="13">
        <v>0</v>
      </c>
      <c r="N955" s="13">
        <v>0</v>
      </c>
      <c r="O955" s="13">
        <v>0</v>
      </c>
      <c r="P955" s="13">
        <v>0</v>
      </c>
      <c r="Q955" s="60">
        <v>1207.8399999999999</v>
      </c>
      <c r="R955" s="61">
        <v>0.96599999999999997</v>
      </c>
      <c r="S955" s="6" t="s">
        <v>1667</v>
      </c>
      <c r="T955" s="257">
        <f t="shared" si="32"/>
        <v>383</v>
      </c>
      <c r="U955" s="257">
        <f t="shared" si="33"/>
        <v>0</v>
      </c>
      <c r="V955">
        <v>1</v>
      </c>
      <c r="W955">
        <v>0</v>
      </c>
    </row>
    <row r="956" spans="1:23" ht="34.200000000000003" x14ac:dyDescent="0.3">
      <c r="A956" s="212">
        <v>39291</v>
      </c>
      <c r="B956" s="212">
        <v>39291</v>
      </c>
      <c r="C956" s="6">
        <v>7</v>
      </c>
      <c r="D956" s="6">
        <v>1</v>
      </c>
      <c r="E956" s="6">
        <v>2007</v>
      </c>
      <c r="F956" s="15" t="s">
        <v>22</v>
      </c>
      <c r="G956" s="18" t="s">
        <v>6256</v>
      </c>
      <c r="H956" s="9" t="s">
        <v>46</v>
      </c>
      <c r="I956" s="17" t="s">
        <v>1688</v>
      </c>
      <c r="J956" s="17" t="s">
        <v>1689</v>
      </c>
      <c r="K956" s="13">
        <v>0</v>
      </c>
      <c r="L956" s="233">
        <v>54</v>
      </c>
      <c r="M956" s="13">
        <v>600</v>
      </c>
      <c r="N956" s="13">
        <v>0</v>
      </c>
      <c r="O956" s="13">
        <v>0</v>
      </c>
      <c r="P956" s="13">
        <v>0</v>
      </c>
      <c r="Q956" s="60">
        <v>0</v>
      </c>
      <c r="R956" s="61">
        <v>2.798</v>
      </c>
      <c r="S956" s="7" t="s">
        <v>115</v>
      </c>
      <c r="T956" s="257">
        <f t="shared" si="32"/>
        <v>54</v>
      </c>
      <c r="U956" s="257">
        <f t="shared" si="33"/>
        <v>600</v>
      </c>
      <c r="V956">
        <v>1</v>
      </c>
      <c r="W956">
        <v>1</v>
      </c>
    </row>
    <row r="957" spans="1:23" ht="45.6" x14ac:dyDescent="0.3">
      <c r="A957" s="212">
        <v>39296</v>
      </c>
      <c r="B957" s="212">
        <v>39296</v>
      </c>
      <c r="C957" s="6">
        <v>8</v>
      </c>
      <c r="D957" s="6">
        <v>1</v>
      </c>
      <c r="E957" s="6">
        <v>2007</v>
      </c>
      <c r="F957" s="15" t="s">
        <v>22</v>
      </c>
      <c r="G957" s="18" t="s">
        <v>6256</v>
      </c>
      <c r="H957" s="9" t="s">
        <v>34</v>
      </c>
      <c r="I957" s="17" t="s">
        <v>1690</v>
      </c>
      <c r="J957" s="10" t="s">
        <v>1691</v>
      </c>
      <c r="K957" s="13">
        <v>4</v>
      </c>
      <c r="L957" s="233">
        <v>240</v>
      </c>
      <c r="M957" s="13">
        <v>0</v>
      </c>
      <c r="N957" s="13">
        <v>0</v>
      </c>
      <c r="O957" s="13">
        <v>0</v>
      </c>
      <c r="P957" s="13">
        <v>0</v>
      </c>
      <c r="Q957" s="60">
        <v>0</v>
      </c>
      <c r="R957" s="61">
        <v>0</v>
      </c>
      <c r="S957" s="7" t="s">
        <v>115</v>
      </c>
      <c r="T957" s="257">
        <f t="shared" si="32"/>
        <v>244</v>
      </c>
      <c r="U957" s="257">
        <f t="shared" si="33"/>
        <v>0</v>
      </c>
      <c r="V957">
        <v>1</v>
      </c>
      <c r="W957">
        <v>0</v>
      </c>
    </row>
    <row r="958" spans="1:23" ht="45.6" x14ac:dyDescent="0.3">
      <c r="A958" s="212">
        <v>39306</v>
      </c>
      <c r="B958" s="212">
        <v>39306</v>
      </c>
      <c r="C958" s="6">
        <v>8</v>
      </c>
      <c r="D958" s="6">
        <v>1</v>
      </c>
      <c r="E958" s="6">
        <v>2007</v>
      </c>
      <c r="F958" s="15" t="s">
        <v>22</v>
      </c>
      <c r="G958" s="18" t="s">
        <v>6256</v>
      </c>
      <c r="H958" s="9" t="s">
        <v>31</v>
      </c>
      <c r="I958" s="17" t="s">
        <v>1060</v>
      </c>
      <c r="J958" s="17" t="s">
        <v>1692</v>
      </c>
      <c r="K958" s="13">
        <v>0</v>
      </c>
      <c r="L958" s="233">
        <v>320</v>
      </c>
      <c r="M958" s="13">
        <v>80</v>
      </c>
      <c r="N958" s="13">
        <v>0</v>
      </c>
      <c r="O958" s="13">
        <v>0</v>
      </c>
      <c r="P958" s="13">
        <v>0</v>
      </c>
      <c r="Q958" s="60">
        <v>0</v>
      </c>
      <c r="R958" s="61">
        <v>0.373</v>
      </c>
      <c r="S958" s="7" t="s">
        <v>115</v>
      </c>
      <c r="T958" s="257">
        <f t="shared" si="32"/>
        <v>320</v>
      </c>
      <c r="U958" s="257">
        <f t="shared" si="33"/>
        <v>80</v>
      </c>
      <c r="V958">
        <v>1</v>
      </c>
      <c r="W958">
        <v>1</v>
      </c>
    </row>
    <row r="959" spans="1:23" ht="45.6" x14ac:dyDescent="0.3">
      <c r="A959" s="212">
        <v>39307</v>
      </c>
      <c r="B959" s="212">
        <v>39307</v>
      </c>
      <c r="C959" s="6">
        <v>8</v>
      </c>
      <c r="D959" s="6">
        <v>1</v>
      </c>
      <c r="E959" s="6">
        <v>2007</v>
      </c>
      <c r="F959" s="15" t="s">
        <v>22</v>
      </c>
      <c r="G959" s="18" t="s">
        <v>6256</v>
      </c>
      <c r="H959" s="17" t="s">
        <v>565</v>
      </c>
      <c r="I959" s="17" t="s">
        <v>1693</v>
      </c>
      <c r="J959" s="10" t="s">
        <v>1694</v>
      </c>
      <c r="K959" s="13">
        <v>0</v>
      </c>
      <c r="L959" s="233">
        <v>150</v>
      </c>
      <c r="M959" s="13">
        <v>30</v>
      </c>
      <c r="N959" s="13">
        <v>0</v>
      </c>
      <c r="O959" s="13">
        <v>1</v>
      </c>
      <c r="P959" s="13">
        <v>0</v>
      </c>
      <c r="Q959" s="60">
        <v>0</v>
      </c>
      <c r="R959" s="61">
        <v>0.13900000000000001</v>
      </c>
      <c r="S959" s="7" t="s">
        <v>115</v>
      </c>
      <c r="T959" s="257">
        <f t="shared" si="32"/>
        <v>150</v>
      </c>
      <c r="U959" s="257">
        <f t="shared" si="33"/>
        <v>31</v>
      </c>
      <c r="V959">
        <v>1</v>
      </c>
      <c r="W959">
        <v>1</v>
      </c>
    </row>
    <row r="960" spans="1:23" ht="22.8" x14ac:dyDescent="0.3">
      <c r="A960" s="212">
        <v>39309</v>
      </c>
      <c r="B960" s="212">
        <v>39309</v>
      </c>
      <c r="C960" s="6">
        <v>8</v>
      </c>
      <c r="D960" s="6">
        <v>1</v>
      </c>
      <c r="E960" s="6">
        <v>2007</v>
      </c>
      <c r="F960" s="15" t="s">
        <v>22</v>
      </c>
      <c r="G960" s="18" t="s">
        <v>6256</v>
      </c>
      <c r="H960" s="9" t="s">
        <v>31</v>
      </c>
      <c r="I960" s="17" t="s">
        <v>456</v>
      </c>
      <c r="J960" s="17" t="s">
        <v>1695</v>
      </c>
      <c r="K960" s="13">
        <v>0</v>
      </c>
      <c r="L960" s="233">
        <v>75</v>
      </c>
      <c r="M960" s="13">
        <v>15</v>
      </c>
      <c r="N960" s="13">
        <v>0</v>
      </c>
      <c r="O960" s="13">
        <v>0</v>
      </c>
      <c r="P960" s="13">
        <v>0</v>
      </c>
      <c r="Q960" s="60">
        <v>0</v>
      </c>
      <c r="R960" s="61">
        <v>0.03</v>
      </c>
      <c r="S960" s="7" t="s">
        <v>115</v>
      </c>
      <c r="T960" s="257">
        <f t="shared" si="32"/>
        <v>75</v>
      </c>
      <c r="U960" s="257">
        <f t="shared" si="33"/>
        <v>15</v>
      </c>
      <c r="V960">
        <v>1</v>
      </c>
      <c r="W960">
        <v>1</v>
      </c>
    </row>
    <row r="961" spans="1:23" ht="45.6" x14ac:dyDescent="0.3">
      <c r="A961" s="212">
        <v>39314</v>
      </c>
      <c r="B961" s="212">
        <v>39315</v>
      </c>
      <c r="C961" s="6">
        <v>8</v>
      </c>
      <c r="D961" s="6">
        <v>2</v>
      </c>
      <c r="E961" s="6">
        <v>2007</v>
      </c>
      <c r="F961" s="15" t="s">
        <v>22</v>
      </c>
      <c r="G961" s="16" t="s">
        <v>6254</v>
      </c>
      <c r="H961" s="9" t="s">
        <v>69</v>
      </c>
      <c r="I961" s="10" t="s">
        <v>1696</v>
      </c>
      <c r="J961" s="17" t="s">
        <v>1697</v>
      </c>
      <c r="K961" s="13">
        <v>0</v>
      </c>
      <c r="L961" s="233">
        <v>97820</v>
      </c>
      <c r="M961" s="13">
        <v>19564</v>
      </c>
      <c r="N961" s="13">
        <v>292</v>
      </c>
      <c r="O961" s="13">
        <v>58</v>
      </c>
      <c r="P961" s="13">
        <v>0</v>
      </c>
      <c r="Q961" s="60">
        <v>55363</v>
      </c>
      <c r="R961" s="61">
        <v>2337.5</v>
      </c>
      <c r="S961" s="6" t="s">
        <v>21</v>
      </c>
      <c r="T961" s="257">
        <f t="shared" si="32"/>
        <v>97820</v>
      </c>
      <c r="U961" s="257">
        <f t="shared" si="33"/>
        <v>19914</v>
      </c>
      <c r="V961">
        <v>2</v>
      </c>
      <c r="W961">
        <v>3</v>
      </c>
    </row>
    <row r="962" spans="1:23" ht="34.200000000000003" x14ac:dyDescent="0.3">
      <c r="A962" s="212">
        <v>39315</v>
      </c>
      <c r="B962" s="212">
        <f t="shared" ref="B962:B969" si="34">A962</f>
        <v>39315</v>
      </c>
      <c r="C962" s="6">
        <v>8</v>
      </c>
      <c r="D962" s="6">
        <v>1</v>
      </c>
      <c r="E962" s="6">
        <v>2007</v>
      </c>
      <c r="F962" s="15" t="s">
        <v>22</v>
      </c>
      <c r="G962" s="16" t="s">
        <v>6254</v>
      </c>
      <c r="H962" s="9" t="s">
        <v>124</v>
      </c>
      <c r="I962" s="17" t="s">
        <v>1109</v>
      </c>
      <c r="J962" s="17" t="s">
        <v>1698</v>
      </c>
      <c r="K962" s="13">
        <v>0</v>
      </c>
      <c r="L962" s="233">
        <v>0</v>
      </c>
      <c r="M962" s="13">
        <v>0</v>
      </c>
      <c r="N962" s="13">
        <v>0</v>
      </c>
      <c r="O962" s="13">
        <v>0</v>
      </c>
      <c r="P962" s="13">
        <v>0</v>
      </c>
      <c r="Q962" s="60">
        <v>5104.13</v>
      </c>
      <c r="R962" s="61">
        <v>141.82900000000001</v>
      </c>
      <c r="S962" s="6" t="s">
        <v>1699</v>
      </c>
      <c r="T962" s="257">
        <f t="shared" si="32"/>
        <v>0</v>
      </c>
      <c r="U962" s="257">
        <f t="shared" si="33"/>
        <v>0</v>
      </c>
      <c r="V962">
        <v>0</v>
      </c>
      <c r="W962">
        <v>0</v>
      </c>
    </row>
    <row r="963" spans="1:23" ht="45.6" x14ac:dyDescent="0.3">
      <c r="A963" s="212">
        <v>39316</v>
      </c>
      <c r="B963" s="212">
        <f t="shared" si="34"/>
        <v>39316</v>
      </c>
      <c r="C963" s="6">
        <v>8</v>
      </c>
      <c r="D963" s="6">
        <v>1</v>
      </c>
      <c r="E963" s="6">
        <v>2007</v>
      </c>
      <c r="F963" s="15" t="s">
        <v>22</v>
      </c>
      <c r="G963" s="16" t="s">
        <v>6254</v>
      </c>
      <c r="H963" s="9" t="s">
        <v>174</v>
      </c>
      <c r="I963" s="17" t="s">
        <v>1109</v>
      </c>
      <c r="J963" s="17" t="s">
        <v>1700</v>
      </c>
      <c r="K963" s="13">
        <v>0</v>
      </c>
      <c r="L963" s="233">
        <v>34730</v>
      </c>
      <c r="M963" s="13">
        <v>6946</v>
      </c>
      <c r="N963" s="13">
        <v>59</v>
      </c>
      <c r="O963" s="13">
        <v>71</v>
      </c>
      <c r="P963" s="13">
        <v>0</v>
      </c>
      <c r="Q963" s="60">
        <v>201686</v>
      </c>
      <c r="R963" s="61">
        <v>3036.239</v>
      </c>
      <c r="S963" s="6" t="s">
        <v>21</v>
      </c>
      <c r="T963" s="257">
        <f t="shared" ref="T963:T1026" si="35">SUM(K963:L963)</f>
        <v>34730</v>
      </c>
      <c r="U963" s="257">
        <f t="shared" ref="U963:U1026" si="36">SUM(M963:P963)</f>
        <v>7076</v>
      </c>
      <c r="V963">
        <v>2</v>
      </c>
      <c r="W963">
        <v>2</v>
      </c>
    </row>
    <row r="964" spans="1:23" ht="45.6" x14ac:dyDescent="0.3">
      <c r="A964" s="212">
        <v>39316</v>
      </c>
      <c r="B964" s="212">
        <f t="shared" si="34"/>
        <v>39316</v>
      </c>
      <c r="C964" s="6">
        <v>8</v>
      </c>
      <c r="D964" s="6">
        <v>1</v>
      </c>
      <c r="E964" s="6">
        <v>2007</v>
      </c>
      <c r="F964" s="15" t="s">
        <v>22</v>
      </c>
      <c r="G964" s="16" t="s">
        <v>6254</v>
      </c>
      <c r="H964" s="9" t="s">
        <v>121</v>
      </c>
      <c r="I964" s="17" t="s">
        <v>1109</v>
      </c>
      <c r="J964" s="17" t="s">
        <v>1701</v>
      </c>
      <c r="K964" s="13">
        <v>3</v>
      </c>
      <c r="L964" s="233">
        <v>14509</v>
      </c>
      <c r="M964" s="13">
        <v>762</v>
      </c>
      <c r="N964" s="13">
        <v>218</v>
      </c>
      <c r="O964" s="13">
        <v>52</v>
      </c>
      <c r="P964" s="13">
        <v>0</v>
      </c>
      <c r="Q964" s="60">
        <v>37069.800000000003</v>
      </c>
      <c r="R964" s="61">
        <v>2369.69</v>
      </c>
      <c r="S964" s="6" t="s">
        <v>21</v>
      </c>
      <c r="T964" s="257">
        <f t="shared" si="35"/>
        <v>14512</v>
      </c>
      <c r="U964" s="257">
        <f t="shared" si="36"/>
        <v>1032</v>
      </c>
      <c r="V964">
        <v>2</v>
      </c>
      <c r="W964">
        <v>2</v>
      </c>
    </row>
    <row r="965" spans="1:23" ht="57" x14ac:dyDescent="0.3">
      <c r="A965" s="212">
        <v>39316</v>
      </c>
      <c r="B965" s="212">
        <f t="shared" si="34"/>
        <v>39316</v>
      </c>
      <c r="C965" s="6">
        <v>8</v>
      </c>
      <c r="D965" s="6">
        <v>1</v>
      </c>
      <c r="E965" s="6">
        <v>2007</v>
      </c>
      <c r="F965" s="15" t="s">
        <v>22</v>
      </c>
      <c r="G965" s="16" t="s">
        <v>6254</v>
      </c>
      <c r="H965" s="9" t="s">
        <v>64</v>
      </c>
      <c r="I965" s="17" t="s">
        <v>1109</v>
      </c>
      <c r="J965" s="17" t="s">
        <v>1702</v>
      </c>
      <c r="K965" s="13">
        <v>6</v>
      </c>
      <c r="L965" s="233">
        <v>46190</v>
      </c>
      <c r="M965" s="13">
        <v>9238</v>
      </c>
      <c r="N965" s="13">
        <v>350</v>
      </c>
      <c r="O965" s="13">
        <v>60</v>
      </c>
      <c r="P965" s="13">
        <v>0</v>
      </c>
      <c r="Q965" s="60">
        <v>51153</v>
      </c>
      <c r="R965" s="61">
        <v>1218.9000000000001</v>
      </c>
      <c r="S965" s="6" t="s">
        <v>21</v>
      </c>
      <c r="T965" s="257">
        <f t="shared" si="35"/>
        <v>46196</v>
      </c>
      <c r="U965" s="257">
        <f t="shared" si="36"/>
        <v>9648</v>
      </c>
      <c r="V965">
        <v>2</v>
      </c>
      <c r="W965">
        <v>2</v>
      </c>
    </row>
    <row r="966" spans="1:23" ht="45.6" x14ac:dyDescent="0.3">
      <c r="A966" s="212">
        <v>39315</v>
      </c>
      <c r="B966" s="212">
        <f t="shared" si="34"/>
        <v>39315</v>
      </c>
      <c r="C966" s="6">
        <v>8</v>
      </c>
      <c r="D966" s="6">
        <v>1</v>
      </c>
      <c r="E966" s="6">
        <v>2007</v>
      </c>
      <c r="F966" s="15" t="s">
        <v>22</v>
      </c>
      <c r="G966" s="16" t="s">
        <v>6254</v>
      </c>
      <c r="H966" s="9" t="s">
        <v>112</v>
      </c>
      <c r="I966" s="17" t="s">
        <v>1703</v>
      </c>
      <c r="J966" s="17" t="s">
        <v>1704</v>
      </c>
      <c r="K966" s="13">
        <v>0</v>
      </c>
      <c r="L966" s="233">
        <f>((M966*5))*1</f>
        <v>25455</v>
      </c>
      <c r="M966" s="13">
        <v>5091</v>
      </c>
      <c r="N966" s="13">
        <v>241</v>
      </c>
      <c r="O966" s="13">
        <v>26</v>
      </c>
      <c r="P966" s="13">
        <v>0</v>
      </c>
      <c r="Q966" s="60">
        <v>23169</v>
      </c>
      <c r="R966" s="61">
        <v>211.4</v>
      </c>
      <c r="S966" s="6" t="s">
        <v>21</v>
      </c>
      <c r="T966" s="257">
        <f t="shared" si="35"/>
        <v>25455</v>
      </c>
      <c r="U966" s="257">
        <f t="shared" si="36"/>
        <v>5358</v>
      </c>
      <c r="V966">
        <v>2</v>
      </c>
      <c r="W966">
        <v>2</v>
      </c>
    </row>
    <row r="967" spans="1:23" ht="45.6" x14ac:dyDescent="0.3">
      <c r="A967" s="212">
        <v>39315</v>
      </c>
      <c r="B967" s="212">
        <f t="shared" si="34"/>
        <v>39315</v>
      </c>
      <c r="C967" s="6">
        <v>8</v>
      </c>
      <c r="D967" s="6">
        <v>1</v>
      </c>
      <c r="E967" s="6">
        <v>2007</v>
      </c>
      <c r="F967" s="15" t="s">
        <v>22</v>
      </c>
      <c r="G967" s="18" t="s">
        <v>6256</v>
      </c>
      <c r="H967" s="9" t="s">
        <v>31</v>
      </c>
      <c r="I967" s="17" t="s">
        <v>1109</v>
      </c>
      <c r="J967" s="17" t="s">
        <v>1705</v>
      </c>
      <c r="K967" s="13">
        <v>0</v>
      </c>
      <c r="L967" s="233">
        <v>5901</v>
      </c>
      <c r="M967" s="13">
        <v>0</v>
      </c>
      <c r="N967" s="13">
        <v>0</v>
      </c>
      <c r="O967" s="13">
        <v>0</v>
      </c>
      <c r="P967" s="13">
        <v>0</v>
      </c>
      <c r="Q967" s="60">
        <v>7405.09</v>
      </c>
      <c r="R967" s="61">
        <v>29.818999999999999</v>
      </c>
      <c r="S967" s="6" t="s">
        <v>1667</v>
      </c>
      <c r="T967" s="257">
        <f t="shared" si="35"/>
        <v>5901</v>
      </c>
      <c r="U967" s="257">
        <f t="shared" si="36"/>
        <v>0</v>
      </c>
      <c r="V967">
        <v>1</v>
      </c>
      <c r="W967">
        <v>0</v>
      </c>
    </row>
    <row r="968" spans="1:23" ht="79.8" x14ac:dyDescent="0.3">
      <c r="A968" s="212">
        <v>39316</v>
      </c>
      <c r="B968" s="212">
        <f t="shared" si="34"/>
        <v>39316</v>
      </c>
      <c r="C968" s="6">
        <v>8</v>
      </c>
      <c r="D968" s="6">
        <v>1</v>
      </c>
      <c r="E968" s="6">
        <v>2007</v>
      </c>
      <c r="F968" s="15" t="s">
        <v>22</v>
      </c>
      <c r="G968" s="16" t="s">
        <v>6254</v>
      </c>
      <c r="H968" s="9" t="s">
        <v>84</v>
      </c>
      <c r="I968" s="17" t="s">
        <v>1706</v>
      </c>
      <c r="J968" s="10" t="s">
        <v>1707</v>
      </c>
      <c r="K968" s="13">
        <v>0</v>
      </c>
      <c r="L968" s="233">
        <v>25750</v>
      </c>
      <c r="M968" s="13" t="s">
        <v>1678</v>
      </c>
      <c r="N968" s="13" t="s">
        <v>1678</v>
      </c>
      <c r="O968" s="13" t="s">
        <v>1678</v>
      </c>
      <c r="P968" s="13">
        <v>0</v>
      </c>
      <c r="Q968" s="60"/>
      <c r="R968" s="61">
        <v>69.448999999999998</v>
      </c>
      <c r="S968" s="6" t="s">
        <v>149</v>
      </c>
      <c r="T968" s="257">
        <f t="shared" si="35"/>
        <v>25750</v>
      </c>
      <c r="U968" s="257">
        <f t="shared" si="36"/>
        <v>0</v>
      </c>
      <c r="V968">
        <v>2</v>
      </c>
      <c r="W968">
        <v>0</v>
      </c>
    </row>
    <row r="969" spans="1:23" ht="68.400000000000006" x14ac:dyDescent="0.3">
      <c r="A969" s="212">
        <v>39316</v>
      </c>
      <c r="B969" s="212">
        <f t="shared" si="34"/>
        <v>39316</v>
      </c>
      <c r="C969" s="6">
        <v>8</v>
      </c>
      <c r="D969" s="6">
        <v>1</v>
      </c>
      <c r="E969" s="6">
        <v>2007</v>
      </c>
      <c r="F969" s="15" t="s">
        <v>22</v>
      </c>
      <c r="G969" s="16" t="s">
        <v>6254</v>
      </c>
      <c r="H969" s="9" t="s">
        <v>70</v>
      </c>
      <c r="I969" s="17" t="s">
        <v>1708</v>
      </c>
      <c r="J969" s="10" t="s">
        <v>1709</v>
      </c>
      <c r="K969" s="13">
        <v>0</v>
      </c>
      <c r="L969" s="233">
        <v>10022</v>
      </c>
      <c r="M969" s="13" t="s">
        <v>1678</v>
      </c>
      <c r="N969" s="13" t="s">
        <v>1678</v>
      </c>
      <c r="O969" s="13" t="s">
        <v>1678</v>
      </c>
      <c r="P969" s="13">
        <v>0</v>
      </c>
      <c r="Q969" s="60"/>
      <c r="R969" s="61">
        <v>193.851</v>
      </c>
      <c r="S969" s="6" t="s">
        <v>149</v>
      </c>
      <c r="T969" s="257">
        <f t="shared" si="35"/>
        <v>10022</v>
      </c>
      <c r="U969" s="257">
        <f t="shared" si="36"/>
        <v>0</v>
      </c>
      <c r="V969">
        <v>2</v>
      </c>
      <c r="W969">
        <v>0</v>
      </c>
    </row>
    <row r="970" spans="1:23" ht="45.6" x14ac:dyDescent="0.3">
      <c r="A970" s="212">
        <v>39320</v>
      </c>
      <c r="B970" s="212">
        <v>39320</v>
      </c>
      <c r="C970" s="6">
        <v>8</v>
      </c>
      <c r="D970" s="6">
        <v>1</v>
      </c>
      <c r="E970" s="6">
        <v>2007</v>
      </c>
      <c r="F970" s="15" t="s">
        <v>22</v>
      </c>
      <c r="G970" s="18" t="s">
        <v>6256</v>
      </c>
      <c r="H970" s="9" t="s">
        <v>31</v>
      </c>
      <c r="I970" s="17" t="s">
        <v>1710</v>
      </c>
      <c r="J970" s="17" t="s">
        <v>1711</v>
      </c>
      <c r="K970" s="13">
        <v>0</v>
      </c>
      <c r="L970" s="233">
        <v>536</v>
      </c>
      <c r="M970" s="13">
        <v>0</v>
      </c>
      <c r="N970" s="13">
        <v>0</v>
      </c>
      <c r="O970" s="13">
        <v>0</v>
      </c>
      <c r="P970" s="13">
        <v>0</v>
      </c>
      <c r="Q970" s="60">
        <v>0</v>
      </c>
      <c r="R970" s="61">
        <v>0</v>
      </c>
      <c r="S970" s="7" t="s">
        <v>115</v>
      </c>
      <c r="T970" s="257">
        <f t="shared" si="35"/>
        <v>536</v>
      </c>
      <c r="U970" s="257">
        <f t="shared" si="36"/>
        <v>0</v>
      </c>
      <c r="V970">
        <v>1</v>
      </c>
      <c r="W970">
        <v>0</v>
      </c>
    </row>
    <row r="971" spans="1:23" ht="57" x14ac:dyDescent="0.3">
      <c r="A971" s="211">
        <v>41567</v>
      </c>
      <c r="B971" s="211">
        <v>41567</v>
      </c>
      <c r="C971" s="6">
        <v>10</v>
      </c>
      <c r="D971" s="6">
        <v>1</v>
      </c>
      <c r="E971" s="19">
        <v>2013</v>
      </c>
      <c r="F971" s="15" t="s">
        <v>22</v>
      </c>
      <c r="G971" s="16" t="s">
        <v>6254</v>
      </c>
      <c r="H971" s="9" t="s">
        <v>48</v>
      </c>
      <c r="I971" s="20" t="s">
        <v>1712</v>
      </c>
      <c r="J971" s="21" t="s">
        <v>1713</v>
      </c>
      <c r="K971" s="22">
        <v>0</v>
      </c>
      <c r="L971" s="233">
        <v>1585</v>
      </c>
      <c r="M971" s="23">
        <v>30</v>
      </c>
      <c r="N971" s="23">
        <v>0</v>
      </c>
      <c r="O971" s="23">
        <v>0</v>
      </c>
      <c r="P971" s="23">
        <v>0</v>
      </c>
      <c r="Q971" s="23">
        <v>0</v>
      </c>
      <c r="R971" s="24">
        <v>7.36</v>
      </c>
      <c r="S971" s="25" t="s">
        <v>115</v>
      </c>
      <c r="T971" s="257">
        <f t="shared" si="35"/>
        <v>1585</v>
      </c>
      <c r="U971" s="257">
        <f t="shared" si="36"/>
        <v>30</v>
      </c>
      <c r="V971">
        <v>1</v>
      </c>
      <c r="W971">
        <v>1</v>
      </c>
    </row>
    <row r="972" spans="1:23" ht="45.6" x14ac:dyDescent="0.3">
      <c r="A972" s="212">
        <v>39321</v>
      </c>
      <c r="B972" s="212">
        <v>39321</v>
      </c>
      <c r="C972" s="6">
        <v>8</v>
      </c>
      <c r="D972" s="6">
        <v>1</v>
      </c>
      <c r="E972" s="6">
        <v>2007</v>
      </c>
      <c r="F972" s="15" t="s">
        <v>22</v>
      </c>
      <c r="G972" s="18" t="s">
        <v>6256</v>
      </c>
      <c r="H972" s="9" t="s">
        <v>70</v>
      </c>
      <c r="I972" s="17" t="s">
        <v>1714</v>
      </c>
      <c r="J972" s="17" t="s">
        <v>1715</v>
      </c>
      <c r="K972" s="13">
        <v>0</v>
      </c>
      <c r="L972" s="233">
        <v>27</v>
      </c>
      <c r="M972" s="13">
        <v>5</v>
      </c>
      <c r="N972" s="13">
        <v>0</v>
      </c>
      <c r="O972" s="13">
        <v>0</v>
      </c>
      <c r="P972" s="13">
        <v>0</v>
      </c>
      <c r="Q972" s="60">
        <v>0</v>
      </c>
      <c r="R972" s="61">
        <v>2.3E-2</v>
      </c>
      <c r="S972" s="7" t="s">
        <v>115</v>
      </c>
      <c r="T972" s="257">
        <f t="shared" si="35"/>
        <v>27</v>
      </c>
      <c r="U972" s="257">
        <f t="shared" si="36"/>
        <v>5</v>
      </c>
      <c r="V972">
        <v>1</v>
      </c>
      <c r="W972">
        <v>1</v>
      </c>
    </row>
    <row r="973" spans="1:23" ht="45.6" x14ac:dyDescent="0.3">
      <c r="A973" s="212">
        <v>39322</v>
      </c>
      <c r="B973" s="212">
        <v>39322</v>
      </c>
      <c r="C973" s="6">
        <v>8</v>
      </c>
      <c r="D973" s="6">
        <v>1</v>
      </c>
      <c r="E973" s="6">
        <v>2007</v>
      </c>
      <c r="F973" s="15" t="s">
        <v>22</v>
      </c>
      <c r="G973" s="18" t="s">
        <v>6256</v>
      </c>
      <c r="H973" s="9" t="s">
        <v>55</v>
      </c>
      <c r="I973" s="17" t="s">
        <v>1716</v>
      </c>
      <c r="J973" s="17" t="s">
        <v>1717</v>
      </c>
      <c r="K973" s="13">
        <v>0</v>
      </c>
      <c r="L973" s="233">
        <v>75</v>
      </c>
      <c r="M973" s="13">
        <v>15</v>
      </c>
      <c r="N973" s="13">
        <v>0</v>
      </c>
      <c r="O973" s="13">
        <v>0</v>
      </c>
      <c r="P973" s="13">
        <v>0</v>
      </c>
      <c r="Q973" s="60">
        <v>0</v>
      </c>
      <c r="R973" s="61">
        <v>6.9000000000000006E-2</v>
      </c>
      <c r="S973" s="7" t="s">
        <v>115</v>
      </c>
      <c r="T973" s="257">
        <f t="shared" si="35"/>
        <v>75</v>
      </c>
      <c r="U973" s="257">
        <f t="shared" si="36"/>
        <v>15</v>
      </c>
      <c r="V973">
        <v>1</v>
      </c>
      <c r="W973">
        <v>1</v>
      </c>
    </row>
    <row r="974" spans="1:23" ht="45.6" x14ac:dyDescent="0.3">
      <c r="A974" s="212">
        <v>39322</v>
      </c>
      <c r="B974" s="212">
        <v>39322</v>
      </c>
      <c r="C974" s="6">
        <v>8</v>
      </c>
      <c r="D974" s="6">
        <v>1</v>
      </c>
      <c r="E974" s="6">
        <v>2007</v>
      </c>
      <c r="F974" s="15" t="s">
        <v>22</v>
      </c>
      <c r="G974" s="18" t="s">
        <v>6256</v>
      </c>
      <c r="H974" s="9" t="s">
        <v>46</v>
      </c>
      <c r="I974" s="17" t="s">
        <v>1718</v>
      </c>
      <c r="J974" s="17" t="s">
        <v>1719</v>
      </c>
      <c r="K974" s="13">
        <v>0</v>
      </c>
      <c r="L974" s="233">
        <v>560</v>
      </c>
      <c r="M974" s="13">
        <v>50</v>
      </c>
      <c r="N974" s="13">
        <v>0</v>
      </c>
      <c r="O974" s="13">
        <v>0</v>
      </c>
      <c r="P974" s="13">
        <v>0</v>
      </c>
      <c r="Q974" s="60">
        <v>0</v>
      </c>
      <c r="R974" s="61">
        <v>0.1</v>
      </c>
      <c r="S974" s="7" t="s">
        <v>115</v>
      </c>
      <c r="T974" s="257">
        <f t="shared" si="35"/>
        <v>560</v>
      </c>
      <c r="U974" s="257">
        <f t="shared" si="36"/>
        <v>50</v>
      </c>
      <c r="V974">
        <v>1</v>
      </c>
      <c r="W974">
        <v>1</v>
      </c>
    </row>
    <row r="975" spans="1:23" ht="34.200000000000003" x14ac:dyDescent="0.3">
      <c r="A975" s="212">
        <v>39324</v>
      </c>
      <c r="B975" s="212">
        <v>39324</v>
      </c>
      <c r="C975" s="6">
        <v>8</v>
      </c>
      <c r="D975" s="6">
        <v>1</v>
      </c>
      <c r="E975" s="6">
        <v>2007</v>
      </c>
      <c r="F975" s="15" t="s">
        <v>22</v>
      </c>
      <c r="G975" s="18" t="s">
        <v>6256</v>
      </c>
      <c r="H975" s="9" t="s">
        <v>46</v>
      </c>
      <c r="I975" s="17" t="s">
        <v>1720</v>
      </c>
      <c r="J975" s="17" t="s">
        <v>1721</v>
      </c>
      <c r="K975" s="13">
        <v>0</v>
      </c>
      <c r="L975" s="233">
        <v>429</v>
      </c>
      <c r="M975" s="13">
        <v>121</v>
      </c>
      <c r="N975" s="13">
        <v>0</v>
      </c>
      <c r="O975" s="13">
        <v>0</v>
      </c>
      <c r="P975" s="13">
        <v>0</v>
      </c>
      <c r="Q975" s="60">
        <v>0</v>
      </c>
      <c r="R975" s="61">
        <v>0.24199999999999999</v>
      </c>
      <c r="S975" s="7" t="s">
        <v>115</v>
      </c>
      <c r="T975" s="257">
        <f t="shared" si="35"/>
        <v>429</v>
      </c>
      <c r="U975" s="257">
        <f t="shared" si="36"/>
        <v>121</v>
      </c>
      <c r="V975">
        <v>1</v>
      </c>
      <c r="W975">
        <v>1</v>
      </c>
    </row>
    <row r="976" spans="1:23" ht="34.200000000000003" x14ac:dyDescent="0.3">
      <c r="A976" s="212">
        <v>39324</v>
      </c>
      <c r="B976" s="212">
        <v>39324</v>
      </c>
      <c r="C976" s="6">
        <v>8</v>
      </c>
      <c r="D976" s="6">
        <v>1</v>
      </c>
      <c r="E976" s="6">
        <v>2007</v>
      </c>
      <c r="F976" s="15" t="s">
        <v>22</v>
      </c>
      <c r="G976" s="18" t="s">
        <v>6256</v>
      </c>
      <c r="H976" s="9" t="s">
        <v>70</v>
      </c>
      <c r="I976" s="17" t="s">
        <v>588</v>
      </c>
      <c r="J976" s="17" t="s">
        <v>1722</v>
      </c>
      <c r="K976" s="13">
        <v>0</v>
      </c>
      <c r="L976" s="233">
        <v>400</v>
      </c>
      <c r="M976" s="13">
        <v>0</v>
      </c>
      <c r="N976" s="13">
        <v>0</v>
      </c>
      <c r="O976" s="13">
        <v>0</v>
      </c>
      <c r="P976" s="13">
        <v>0</v>
      </c>
      <c r="Q976" s="60">
        <v>0</v>
      </c>
      <c r="R976" s="61">
        <v>0</v>
      </c>
      <c r="S976" s="7" t="s">
        <v>115</v>
      </c>
      <c r="T976" s="257">
        <f t="shared" si="35"/>
        <v>400</v>
      </c>
      <c r="U976" s="257">
        <f t="shared" si="36"/>
        <v>0</v>
      </c>
      <c r="V976">
        <v>1</v>
      </c>
      <c r="W976">
        <v>0</v>
      </c>
    </row>
    <row r="977" spans="1:23" x14ac:dyDescent="0.3">
      <c r="A977" s="212">
        <v>39327</v>
      </c>
      <c r="B977" s="212">
        <v>39327</v>
      </c>
      <c r="C977" s="6">
        <v>9</v>
      </c>
      <c r="D977" s="6">
        <v>1</v>
      </c>
      <c r="E977" s="6">
        <v>2007</v>
      </c>
      <c r="F977" s="15" t="s">
        <v>22</v>
      </c>
      <c r="G977" s="18" t="s">
        <v>6256</v>
      </c>
      <c r="H977" s="9" t="s">
        <v>52</v>
      </c>
      <c r="I977" s="17" t="s">
        <v>1723</v>
      </c>
      <c r="J977" s="17" t="s">
        <v>1724</v>
      </c>
      <c r="K977" s="13">
        <v>0</v>
      </c>
      <c r="L977" s="233">
        <v>500</v>
      </c>
      <c r="M977" s="13">
        <v>50</v>
      </c>
      <c r="N977" s="13">
        <v>0</v>
      </c>
      <c r="O977" s="13">
        <v>0</v>
      </c>
      <c r="P977" s="13">
        <v>0</v>
      </c>
      <c r="Q977" s="60">
        <v>0</v>
      </c>
      <c r="R977" s="61">
        <v>0.1</v>
      </c>
      <c r="S977" s="7" t="s">
        <v>115</v>
      </c>
      <c r="T977" s="257">
        <f t="shared" si="35"/>
        <v>500</v>
      </c>
      <c r="U977" s="257">
        <f t="shared" si="36"/>
        <v>50</v>
      </c>
      <c r="V977">
        <v>1</v>
      </c>
      <c r="W977">
        <v>1</v>
      </c>
    </row>
    <row r="978" spans="1:23" ht="22.8" x14ac:dyDescent="0.3">
      <c r="A978" s="212">
        <v>39327</v>
      </c>
      <c r="B978" s="212">
        <v>39327</v>
      </c>
      <c r="C978" s="6">
        <v>9</v>
      </c>
      <c r="D978" s="6">
        <v>1</v>
      </c>
      <c r="E978" s="6">
        <v>2007</v>
      </c>
      <c r="F978" s="15" t="s">
        <v>22</v>
      </c>
      <c r="G978" s="18" t="s">
        <v>6256</v>
      </c>
      <c r="H978" s="9" t="s">
        <v>78</v>
      </c>
      <c r="I978" s="17" t="s">
        <v>1725</v>
      </c>
      <c r="J978" s="17" t="s">
        <v>1726</v>
      </c>
      <c r="K978" s="13">
        <v>3</v>
      </c>
      <c r="L978" s="233">
        <v>3</v>
      </c>
      <c r="M978" s="13">
        <v>0</v>
      </c>
      <c r="N978" s="13">
        <v>0</v>
      </c>
      <c r="O978" s="13">
        <v>0</v>
      </c>
      <c r="P978" s="13">
        <v>0</v>
      </c>
      <c r="Q978" s="60">
        <v>0</v>
      </c>
      <c r="R978" s="61">
        <v>0</v>
      </c>
      <c r="S978" s="7" t="s">
        <v>115</v>
      </c>
      <c r="T978" s="257">
        <f t="shared" si="35"/>
        <v>6</v>
      </c>
      <c r="U978" s="257">
        <f t="shared" si="36"/>
        <v>0</v>
      </c>
      <c r="V978">
        <v>1</v>
      </c>
      <c r="W978">
        <v>0</v>
      </c>
    </row>
    <row r="979" spans="1:23" ht="34.200000000000003" x14ac:dyDescent="0.3">
      <c r="A979" s="212">
        <v>39320</v>
      </c>
      <c r="B979" s="212">
        <v>39328</v>
      </c>
      <c r="C979" s="6">
        <v>8</v>
      </c>
      <c r="D979" s="6">
        <v>9</v>
      </c>
      <c r="E979" s="6">
        <v>2007</v>
      </c>
      <c r="F979" s="15" t="s">
        <v>22</v>
      </c>
      <c r="G979" s="18" t="s">
        <v>6256</v>
      </c>
      <c r="H979" s="9" t="s">
        <v>78</v>
      </c>
      <c r="I979" s="17" t="s">
        <v>1727</v>
      </c>
      <c r="J979" s="17" t="s">
        <v>1728</v>
      </c>
      <c r="K979" s="13">
        <v>0</v>
      </c>
      <c r="L979" s="233">
        <v>175</v>
      </c>
      <c r="M979" s="13">
        <v>0</v>
      </c>
      <c r="N979" s="13">
        <v>0</v>
      </c>
      <c r="O979" s="13">
        <v>0</v>
      </c>
      <c r="P979" s="13">
        <v>0</v>
      </c>
      <c r="Q979" s="60">
        <v>501.45</v>
      </c>
      <c r="R979" s="61">
        <v>0.40600000000000003</v>
      </c>
      <c r="S979" s="6" t="s">
        <v>1667</v>
      </c>
      <c r="T979" s="257">
        <f t="shared" si="35"/>
        <v>175</v>
      </c>
      <c r="U979" s="257">
        <f t="shared" si="36"/>
        <v>0</v>
      </c>
      <c r="V979">
        <v>1</v>
      </c>
      <c r="W979">
        <v>0</v>
      </c>
    </row>
    <row r="980" spans="1:23" ht="22.8" x14ac:dyDescent="0.3">
      <c r="A980" s="212">
        <v>39318</v>
      </c>
      <c r="B980" s="212">
        <v>39328</v>
      </c>
      <c r="C980" s="6">
        <v>8</v>
      </c>
      <c r="D980" s="6">
        <v>11</v>
      </c>
      <c r="E980" s="6">
        <v>2007</v>
      </c>
      <c r="F980" s="15" t="s">
        <v>22</v>
      </c>
      <c r="G980" s="18" t="s">
        <v>6256</v>
      </c>
      <c r="H980" s="9" t="s">
        <v>78</v>
      </c>
      <c r="I980" s="17" t="s">
        <v>1729</v>
      </c>
      <c r="J980" s="17" t="s">
        <v>1730</v>
      </c>
      <c r="K980" s="13">
        <v>0</v>
      </c>
      <c r="L980" s="233">
        <v>1254</v>
      </c>
      <c r="M980" s="13">
        <v>0</v>
      </c>
      <c r="N980" s="13">
        <v>0</v>
      </c>
      <c r="O980" s="13">
        <v>0</v>
      </c>
      <c r="P980" s="13">
        <v>0</v>
      </c>
      <c r="Q980" s="60">
        <v>4689.2700000000004</v>
      </c>
      <c r="R980" s="61">
        <v>3.7509999999999999</v>
      </c>
      <c r="S980" s="6" t="s">
        <v>1667</v>
      </c>
      <c r="T980" s="257">
        <f t="shared" si="35"/>
        <v>1254</v>
      </c>
      <c r="U980" s="257">
        <f t="shared" si="36"/>
        <v>0</v>
      </c>
      <c r="V980">
        <v>1</v>
      </c>
      <c r="W980">
        <v>0</v>
      </c>
    </row>
    <row r="981" spans="1:23" ht="45.6" x14ac:dyDescent="0.3">
      <c r="A981" s="212">
        <v>39326</v>
      </c>
      <c r="B981" s="212">
        <v>39328</v>
      </c>
      <c r="C981" s="6">
        <v>9</v>
      </c>
      <c r="D981" s="6">
        <v>3</v>
      </c>
      <c r="E981" s="6">
        <v>2007</v>
      </c>
      <c r="F981" s="15" t="s">
        <v>22</v>
      </c>
      <c r="G981" s="16" t="s">
        <v>6256</v>
      </c>
      <c r="H981" s="9" t="s">
        <v>70</v>
      </c>
      <c r="I981" s="17" t="s">
        <v>25</v>
      </c>
      <c r="J981" s="17" t="s">
        <v>1731</v>
      </c>
      <c r="K981" s="13">
        <v>0</v>
      </c>
      <c r="L981" s="233">
        <v>2489</v>
      </c>
      <c r="M981" s="13">
        <v>0</v>
      </c>
      <c r="N981" s="13">
        <v>0</v>
      </c>
      <c r="O981" s="13">
        <v>0</v>
      </c>
      <c r="P981" s="13">
        <v>0</v>
      </c>
      <c r="Q981" s="60">
        <v>3438.88</v>
      </c>
      <c r="R981" s="61">
        <v>3.339</v>
      </c>
      <c r="S981" s="6" t="s">
        <v>1667</v>
      </c>
      <c r="T981" s="257">
        <f t="shared" si="35"/>
        <v>2489</v>
      </c>
      <c r="U981" s="257">
        <f t="shared" si="36"/>
        <v>0</v>
      </c>
      <c r="V981">
        <v>1</v>
      </c>
      <c r="W981">
        <v>0</v>
      </c>
    </row>
    <row r="982" spans="1:23" ht="22.8" x14ac:dyDescent="0.3">
      <c r="A982" s="212">
        <v>39329</v>
      </c>
      <c r="B982" s="212">
        <v>39329</v>
      </c>
      <c r="C982" s="6">
        <v>9</v>
      </c>
      <c r="D982" s="6">
        <v>1</v>
      </c>
      <c r="E982" s="6">
        <v>2007</v>
      </c>
      <c r="F982" s="15" t="s">
        <v>22</v>
      </c>
      <c r="G982" s="18" t="s">
        <v>6256</v>
      </c>
      <c r="H982" s="9" t="s">
        <v>46</v>
      </c>
      <c r="I982" s="17" t="s">
        <v>680</v>
      </c>
      <c r="J982" s="17" t="s">
        <v>1732</v>
      </c>
      <c r="K982" s="13">
        <v>0</v>
      </c>
      <c r="L982" s="233">
        <v>300</v>
      </c>
      <c r="M982" s="13">
        <v>60</v>
      </c>
      <c r="N982" s="13">
        <v>0</v>
      </c>
      <c r="O982" s="13">
        <v>0</v>
      </c>
      <c r="P982" s="13">
        <v>0</v>
      </c>
      <c r="Q982" s="60">
        <v>0</v>
      </c>
      <c r="R982" s="61">
        <v>0.12</v>
      </c>
      <c r="S982" s="7" t="s">
        <v>115</v>
      </c>
      <c r="T982" s="257">
        <f t="shared" si="35"/>
        <v>300</v>
      </c>
      <c r="U982" s="257">
        <f t="shared" si="36"/>
        <v>60</v>
      </c>
      <c r="V982">
        <v>1</v>
      </c>
      <c r="W982">
        <v>1</v>
      </c>
    </row>
    <row r="983" spans="1:23" ht="45.6" x14ac:dyDescent="0.3">
      <c r="A983" s="212">
        <v>39329</v>
      </c>
      <c r="B983" s="212">
        <v>39329</v>
      </c>
      <c r="C983" s="6">
        <v>9</v>
      </c>
      <c r="D983" s="6">
        <v>1</v>
      </c>
      <c r="E983" s="6">
        <v>2007</v>
      </c>
      <c r="F983" s="15" t="s">
        <v>22</v>
      </c>
      <c r="G983" s="16" t="s">
        <v>6254</v>
      </c>
      <c r="H983" s="9" t="s">
        <v>51</v>
      </c>
      <c r="I983" s="17" t="s">
        <v>1733</v>
      </c>
      <c r="J983" s="17" t="s">
        <v>1734</v>
      </c>
      <c r="K983" s="13">
        <v>0</v>
      </c>
      <c r="L983" s="233">
        <v>5720</v>
      </c>
      <c r="M983" s="13">
        <v>1144</v>
      </c>
      <c r="N983" s="13">
        <v>3</v>
      </c>
      <c r="O983" s="13">
        <v>0</v>
      </c>
      <c r="P983" s="13">
        <v>0</v>
      </c>
      <c r="Q983" s="60">
        <v>0</v>
      </c>
      <c r="R983" s="61">
        <v>91.7</v>
      </c>
      <c r="S983" s="6" t="s">
        <v>149</v>
      </c>
      <c r="T983" s="257">
        <f t="shared" si="35"/>
        <v>5720</v>
      </c>
      <c r="U983" s="257">
        <f t="shared" si="36"/>
        <v>1147</v>
      </c>
      <c r="V983">
        <v>1</v>
      </c>
      <c r="W983">
        <v>2</v>
      </c>
    </row>
    <row r="984" spans="1:23" ht="45.6" x14ac:dyDescent="0.3">
      <c r="A984" s="212">
        <v>39329</v>
      </c>
      <c r="B984" s="212">
        <v>39329</v>
      </c>
      <c r="C984" s="6">
        <v>9</v>
      </c>
      <c r="D984" s="6">
        <v>1</v>
      </c>
      <c r="E984" s="6">
        <v>2007</v>
      </c>
      <c r="F984" s="15" t="s">
        <v>22</v>
      </c>
      <c r="G984" s="16" t="s">
        <v>6254</v>
      </c>
      <c r="H984" s="9" t="s">
        <v>28</v>
      </c>
      <c r="I984" s="10" t="s">
        <v>1735</v>
      </c>
      <c r="J984" s="17" t="s">
        <v>1736</v>
      </c>
      <c r="K984" s="13">
        <v>1</v>
      </c>
      <c r="L984" s="233">
        <v>57000</v>
      </c>
      <c r="M984" s="13">
        <v>2200</v>
      </c>
      <c r="N984" s="13">
        <v>0</v>
      </c>
      <c r="O984" s="13">
        <v>0</v>
      </c>
      <c r="P984" s="13">
        <v>0</v>
      </c>
      <c r="Q984" s="60">
        <v>0</v>
      </c>
      <c r="R984" s="61">
        <v>442.5</v>
      </c>
      <c r="S984" s="6" t="s">
        <v>149</v>
      </c>
      <c r="T984" s="257">
        <f t="shared" si="35"/>
        <v>57001</v>
      </c>
      <c r="U984" s="257">
        <f t="shared" si="36"/>
        <v>2200</v>
      </c>
      <c r="V984">
        <v>2</v>
      </c>
      <c r="W984">
        <v>2</v>
      </c>
    </row>
    <row r="985" spans="1:23" ht="34.200000000000003" x14ac:dyDescent="0.3">
      <c r="A985" s="212">
        <v>39329</v>
      </c>
      <c r="B985" s="212">
        <f>A985</f>
        <v>39329</v>
      </c>
      <c r="C985" s="6">
        <v>9</v>
      </c>
      <c r="D985" s="6">
        <v>1</v>
      </c>
      <c r="E985" s="6">
        <v>2007</v>
      </c>
      <c r="F985" s="15" t="s">
        <v>22</v>
      </c>
      <c r="G985" s="16" t="s">
        <v>6254</v>
      </c>
      <c r="H985" s="9" t="s">
        <v>74</v>
      </c>
      <c r="I985" s="17" t="s">
        <v>25</v>
      </c>
      <c r="J985" s="17" t="s">
        <v>1737</v>
      </c>
      <c r="K985" s="13">
        <v>2</v>
      </c>
      <c r="L985" s="233">
        <v>85020</v>
      </c>
      <c r="M985" s="13">
        <v>1750</v>
      </c>
      <c r="N985" s="13">
        <v>109</v>
      </c>
      <c r="O985" s="13" t="s">
        <v>95</v>
      </c>
      <c r="P985" s="13">
        <v>0</v>
      </c>
      <c r="Q985" s="60">
        <v>0</v>
      </c>
      <c r="R985" s="61">
        <v>362.4</v>
      </c>
      <c r="S985" s="6" t="s">
        <v>149</v>
      </c>
      <c r="T985" s="257">
        <f t="shared" si="35"/>
        <v>85022</v>
      </c>
      <c r="U985" s="257">
        <f t="shared" si="36"/>
        <v>1859</v>
      </c>
      <c r="V985">
        <v>2</v>
      </c>
      <c r="W985">
        <v>2</v>
      </c>
    </row>
    <row r="986" spans="1:23" ht="22.8" x14ac:dyDescent="0.3">
      <c r="A986" s="212">
        <v>39330</v>
      </c>
      <c r="B986" s="212">
        <v>39330</v>
      </c>
      <c r="C986" s="6">
        <v>9</v>
      </c>
      <c r="D986" s="6">
        <v>1</v>
      </c>
      <c r="E986" s="6">
        <v>2007</v>
      </c>
      <c r="F986" s="15" t="s">
        <v>22</v>
      </c>
      <c r="G986" s="18" t="s">
        <v>6256</v>
      </c>
      <c r="H986" s="9" t="s">
        <v>46</v>
      </c>
      <c r="I986" s="17" t="s">
        <v>1738</v>
      </c>
      <c r="J986" s="17" t="s">
        <v>1739</v>
      </c>
      <c r="K986" s="13">
        <v>0</v>
      </c>
      <c r="L986" s="233">
        <v>50</v>
      </c>
      <c r="M986" s="13">
        <v>50</v>
      </c>
      <c r="N986" s="13">
        <v>0</v>
      </c>
      <c r="O986" s="13">
        <v>0</v>
      </c>
      <c r="P986" s="13">
        <v>0</v>
      </c>
      <c r="Q986" s="60">
        <v>0</v>
      </c>
      <c r="R986" s="61">
        <v>0.1</v>
      </c>
      <c r="S986" s="7" t="s">
        <v>115</v>
      </c>
      <c r="T986" s="257">
        <f t="shared" si="35"/>
        <v>50</v>
      </c>
      <c r="U986" s="257">
        <f t="shared" si="36"/>
        <v>50</v>
      </c>
      <c r="V986">
        <v>1</v>
      </c>
      <c r="W986">
        <v>1</v>
      </c>
    </row>
    <row r="987" spans="1:23" ht="68.400000000000006" x14ac:dyDescent="0.3">
      <c r="A987" s="216">
        <v>39324</v>
      </c>
      <c r="B987" s="216">
        <v>39329</v>
      </c>
      <c r="C987" s="6">
        <v>8</v>
      </c>
      <c r="D987" s="6">
        <v>6</v>
      </c>
      <c r="E987" s="6">
        <v>2007</v>
      </c>
      <c r="F987" s="15" t="s">
        <v>22</v>
      </c>
      <c r="G987" s="18" t="s">
        <v>6256</v>
      </c>
      <c r="H987" s="9" t="s">
        <v>174</v>
      </c>
      <c r="I987" s="17" t="s">
        <v>1740</v>
      </c>
      <c r="J987" s="10" t="s">
        <v>1741</v>
      </c>
      <c r="K987" s="13">
        <v>0</v>
      </c>
      <c r="L987" s="233">
        <v>68370</v>
      </c>
      <c r="M987" s="13">
        <v>13674</v>
      </c>
      <c r="N987" s="13">
        <v>4</v>
      </c>
      <c r="O987" s="13" t="s">
        <v>1678</v>
      </c>
      <c r="P987" s="13">
        <v>0</v>
      </c>
      <c r="Q987" s="60"/>
      <c r="R987" s="61">
        <v>367.96499999999997</v>
      </c>
      <c r="S987" s="6" t="s">
        <v>149</v>
      </c>
      <c r="T987" s="257">
        <f t="shared" si="35"/>
        <v>68370</v>
      </c>
      <c r="U987" s="257">
        <f t="shared" si="36"/>
        <v>13678</v>
      </c>
      <c r="V987">
        <v>2</v>
      </c>
      <c r="W987">
        <v>3</v>
      </c>
    </row>
    <row r="988" spans="1:23" ht="57" x14ac:dyDescent="0.3">
      <c r="A988" s="212">
        <v>39326</v>
      </c>
      <c r="B988" s="212">
        <v>39330</v>
      </c>
      <c r="C988" s="6">
        <v>9</v>
      </c>
      <c r="D988" s="6">
        <v>5</v>
      </c>
      <c r="E988" s="6">
        <v>2007</v>
      </c>
      <c r="F988" s="15" t="s">
        <v>22</v>
      </c>
      <c r="G988" s="18" t="s">
        <v>6256</v>
      </c>
      <c r="H988" s="9" t="s">
        <v>70</v>
      </c>
      <c r="I988" s="17" t="s">
        <v>1742</v>
      </c>
      <c r="J988" s="10" t="s">
        <v>1743</v>
      </c>
      <c r="K988" s="13">
        <v>0</v>
      </c>
      <c r="L988" s="233">
        <v>1384</v>
      </c>
      <c r="M988" s="13" t="s">
        <v>1678</v>
      </c>
      <c r="N988" s="13" t="s">
        <v>1678</v>
      </c>
      <c r="O988" s="13" t="s">
        <v>1678</v>
      </c>
      <c r="P988" s="13">
        <v>0</v>
      </c>
      <c r="Q988" s="60"/>
      <c r="R988" s="61">
        <v>194.52099999999999</v>
      </c>
      <c r="S988" s="6" t="s">
        <v>149</v>
      </c>
      <c r="T988" s="257">
        <f t="shared" si="35"/>
        <v>1384</v>
      </c>
      <c r="U988" s="257">
        <f t="shared" si="36"/>
        <v>0</v>
      </c>
      <c r="V988">
        <v>1</v>
      </c>
      <c r="W988">
        <v>0</v>
      </c>
    </row>
    <row r="989" spans="1:23" ht="45.6" x14ac:dyDescent="0.3">
      <c r="A989" s="212">
        <v>39330</v>
      </c>
      <c r="B989" s="212">
        <v>39330</v>
      </c>
      <c r="C989" s="6">
        <v>9</v>
      </c>
      <c r="D989" s="6">
        <v>1</v>
      </c>
      <c r="E989" s="6">
        <v>2007</v>
      </c>
      <c r="F989" s="15" t="s">
        <v>22</v>
      </c>
      <c r="G989" s="18" t="s">
        <v>6256</v>
      </c>
      <c r="H989" s="9" t="s">
        <v>72</v>
      </c>
      <c r="I989" s="17" t="s">
        <v>1744</v>
      </c>
      <c r="J989" s="17" t="s">
        <v>1745</v>
      </c>
      <c r="K989" s="13">
        <v>0</v>
      </c>
      <c r="L989" s="233">
        <v>60040</v>
      </c>
      <c r="M989" s="13" t="s">
        <v>1678</v>
      </c>
      <c r="N989" s="13">
        <v>0</v>
      </c>
      <c r="O989" s="13">
        <v>0</v>
      </c>
      <c r="P989" s="13">
        <v>0</v>
      </c>
      <c r="Q989" s="60">
        <v>0</v>
      </c>
      <c r="R989" s="61">
        <v>201.8</v>
      </c>
      <c r="S989" s="6" t="s">
        <v>149</v>
      </c>
      <c r="T989" s="257">
        <f t="shared" si="35"/>
        <v>60040</v>
      </c>
      <c r="U989" s="257">
        <f t="shared" si="36"/>
        <v>0</v>
      </c>
      <c r="V989">
        <v>2</v>
      </c>
      <c r="W989">
        <v>0</v>
      </c>
    </row>
    <row r="990" spans="1:23" ht="34.200000000000003" x14ac:dyDescent="0.3">
      <c r="A990" s="212">
        <v>39331</v>
      </c>
      <c r="B990" s="212">
        <v>39331</v>
      </c>
      <c r="C990" s="6">
        <v>9</v>
      </c>
      <c r="D990" s="6">
        <v>1</v>
      </c>
      <c r="E990" s="6">
        <v>2007</v>
      </c>
      <c r="F990" s="15" t="s">
        <v>22</v>
      </c>
      <c r="G990" s="18" t="s">
        <v>6256</v>
      </c>
      <c r="H990" s="9" t="s">
        <v>52</v>
      </c>
      <c r="I990" s="17" t="s">
        <v>1746</v>
      </c>
      <c r="J990" s="17" t="s">
        <v>1747</v>
      </c>
      <c r="K990" s="13">
        <v>2</v>
      </c>
      <c r="L990" s="233">
        <v>2</v>
      </c>
      <c r="M990" s="13">
        <v>0</v>
      </c>
      <c r="N990" s="13">
        <v>0</v>
      </c>
      <c r="O990" s="13">
        <v>0</v>
      </c>
      <c r="P990" s="13">
        <v>0</v>
      </c>
      <c r="Q990" s="60">
        <v>0</v>
      </c>
      <c r="R990" s="61">
        <v>0</v>
      </c>
      <c r="S990" s="7" t="s">
        <v>115</v>
      </c>
      <c r="T990" s="257">
        <f t="shared" si="35"/>
        <v>4</v>
      </c>
      <c r="U990" s="257">
        <f t="shared" si="36"/>
        <v>0</v>
      </c>
      <c r="V990">
        <v>1</v>
      </c>
      <c r="W990">
        <v>0</v>
      </c>
    </row>
    <row r="991" spans="1:23" ht="57" x14ac:dyDescent="0.3">
      <c r="A991" s="212">
        <v>39331</v>
      </c>
      <c r="B991" s="212">
        <v>39331</v>
      </c>
      <c r="C991" s="6">
        <v>9</v>
      </c>
      <c r="D991" s="6">
        <v>1</v>
      </c>
      <c r="E991" s="6">
        <v>2007</v>
      </c>
      <c r="F991" s="15" t="s">
        <v>22</v>
      </c>
      <c r="G991" s="18" t="s">
        <v>6256</v>
      </c>
      <c r="H991" s="9" t="s">
        <v>46</v>
      </c>
      <c r="I991" s="17" t="s">
        <v>1738</v>
      </c>
      <c r="J991" s="17" t="s">
        <v>1748</v>
      </c>
      <c r="K991" s="13">
        <v>0</v>
      </c>
      <c r="L991" s="233">
        <v>50</v>
      </c>
      <c r="M991" s="13">
        <v>65</v>
      </c>
      <c r="N991" s="13">
        <v>0</v>
      </c>
      <c r="O991" s="13">
        <v>0</v>
      </c>
      <c r="P991" s="13">
        <v>0</v>
      </c>
      <c r="Q991" s="60">
        <v>0</v>
      </c>
      <c r="R991" s="61">
        <v>0.30299999999999999</v>
      </c>
      <c r="S991" s="7" t="s">
        <v>115</v>
      </c>
      <c r="T991" s="257">
        <f t="shared" si="35"/>
        <v>50</v>
      </c>
      <c r="U991" s="257">
        <f t="shared" si="36"/>
        <v>65</v>
      </c>
      <c r="V991">
        <v>1</v>
      </c>
      <c r="W991">
        <v>1</v>
      </c>
    </row>
    <row r="992" spans="1:23" ht="57" x14ac:dyDescent="0.3">
      <c r="A992" s="217">
        <v>41766</v>
      </c>
      <c r="B992" s="217">
        <v>41767</v>
      </c>
      <c r="C992" s="6">
        <v>5</v>
      </c>
      <c r="D992" s="6">
        <v>2</v>
      </c>
      <c r="E992" s="33">
        <v>2014</v>
      </c>
      <c r="F992" s="15" t="s">
        <v>22</v>
      </c>
      <c r="G992" s="18" t="s">
        <v>6256</v>
      </c>
      <c r="H992" s="9" t="s">
        <v>48</v>
      </c>
      <c r="I992" s="47" t="s">
        <v>1749</v>
      </c>
      <c r="J992" s="48" t="s">
        <v>1750</v>
      </c>
      <c r="K992" s="123">
        <v>0</v>
      </c>
      <c r="L992" s="236">
        <v>6265</v>
      </c>
      <c r="M992" s="35">
        <v>1253</v>
      </c>
      <c r="N992" s="35">
        <v>0</v>
      </c>
      <c r="O992" s="35">
        <v>0</v>
      </c>
      <c r="P992" s="35">
        <v>0</v>
      </c>
      <c r="Q992" s="35">
        <v>0</v>
      </c>
      <c r="R992" s="36">
        <v>6.9708800000000002</v>
      </c>
      <c r="S992" s="50" t="s">
        <v>115</v>
      </c>
      <c r="T992" s="257">
        <f t="shared" si="35"/>
        <v>6265</v>
      </c>
      <c r="U992" s="257">
        <f t="shared" si="36"/>
        <v>1253</v>
      </c>
      <c r="V992">
        <v>1</v>
      </c>
      <c r="W992">
        <v>2</v>
      </c>
    </row>
    <row r="993" spans="1:23" ht="34.200000000000003" x14ac:dyDescent="0.3">
      <c r="A993" s="212">
        <v>39333</v>
      </c>
      <c r="B993" s="212">
        <v>39333</v>
      </c>
      <c r="C993" s="6">
        <v>9</v>
      </c>
      <c r="D993" s="6">
        <v>1</v>
      </c>
      <c r="E993" s="6">
        <v>2007</v>
      </c>
      <c r="F993" s="15" t="s">
        <v>22</v>
      </c>
      <c r="G993" s="18" t="s">
        <v>6256</v>
      </c>
      <c r="H993" s="9" t="s">
        <v>52</v>
      </c>
      <c r="I993" s="17" t="s">
        <v>1751</v>
      </c>
      <c r="J993" s="17" t="s">
        <v>1752</v>
      </c>
      <c r="K993" s="13">
        <v>0</v>
      </c>
      <c r="L993" s="233">
        <v>243</v>
      </c>
      <c r="M993" s="13">
        <v>0</v>
      </c>
      <c r="N993" s="13">
        <v>0</v>
      </c>
      <c r="O993" s="13">
        <v>0</v>
      </c>
      <c r="P993" s="13">
        <v>0</v>
      </c>
      <c r="Q993" s="60">
        <v>0</v>
      </c>
      <c r="R993" s="61">
        <v>0</v>
      </c>
      <c r="S993" s="7" t="s">
        <v>115</v>
      </c>
      <c r="T993" s="257">
        <f t="shared" si="35"/>
        <v>243</v>
      </c>
      <c r="U993" s="257">
        <f t="shared" si="36"/>
        <v>0</v>
      </c>
      <c r="V993">
        <v>1</v>
      </c>
      <c r="W993">
        <v>0</v>
      </c>
    </row>
    <row r="994" spans="1:23" ht="57" x14ac:dyDescent="0.3">
      <c r="A994" s="212">
        <v>39333</v>
      </c>
      <c r="B994" s="212">
        <v>39333</v>
      </c>
      <c r="C994" s="6">
        <v>9</v>
      </c>
      <c r="D994" s="6">
        <v>1</v>
      </c>
      <c r="E994" s="6">
        <v>2007</v>
      </c>
      <c r="F994" s="15" t="s">
        <v>22</v>
      </c>
      <c r="G994" s="18" t="s">
        <v>6256</v>
      </c>
      <c r="H994" s="9" t="s">
        <v>61</v>
      </c>
      <c r="I994" s="17" t="s">
        <v>1753</v>
      </c>
      <c r="J994" s="17" t="s">
        <v>1754</v>
      </c>
      <c r="K994" s="13">
        <v>0</v>
      </c>
      <c r="L994" s="233">
        <v>500</v>
      </c>
      <c r="M994" s="13">
        <v>100</v>
      </c>
      <c r="N994" s="13">
        <v>0</v>
      </c>
      <c r="O994" s="13">
        <v>0</v>
      </c>
      <c r="P994" s="13">
        <v>0</v>
      </c>
      <c r="Q994" s="60">
        <v>0</v>
      </c>
      <c r="R994" s="61">
        <v>0.6</v>
      </c>
      <c r="S994" s="7" t="s">
        <v>115</v>
      </c>
      <c r="T994" s="257">
        <f t="shared" si="35"/>
        <v>500</v>
      </c>
      <c r="U994" s="257">
        <f t="shared" si="36"/>
        <v>100</v>
      </c>
      <c r="V994">
        <v>1</v>
      </c>
      <c r="W994">
        <v>1</v>
      </c>
    </row>
    <row r="995" spans="1:23" ht="34.200000000000003" x14ac:dyDescent="0.3">
      <c r="A995" s="212">
        <v>39335</v>
      </c>
      <c r="B995" s="212">
        <v>39335</v>
      </c>
      <c r="C995" s="6">
        <v>9</v>
      </c>
      <c r="D995" s="6">
        <v>1</v>
      </c>
      <c r="E995" s="6">
        <v>2007</v>
      </c>
      <c r="F995" s="15" t="s">
        <v>22</v>
      </c>
      <c r="G995" s="18" t="s">
        <v>6256</v>
      </c>
      <c r="H995" s="9" t="s">
        <v>70</v>
      </c>
      <c r="I995" s="17" t="s">
        <v>1755</v>
      </c>
      <c r="J995" s="17" t="s">
        <v>1756</v>
      </c>
      <c r="K995" s="13">
        <v>0</v>
      </c>
      <c r="L995" s="233">
        <v>1090</v>
      </c>
      <c r="M995" s="13">
        <v>0</v>
      </c>
      <c r="N995" s="13">
        <v>0</v>
      </c>
      <c r="O995" s="13">
        <v>0</v>
      </c>
      <c r="P995" s="13">
        <v>0</v>
      </c>
      <c r="Q995" s="60">
        <v>0</v>
      </c>
      <c r="R995" s="61">
        <v>0</v>
      </c>
      <c r="S995" s="7" t="s">
        <v>115</v>
      </c>
      <c r="T995" s="257">
        <f t="shared" si="35"/>
        <v>1090</v>
      </c>
      <c r="U995" s="257">
        <f t="shared" si="36"/>
        <v>0</v>
      </c>
      <c r="V995">
        <v>1</v>
      </c>
      <c r="W995">
        <v>0</v>
      </c>
    </row>
    <row r="996" spans="1:23" ht="22.8" x14ac:dyDescent="0.3">
      <c r="A996" s="212">
        <v>39337</v>
      </c>
      <c r="B996" s="212">
        <v>39337</v>
      </c>
      <c r="C996" s="6">
        <v>9</v>
      </c>
      <c r="D996" s="6">
        <v>1</v>
      </c>
      <c r="E996" s="6">
        <v>2007</v>
      </c>
      <c r="F996" s="15" t="s">
        <v>22</v>
      </c>
      <c r="G996" s="18" t="s">
        <v>6256</v>
      </c>
      <c r="H996" s="9" t="s">
        <v>51</v>
      </c>
      <c r="I996" s="17" t="s">
        <v>1757</v>
      </c>
      <c r="J996" s="17" t="s">
        <v>1758</v>
      </c>
      <c r="K996" s="13">
        <v>0</v>
      </c>
      <c r="L996" s="233">
        <v>1490</v>
      </c>
      <c r="M996" s="13">
        <v>0</v>
      </c>
      <c r="N996" s="13">
        <v>0</v>
      </c>
      <c r="O996" s="13">
        <v>0</v>
      </c>
      <c r="P996" s="13">
        <v>0</v>
      </c>
      <c r="Q996" s="60">
        <v>0</v>
      </c>
      <c r="R996" s="61">
        <v>0</v>
      </c>
      <c r="S996" s="7" t="s">
        <v>115</v>
      </c>
      <c r="T996" s="257">
        <f t="shared" si="35"/>
        <v>1490</v>
      </c>
      <c r="U996" s="257">
        <f t="shared" si="36"/>
        <v>0</v>
      </c>
      <c r="V996">
        <v>1</v>
      </c>
      <c r="W996">
        <v>0</v>
      </c>
    </row>
    <row r="997" spans="1:23" ht="34.200000000000003" x14ac:dyDescent="0.3">
      <c r="A997" s="212">
        <v>39337</v>
      </c>
      <c r="B997" s="212">
        <v>39337</v>
      </c>
      <c r="C997" s="6">
        <v>9</v>
      </c>
      <c r="D997" s="6">
        <v>1</v>
      </c>
      <c r="E997" s="6">
        <v>2007</v>
      </c>
      <c r="F997" s="15" t="s">
        <v>22</v>
      </c>
      <c r="G997" s="18" t="s">
        <v>6256</v>
      </c>
      <c r="H997" s="9" t="s">
        <v>74</v>
      </c>
      <c r="I997" s="17" t="s">
        <v>1759</v>
      </c>
      <c r="J997" s="17" t="s">
        <v>1760</v>
      </c>
      <c r="K997" s="13">
        <v>0</v>
      </c>
      <c r="L997" s="233">
        <v>65</v>
      </c>
      <c r="M997" s="13">
        <v>13</v>
      </c>
      <c r="N997" s="13">
        <v>0</v>
      </c>
      <c r="O997" s="13">
        <v>0</v>
      </c>
      <c r="P997" s="13">
        <v>0</v>
      </c>
      <c r="Q997" s="60">
        <v>0</v>
      </c>
      <c r="R997" s="61">
        <v>2.5999999999999999E-2</v>
      </c>
      <c r="S997" s="7" t="s">
        <v>115</v>
      </c>
      <c r="T997" s="257">
        <f t="shared" si="35"/>
        <v>65</v>
      </c>
      <c r="U997" s="257">
        <f t="shared" si="36"/>
        <v>13</v>
      </c>
      <c r="V997">
        <v>1</v>
      </c>
      <c r="W997">
        <v>1</v>
      </c>
    </row>
    <row r="998" spans="1:23" ht="68.400000000000006" x14ac:dyDescent="0.3">
      <c r="A998" s="212">
        <v>39337</v>
      </c>
      <c r="B998" s="212">
        <v>39337</v>
      </c>
      <c r="C998" s="6">
        <v>9</v>
      </c>
      <c r="D998" s="6">
        <v>1</v>
      </c>
      <c r="E998" s="6">
        <v>2007</v>
      </c>
      <c r="F998" s="15" t="s">
        <v>22</v>
      </c>
      <c r="G998" s="18" t="s">
        <v>6256</v>
      </c>
      <c r="H998" s="9" t="s">
        <v>118</v>
      </c>
      <c r="I998" s="17" t="s">
        <v>1761</v>
      </c>
      <c r="J998" s="10" t="s">
        <v>1762</v>
      </c>
      <c r="K998" s="13">
        <v>2</v>
      </c>
      <c r="L998" s="233">
        <v>2</v>
      </c>
      <c r="M998" s="13">
        <v>1</v>
      </c>
      <c r="N998" s="13">
        <v>0</v>
      </c>
      <c r="O998" s="13">
        <v>0</v>
      </c>
      <c r="P998" s="13">
        <v>0</v>
      </c>
      <c r="Q998" s="60">
        <v>0</v>
      </c>
      <c r="R998" s="61">
        <v>4.1000000000000002E-2</v>
      </c>
      <c r="S998" s="7" t="s">
        <v>115</v>
      </c>
      <c r="T998" s="257">
        <f t="shared" si="35"/>
        <v>4</v>
      </c>
      <c r="U998" s="257">
        <f t="shared" si="36"/>
        <v>1</v>
      </c>
      <c r="V998">
        <v>1</v>
      </c>
      <c r="W998">
        <v>1</v>
      </c>
    </row>
    <row r="999" spans="1:23" ht="45.6" x14ac:dyDescent="0.3">
      <c r="A999" s="212">
        <v>39338</v>
      </c>
      <c r="B999" s="212">
        <v>39338</v>
      </c>
      <c r="C999" s="6">
        <v>9</v>
      </c>
      <c r="D999" s="6">
        <v>1</v>
      </c>
      <c r="E999" s="6">
        <v>2007</v>
      </c>
      <c r="F999" s="15" t="s">
        <v>22</v>
      </c>
      <c r="G999" s="18" t="s">
        <v>6256</v>
      </c>
      <c r="H999" s="9" t="s">
        <v>78</v>
      </c>
      <c r="I999" s="17" t="s">
        <v>1763</v>
      </c>
      <c r="J999" s="17" t="s">
        <v>1764</v>
      </c>
      <c r="K999" s="13">
        <v>2</v>
      </c>
      <c r="L999" s="233">
        <v>2</v>
      </c>
      <c r="M999" s="13">
        <v>0</v>
      </c>
      <c r="N999" s="13">
        <v>0</v>
      </c>
      <c r="O999" s="13">
        <v>0</v>
      </c>
      <c r="P999" s="13">
        <v>0</v>
      </c>
      <c r="Q999" s="60">
        <v>0</v>
      </c>
      <c r="R999" s="61">
        <v>0</v>
      </c>
      <c r="S999" s="7" t="s">
        <v>115</v>
      </c>
      <c r="T999" s="257">
        <f t="shared" si="35"/>
        <v>4</v>
      </c>
      <c r="U999" s="257">
        <f t="shared" si="36"/>
        <v>0</v>
      </c>
      <c r="V999">
        <v>1</v>
      </c>
      <c r="W999">
        <v>0</v>
      </c>
    </row>
    <row r="1000" spans="1:23" ht="34.200000000000003" x14ac:dyDescent="0.3">
      <c r="A1000" s="212">
        <v>39342</v>
      </c>
      <c r="B1000" s="212">
        <v>39342</v>
      </c>
      <c r="C1000" s="6">
        <v>9</v>
      </c>
      <c r="D1000" s="6">
        <v>1</v>
      </c>
      <c r="E1000" s="6">
        <v>2007</v>
      </c>
      <c r="F1000" s="15" t="s">
        <v>22</v>
      </c>
      <c r="G1000" s="18" t="s">
        <v>6256</v>
      </c>
      <c r="H1000" s="9" t="s">
        <v>37</v>
      </c>
      <c r="I1000" s="17" t="s">
        <v>223</v>
      </c>
      <c r="J1000" s="17" t="s">
        <v>1765</v>
      </c>
      <c r="K1000" s="13">
        <v>0</v>
      </c>
      <c r="L1000" s="233">
        <v>130</v>
      </c>
      <c r="M1000" s="13">
        <v>26</v>
      </c>
      <c r="N1000" s="13">
        <v>0</v>
      </c>
      <c r="O1000" s="13">
        <v>0</v>
      </c>
      <c r="P1000" s="13">
        <v>0</v>
      </c>
      <c r="Q1000" s="60">
        <v>0</v>
      </c>
      <c r="R1000" s="61">
        <v>0.121</v>
      </c>
      <c r="S1000" s="7" t="s">
        <v>115</v>
      </c>
      <c r="T1000" s="257">
        <f t="shared" si="35"/>
        <v>130</v>
      </c>
      <c r="U1000" s="257">
        <f t="shared" si="36"/>
        <v>26</v>
      </c>
      <c r="V1000">
        <v>1</v>
      </c>
      <c r="W1000">
        <v>1</v>
      </c>
    </row>
    <row r="1001" spans="1:23" ht="45.6" x14ac:dyDescent="0.3">
      <c r="A1001" s="217">
        <v>41909</v>
      </c>
      <c r="B1001" s="217">
        <v>41914</v>
      </c>
      <c r="C1001" s="6">
        <v>9</v>
      </c>
      <c r="D1001" s="6">
        <v>6</v>
      </c>
      <c r="E1001" s="33">
        <v>2014</v>
      </c>
      <c r="F1001" s="15" t="s">
        <v>22</v>
      </c>
      <c r="G1001" s="18" t="s">
        <v>6256</v>
      </c>
      <c r="H1001" s="9" t="s">
        <v>48</v>
      </c>
      <c r="I1001" s="47" t="s">
        <v>1766</v>
      </c>
      <c r="J1001" s="48" t="s">
        <v>1767</v>
      </c>
      <c r="K1001" s="49">
        <v>0</v>
      </c>
      <c r="L1001" s="236">
        <v>7172</v>
      </c>
      <c r="M1001" s="35">
        <v>0</v>
      </c>
      <c r="N1001" s="35">
        <v>0</v>
      </c>
      <c r="O1001" s="35">
        <v>0</v>
      </c>
      <c r="P1001" s="35">
        <v>0</v>
      </c>
      <c r="Q1001" s="35">
        <v>0</v>
      </c>
      <c r="R1001" s="36">
        <v>6.3</v>
      </c>
      <c r="S1001" s="50" t="s">
        <v>149</v>
      </c>
      <c r="T1001" s="257">
        <f t="shared" si="35"/>
        <v>7172</v>
      </c>
      <c r="U1001" s="257">
        <f t="shared" si="36"/>
        <v>0</v>
      </c>
      <c r="V1001">
        <v>1</v>
      </c>
      <c r="W1001">
        <v>0</v>
      </c>
    </row>
    <row r="1002" spans="1:23" ht="79.8" x14ac:dyDescent="0.3">
      <c r="A1002" s="212">
        <v>39353</v>
      </c>
      <c r="B1002" s="212">
        <v>39353</v>
      </c>
      <c r="C1002" s="6">
        <v>9</v>
      </c>
      <c r="D1002" s="6">
        <v>1</v>
      </c>
      <c r="E1002" s="6">
        <v>2007</v>
      </c>
      <c r="F1002" s="15" t="s">
        <v>22</v>
      </c>
      <c r="G1002" s="16" t="s">
        <v>6254</v>
      </c>
      <c r="H1002" s="9" t="s">
        <v>64</v>
      </c>
      <c r="I1002" s="17" t="s">
        <v>1768</v>
      </c>
      <c r="J1002" s="10" t="s">
        <v>1769</v>
      </c>
      <c r="K1002" s="13">
        <v>6</v>
      </c>
      <c r="L1002" s="233">
        <v>566</v>
      </c>
      <c r="M1002" s="13" t="s">
        <v>1678</v>
      </c>
      <c r="N1002" s="13" t="s">
        <v>1678</v>
      </c>
      <c r="O1002" s="13">
        <v>0</v>
      </c>
      <c r="P1002" s="13">
        <v>0</v>
      </c>
      <c r="Q1002" s="60">
        <v>0</v>
      </c>
      <c r="R1002" s="61">
        <v>105.34099999999999</v>
      </c>
      <c r="S1002" s="6" t="s">
        <v>149</v>
      </c>
      <c r="T1002" s="257">
        <f t="shared" si="35"/>
        <v>572</v>
      </c>
      <c r="U1002" s="257">
        <f t="shared" si="36"/>
        <v>0</v>
      </c>
      <c r="V1002">
        <v>1</v>
      </c>
      <c r="W1002">
        <v>0</v>
      </c>
    </row>
    <row r="1003" spans="1:23" ht="57" x14ac:dyDescent="0.3">
      <c r="A1003" s="212">
        <v>39353</v>
      </c>
      <c r="B1003" s="212">
        <v>39353</v>
      </c>
      <c r="C1003" s="6">
        <v>9</v>
      </c>
      <c r="D1003" s="6">
        <v>1</v>
      </c>
      <c r="E1003" s="6">
        <v>2007</v>
      </c>
      <c r="F1003" s="15" t="s">
        <v>22</v>
      </c>
      <c r="G1003" s="16" t="s">
        <v>6254</v>
      </c>
      <c r="H1003" s="9" t="s">
        <v>121</v>
      </c>
      <c r="I1003" s="17" t="s">
        <v>1770</v>
      </c>
      <c r="J1003" s="10" t="s">
        <v>1771</v>
      </c>
      <c r="K1003" s="13">
        <v>0</v>
      </c>
      <c r="L1003" s="233">
        <v>164</v>
      </c>
      <c r="M1003" s="13" t="s">
        <v>1678</v>
      </c>
      <c r="N1003" s="13" t="s">
        <v>1678</v>
      </c>
      <c r="O1003" s="13" t="s">
        <v>1678</v>
      </c>
      <c r="P1003" s="13">
        <v>0</v>
      </c>
      <c r="Q1003" s="60"/>
      <c r="R1003" s="61">
        <v>156.358</v>
      </c>
      <c r="S1003" s="6" t="s">
        <v>149</v>
      </c>
      <c r="T1003" s="257">
        <f t="shared" si="35"/>
        <v>164</v>
      </c>
      <c r="U1003" s="257">
        <f t="shared" si="36"/>
        <v>0</v>
      </c>
      <c r="V1003">
        <v>1</v>
      </c>
      <c r="W1003">
        <v>0</v>
      </c>
    </row>
    <row r="1004" spans="1:23" ht="34.200000000000003" x14ac:dyDescent="0.3">
      <c r="A1004" s="212">
        <v>39359</v>
      </c>
      <c r="B1004" s="212">
        <v>39359</v>
      </c>
      <c r="C1004" s="6">
        <v>10</v>
      </c>
      <c r="D1004" s="6">
        <v>1</v>
      </c>
      <c r="E1004" s="6">
        <v>2007</v>
      </c>
      <c r="F1004" s="15" t="s">
        <v>22</v>
      </c>
      <c r="G1004" s="18" t="s">
        <v>6256</v>
      </c>
      <c r="H1004" s="9" t="s">
        <v>51</v>
      </c>
      <c r="I1004" s="17" t="s">
        <v>653</v>
      </c>
      <c r="J1004" s="17" t="s">
        <v>1772</v>
      </c>
      <c r="K1004" s="13">
        <v>1</v>
      </c>
      <c r="L1004" s="233">
        <v>1</v>
      </c>
      <c r="M1004" s="13">
        <v>0</v>
      </c>
      <c r="N1004" s="13">
        <v>0</v>
      </c>
      <c r="O1004" s="13">
        <v>0</v>
      </c>
      <c r="P1004" s="13">
        <v>0</v>
      </c>
      <c r="Q1004" s="60">
        <v>0</v>
      </c>
      <c r="R1004" s="61">
        <v>0</v>
      </c>
      <c r="S1004" s="7" t="s">
        <v>115</v>
      </c>
      <c r="T1004" s="257">
        <f t="shared" si="35"/>
        <v>2</v>
      </c>
      <c r="U1004" s="257">
        <f t="shared" si="36"/>
        <v>0</v>
      </c>
      <c r="V1004">
        <v>1</v>
      </c>
      <c r="W1004">
        <v>0</v>
      </c>
    </row>
    <row r="1005" spans="1:23" ht="125.4" x14ac:dyDescent="0.3">
      <c r="A1005" s="212">
        <v>39364</v>
      </c>
      <c r="B1005" s="212">
        <v>39364</v>
      </c>
      <c r="C1005" s="6">
        <v>10</v>
      </c>
      <c r="D1005" s="6">
        <v>1</v>
      </c>
      <c r="E1005" s="6">
        <v>2007</v>
      </c>
      <c r="F1005" s="15" t="s">
        <v>22</v>
      </c>
      <c r="G1005" s="18" t="s">
        <v>6256</v>
      </c>
      <c r="H1005" s="9" t="s">
        <v>174</v>
      </c>
      <c r="I1005" s="17" t="s">
        <v>1773</v>
      </c>
      <c r="J1005" s="10" t="s">
        <v>1774</v>
      </c>
      <c r="K1005" s="13">
        <v>0</v>
      </c>
      <c r="L1005" s="233">
        <v>11600</v>
      </c>
      <c r="M1005" s="13">
        <v>6906</v>
      </c>
      <c r="N1005" s="13">
        <v>33</v>
      </c>
      <c r="O1005" s="13">
        <v>0</v>
      </c>
      <c r="P1005" s="13">
        <v>0</v>
      </c>
      <c r="Q1005" s="60">
        <v>0</v>
      </c>
      <c r="R1005" s="61">
        <v>445.41199999999998</v>
      </c>
      <c r="S1005" s="6" t="s">
        <v>149</v>
      </c>
      <c r="T1005" s="257">
        <f t="shared" si="35"/>
        <v>11600</v>
      </c>
      <c r="U1005" s="257">
        <f t="shared" si="36"/>
        <v>6939</v>
      </c>
      <c r="V1005">
        <v>2</v>
      </c>
      <c r="W1005">
        <v>2</v>
      </c>
    </row>
    <row r="1006" spans="1:23" ht="45.6" x14ac:dyDescent="0.3">
      <c r="A1006" s="212">
        <v>37174</v>
      </c>
      <c r="B1006" s="212">
        <v>37174</v>
      </c>
      <c r="C1006" s="6">
        <v>10</v>
      </c>
      <c r="D1006" s="6">
        <v>1</v>
      </c>
      <c r="E1006" s="6">
        <v>2001</v>
      </c>
      <c r="F1006" s="15" t="s">
        <v>22</v>
      </c>
      <c r="G1006" s="16" t="s">
        <v>23</v>
      </c>
      <c r="H1006" s="9" t="s">
        <v>48</v>
      </c>
      <c r="I1006" s="17" t="s">
        <v>25</v>
      </c>
      <c r="J1006" s="11" t="s">
        <v>1775</v>
      </c>
      <c r="K1006" s="12">
        <v>0</v>
      </c>
      <c r="L1006" s="233">
        <v>0</v>
      </c>
      <c r="M1006" s="13">
        <v>0</v>
      </c>
      <c r="N1006" s="13">
        <v>0</v>
      </c>
      <c r="O1006" s="13">
        <v>0</v>
      </c>
      <c r="P1006" s="13">
        <v>0</v>
      </c>
      <c r="Q1006" s="13">
        <v>0</v>
      </c>
      <c r="R1006" s="26">
        <v>5.7</v>
      </c>
      <c r="S1006" s="6" t="s">
        <v>21</v>
      </c>
      <c r="T1006" s="257">
        <f t="shared" si="35"/>
        <v>0</v>
      </c>
      <c r="U1006" s="257">
        <f t="shared" si="36"/>
        <v>0</v>
      </c>
      <c r="V1006">
        <v>0</v>
      </c>
      <c r="W1006">
        <v>0</v>
      </c>
    </row>
    <row r="1007" spans="1:23" ht="22.8" x14ac:dyDescent="0.3">
      <c r="A1007" s="212">
        <v>39365</v>
      </c>
      <c r="B1007" s="212">
        <v>39365</v>
      </c>
      <c r="C1007" s="6">
        <v>10</v>
      </c>
      <c r="D1007" s="6">
        <v>1</v>
      </c>
      <c r="E1007" s="6">
        <v>2007</v>
      </c>
      <c r="F1007" s="15" t="s">
        <v>22</v>
      </c>
      <c r="G1007" s="18" t="s">
        <v>6256</v>
      </c>
      <c r="H1007" s="9" t="s">
        <v>66</v>
      </c>
      <c r="I1007" s="17" t="s">
        <v>1776</v>
      </c>
      <c r="J1007" s="17" t="s">
        <v>1777</v>
      </c>
      <c r="K1007" s="13">
        <v>0</v>
      </c>
      <c r="L1007" s="233">
        <v>19</v>
      </c>
      <c r="M1007" s="13">
        <v>0</v>
      </c>
      <c r="N1007" s="13">
        <v>0</v>
      </c>
      <c r="O1007" s="13">
        <v>0</v>
      </c>
      <c r="P1007" s="13">
        <v>0</v>
      </c>
      <c r="Q1007" s="60">
        <v>0</v>
      </c>
      <c r="R1007" s="61">
        <v>0</v>
      </c>
      <c r="S1007" s="7" t="s">
        <v>115</v>
      </c>
      <c r="T1007" s="257">
        <f t="shared" si="35"/>
        <v>19</v>
      </c>
      <c r="U1007" s="257">
        <f t="shared" si="36"/>
        <v>0</v>
      </c>
      <c r="V1007">
        <v>1</v>
      </c>
      <c r="W1007">
        <v>0</v>
      </c>
    </row>
    <row r="1008" spans="1:23" ht="34.200000000000003" x14ac:dyDescent="0.3">
      <c r="A1008" s="212">
        <v>39366</v>
      </c>
      <c r="B1008" s="212">
        <v>39366</v>
      </c>
      <c r="C1008" s="6">
        <v>10</v>
      </c>
      <c r="D1008" s="6">
        <v>1</v>
      </c>
      <c r="E1008" s="6">
        <v>2007</v>
      </c>
      <c r="F1008" s="15" t="s">
        <v>22</v>
      </c>
      <c r="G1008" s="18" t="s">
        <v>6256</v>
      </c>
      <c r="H1008" s="17" t="s">
        <v>565</v>
      </c>
      <c r="I1008" s="17" t="s">
        <v>1778</v>
      </c>
      <c r="J1008" s="17" t="s">
        <v>1779</v>
      </c>
      <c r="K1008" s="13">
        <v>0</v>
      </c>
      <c r="L1008" s="233">
        <v>3493</v>
      </c>
      <c r="M1008" s="13">
        <v>803</v>
      </c>
      <c r="N1008" s="13">
        <v>0</v>
      </c>
      <c r="O1008" s="13">
        <v>0</v>
      </c>
      <c r="P1008" s="13">
        <v>0</v>
      </c>
      <c r="Q1008" s="60">
        <v>0</v>
      </c>
      <c r="R1008" s="61">
        <v>1.61</v>
      </c>
      <c r="S1008" s="7" t="s">
        <v>115</v>
      </c>
      <c r="T1008" s="257">
        <f t="shared" si="35"/>
        <v>3493</v>
      </c>
      <c r="U1008" s="257">
        <f t="shared" si="36"/>
        <v>803</v>
      </c>
      <c r="V1008">
        <v>1</v>
      </c>
      <c r="W1008">
        <v>1</v>
      </c>
    </row>
    <row r="1009" spans="1:23" ht="45.6" x14ac:dyDescent="0.3">
      <c r="A1009" s="212">
        <v>39372</v>
      </c>
      <c r="B1009" s="212">
        <v>39372</v>
      </c>
      <c r="C1009" s="6">
        <v>10</v>
      </c>
      <c r="D1009" s="6">
        <v>1</v>
      </c>
      <c r="E1009" s="6">
        <v>2007</v>
      </c>
      <c r="F1009" s="15" t="s">
        <v>22</v>
      </c>
      <c r="G1009" s="18" t="s">
        <v>6256</v>
      </c>
      <c r="H1009" s="9" t="s">
        <v>31</v>
      </c>
      <c r="I1009" s="17" t="s">
        <v>1780</v>
      </c>
      <c r="J1009" s="17" t="s">
        <v>1781</v>
      </c>
      <c r="K1009" s="13">
        <v>0</v>
      </c>
      <c r="L1009" s="233">
        <v>211</v>
      </c>
      <c r="M1009" s="13">
        <v>0</v>
      </c>
      <c r="N1009" s="13">
        <v>0</v>
      </c>
      <c r="O1009" s="13">
        <v>0</v>
      </c>
      <c r="P1009" s="13">
        <v>0</v>
      </c>
      <c r="Q1009" s="60">
        <v>0</v>
      </c>
      <c r="R1009" s="61">
        <v>0</v>
      </c>
      <c r="S1009" s="7" t="s">
        <v>115</v>
      </c>
      <c r="T1009" s="257">
        <f t="shared" si="35"/>
        <v>211</v>
      </c>
      <c r="U1009" s="257">
        <f t="shared" si="36"/>
        <v>0</v>
      </c>
      <c r="V1009">
        <v>1</v>
      </c>
      <c r="W1009">
        <v>0</v>
      </c>
    </row>
    <row r="1010" spans="1:23" ht="45.6" x14ac:dyDescent="0.3">
      <c r="A1010" s="212">
        <v>39373</v>
      </c>
      <c r="B1010" s="212">
        <v>39373</v>
      </c>
      <c r="C1010" s="6">
        <v>10</v>
      </c>
      <c r="D1010" s="6">
        <v>1</v>
      </c>
      <c r="E1010" s="6">
        <v>2007</v>
      </c>
      <c r="F1010" s="15" t="s">
        <v>22</v>
      </c>
      <c r="G1010" s="18" t="s">
        <v>6256</v>
      </c>
      <c r="H1010" s="9" t="s">
        <v>61</v>
      </c>
      <c r="I1010" s="17" t="s">
        <v>1782</v>
      </c>
      <c r="J1010" s="17" t="s">
        <v>1783</v>
      </c>
      <c r="K1010" s="13">
        <v>0</v>
      </c>
      <c r="L1010" s="233" t="s">
        <v>95</v>
      </c>
      <c r="M1010" s="13">
        <v>1</v>
      </c>
      <c r="N1010" s="13">
        <v>1</v>
      </c>
      <c r="O1010" s="13">
        <v>0</v>
      </c>
      <c r="P1010" s="13">
        <v>0</v>
      </c>
      <c r="Q1010" s="60">
        <v>0</v>
      </c>
      <c r="R1010" s="61">
        <v>0.01</v>
      </c>
      <c r="S1010" s="7" t="s">
        <v>115</v>
      </c>
      <c r="T1010" s="257">
        <f t="shared" si="35"/>
        <v>0</v>
      </c>
      <c r="U1010" s="257">
        <f t="shared" si="36"/>
        <v>2</v>
      </c>
      <c r="V1010">
        <v>0</v>
      </c>
      <c r="W1010">
        <v>1</v>
      </c>
    </row>
    <row r="1011" spans="1:23" ht="79.8" x14ac:dyDescent="0.3">
      <c r="A1011" s="212">
        <v>39377</v>
      </c>
      <c r="B1011" s="212">
        <v>39377</v>
      </c>
      <c r="C1011" s="6">
        <v>10</v>
      </c>
      <c r="D1011" s="6">
        <v>1</v>
      </c>
      <c r="E1011" s="6">
        <v>2007</v>
      </c>
      <c r="F1011" s="15" t="s">
        <v>22</v>
      </c>
      <c r="G1011" s="18" t="s">
        <v>6256</v>
      </c>
      <c r="H1011" s="9" t="s">
        <v>174</v>
      </c>
      <c r="I1011" s="17" t="s">
        <v>1784</v>
      </c>
      <c r="J1011" s="17" t="s">
        <v>1785</v>
      </c>
      <c r="K1011" s="13">
        <v>0</v>
      </c>
      <c r="L1011" s="233">
        <v>4388</v>
      </c>
      <c r="M1011" s="13">
        <v>877</v>
      </c>
      <c r="N1011" s="13">
        <v>7</v>
      </c>
      <c r="O1011" s="13">
        <v>0</v>
      </c>
      <c r="P1011" s="13">
        <v>0</v>
      </c>
      <c r="Q1011" s="60">
        <v>0</v>
      </c>
      <c r="R1011" s="61">
        <v>4.09</v>
      </c>
      <c r="S1011" s="7" t="s">
        <v>115</v>
      </c>
      <c r="T1011" s="257">
        <f t="shared" si="35"/>
        <v>4388</v>
      </c>
      <c r="U1011" s="257">
        <f t="shared" si="36"/>
        <v>884</v>
      </c>
      <c r="V1011">
        <v>1</v>
      </c>
      <c r="W1011">
        <v>1</v>
      </c>
    </row>
    <row r="1012" spans="1:23" ht="57" x14ac:dyDescent="0.3">
      <c r="A1012" s="212">
        <v>39377</v>
      </c>
      <c r="B1012" s="212">
        <v>39377</v>
      </c>
      <c r="C1012" s="6">
        <v>10</v>
      </c>
      <c r="D1012" s="6">
        <v>1</v>
      </c>
      <c r="E1012" s="6">
        <v>2007</v>
      </c>
      <c r="F1012" s="15" t="s">
        <v>22</v>
      </c>
      <c r="G1012" s="18" t="s">
        <v>6256</v>
      </c>
      <c r="H1012" s="9" t="s">
        <v>64</v>
      </c>
      <c r="I1012" s="17" t="s">
        <v>1786</v>
      </c>
      <c r="J1012" s="17" t="s">
        <v>1787</v>
      </c>
      <c r="K1012" s="13">
        <v>0</v>
      </c>
      <c r="L1012" s="233">
        <v>130</v>
      </c>
      <c r="M1012" s="13">
        <v>26</v>
      </c>
      <c r="N1012" s="13">
        <v>0</v>
      </c>
      <c r="O1012" s="13">
        <v>0</v>
      </c>
      <c r="P1012" s="13">
        <v>0</v>
      </c>
      <c r="Q1012" s="60">
        <v>0</v>
      </c>
      <c r="R1012" s="61">
        <v>1.08</v>
      </c>
      <c r="S1012" s="7" t="s">
        <v>115</v>
      </c>
      <c r="T1012" s="257">
        <f t="shared" si="35"/>
        <v>130</v>
      </c>
      <c r="U1012" s="257">
        <f t="shared" si="36"/>
        <v>26</v>
      </c>
      <c r="V1012">
        <v>1</v>
      </c>
      <c r="W1012">
        <v>1</v>
      </c>
    </row>
    <row r="1013" spans="1:23" ht="22.8" x14ac:dyDescent="0.3">
      <c r="A1013" s="212">
        <v>39404</v>
      </c>
      <c r="B1013" s="212">
        <v>39404</v>
      </c>
      <c r="C1013" s="6">
        <v>11</v>
      </c>
      <c r="D1013" s="6">
        <v>1</v>
      </c>
      <c r="E1013" s="6">
        <v>2007</v>
      </c>
      <c r="F1013" s="15" t="s">
        <v>22</v>
      </c>
      <c r="G1013" s="18" t="s">
        <v>6256</v>
      </c>
      <c r="H1013" s="9" t="s">
        <v>52</v>
      </c>
      <c r="I1013" s="17" t="s">
        <v>1788</v>
      </c>
      <c r="J1013" s="17" t="s">
        <v>1789</v>
      </c>
      <c r="K1013" s="13">
        <v>0</v>
      </c>
      <c r="L1013" s="233">
        <v>280</v>
      </c>
      <c r="M1013" s="13">
        <v>56</v>
      </c>
      <c r="N1013" s="13">
        <v>0</v>
      </c>
      <c r="O1013" s="13">
        <v>0</v>
      </c>
      <c r="P1013" s="13">
        <v>0</v>
      </c>
      <c r="Q1013" s="60">
        <v>0</v>
      </c>
      <c r="R1013" s="61">
        <v>0.26</v>
      </c>
      <c r="S1013" s="7" t="s">
        <v>115</v>
      </c>
      <c r="T1013" s="257">
        <f t="shared" si="35"/>
        <v>280</v>
      </c>
      <c r="U1013" s="257">
        <f t="shared" si="36"/>
        <v>56</v>
      </c>
      <c r="V1013">
        <v>1</v>
      </c>
      <c r="W1013">
        <v>1</v>
      </c>
    </row>
    <row r="1014" spans="1:23" ht="148.19999999999999" x14ac:dyDescent="0.3">
      <c r="A1014" s="212">
        <v>39410</v>
      </c>
      <c r="B1014" s="212">
        <v>39410</v>
      </c>
      <c r="C1014" s="6">
        <v>11</v>
      </c>
      <c r="D1014" s="6">
        <v>1</v>
      </c>
      <c r="E1014" s="6">
        <v>2007</v>
      </c>
      <c r="F1014" s="15" t="s">
        <v>22</v>
      </c>
      <c r="G1014" s="18" t="s">
        <v>6256</v>
      </c>
      <c r="H1014" s="9" t="s">
        <v>34</v>
      </c>
      <c r="I1014" s="17" t="s">
        <v>1790</v>
      </c>
      <c r="J1014" s="17" t="s">
        <v>1791</v>
      </c>
      <c r="K1014" s="13">
        <v>0</v>
      </c>
      <c r="L1014" s="233">
        <v>37908</v>
      </c>
      <c r="M1014" s="13">
        <v>0</v>
      </c>
      <c r="N1014" s="13">
        <v>0</v>
      </c>
      <c r="O1014" s="13">
        <v>0</v>
      </c>
      <c r="P1014" s="13">
        <v>0</v>
      </c>
      <c r="Q1014" s="60">
        <v>0</v>
      </c>
      <c r="R1014" s="61">
        <v>0</v>
      </c>
      <c r="S1014" s="7" t="s">
        <v>115</v>
      </c>
      <c r="T1014" s="257">
        <f t="shared" si="35"/>
        <v>37908</v>
      </c>
      <c r="U1014" s="257">
        <f t="shared" si="36"/>
        <v>0</v>
      </c>
      <c r="V1014">
        <v>2</v>
      </c>
      <c r="W1014">
        <v>0</v>
      </c>
    </row>
    <row r="1015" spans="1:23" ht="159.6" x14ac:dyDescent="0.3">
      <c r="A1015" s="212">
        <v>39386</v>
      </c>
      <c r="B1015" s="212"/>
      <c r="C1015" s="6">
        <v>10</v>
      </c>
      <c r="D1015" s="6">
        <v>1</v>
      </c>
      <c r="E1015" s="6">
        <v>2007</v>
      </c>
      <c r="F1015" s="15" t="s">
        <v>22</v>
      </c>
      <c r="G1015" s="18" t="s">
        <v>6256</v>
      </c>
      <c r="H1015" s="9" t="s">
        <v>31</v>
      </c>
      <c r="I1015" s="17" t="s">
        <v>1066</v>
      </c>
      <c r="J1015" s="10" t="s">
        <v>1792</v>
      </c>
      <c r="K1015" s="13">
        <v>0</v>
      </c>
      <c r="L1015" s="233">
        <v>745027</v>
      </c>
      <c r="M1015" s="13">
        <v>1822</v>
      </c>
      <c r="N1015" s="13">
        <v>79</v>
      </c>
      <c r="O1015" s="13">
        <v>0</v>
      </c>
      <c r="P1015" s="13">
        <v>0</v>
      </c>
      <c r="Q1015" s="60">
        <v>93426.3</v>
      </c>
      <c r="R1015" s="61">
        <v>3396.78</v>
      </c>
      <c r="S1015" s="7" t="s">
        <v>115</v>
      </c>
      <c r="T1015" s="257">
        <f t="shared" si="35"/>
        <v>745027</v>
      </c>
      <c r="U1015" s="257">
        <f t="shared" si="36"/>
        <v>1901</v>
      </c>
      <c r="V1015">
        <v>4</v>
      </c>
      <c r="W1015">
        <v>2</v>
      </c>
    </row>
    <row r="1016" spans="1:23" ht="57" x14ac:dyDescent="0.3">
      <c r="A1016" s="212">
        <v>42275</v>
      </c>
      <c r="B1016" s="212">
        <v>42276</v>
      </c>
      <c r="C1016" s="6">
        <v>9</v>
      </c>
      <c r="D1016" s="6">
        <v>2</v>
      </c>
      <c r="E1016" s="54">
        <v>2015</v>
      </c>
      <c r="F1016" s="15" t="s">
        <v>22</v>
      </c>
      <c r="G1016" s="16" t="s">
        <v>6254</v>
      </c>
      <c r="H1016" s="9" t="s">
        <v>48</v>
      </c>
      <c r="I1016" s="53" t="s">
        <v>1793</v>
      </c>
      <c r="J1016" s="34" t="s">
        <v>1794</v>
      </c>
      <c r="K1016" s="124">
        <v>0</v>
      </c>
      <c r="L1016" s="239">
        <v>104500</v>
      </c>
      <c r="M1016" s="56">
        <v>0</v>
      </c>
      <c r="N1016" s="56">
        <v>0</v>
      </c>
      <c r="O1016" s="56">
        <v>0</v>
      </c>
      <c r="P1016" s="56">
        <v>0</v>
      </c>
      <c r="Q1016" s="56">
        <v>0</v>
      </c>
      <c r="R1016" s="26">
        <v>4.93</v>
      </c>
      <c r="S1016" s="125" t="s">
        <v>149</v>
      </c>
      <c r="T1016" s="257">
        <f t="shared" si="35"/>
        <v>104500</v>
      </c>
      <c r="U1016" s="257">
        <f t="shared" si="36"/>
        <v>0</v>
      </c>
      <c r="V1016">
        <v>3</v>
      </c>
      <c r="W1016">
        <v>0</v>
      </c>
    </row>
    <row r="1017" spans="1:23" ht="22.8" x14ac:dyDescent="0.3">
      <c r="A1017" s="212">
        <v>39337</v>
      </c>
      <c r="B1017" s="212">
        <v>39338</v>
      </c>
      <c r="C1017" s="6">
        <v>9</v>
      </c>
      <c r="D1017" s="6">
        <v>2</v>
      </c>
      <c r="E1017" s="6">
        <v>2007</v>
      </c>
      <c r="F1017" s="15" t="s">
        <v>22</v>
      </c>
      <c r="G1017" s="18" t="s">
        <v>6256</v>
      </c>
      <c r="H1017" s="9" t="s">
        <v>64</v>
      </c>
      <c r="I1017" s="17" t="s">
        <v>1795</v>
      </c>
      <c r="J1017" s="17" t="s">
        <v>1796</v>
      </c>
      <c r="K1017" s="13">
        <v>4</v>
      </c>
      <c r="L1017" s="233">
        <v>4</v>
      </c>
      <c r="M1017" s="13">
        <v>0</v>
      </c>
      <c r="N1017" s="13">
        <v>0</v>
      </c>
      <c r="O1017" s="13">
        <v>0</v>
      </c>
      <c r="P1017" s="13">
        <v>0</v>
      </c>
      <c r="Q1017" s="60">
        <v>0</v>
      </c>
      <c r="R1017" s="61">
        <v>0</v>
      </c>
      <c r="S1017" s="7" t="s">
        <v>115</v>
      </c>
      <c r="T1017" s="257">
        <f t="shared" si="35"/>
        <v>8</v>
      </c>
      <c r="U1017" s="257">
        <f t="shared" si="36"/>
        <v>0</v>
      </c>
      <c r="V1017">
        <v>1</v>
      </c>
      <c r="W1017">
        <v>0</v>
      </c>
    </row>
    <row r="1018" spans="1:23" ht="211.2" x14ac:dyDescent="0.3">
      <c r="A1018" s="219">
        <v>40430</v>
      </c>
      <c r="B1018" s="219">
        <v>40430</v>
      </c>
      <c r="C1018" s="6">
        <v>9</v>
      </c>
      <c r="D1018" s="6">
        <v>1</v>
      </c>
      <c r="E1018" s="73">
        <v>2010</v>
      </c>
      <c r="F1018" s="15" t="s">
        <v>22</v>
      </c>
      <c r="G1018" s="18" t="s">
        <v>6256</v>
      </c>
      <c r="H1018" s="9" t="s">
        <v>48</v>
      </c>
      <c r="I1018" s="74" t="s">
        <v>1797</v>
      </c>
      <c r="J1018" s="74" t="s">
        <v>1798</v>
      </c>
      <c r="K1018" s="75">
        <v>4</v>
      </c>
      <c r="L1018" s="241">
        <v>560</v>
      </c>
      <c r="M1018" s="75">
        <v>120</v>
      </c>
      <c r="N1018" s="75">
        <v>0</v>
      </c>
      <c r="O1018" s="75">
        <v>0</v>
      </c>
      <c r="P1018" s="75">
        <v>0</v>
      </c>
      <c r="Q1018" s="75">
        <v>0</v>
      </c>
      <c r="R1018" s="61">
        <v>4.5224399999999996</v>
      </c>
      <c r="S1018" s="73" t="s">
        <v>115</v>
      </c>
      <c r="T1018" s="257">
        <f t="shared" si="35"/>
        <v>564</v>
      </c>
      <c r="U1018" s="257">
        <f t="shared" si="36"/>
        <v>120</v>
      </c>
      <c r="V1018">
        <v>1</v>
      </c>
      <c r="W1018">
        <v>1</v>
      </c>
    </row>
    <row r="1019" spans="1:23" ht="92.4" x14ac:dyDescent="0.3">
      <c r="A1019" s="223">
        <v>40438</v>
      </c>
      <c r="B1019" s="223">
        <v>40438</v>
      </c>
      <c r="C1019" s="6">
        <v>9</v>
      </c>
      <c r="D1019" s="6">
        <v>1</v>
      </c>
      <c r="E1019" s="73">
        <v>2010</v>
      </c>
      <c r="F1019" s="15" t="s">
        <v>22</v>
      </c>
      <c r="G1019" s="16" t="s">
        <v>6254</v>
      </c>
      <c r="H1019" s="9" t="s">
        <v>174</v>
      </c>
      <c r="I1019" s="74" t="s">
        <v>1799</v>
      </c>
      <c r="J1019" s="74" t="s">
        <v>1800</v>
      </c>
      <c r="K1019" s="75">
        <v>23</v>
      </c>
      <c r="L1019" s="241">
        <v>500896</v>
      </c>
      <c r="M1019" s="75">
        <v>89823</v>
      </c>
      <c r="N1019" s="75">
        <v>129</v>
      </c>
      <c r="O1019" s="75">
        <v>10</v>
      </c>
      <c r="P1019" s="75">
        <v>9000</v>
      </c>
      <c r="Q1019" s="75">
        <v>131436</v>
      </c>
      <c r="R1019" s="61">
        <v>24679.8</v>
      </c>
      <c r="S1019" s="73" t="s">
        <v>21</v>
      </c>
      <c r="T1019" s="257">
        <f t="shared" si="35"/>
        <v>500919</v>
      </c>
      <c r="U1019" s="257">
        <f t="shared" si="36"/>
        <v>98962</v>
      </c>
      <c r="V1019">
        <v>4</v>
      </c>
      <c r="W1019">
        <v>4</v>
      </c>
    </row>
    <row r="1020" spans="1:23" ht="91.2" x14ac:dyDescent="0.3">
      <c r="A1020" s="217">
        <v>41882</v>
      </c>
      <c r="B1020" s="217">
        <v>41882</v>
      </c>
      <c r="C1020" s="6">
        <v>8</v>
      </c>
      <c r="D1020" s="6">
        <v>1</v>
      </c>
      <c r="E1020" s="33">
        <v>2014</v>
      </c>
      <c r="F1020" s="15" t="s">
        <v>22</v>
      </c>
      <c r="G1020" s="18" t="s">
        <v>6256</v>
      </c>
      <c r="H1020" s="9" t="s">
        <v>48</v>
      </c>
      <c r="I1020" s="47" t="s">
        <v>1801</v>
      </c>
      <c r="J1020" s="48" t="s">
        <v>1802</v>
      </c>
      <c r="K1020" s="49">
        <v>0</v>
      </c>
      <c r="L1020" s="236">
        <v>250</v>
      </c>
      <c r="M1020" s="35">
        <v>50</v>
      </c>
      <c r="N1020" s="35">
        <v>0</v>
      </c>
      <c r="O1020" s="35">
        <v>0</v>
      </c>
      <c r="P1020" s="35">
        <v>0</v>
      </c>
      <c r="Q1020" s="35">
        <v>0</v>
      </c>
      <c r="R1020" s="36">
        <v>3.7294999999999998</v>
      </c>
      <c r="S1020" s="50" t="s">
        <v>115</v>
      </c>
      <c r="T1020" s="257">
        <f t="shared" si="35"/>
        <v>250</v>
      </c>
      <c r="U1020" s="257">
        <f t="shared" si="36"/>
        <v>50</v>
      </c>
      <c r="V1020">
        <v>1</v>
      </c>
      <c r="W1020">
        <v>1</v>
      </c>
    </row>
    <row r="1021" spans="1:23" ht="68.400000000000006" x14ac:dyDescent="0.3">
      <c r="A1021" s="212">
        <v>39322</v>
      </c>
      <c r="B1021" s="212">
        <v>39326</v>
      </c>
      <c r="C1021" s="6">
        <v>8</v>
      </c>
      <c r="D1021" s="6">
        <v>5</v>
      </c>
      <c r="E1021" s="6">
        <v>2007</v>
      </c>
      <c r="F1021" s="15" t="s">
        <v>22</v>
      </c>
      <c r="G1021" s="18" t="s">
        <v>6256</v>
      </c>
      <c r="H1021" s="9" t="s">
        <v>70</v>
      </c>
      <c r="I1021" s="17" t="s">
        <v>1803</v>
      </c>
      <c r="J1021" s="17" t="s">
        <v>1804</v>
      </c>
      <c r="K1021" s="13">
        <v>0</v>
      </c>
      <c r="L1021" s="233">
        <v>443</v>
      </c>
      <c r="M1021" s="13">
        <v>0</v>
      </c>
      <c r="N1021" s="13">
        <v>0</v>
      </c>
      <c r="O1021" s="13">
        <v>0</v>
      </c>
      <c r="P1021" s="13">
        <v>0</v>
      </c>
      <c r="Q1021" s="60">
        <v>0</v>
      </c>
      <c r="R1021" s="61">
        <v>0</v>
      </c>
      <c r="S1021" s="7" t="s">
        <v>115</v>
      </c>
      <c r="T1021" s="257">
        <f t="shared" si="35"/>
        <v>443</v>
      </c>
      <c r="U1021" s="257">
        <f t="shared" si="36"/>
        <v>0</v>
      </c>
      <c r="V1021">
        <v>1</v>
      </c>
      <c r="W1021">
        <v>0</v>
      </c>
    </row>
    <row r="1022" spans="1:23" ht="57" x14ac:dyDescent="0.3">
      <c r="A1022" s="212">
        <v>39322</v>
      </c>
      <c r="B1022" s="212">
        <v>39330</v>
      </c>
      <c r="C1022" s="6">
        <v>8</v>
      </c>
      <c r="D1022" s="6">
        <v>9</v>
      </c>
      <c r="E1022" s="6">
        <v>2007</v>
      </c>
      <c r="F1022" s="15" t="s">
        <v>22</v>
      </c>
      <c r="G1022" s="18" t="s">
        <v>6256</v>
      </c>
      <c r="H1022" s="9" t="s">
        <v>78</v>
      </c>
      <c r="I1022" s="17" t="s">
        <v>1805</v>
      </c>
      <c r="J1022" s="17" t="s">
        <v>1806</v>
      </c>
      <c r="K1022" s="13">
        <v>0</v>
      </c>
      <c r="L1022" s="233">
        <v>10035</v>
      </c>
      <c r="M1022" s="13">
        <v>2007</v>
      </c>
      <c r="N1022" s="13" t="s">
        <v>1678</v>
      </c>
      <c r="O1022" s="13">
        <v>0</v>
      </c>
      <c r="P1022" s="13">
        <v>0</v>
      </c>
      <c r="Q1022" s="60"/>
      <c r="R1022" s="61">
        <v>166.15100000000001</v>
      </c>
      <c r="S1022" s="6" t="s">
        <v>149</v>
      </c>
      <c r="T1022" s="257">
        <f t="shared" si="35"/>
        <v>10035</v>
      </c>
      <c r="U1022" s="257">
        <f t="shared" si="36"/>
        <v>2007</v>
      </c>
      <c r="V1022">
        <v>2</v>
      </c>
      <c r="W1022">
        <v>2</v>
      </c>
    </row>
    <row r="1023" spans="1:23" ht="125.4" x14ac:dyDescent="0.3">
      <c r="A1023" s="212">
        <v>39353</v>
      </c>
      <c r="B1023" s="212">
        <f>A1023</f>
        <v>39353</v>
      </c>
      <c r="C1023" s="6">
        <v>9</v>
      </c>
      <c r="D1023" s="6">
        <v>1</v>
      </c>
      <c r="E1023" s="6">
        <v>2007</v>
      </c>
      <c r="F1023" s="15" t="s">
        <v>22</v>
      </c>
      <c r="G1023" s="16" t="s">
        <v>6254</v>
      </c>
      <c r="H1023" s="9" t="s">
        <v>174</v>
      </c>
      <c r="I1023" s="17" t="s">
        <v>1807</v>
      </c>
      <c r="J1023" s="17" t="s">
        <v>1808</v>
      </c>
      <c r="K1023" s="13">
        <v>3</v>
      </c>
      <c r="L1023" s="233">
        <v>723</v>
      </c>
      <c r="M1023" s="13">
        <v>13674</v>
      </c>
      <c r="N1023" s="13">
        <v>4</v>
      </c>
      <c r="O1023" s="13">
        <v>0</v>
      </c>
      <c r="P1023" s="13">
        <v>0</v>
      </c>
      <c r="Q1023" s="60">
        <v>0</v>
      </c>
      <c r="R1023" s="61">
        <v>172.19399999999999</v>
      </c>
      <c r="S1023" s="6" t="s">
        <v>149</v>
      </c>
      <c r="T1023" s="257">
        <f t="shared" si="35"/>
        <v>726</v>
      </c>
      <c r="U1023" s="257">
        <f t="shared" si="36"/>
        <v>13678</v>
      </c>
      <c r="V1023">
        <v>1</v>
      </c>
      <c r="W1023">
        <v>3</v>
      </c>
    </row>
    <row r="1024" spans="1:23" ht="68.400000000000006" x14ac:dyDescent="0.3">
      <c r="A1024" s="212">
        <v>39263</v>
      </c>
      <c r="B1024" s="212">
        <v>39303</v>
      </c>
      <c r="C1024" s="6">
        <v>6</v>
      </c>
      <c r="D1024" s="6">
        <v>41</v>
      </c>
      <c r="E1024" s="6">
        <v>2007</v>
      </c>
      <c r="F1024" s="15" t="s">
        <v>22</v>
      </c>
      <c r="G1024" s="18" t="s">
        <v>6256</v>
      </c>
      <c r="H1024" s="9" t="s">
        <v>46</v>
      </c>
      <c r="I1024" s="17" t="s">
        <v>1809</v>
      </c>
      <c r="J1024" s="17" t="s">
        <v>1810</v>
      </c>
      <c r="K1024" s="13">
        <v>2</v>
      </c>
      <c r="L1024" s="233">
        <v>902</v>
      </c>
      <c r="M1024" s="13">
        <v>410</v>
      </c>
      <c r="N1024" s="13">
        <v>0</v>
      </c>
      <c r="O1024" s="13">
        <v>0</v>
      </c>
      <c r="P1024" s="13">
        <v>0</v>
      </c>
      <c r="Q1024" s="60">
        <v>26</v>
      </c>
      <c r="R1024" s="61">
        <v>19.911999999999999</v>
      </c>
      <c r="S1024" s="7" t="s">
        <v>115</v>
      </c>
      <c r="T1024" s="257">
        <f t="shared" si="35"/>
        <v>904</v>
      </c>
      <c r="U1024" s="257">
        <f t="shared" si="36"/>
        <v>410</v>
      </c>
      <c r="V1024">
        <v>1</v>
      </c>
      <c r="W1024">
        <v>1</v>
      </c>
    </row>
    <row r="1025" spans="1:23" ht="22.8" x14ac:dyDescent="0.3">
      <c r="A1025" s="212">
        <v>39083</v>
      </c>
      <c r="B1025" s="212">
        <v>39447</v>
      </c>
      <c r="C1025" s="6">
        <v>1</v>
      </c>
      <c r="D1025" s="6">
        <v>365</v>
      </c>
      <c r="E1025" s="6">
        <v>2007</v>
      </c>
      <c r="F1025" s="15" t="s">
        <v>22</v>
      </c>
      <c r="G1025" s="18" t="s">
        <v>6255</v>
      </c>
      <c r="H1025" s="9" t="s">
        <v>34</v>
      </c>
      <c r="I1025" s="17" t="s">
        <v>1109</v>
      </c>
      <c r="J1025" s="17" t="s">
        <v>1811</v>
      </c>
      <c r="K1025" s="13">
        <v>36</v>
      </c>
      <c r="L1025" s="233">
        <v>36</v>
      </c>
      <c r="M1025" s="13">
        <v>0</v>
      </c>
      <c r="N1025" s="13">
        <v>0</v>
      </c>
      <c r="O1025" s="13">
        <v>0</v>
      </c>
      <c r="P1025" s="13">
        <v>0</v>
      </c>
      <c r="Q1025" s="60">
        <v>0</v>
      </c>
      <c r="R1025" s="61">
        <v>0</v>
      </c>
      <c r="S1025" s="7" t="s">
        <v>1219</v>
      </c>
      <c r="T1025" s="257">
        <f t="shared" si="35"/>
        <v>72</v>
      </c>
      <c r="U1025" s="257">
        <f t="shared" si="36"/>
        <v>0</v>
      </c>
      <c r="V1025">
        <v>1</v>
      </c>
      <c r="W1025">
        <v>0</v>
      </c>
    </row>
    <row r="1026" spans="1:23" ht="22.8" x14ac:dyDescent="0.3">
      <c r="A1026" s="212">
        <v>39083</v>
      </c>
      <c r="B1026" s="212">
        <v>39447</v>
      </c>
      <c r="C1026" s="6">
        <v>1</v>
      </c>
      <c r="D1026" s="6">
        <v>365</v>
      </c>
      <c r="E1026" s="6">
        <v>2007</v>
      </c>
      <c r="F1026" s="15" t="s">
        <v>22</v>
      </c>
      <c r="G1026" s="18" t="s">
        <v>6255</v>
      </c>
      <c r="H1026" s="9" t="s">
        <v>74</v>
      </c>
      <c r="I1026" s="17" t="s">
        <v>1109</v>
      </c>
      <c r="J1026" s="17" t="s">
        <v>1812</v>
      </c>
      <c r="K1026" s="13">
        <v>17</v>
      </c>
      <c r="L1026" s="233">
        <v>17</v>
      </c>
      <c r="M1026" s="13">
        <v>0</v>
      </c>
      <c r="N1026" s="13">
        <v>0</v>
      </c>
      <c r="O1026" s="13">
        <v>0</v>
      </c>
      <c r="P1026" s="13">
        <v>0</v>
      </c>
      <c r="Q1026" s="60">
        <v>0</v>
      </c>
      <c r="R1026" s="61">
        <v>0</v>
      </c>
      <c r="S1026" s="7" t="s">
        <v>1219</v>
      </c>
      <c r="T1026" s="257">
        <f t="shared" si="35"/>
        <v>34</v>
      </c>
      <c r="U1026" s="257">
        <f t="shared" si="36"/>
        <v>0</v>
      </c>
      <c r="V1026">
        <v>1</v>
      </c>
      <c r="W1026">
        <v>0</v>
      </c>
    </row>
    <row r="1027" spans="1:23" ht="22.8" x14ac:dyDescent="0.3">
      <c r="A1027" s="212">
        <v>39083</v>
      </c>
      <c r="B1027" s="212">
        <v>39447</v>
      </c>
      <c r="C1027" s="6">
        <v>1</v>
      </c>
      <c r="D1027" s="6">
        <v>365</v>
      </c>
      <c r="E1027" s="6">
        <v>2007</v>
      </c>
      <c r="F1027" s="15" t="s">
        <v>22</v>
      </c>
      <c r="G1027" s="18" t="s">
        <v>6255</v>
      </c>
      <c r="H1027" s="9" t="s">
        <v>37</v>
      </c>
      <c r="I1027" s="17" t="s">
        <v>1109</v>
      </c>
      <c r="J1027" s="17" t="s">
        <v>1813</v>
      </c>
      <c r="K1027" s="13">
        <v>15</v>
      </c>
      <c r="L1027" s="233">
        <v>15</v>
      </c>
      <c r="M1027" s="13">
        <v>0</v>
      </c>
      <c r="N1027" s="13">
        <v>0</v>
      </c>
      <c r="O1027" s="13">
        <v>0</v>
      </c>
      <c r="P1027" s="13">
        <v>0</v>
      </c>
      <c r="Q1027" s="60">
        <v>0</v>
      </c>
      <c r="R1027" s="61">
        <v>0</v>
      </c>
      <c r="S1027" s="7" t="s">
        <v>1219</v>
      </c>
      <c r="T1027" s="257">
        <f t="shared" ref="T1027:T1090" si="37">SUM(K1027:L1027)</f>
        <v>30</v>
      </c>
      <c r="U1027" s="257">
        <f t="shared" ref="U1027:U1090" si="38">SUM(M1027:P1027)</f>
        <v>0</v>
      </c>
      <c r="V1027">
        <v>1</v>
      </c>
      <c r="W1027">
        <v>0</v>
      </c>
    </row>
    <row r="1028" spans="1:23" x14ac:dyDescent="0.3">
      <c r="A1028" s="212">
        <v>39083</v>
      </c>
      <c r="B1028" s="212">
        <v>39447</v>
      </c>
      <c r="C1028" s="6">
        <v>1</v>
      </c>
      <c r="D1028" s="6">
        <v>365</v>
      </c>
      <c r="E1028" s="6">
        <v>2007</v>
      </c>
      <c r="F1028" s="15" t="s">
        <v>22</v>
      </c>
      <c r="G1028" s="18" t="s">
        <v>6255</v>
      </c>
      <c r="H1028" s="9" t="s">
        <v>57</v>
      </c>
      <c r="I1028" s="17" t="s">
        <v>1109</v>
      </c>
      <c r="J1028" s="17" t="s">
        <v>1814</v>
      </c>
      <c r="K1028" s="13">
        <v>11</v>
      </c>
      <c r="L1028" s="233">
        <v>11</v>
      </c>
      <c r="M1028" s="13">
        <v>0</v>
      </c>
      <c r="N1028" s="13">
        <v>0</v>
      </c>
      <c r="O1028" s="13">
        <v>0</v>
      </c>
      <c r="P1028" s="13">
        <v>0</v>
      </c>
      <c r="Q1028" s="60">
        <v>0</v>
      </c>
      <c r="R1028" s="61">
        <v>0</v>
      </c>
      <c r="S1028" s="7" t="s">
        <v>1219</v>
      </c>
      <c r="T1028" s="257">
        <f t="shared" si="37"/>
        <v>22</v>
      </c>
      <c r="U1028" s="257">
        <f t="shared" si="38"/>
        <v>0</v>
      </c>
      <c r="V1028">
        <v>1</v>
      </c>
      <c r="W1028">
        <v>0</v>
      </c>
    </row>
    <row r="1029" spans="1:23" x14ac:dyDescent="0.3">
      <c r="A1029" s="212">
        <v>39083</v>
      </c>
      <c r="B1029" s="212">
        <v>39447</v>
      </c>
      <c r="C1029" s="6">
        <v>1</v>
      </c>
      <c r="D1029" s="6">
        <v>365</v>
      </c>
      <c r="E1029" s="6">
        <v>2007</v>
      </c>
      <c r="F1029" s="15" t="s">
        <v>22</v>
      </c>
      <c r="G1029" s="18" t="s">
        <v>6255</v>
      </c>
      <c r="H1029" s="9" t="s">
        <v>121</v>
      </c>
      <c r="I1029" s="17" t="s">
        <v>1109</v>
      </c>
      <c r="J1029" s="17" t="s">
        <v>1815</v>
      </c>
      <c r="K1029" s="13">
        <v>1</v>
      </c>
      <c r="L1029" s="233">
        <v>1</v>
      </c>
      <c r="M1029" s="13">
        <v>0</v>
      </c>
      <c r="N1029" s="13">
        <v>0</v>
      </c>
      <c r="O1029" s="13">
        <v>0</v>
      </c>
      <c r="P1029" s="13">
        <v>0</v>
      </c>
      <c r="Q1029" s="60">
        <v>0</v>
      </c>
      <c r="R1029" s="61">
        <v>0</v>
      </c>
      <c r="S1029" s="7" t="s">
        <v>1219</v>
      </c>
      <c r="T1029" s="257">
        <f t="shared" si="37"/>
        <v>2</v>
      </c>
      <c r="U1029" s="257">
        <f t="shared" si="38"/>
        <v>0</v>
      </c>
      <c r="V1029">
        <v>1</v>
      </c>
      <c r="W1029">
        <v>0</v>
      </c>
    </row>
    <row r="1030" spans="1:23" ht="22.8" x14ac:dyDescent="0.3">
      <c r="A1030" s="212">
        <v>39083</v>
      </c>
      <c r="B1030" s="212">
        <v>39447</v>
      </c>
      <c r="C1030" s="6">
        <v>1</v>
      </c>
      <c r="D1030" s="6">
        <v>365</v>
      </c>
      <c r="E1030" s="6">
        <v>2007</v>
      </c>
      <c r="F1030" s="15" t="s">
        <v>22</v>
      </c>
      <c r="G1030" s="18" t="s">
        <v>6255</v>
      </c>
      <c r="H1030" s="9" t="s">
        <v>27</v>
      </c>
      <c r="I1030" s="17" t="s">
        <v>1109</v>
      </c>
      <c r="J1030" s="17" t="s">
        <v>1816</v>
      </c>
      <c r="K1030" s="13">
        <v>6</v>
      </c>
      <c r="L1030" s="233">
        <v>6</v>
      </c>
      <c r="M1030" s="13">
        <v>0</v>
      </c>
      <c r="N1030" s="13">
        <v>0</v>
      </c>
      <c r="O1030" s="13">
        <v>0</v>
      </c>
      <c r="P1030" s="13">
        <v>0</v>
      </c>
      <c r="Q1030" s="60">
        <v>0</v>
      </c>
      <c r="R1030" s="61">
        <v>0</v>
      </c>
      <c r="S1030" s="7" t="s">
        <v>1219</v>
      </c>
      <c r="T1030" s="257">
        <f t="shared" si="37"/>
        <v>12</v>
      </c>
      <c r="U1030" s="257">
        <f t="shared" si="38"/>
        <v>0</v>
      </c>
      <c r="V1030">
        <v>1</v>
      </c>
      <c r="W1030">
        <v>0</v>
      </c>
    </row>
    <row r="1031" spans="1:23" x14ac:dyDescent="0.3">
      <c r="A1031" s="212">
        <v>39083</v>
      </c>
      <c r="B1031" s="212">
        <v>39447</v>
      </c>
      <c r="C1031" s="6">
        <v>1</v>
      </c>
      <c r="D1031" s="6">
        <v>365</v>
      </c>
      <c r="E1031" s="6">
        <v>2007</v>
      </c>
      <c r="F1031" s="15" t="s">
        <v>22</v>
      </c>
      <c r="G1031" s="18" t="s">
        <v>6255</v>
      </c>
      <c r="H1031" s="9" t="s">
        <v>64</v>
      </c>
      <c r="I1031" s="17" t="s">
        <v>1109</v>
      </c>
      <c r="J1031" s="17" t="s">
        <v>1815</v>
      </c>
      <c r="K1031" s="13">
        <v>1</v>
      </c>
      <c r="L1031" s="233">
        <v>1</v>
      </c>
      <c r="M1031" s="13">
        <v>0</v>
      </c>
      <c r="N1031" s="13">
        <v>0</v>
      </c>
      <c r="O1031" s="13">
        <v>0</v>
      </c>
      <c r="P1031" s="13">
        <v>0</v>
      </c>
      <c r="Q1031" s="60">
        <v>0</v>
      </c>
      <c r="R1031" s="61">
        <v>0</v>
      </c>
      <c r="S1031" s="7" t="s">
        <v>1219</v>
      </c>
      <c r="T1031" s="257">
        <f t="shared" si="37"/>
        <v>2</v>
      </c>
      <c r="U1031" s="257">
        <f t="shared" si="38"/>
        <v>0</v>
      </c>
      <c r="V1031">
        <v>1</v>
      </c>
      <c r="W1031">
        <v>0</v>
      </c>
    </row>
    <row r="1032" spans="1:23" x14ac:dyDescent="0.3">
      <c r="A1032" s="212">
        <v>39083</v>
      </c>
      <c r="B1032" s="212">
        <v>39447</v>
      </c>
      <c r="C1032" s="6">
        <v>1</v>
      </c>
      <c r="D1032" s="6">
        <v>365</v>
      </c>
      <c r="E1032" s="6">
        <v>2007</v>
      </c>
      <c r="F1032" s="15" t="s">
        <v>22</v>
      </c>
      <c r="G1032" s="18" t="s">
        <v>6255</v>
      </c>
      <c r="H1032" s="9" t="s">
        <v>41</v>
      </c>
      <c r="I1032" s="17" t="s">
        <v>1109</v>
      </c>
      <c r="J1032" s="17" t="s">
        <v>1817</v>
      </c>
      <c r="K1032" s="13">
        <v>3</v>
      </c>
      <c r="L1032" s="233">
        <v>3</v>
      </c>
      <c r="M1032" s="13">
        <v>0</v>
      </c>
      <c r="N1032" s="13">
        <v>0</v>
      </c>
      <c r="O1032" s="13">
        <v>0</v>
      </c>
      <c r="P1032" s="13">
        <v>0</v>
      </c>
      <c r="Q1032" s="60">
        <v>0</v>
      </c>
      <c r="R1032" s="61">
        <v>0</v>
      </c>
      <c r="S1032" s="7" t="s">
        <v>1219</v>
      </c>
      <c r="T1032" s="257">
        <f t="shared" si="37"/>
        <v>6</v>
      </c>
      <c r="U1032" s="257">
        <f t="shared" si="38"/>
        <v>0</v>
      </c>
      <c r="V1032">
        <v>1</v>
      </c>
      <c r="W1032">
        <v>0</v>
      </c>
    </row>
    <row r="1033" spans="1:23" x14ac:dyDescent="0.3">
      <c r="A1033" s="212">
        <v>39083</v>
      </c>
      <c r="B1033" s="212">
        <v>39447</v>
      </c>
      <c r="C1033" s="6">
        <v>1</v>
      </c>
      <c r="D1033" s="6">
        <v>365</v>
      </c>
      <c r="E1033" s="6">
        <v>2007</v>
      </c>
      <c r="F1033" s="15" t="s">
        <v>22</v>
      </c>
      <c r="G1033" s="18" t="s">
        <v>6255</v>
      </c>
      <c r="H1033" s="9" t="s">
        <v>70</v>
      </c>
      <c r="I1033" s="17" t="s">
        <v>1109</v>
      </c>
      <c r="J1033" s="17" t="s">
        <v>1818</v>
      </c>
      <c r="K1033" s="13">
        <v>3</v>
      </c>
      <c r="L1033" s="233">
        <v>3</v>
      </c>
      <c r="M1033" s="13">
        <v>0</v>
      </c>
      <c r="N1033" s="13">
        <v>0</v>
      </c>
      <c r="O1033" s="13">
        <v>0</v>
      </c>
      <c r="P1033" s="13">
        <v>0</v>
      </c>
      <c r="Q1033" s="60">
        <v>0</v>
      </c>
      <c r="R1033" s="61">
        <v>0</v>
      </c>
      <c r="S1033" s="7" t="s">
        <v>1219</v>
      </c>
      <c r="T1033" s="257">
        <f t="shared" si="37"/>
        <v>6</v>
      </c>
      <c r="U1033" s="257">
        <f t="shared" si="38"/>
        <v>0</v>
      </c>
      <c r="V1033">
        <v>1</v>
      </c>
      <c r="W1033">
        <v>0</v>
      </c>
    </row>
    <row r="1034" spans="1:23" ht="22.8" x14ac:dyDescent="0.3">
      <c r="A1034" s="212">
        <v>39083</v>
      </c>
      <c r="B1034" s="212">
        <v>39447</v>
      </c>
      <c r="C1034" s="6">
        <v>1</v>
      </c>
      <c r="D1034" s="6">
        <v>365</v>
      </c>
      <c r="E1034" s="6">
        <v>2007</v>
      </c>
      <c r="F1034" s="15" t="s">
        <v>22</v>
      </c>
      <c r="G1034" s="18" t="s">
        <v>6255</v>
      </c>
      <c r="H1034" s="9" t="s">
        <v>78</v>
      </c>
      <c r="I1034" s="17" t="s">
        <v>1109</v>
      </c>
      <c r="J1034" s="17" t="s">
        <v>1819</v>
      </c>
      <c r="K1034" s="13">
        <v>4</v>
      </c>
      <c r="L1034" s="233">
        <v>4</v>
      </c>
      <c r="M1034" s="13">
        <v>0</v>
      </c>
      <c r="N1034" s="13">
        <v>0</v>
      </c>
      <c r="O1034" s="13">
        <v>0</v>
      </c>
      <c r="P1034" s="13">
        <v>0</v>
      </c>
      <c r="Q1034" s="60">
        <v>0</v>
      </c>
      <c r="R1034" s="61">
        <v>0</v>
      </c>
      <c r="S1034" s="7" t="s">
        <v>1219</v>
      </c>
      <c r="T1034" s="257">
        <f t="shared" si="37"/>
        <v>8</v>
      </c>
      <c r="U1034" s="257">
        <f t="shared" si="38"/>
        <v>0</v>
      </c>
      <c r="V1034">
        <v>1</v>
      </c>
      <c r="W1034">
        <v>0</v>
      </c>
    </row>
    <row r="1035" spans="1:23" x14ac:dyDescent="0.3">
      <c r="A1035" s="212">
        <v>39083</v>
      </c>
      <c r="B1035" s="212">
        <v>39447</v>
      </c>
      <c r="C1035" s="6">
        <v>1</v>
      </c>
      <c r="D1035" s="6">
        <v>365</v>
      </c>
      <c r="E1035" s="6">
        <v>2007</v>
      </c>
      <c r="F1035" s="15" t="s">
        <v>22</v>
      </c>
      <c r="G1035" s="18" t="s">
        <v>6255</v>
      </c>
      <c r="H1035" s="9" t="s">
        <v>84</v>
      </c>
      <c r="I1035" s="17" t="s">
        <v>1109</v>
      </c>
      <c r="J1035" s="17" t="s">
        <v>1820</v>
      </c>
      <c r="K1035" s="13">
        <v>1</v>
      </c>
      <c r="L1035" s="233">
        <v>1</v>
      </c>
      <c r="M1035" s="13">
        <v>0</v>
      </c>
      <c r="N1035" s="13">
        <v>0</v>
      </c>
      <c r="O1035" s="13">
        <v>0</v>
      </c>
      <c r="P1035" s="13">
        <v>0</v>
      </c>
      <c r="Q1035" s="60">
        <v>0</v>
      </c>
      <c r="R1035" s="61">
        <v>0</v>
      </c>
      <c r="S1035" s="7" t="s">
        <v>1219</v>
      </c>
      <c r="T1035" s="257">
        <f t="shared" si="37"/>
        <v>2</v>
      </c>
      <c r="U1035" s="257">
        <f t="shared" si="38"/>
        <v>0</v>
      </c>
      <c r="V1035">
        <v>1</v>
      </c>
      <c r="W1035">
        <v>0</v>
      </c>
    </row>
    <row r="1036" spans="1:23" x14ac:dyDescent="0.3">
      <c r="A1036" s="212">
        <v>39083</v>
      </c>
      <c r="B1036" s="212">
        <v>39447</v>
      </c>
      <c r="C1036" s="6">
        <v>1</v>
      </c>
      <c r="D1036" s="6">
        <v>365</v>
      </c>
      <c r="E1036" s="6">
        <v>2007</v>
      </c>
      <c r="F1036" s="15" t="s">
        <v>22</v>
      </c>
      <c r="G1036" s="18" t="s">
        <v>6255</v>
      </c>
      <c r="H1036" s="9" t="s">
        <v>88</v>
      </c>
      <c r="I1036" s="17" t="s">
        <v>1109</v>
      </c>
      <c r="J1036" s="17" t="s">
        <v>1821</v>
      </c>
      <c r="K1036" s="13">
        <v>2</v>
      </c>
      <c r="L1036" s="233">
        <v>2</v>
      </c>
      <c r="M1036" s="13">
        <v>0</v>
      </c>
      <c r="N1036" s="13">
        <v>0</v>
      </c>
      <c r="O1036" s="13">
        <v>0</v>
      </c>
      <c r="P1036" s="13">
        <v>0</v>
      </c>
      <c r="Q1036" s="60">
        <v>0</v>
      </c>
      <c r="R1036" s="61">
        <v>0</v>
      </c>
      <c r="S1036" s="7" t="s">
        <v>1219</v>
      </c>
      <c r="T1036" s="257">
        <f t="shared" si="37"/>
        <v>4</v>
      </c>
      <c r="U1036" s="257">
        <f t="shared" si="38"/>
        <v>0</v>
      </c>
      <c r="V1036">
        <v>1</v>
      </c>
      <c r="W1036">
        <v>0</v>
      </c>
    </row>
    <row r="1037" spans="1:23" x14ac:dyDescent="0.3">
      <c r="A1037" s="212">
        <v>39083</v>
      </c>
      <c r="B1037" s="212">
        <v>39447</v>
      </c>
      <c r="C1037" s="6">
        <v>1</v>
      </c>
      <c r="D1037" s="6">
        <v>365</v>
      </c>
      <c r="E1037" s="6">
        <v>2007</v>
      </c>
      <c r="F1037" s="15" t="s">
        <v>22</v>
      </c>
      <c r="G1037" s="18" t="s">
        <v>6255</v>
      </c>
      <c r="H1037" s="9" t="s">
        <v>174</v>
      </c>
      <c r="I1037" s="17" t="s">
        <v>1109</v>
      </c>
      <c r="J1037" s="17" t="s">
        <v>1820</v>
      </c>
      <c r="K1037" s="13">
        <v>1</v>
      </c>
      <c r="L1037" s="233">
        <v>1</v>
      </c>
      <c r="M1037" s="13">
        <v>0</v>
      </c>
      <c r="N1037" s="13">
        <v>0</v>
      </c>
      <c r="O1037" s="13">
        <v>0</v>
      </c>
      <c r="P1037" s="13">
        <v>0</v>
      </c>
      <c r="Q1037" s="60">
        <v>0</v>
      </c>
      <c r="R1037" s="61">
        <v>0</v>
      </c>
      <c r="S1037" s="7" t="s">
        <v>1219</v>
      </c>
      <c r="T1037" s="257">
        <f t="shared" si="37"/>
        <v>2</v>
      </c>
      <c r="U1037" s="257">
        <f t="shared" si="38"/>
        <v>0</v>
      </c>
      <c r="V1037">
        <v>1</v>
      </c>
      <c r="W1037">
        <v>0</v>
      </c>
    </row>
    <row r="1038" spans="1:23" x14ac:dyDescent="0.3">
      <c r="A1038" s="212">
        <v>39083</v>
      </c>
      <c r="B1038" s="212">
        <v>39447</v>
      </c>
      <c r="C1038" s="6">
        <v>1</v>
      </c>
      <c r="D1038" s="6">
        <v>365</v>
      </c>
      <c r="E1038" s="6">
        <v>2007</v>
      </c>
      <c r="F1038" s="15" t="s">
        <v>22</v>
      </c>
      <c r="G1038" s="18" t="s">
        <v>6255</v>
      </c>
      <c r="H1038" s="9" t="s">
        <v>72</v>
      </c>
      <c r="I1038" s="17" t="s">
        <v>1109</v>
      </c>
      <c r="J1038" s="17" t="s">
        <v>1822</v>
      </c>
      <c r="K1038" s="13">
        <v>1</v>
      </c>
      <c r="L1038" s="233">
        <v>1</v>
      </c>
      <c r="M1038" s="13">
        <v>0</v>
      </c>
      <c r="N1038" s="13">
        <v>0</v>
      </c>
      <c r="O1038" s="13">
        <v>0</v>
      </c>
      <c r="P1038" s="13">
        <v>0</v>
      </c>
      <c r="Q1038" s="60">
        <v>0</v>
      </c>
      <c r="R1038" s="61">
        <v>0</v>
      </c>
      <c r="S1038" s="7" t="s">
        <v>1219</v>
      </c>
      <c r="T1038" s="257">
        <f t="shared" si="37"/>
        <v>2</v>
      </c>
      <c r="U1038" s="257">
        <f t="shared" si="38"/>
        <v>0</v>
      </c>
      <c r="V1038">
        <v>1</v>
      </c>
      <c r="W1038">
        <v>0</v>
      </c>
    </row>
    <row r="1039" spans="1:23" x14ac:dyDescent="0.3">
      <c r="A1039" s="212">
        <v>39083</v>
      </c>
      <c r="B1039" s="212">
        <v>39447</v>
      </c>
      <c r="C1039" s="6">
        <v>1</v>
      </c>
      <c r="D1039" s="6">
        <v>365</v>
      </c>
      <c r="E1039" s="6">
        <v>2007</v>
      </c>
      <c r="F1039" s="15" t="s">
        <v>22</v>
      </c>
      <c r="G1039" s="18" t="s">
        <v>6255</v>
      </c>
      <c r="H1039" s="9" t="s">
        <v>52</v>
      </c>
      <c r="I1039" s="17" t="s">
        <v>1109</v>
      </c>
      <c r="J1039" s="17" t="s">
        <v>1815</v>
      </c>
      <c r="K1039" s="13">
        <v>1</v>
      </c>
      <c r="L1039" s="233">
        <v>1</v>
      </c>
      <c r="M1039" s="13">
        <v>0</v>
      </c>
      <c r="N1039" s="13">
        <v>0</v>
      </c>
      <c r="O1039" s="13">
        <v>0</v>
      </c>
      <c r="P1039" s="13">
        <v>0</v>
      </c>
      <c r="Q1039" s="60">
        <v>0</v>
      </c>
      <c r="R1039" s="61">
        <v>0</v>
      </c>
      <c r="S1039" s="7" t="s">
        <v>1219</v>
      </c>
      <c r="T1039" s="257">
        <f t="shared" si="37"/>
        <v>2</v>
      </c>
      <c r="U1039" s="257">
        <f t="shared" si="38"/>
        <v>0</v>
      </c>
      <c r="V1039">
        <v>1</v>
      </c>
      <c r="W1039">
        <v>0</v>
      </c>
    </row>
    <row r="1040" spans="1:23" x14ac:dyDescent="0.3">
      <c r="A1040" s="212">
        <v>39083</v>
      </c>
      <c r="B1040" s="212">
        <v>39447</v>
      </c>
      <c r="C1040" s="6">
        <v>1</v>
      </c>
      <c r="D1040" s="6">
        <v>365</v>
      </c>
      <c r="E1040" s="6">
        <v>2007</v>
      </c>
      <c r="F1040" s="15" t="s">
        <v>22</v>
      </c>
      <c r="G1040" s="18" t="s">
        <v>6255</v>
      </c>
      <c r="H1040" s="9" t="s">
        <v>51</v>
      </c>
      <c r="I1040" s="17" t="s">
        <v>1109</v>
      </c>
      <c r="J1040" s="17" t="s">
        <v>1820</v>
      </c>
      <c r="K1040" s="13">
        <v>1</v>
      </c>
      <c r="L1040" s="233">
        <v>1</v>
      </c>
      <c r="M1040" s="13">
        <v>0</v>
      </c>
      <c r="N1040" s="13">
        <v>0</v>
      </c>
      <c r="O1040" s="13">
        <v>0</v>
      </c>
      <c r="P1040" s="13">
        <v>0</v>
      </c>
      <c r="Q1040" s="60">
        <v>0</v>
      </c>
      <c r="R1040" s="61">
        <v>0</v>
      </c>
      <c r="S1040" s="7" t="s">
        <v>1219</v>
      </c>
      <c r="T1040" s="257">
        <f t="shared" si="37"/>
        <v>2</v>
      </c>
      <c r="U1040" s="257">
        <f t="shared" si="38"/>
        <v>0</v>
      </c>
      <c r="V1040">
        <v>1</v>
      </c>
      <c r="W1040">
        <v>0</v>
      </c>
    </row>
    <row r="1041" spans="1:23" x14ac:dyDescent="0.3">
      <c r="A1041" s="212">
        <v>39083</v>
      </c>
      <c r="B1041" s="212">
        <v>39447</v>
      </c>
      <c r="C1041" s="6">
        <v>1</v>
      </c>
      <c r="D1041" s="6">
        <v>365</v>
      </c>
      <c r="E1041" s="6">
        <v>2007</v>
      </c>
      <c r="F1041" s="15" t="s">
        <v>22</v>
      </c>
      <c r="G1041" s="18" t="s">
        <v>6255</v>
      </c>
      <c r="H1041" s="9" t="s">
        <v>66</v>
      </c>
      <c r="I1041" s="17" t="s">
        <v>1109</v>
      </c>
      <c r="J1041" s="17" t="s">
        <v>1815</v>
      </c>
      <c r="K1041" s="13">
        <v>1</v>
      </c>
      <c r="L1041" s="233">
        <v>1</v>
      </c>
      <c r="M1041" s="13">
        <v>0</v>
      </c>
      <c r="N1041" s="13">
        <v>0</v>
      </c>
      <c r="O1041" s="13">
        <v>0</v>
      </c>
      <c r="P1041" s="13">
        <v>0</v>
      </c>
      <c r="Q1041" s="60">
        <v>0</v>
      </c>
      <c r="R1041" s="61">
        <v>0</v>
      </c>
      <c r="S1041" s="7" t="s">
        <v>1219</v>
      </c>
      <c r="T1041" s="257">
        <f t="shared" si="37"/>
        <v>2</v>
      </c>
      <c r="U1041" s="257">
        <f t="shared" si="38"/>
        <v>0</v>
      </c>
      <c r="V1041">
        <v>1</v>
      </c>
      <c r="W1041">
        <v>0</v>
      </c>
    </row>
    <row r="1042" spans="1:23" ht="45.6" x14ac:dyDescent="0.3">
      <c r="A1042" s="212">
        <v>39203</v>
      </c>
      <c r="B1042" s="212">
        <v>39263</v>
      </c>
      <c r="C1042" s="6">
        <v>5</v>
      </c>
      <c r="D1042" s="6">
        <v>61</v>
      </c>
      <c r="E1042" s="6">
        <v>2007</v>
      </c>
      <c r="F1042" s="15" t="s">
        <v>22</v>
      </c>
      <c r="G1042" s="16" t="s">
        <v>23</v>
      </c>
      <c r="H1042" s="9" t="s">
        <v>31</v>
      </c>
      <c r="I1042" s="17" t="s">
        <v>1823</v>
      </c>
      <c r="J1042" s="10" t="s">
        <v>1824</v>
      </c>
      <c r="K1042" s="13">
        <v>0</v>
      </c>
      <c r="L1042" s="233">
        <v>2866</v>
      </c>
      <c r="M1042" s="13">
        <v>0</v>
      </c>
      <c r="N1042" s="13">
        <v>0</v>
      </c>
      <c r="O1042" s="13">
        <v>0</v>
      </c>
      <c r="P1042" s="13">
        <v>0</v>
      </c>
      <c r="Q1042" s="60">
        <v>4839.3500000000004</v>
      </c>
      <c r="R1042" s="61">
        <v>4.2679999999999998</v>
      </c>
      <c r="S1042" s="6" t="s">
        <v>1667</v>
      </c>
      <c r="T1042" s="257">
        <f t="shared" si="37"/>
        <v>2866</v>
      </c>
      <c r="U1042" s="257">
        <f t="shared" si="38"/>
        <v>0</v>
      </c>
      <c r="V1042">
        <v>1</v>
      </c>
      <c r="W1042">
        <v>0</v>
      </c>
    </row>
    <row r="1043" spans="1:23" ht="45.6" x14ac:dyDescent="0.3">
      <c r="A1043" s="212">
        <v>39203</v>
      </c>
      <c r="B1043" s="212">
        <v>39355</v>
      </c>
      <c r="C1043" s="6">
        <v>5</v>
      </c>
      <c r="D1043" s="6">
        <v>153</v>
      </c>
      <c r="E1043" s="6">
        <v>2007</v>
      </c>
      <c r="F1043" s="15" t="s">
        <v>22</v>
      </c>
      <c r="G1043" s="16" t="s">
        <v>23</v>
      </c>
      <c r="H1043" s="9" t="s">
        <v>112</v>
      </c>
      <c r="I1043" s="17" t="s">
        <v>1825</v>
      </c>
      <c r="J1043" s="10" t="s">
        <v>1824</v>
      </c>
      <c r="K1043" s="13">
        <v>0</v>
      </c>
      <c r="L1043" s="233">
        <v>9169</v>
      </c>
      <c r="M1043" s="13">
        <v>0</v>
      </c>
      <c r="N1043" s="13">
        <v>0</v>
      </c>
      <c r="O1043" s="13">
        <v>0</v>
      </c>
      <c r="P1043" s="13">
        <v>0</v>
      </c>
      <c r="Q1043" s="60">
        <v>23955.02</v>
      </c>
      <c r="R1043" s="61">
        <v>19.72</v>
      </c>
      <c r="S1043" s="6" t="s">
        <v>1667</v>
      </c>
      <c r="T1043" s="257">
        <f t="shared" si="37"/>
        <v>9169</v>
      </c>
      <c r="U1043" s="257">
        <f t="shared" si="38"/>
        <v>0</v>
      </c>
      <c r="V1043">
        <v>1</v>
      </c>
      <c r="W1043">
        <v>0</v>
      </c>
    </row>
    <row r="1044" spans="1:23" ht="45.6" x14ac:dyDescent="0.3">
      <c r="A1044" s="220">
        <v>38620</v>
      </c>
      <c r="B1044" s="220">
        <v>38620</v>
      </c>
      <c r="C1044" s="6">
        <v>9</v>
      </c>
      <c r="D1044" s="6">
        <v>1</v>
      </c>
      <c r="E1044" s="76">
        <v>2005</v>
      </c>
      <c r="F1044" s="15" t="s">
        <v>22</v>
      </c>
      <c r="G1044" s="18" t="s">
        <v>6256</v>
      </c>
      <c r="H1044" s="9" t="s">
        <v>48</v>
      </c>
      <c r="I1044" s="77" t="s">
        <v>1826</v>
      </c>
      <c r="J1044" s="91" t="s">
        <v>1827</v>
      </c>
      <c r="K1044" s="79">
        <v>1</v>
      </c>
      <c r="L1044" s="242">
        <v>315</v>
      </c>
      <c r="M1044" s="79">
        <v>63</v>
      </c>
      <c r="N1044" s="79">
        <v>0</v>
      </c>
      <c r="O1044" s="37">
        <v>0</v>
      </c>
      <c r="P1044" s="37">
        <v>0</v>
      </c>
      <c r="Q1044" s="79">
        <v>0</v>
      </c>
      <c r="R1044" s="80">
        <v>3.55</v>
      </c>
      <c r="S1044" s="7" t="s">
        <v>115</v>
      </c>
      <c r="T1044" s="257">
        <f t="shared" si="37"/>
        <v>316</v>
      </c>
      <c r="U1044" s="257">
        <f t="shared" si="38"/>
        <v>63</v>
      </c>
      <c r="V1044">
        <v>1</v>
      </c>
      <c r="W1044">
        <v>1</v>
      </c>
    </row>
    <row r="1045" spans="1:23" ht="45.6" x14ac:dyDescent="0.3">
      <c r="A1045" s="212">
        <v>39203</v>
      </c>
      <c r="B1045" s="212">
        <v>39294</v>
      </c>
      <c r="C1045" s="6">
        <v>5</v>
      </c>
      <c r="D1045" s="6">
        <v>92</v>
      </c>
      <c r="E1045" s="6">
        <v>2007</v>
      </c>
      <c r="F1045" s="15" t="s">
        <v>22</v>
      </c>
      <c r="G1045" s="16" t="s">
        <v>23</v>
      </c>
      <c r="H1045" s="9" t="s">
        <v>64</v>
      </c>
      <c r="I1045" s="17" t="s">
        <v>1828</v>
      </c>
      <c r="J1045" s="10" t="s">
        <v>1824</v>
      </c>
      <c r="K1045" s="13">
        <v>0</v>
      </c>
      <c r="L1045" s="233">
        <v>2675</v>
      </c>
      <c r="M1045" s="13">
        <v>0</v>
      </c>
      <c r="N1045" s="13">
        <v>0</v>
      </c>
      <c r="O1045" s="13">
        <v>0</v>
      </c>
      <c r="P1045" s="13">
        <v>0</v>
      </c>
      <c r="Q1045" s="60">
        <v>4216.8900000000003</v>
      </c>
      <c r="R1045" s="61">
        <v>3.3730000000000002</v>
      </c>
      <c r="S1045" s="6" t="s">
        <v>1667</v>
      </c>
      <c r="T1045" s="257">
        <f t="shared" si="37"/>
        <v>2675</v>
      </c>
      <c r="U1045" s="257">
        <f t="shared" si="38"/>
        <v>0</v>
      </c>
      <c r="V1045">
        <v>1</v>
      </c>
      <c r="W1045">
        <v>0</v>
      </c>
    </row>
    <row r="1046" spans="1:23" ht="68.400000000000006" x14ac:dyDescent="0.3">
      <c r="A1046" s="212">
        <v>39234</v>
      </c>
      <c r="B1046" s="212">
        <v>39294</v>
      </c>
      <c r="C1046" s="6">
        <v>6</v>
      </c>
      <c r="D1046" s="6">
        <v>61</v>
      </c>
      <c r="E1046" s="6">
        <v>2007</v>
      </c>
      <c r="F1046" s="15" t="s">
        <v>22</v>
      </c>
      <c r="G1046" s="16" t="s">
        <v>23</v>
      </c>
      <c r="H1046" s="17" t="s">
        <v>565</v>
      </c>
      <c r="I1046" s="10" t="s">
        <v>1829</v>
      </c>
      <c r="J1046" s="10" t="s">
        <v>1824</v>
      </c>
      <c r="K1046" s="13">
        <v>0</v>
      </c>
      <c r="L1046" s="233">
        <v>11555</v>
      </c>
      <c r="M1046" s="13">
        <v>0</v>
      </c>
      <c r="N1046" s="13">
        <v>0</v>
      </c>
      <c r="O1046" s="13">
        <v>0</v>
      </c>
      <c r="P1046" s="13">
        <v>0</v>
      </c>
      <c r="Q1046" s="60">
        <v>17423.09</v>
      </c>
      <c r="R1046" s="61">
        <v>13.938000000000001</v>
      </c>
      <c r="S1046" s="6" t="s">
        <v>1667</v>
      </c>
      <c r="T1046" s="257">
        <f t="shared" si="37"/>
        <v>11555</v>
      </c>
      <c r="U1046" s="257">
        <f t="shared" si="38"/>
        <v>0</v>
      </c>
      <c r="V1046">
        <v>2</v>
      </c>
      <c r="W1046">
        <v>0</v>
      </c>
    </row>
    <row r="1047" spans="1:23" ht="45.6" x14ac:dyDescent="0.3">
      <c r="A1047" s="212">
        <v>39234</v>
      </c>
      <c r="B1047" s="212">
        <v>39355</v>
      </c>
      <c r="C1047" s="6">
        <v>6</v>
      </c>
      <c r="D1047" s="6">
        <v>122</v>
      </c>
      <c r="E1047" s="6">
        <v>2007</v>
      </c>
      <c r="F1047" s="15" t="s">
        <v>22</v>
      </c>
      <c r="G1047" s="16" t="s">
        <v>23</v>
      </c>
      <c r="H1047" s="9" t="s">
        <v>61</v>
      </c>
      <c r="I1047" s="17" t="s">
        <v>1109</v>
      </c>
      <c r="J1047" s="10" t="s">
        <v>1824</v>
      </c>
      <c r="K1047" s="13">
        <v>0</v>
      </c>
      <c r="L1047" s="233">
        <v>42668</v>
      </c>
      <c r="M1047" s="13">
        <v>0</v>
      </c>
      <c r="N1047" s="13">
        <v>0</v>
      </c>
      <c r="O1047" s="13">
        <v>0</v>
      </c>
      <c r="P1047" s="13">
        <v>0</v>
      </c>
      <c r="Q1047" s="60">
        <v>65370.52</v>
      </c>
      <c r="R1047" s="61">
        <v>52.295999999999999</v>
      </c>
      <c r="S1047" s="6" t="s">
        <v>1667</v>
      </c>
      <c r="T1047" s="257">
        <f t="shared" si="37"/>
        <v>42668</v>
      </c>
      <c r="U1047" s="257">
        <f t="shared" si="38"/>
        <v>0</v>
      </c>
      <c r="V1047">
        <v>2</v>
      </c>
      <c r="W1047">
        <v>0</v>
      </c>
    </row>
    <row r="1048" spans="1:23" ht="45.6" x14ac:dyDescent="0.3">
      <c r="A1048" s="212">
        <v>39295</v>
      </c>
      <c r="B1048" s="212">
        <v>39355</v>
      </c>
      <c r="C1048" s="6">
        <v>8</v>
      </c>
      <c r="D1048" s="6">
        <v>61</v>
      </c>
      <c r="E1048" s="6">
        <v>2007</v>
      </c>
      <c r="F1048" s="15" t="s">
        <v>22</v>
      </c>
      <c r="G1048" s="16" t="s">
        <v>23</v>
      </c>
      <c r="H1048" s="9" t="s">
        <v>31</v>
      </c>
      <c r="I1048" s="17" t="s">
        <v>1830</v>
      </c>
      <c r="J1048" s="10" t="s">
        <v>1824</v>
      </c>
      <c r="K1048" s="13">
        <v>0</v>
      </c>
      <c r="L1048" s="233">
        <v>3204</v>
      </c>
      <c r="M1048" s="13">
        <v>0</v>
      </c>
      <c r="N1048" s="13">
        <v>0</v>
      </c>
      <c r="O1048" s="13">
        <v>0</v>
      </c>
      <c r="P1048" s="13">
        <v>0</v>
      </c>
      <c r="Q1048" s="60">
        <v>5927</v>
      </c>
      <c r="R1048" s="61">
        <v>4.7409999999999997</v>
      </c>
      <c r="S1048" s="6" t="s">
        <v>1667</v>
      </c>
      <c r="T1048" s="257">
        <f t="shared" si="37"/>
        <v>3204</v>
      </c>
      <c r="U1048" s="257">
        <f t="shared" si="38"/>
        <v>0</v>
      </c>
      <c r="V1048">
        <v>1</v>
      </c>
      <c r="W1048">
        <v>0</v>
      </c>
    </row>
    <row r="1049" spans="1:23" ht="34.200000000000003" x14ac:dyDescent="0.3">
      <c r="A1049" s="212">
        <v>39114</v>
      </c>
      <c r="B1049" s="212">
        <v>39114</v>
      </c>
      <c r="C1049" s="6">
        <v>2</v>
      </c>
      <c r="D1049" s="6">
        <v>1</v>
      </c>
      <c r="E1049" s="6">
        <v>2007</v>
      </c>
      <c r="F1049" s="15" t="s">
        <v>22</v>
      </c>
      <c r="G1049" s="9" t="s">
        <v>6257</v>
      </c>
      <c r="H1049" s="9" t="s">
        <v>70</v>
      </c>
      <c r="I1049" s="17" t="s">
        <v>1831</v>
      </c>
      <c r="J1049" s="10" t="s">
        <v>1832</v>
      </c>
      <c r="K1049" s="13">
        <v>0</v>
      </c>
      <c r="L1049" s="233">
        <v>200</v>
      </c>
      <c r="M1049" s="13">
        <v>40</v>
      </c>
      <c r="N1049" s="13">
        <v>0</v>
      </c>
      <c r="O1049" s="13">
        <v>0</v>
      </c>
      <c r="P1049" s="13">
        <v>0</v>
      </c>
      <c r="Q1049" s="60">
        <v>0</v>
      </c>
      <c r="R1049" s="61">
        <v>0.08</v>
      </c>
      <c r="S1049" s="7" t="s">
        <v>115</v>
      </c>
      <c r="T1049" s="257">
        <f t="shared" si="37"/>
        <v>200</v>
      </c>
      <c r="U1049" s="257">
        <f t="shared" si="38"/>
        <v>40</v>
      </c>
      <c r="V1049">
        <v>1</v>
      </c>
      <c r="W1049">
        <v>1</v>
      </c>
    </row>
    <row r="1050" spans="1:23" ht="34.200000000000003" x14ac:dyDescent="0.3">
      <c r="A1050" s="212">
        <v>39161</v>
      </c>
      <c r="B1050" s="212">
        <v>39161</v>
      </c>
      <c r="C1050" s="6">
        <v>3</v>
      </c>
      <c r="D1050" s="6">
        <v>1</v>
      </c>
      <c r="E1050" s="6">
        <v>2007</v>
      </c>
      <c r="F1050" s="15" t="s">
        <v>22</v>
      </c>
      <c r="G1050" s="9" t="s">
        <v>6257</v>
      </c>
      <c r="H1050" s="9" t="s">
        <v>118</v>
      </c>
      <c r="I1050" s="17" t="s">
        <v>1833</v>
      </c>
      <c r="J1050" s="10" t="s">
        <v>1834</v>
      </c>
      <c r="K1050" s="13">
        <v>1</v>
      </c>
      <c r="L1050" s="233">
        <v>1</v>
      </c>
      <c r="M1050" s="13">
        <v>0</v>
      </c>
      <c r="N1050" s="13">
        <v>0</v>
      </c>
      <c r="O1050" s="13">
        <v>0</v>
      </c>
      <c r="P1050" s="13">
        <v>0</v>
      </c>
      <c r="Q1050" s="60">
        <v>0</v>
      </c>
      <c r="R1050" s="61">
        <v>0</v>
      </c>
      <c r="S1050" s="7" t="s">
        <v>115</v>
      </c>
      <c r="T1050" s="257">
        <f t="shared" si="37"/>
        <v>2</v>
      </c>
      <c r="U1050" s="257">
        <f t="shared" si="38"/>
        <v>0</v>
      </c>
      <c r="V1050">
        <v>1</v>
      </c>
      <c r="W1050">
        <v>0</v>
      </c>
    </row>
    <row r="1051" spans="1:23" ht="45.6" x14ac:dyDescent="0.3">
      <c r="A1051" s="212">
        <v>39168</v>
      </c>
      <c r="B1051" s="212">
        <v>39168</v>
      </c>
      <c r="C1051" s="6">
        <v>3</v>
      </c>
      <c r="D1051" s="6">
        <v>1</v>
      </c>
      <c r="E1051" s="6">
        <v>2007</v>
      </c>
      <c r="F1051" s="15" t="s">
        <v>22</v>
      </c>
      <c r="G1051" s="9" t="s">
        <v>6257</v>
      </c>
      <c r="H1051" s="9" t="s">
        <v>27</v>
      </c>
      <c r="I1051" s="17" t="s">
        <v>652</v>
      </c>
      <c r="J1051" s="17" t="s">
        <v>1835</v>
      </c>
      <c r="K1051" s="13">
        <v>0</v>
      </c>
      <c r="L1051" s="233">
        <v>10</v>
      </c>
      <c r="M1051" s="13">
        <v>2</v>
      </c>
      <c r="N1051" s="13">
        <v>0</v>
      </c>
      <c r="O1051" s="13">
        <v>0</v>
      </c>
      <c r="P1051" s="13">
        <v>0</v>
      </c>
      <c r="Q1051" s="60">
        <v>0</v>
      </c>
      <c r="R1051" s="61">
        <v>0</v>
      </c>
      <c r="S1051" s="7" t="s">
        <v>115</v>
      </c>
      <c r="T1051" s="257">
        <f t="shared" si="37"/>
        <v>10</v>
      </c>
      <c r="U1051" s="257">
        <f t="shared" si="38"/>
        <v>2</v>
      </c>
      <c r="V1051">
        <v>1</v>
      </c>
      <c r="W1051">
        <v>1</v>
      </c>
    </row>
    <row r="1052" spans="1:23" ht="57" x14ac:dyDescent="0.3">
      <c r="A1052" s="212">
        <v>39265</v>
      </c>
      <c r="B1052" s="212">
        <v>39265</v>
      </c>
      <c r="C1052" s="6">
        <v>7</v>
      </c>
      <c r="D1052" s="6">
        <v>1</v>
      </c>
      <c r="E1052" s="6">
        <v>2007</v>
      </c>
      <c r="F1052" s="15" t="s">
        <v>22</v>
      </c>
      <c r="G1052" s="9" t="s">
        <v>6257</v>
      </c>
      <c r="H1052" s="9" t="s">
        <v>31</v>
      </c>
      <c r="I1052" s="17" t="s">
        <v>1836</v>
      </c>
      <c r="J1052" s="17" t="s">
        <v>1837</v>
      </c>
      <c r="K1052" s="13">
        <v>0</v>
      </c>
      <c r="L1052" s="233">
        <v>500</v>
      </c>
      <c r="M1052" s="13">
        <v>100</v>
      </c>
      <c r="N1052" s="13">
        <v>0</v>
      </c>
      <c r="O1052" s="13">
        <v>0</v>
      </c>
      <c r="P1052" s="13">
        <v>0</v>
      </c>
      <c r="Q1052" s="60">
        <v>0</v>
      </c>
      <c r="R1052" s="61">
        <v>1.1619999999999999</v>
      </c>
      <c r="S1052" s="7" t="s">
        <v>115</v>
      </c>
      <c r="T1052" s="257">
        <f t="shared" si="37"/>
        <v>500</v>
      </c>
      <c r="U1052" s="257">
        <f t="shared" si="38"/>
        <v>100</v>
      </c>
      <c r="V1052">
        <v>1</v>
      </c>
      <c r="W1052">
        <v>1</v>
      </c>
    </row>
    <row r="1053" spans="1:23" ht="57" x14ac:dyDescent="0.3">
      <c r="A1053" s="212">
        <v>39378</v>
      </c>
      <c r="B1053" s="212">
        <v>39378</v>
      </c>
      <c r="C1053" s="6">
        <v>10</v>
      </c>
      <c r="D1053" s="6">
        <v>1</v>
      </c>
      <c r="E1053" s="6">
        <v>2007</v>
      </c>
      <c r="F1053" s="15" t="s">
        <v>22</v>
      </c>
      <c r="G1053" s="9" t="s">
        <v>6257</v>
      </c>
      <c r="H1053" s="17" t="s">
        <v>565</v>
      </c>
      <c r="I1053" s="17" t="s">
        <v>1838</v>
      </c>
      <c r="J1053" s="10" t="s">
        <v>1839</v>
      </c>
      <c r="K1053" s="13">
        <v>21</v>
      </c>
      <c r="L1053" s="233">
        <v>21</v>
      </c>
      <c r="M1053" s="13">
        <v>0</v>
      </c>
      <c r="N1053" s="13">
        <v>0</v>
      </c>
      <c r="O1053" s="13">
        <v>0</v>
      </c>
      <c r="P1053" s="13">
        <v>0</v>
      </c>
      <c r="Q1053" s="60">
        <v>0</v>
      </c>
      <c r="R1053" s="61">
        <v>0</v>
      </c>
      <c r="S1053" s="7" t="s">
        <v>115</v>
      </c>
      <c r="T1053" s="257">
        <f t="shared" si="37"/>
        <v>42</v>
      </c>
      <c r="U1053" s="257">
        <f t="shared" si="38"/>
        <v>0</v>
      </c>
      <c r="V1053">
        <v>1</v>
      </c>
      <c r="W1053">
        <v>0</v>
      </c>
    </row>
    <row r="1054" spans="1:23" ht="34.200000000000003" x14ac:dyDescent="0.3">
      <c r="A1054" s="212">
        <v>39123</v>
      </c>
      <c r="B1054" s="212">
        <v>39123</v>
      </c>
      <c r="C1054" s="6">
        <v>2</v>
      </c>
      <c r="D1054" s="6">
        <v>1</v>
      </c>
      <c r="E1054" s="6">
        <v>2007</v>
      </c>
      <c r="F1054" s="15" t="s">
        <v>22</v>
      </c>
      <c r="G1054" s="16" t="s">
        <v>6256</v>
      </c>
      <c r="H1054" s="9" t="s">
        <v>64</v>
      </c>
      <c r="I1054" s="17" t="s">
        <v>1840</v>
      </c>
      <c r="J1054" s="10" t="s">
        <v>1841</v>
      </c>
      <c r="K1054" s="13">
        <v>0</v>
      </c>
      <c r="L1054" s="233">
        <v>5000</v>
      </c>
      <c r="M1054" s="13">
        <v>150</v>
      </c>
      <c r="N1054" s="13">
        <v>0</v>
      </c>
      <c r="O1054" s="13">
        <v>0</v>
      </c>
      <c r="P1054" s="13">
        <v>0</v>
      </c>
      <c r="Q1054" s="60">
        <v>0</v>
      </c>
      <c r="R1054" s="61">
        <v>0.69899999999999995</v>
      </c>
      <c r="S1054" s="7" t="s">
        <v>115</v>
      </c>
      <c r="T1054" s="257">
        <f t="shared" si="37"/>
        <v>5000</v>
      </c>
      <c r="U1054" s="257">
        <f t="shared" si="38"/>
        <v>150</v>
      </c>
      <c r="V1054">
        <v>1</v>
      </c>
      <c r="W1054">
        <v>1</v>
      </c>
    </row>
    <row r="1055" spans="1:23" ht="22.8" x14ac:dyDescent="0.3">
      <c r="A1055" s="212">
        <v>39172</v>
      </c>
      <c r="B1055" s="212">
        <v>39172</v>
      </c>
      <c r="C1055" s="6">
        <v>3</v>
      </c>
      <c r="D1055" s="6">
        <v>1</v>
      </c>
      <c r="E1055" s="6">
        <v>2007</v>
      </c>
      <c r="F1055" s="15" t="s">
        <v>22</v>
      </c>
      <c r="G1055" s="16" t="s">
        <v>6256</v>
      </c>
      <c r="H1055" s="9" t="s">
        <v>64</v>
      </c>
      <c r="I1055" s="17" t="s">
        <v>1842</v>
      </c>
      <c r="J1055" s="17" t="s">
        <v>1843</v>
      </c>
      <c r="K1055" s="13">
        <v>0</v>
      </c>
      <c r="L1055" s="233">
        <v>22</v>
      </c>
      <c r="M1055" s="13" t="s">
        <v>1678</v>
      </c>
      <c r="N1055" s="13">
        <v>0</v>
      </c>
      <c r="O1055" s="13">
        <v>0</v>
      </c>
      <c r="P1055" s="13">
        <v>0</v>
      </c>
      <c r="Q1055" s="60"/>
      <c r="R1055" s="61">
        <v>0</v>
      </c>
      <c r="S1055" s="7" t="s">
        <v>115</v>
      </c>
      <c r="T1055" s="257">
        <f t="shared" si="37"/>
        <v>22</v>
      </c>
      <c r="U1055" s="257">
        <f t="shared" si="38"/>
        <v>0</v>
      </c>
      <c r="V1055">
        <v>1</v>
      </c>
      <c r="W1055">
        <v>0</v>
      </c>
    </row>
    <row r="1056" spans="1:23" ht="22.8" x14ac:dyDescent="0.3">
      <c r="A1056" s="212">
        <v>39214</v>
      </c>
      <c r="B1056" s="212">
        <v>39214</v>
      </c>
      <c r="C1056" s="6">
        <v>5</v>
      </c>
      <c r="D1056" s="6">
        <v>1</v>
      </c>
      <c r="E1056" s="6">
        <v>2007</v>
      </c>
      <c r="F1056" s="15" t="s">
        <v>22</v>
      </c>
      <c r="G1056" s="16" t="s">
        <v>6256</v>
      </c>
      <c r="H1056" s="9" t="s">
        <v>69</v>
      </c>
      <c r="I1056" s="17" t="s">
        <v>1844</v>
      </c>
      <c r="J1056" s="17" t="s">
        <v>1845</v>
      </c>
      <c r="K1056" s="13">
        <v>0</v>
      </c>
      <c r="L1056" s="233">
        <v>100</v>
      </c>
      <c r="M1056" s="13">
        <v>20</v>
      </c>
      <c r="N1056" s="13">
        <v>0</v>
      </c>
      <c r="O1056" s="13">
        <v>0</v>
      </c>
      <c r="P1056" s="13">
        <v>0</v>
      </c>
      <c r="Q1056" s="60">
        <v>0</v>
      </c>
      <c r="R1056" s="61">
        <v>9.3200000000000005E-2</v>
      </c>
      <c r="S1056" s="7" t="s">
        <v>115</v>
      </c>
      <c r="T1056" s="257">
        <f t="shared" si="37"/>
        <v>100</v>
      </c>
      <c r="U1056" s="257">
        <f t="shared" si="38"/>
        <v>20</v>
      </c>
      <c r="V1056">
        <v>1</v>
      </c>
      <c r="W1056">
        <v>1</v>
      </c>
    </row>
    <row r="1057" spans="1:23" ht="34.200000000000003" x14ac:dyDescent="0.3">
      <c r="A1057" s="212">
        <v>39286</v>
      </c>
      <c r="B1057" s="212">
        <v>39286</v>
      </c>
      <c r="C1057" s="6">
        <v>7</v>
      </c>
      <c r="D1057" s="6">
        <v>1</v>
      </c>
      <c r="E1057" s="6">
        <v>2007</v>
      </c>
      <c r="F1057" s="15" t="s">
        <v>22</v>
      </c>
      <c r="G1057" s="16" t="s">
        <v>6256</v>
      </c>
      <c r="H1057" s="9" t="s">
        <v>64</v>
      </c>
      <c r="I1057" s="17" t="s">
        <v>1846</v>
      </c>
      <c r="J1057" s="10" t="s">
        <v>1847</v>
      </c>
      <c r="K1057" s="13">
        <v>0</v>
      </c>
      <c r="L1057" s="233">
        <v>540</v>
      </c>
      <c r="M1057" s="13">
        <v>108</v>
      </c>
      <c r="N1057" s="13">
        <v>0</v>
      </c>
      <c r="O1057" s="13">
        <v>0</v>
      </c>
      <c r="P1057" s="13">
        <v>0</v>
      </c>
      <c r="Q1057" s="60">
        <v>0</v>
      </c>
      <c r="R1057" s="61">
        <v>0.76800000000000002</v>
      </c>
      <c r="S1057" s="7" t="s">
        <v>115</v>
      </c>
      <c r="T1057" s="257">
        <f t="shared" si="37"/>
        <v>540</v>
      </c>
      <c r="U1057" s="257">
        <f t="shared" si="38"/>
        <v>108</v>
      </c>
      <c r="V1057">
        <v>1</v>
      </c>
      <c r="W1057">
        <v>1</v>
      </c>
    </row>
    <row r="1058" spans="1:23" ht="22.8" x14ac:dyDescent="0.3">
      <c r="A1058" s="212">
        <v>39152</v>
      </c>
      <c r="B1058" s="212">
        <v>39152</v>
      </c>
      <c r="C1058" s="6">
        <v>3</v>
      </c>
      <c r="D1058" s="6">
        <v>1</v>
      </c>
      <c r="E1058" s="6">
        <v>2007</v>
      </c>
      <c r="F1058" s="15" t="s">
        <v>22</v>
      </c>
      <c r="G1058" s="18" t="s">
        <v>6256</v>
      </c>
      <c r="H1058" s="9" t="s">
        <v>46</v>
      </c>
      <c r="I1058" s="17" t="s">
        <v>1848</v>
      </c>
      <c r="J1058" s="17" t="s">
        <v>1849</v>
      </c>
      <c r="K1058" s="13">
        <v>2</v>
      </c>
      <c r="L1058" s="233">
        <v>10</v>
      </c>
      <c r="M1058" s="13">
        <v>0</v>
      </c>
      <c r="N1058" s="13">
        <v>0</v>
      </c>
      <c r="O1058" s="13">
        <v>0</v>
      </c>
      <c r="P1058" s="13">
        <v>0</v>
      </c>
      <c r="Q1058" s="60">
        <v>0</v>
      </c>
      <c r="R1058" s="61">
        <v>0</v>
      </c>
      <c r="S1058" s="7" t="s">
        <v>115</v>
      </c>
      <c r="T1058" s="257">
        <f t="shared" si="37"/>
        <v>12</v>
      </c>
      <c r="U1058" s="257">
        <f t="shared" si="38"/>
        <v>0</v>
      </c>
      <c r="V1058">
        <v>1</v>
      </c>
      <c r="W1058">
        <v>0</v>
      </c>
    </row>
    <row r="1059" spans="1:23" ht="22.8" x14ac:dyDescent="0.3">
      <c r="A1059" s="212">
        <v>39265</v>
      </c>
      <c r="B1059" s="212">
        <v>39265</v>
      </c>
      <c r="C1059" s="6">
        <v>7</v>
      </c>
      <c r="D1059" s="6">
        <v>1</v>
      </c>
      <c r="E1059" s="6">
        <v>2007</v>
      </c>
      <c r="F1059" s="15" t="s">
        <v>22</v>
      </c>
      <c r="G1059" s="18" t="s">
        <v>6256</v>
      </c>
      <c r="H1059" s="9" t="s">
        <v>174</v>
      </c>
      <c r="I1059" s="17" t="s">
        <v>1850</v>
      </c>
      <c r="J1059" s="17" t="s">
        <v>1851</v>
      </c>
      <c r="K1059" s="13">
        <v>2</v>
      </c>
      <c r="L1059" s="233">
        <v>2</v>
      </c>
      <c r="M1059" s="13">
        <v>0</v>
      </c>
      <c r="N1059" s="13">
        <v>0</v>
      </c>
      <c r="O1059" s="13">
        <v>0</v>
      </c>
      <c r="P1059" s="13">
        <v>0</v>
      </c>
      <c r="Q1059" s="60">
        <v>0</v>
      </c>
      <c r="R1059" s="61">
        <v>0</v>
      </c>
      <c r="S1059" s="7" t="s">
        <v>115</v>
      </c>
      <c r="T1059" s="257">
        <f t="shared" si="37"/>
        <v>4</v>
      </c>
      <c r="U1059" s="257">
        <f t="shared" si="38"/>
        <v>0</v>
      </c>
      <c r="V1059">
        <v>1</v>
      </c>
      <c r="W1059">
        <v>0</v>
      </c>
    </row>
    <row r="1060" spans="1:23" ht="22.8" x14ac:dyDescent="0.3">
      <c r="A1060" s="212">
        <v>39303</v>
      </c>
      <c r="B1060" s="212">
        <f t="shared" ref="B1060:B1065" si="39">A1060</f>
        <v>39303</v>
      </c>
      <c r="C1060" s="6">
        <v>8</v>
      </c>
      <c r="D1060" s="6">
        <v>1</v>
      </c>
      <c r="E1060" s="6">
        <v>2007</v>
      </c>
      <c r="F1060" s="15" t="s">
        <v>22</v>
      </c>
      <c r="G1060" s="16" t="s">
        <v>6256</v>
      </c>
      <c r="H1060" s="9" t="s">
        <v>52</v>
      </c>
      <c r="I1060" s="17" t="s">
        <v>1852</v>
      </c>
      <c r="J1060" s="17" t="s">
        <v>1853</v>
      </c>
      <c r="K1060" s="13">
        <v>0</v>
      </c>
      <c r="L1060" s="233">
        <v>82</v>
      </c>
      <c r="M1060" s="13">
        <v>0</v>
      </c>
      <c r="N1060" s="13">
        <v>0</v>
      </c>
      <c r="O1060" s="13">
        <v>0</v>
      </c>
      <c r="P1060" s="13">
        <v>0</v>
      </c>
      <c r="Q1060" s="60">
        <v>197.88</v>
      </c>
      <c r="R1060" s="61">
        <v>0.158</v>
      </c>
      <c r="S1060" s="6" t="s">
        <v>1667</v>
      </c>
      <c r="T1060" s="257">
        <f t="shared" si="37"/>
        <v>82</v>
      </c>
      <c r="U1060" s="257">
        <f t="shared" si="38"/>
        <v>0</v>
      </c>
      <c r="V1060">
        <v>1</v>
      </c>
      <c r="W1060">
        <v>0</v>
      </c>
    </row>
    <row r="1061" spans="1:23" ht="22.8" x14ac:dyDescent="0.3">
      <c r="A1061" s="212">
        <v>39272</v>
      </c>
      <c r="B1061" s="212">
        <f t="shared" si="39"/>
        <v>39272</v>
      </c>
      <c r="C1061" s="6">
        <v>7</v>
      </c>
      <c r="D1061" s="6">
        <v>1</v>
      </c>
      <c r="E1061" s="6">
        <v>2007</v>
      </c>
      <c r="F1061" s="15" t="s">
        <v>22</v>
      </c>
      <c r="G1061" s="16" t="s">
        <v>6256</v>
      </c>
      <c r="H1061" s="9" t="s">
        <v>52</v>
      </c>
      <c r="I1061" s="17" t="s">
        <v>1854</v>
      </c>
      <c r="J1061" s="17" t="s">
        <v>1855</v>
      </c>
      <c r="K1061" s="13">
        <v>0</v>
      </c>
      <c r="L1061" s="233">
        <v>659</v>
      </c>
      <c r="M1061" s="13">
        <v>0</v>
      </c>
      <c r="N1061" s="13">
        <v>0</v>
      </c>
      <c r="O1061" s="13">
        <v>0</v>
      </c>
      <c r="P1061" s="13">
        <v>0</v>
      </c>
      <c r="Q1061" s="60">
        <v>1930.33</v>
      </c>
      <c r="R1061" s="61">
        <v>1.544</v>
      </c>
      <c r="S1061" s="6" t="s">
        <v>1667</v>
      </c>
      <c r="T1061" s="257">
        <f t="shared" si="37"/>
        <v>659</v>
      </c>
      <c r="U1061" s="257">
        <f t="shared" si="38"/>
        <v>0</v>
      </c>
      <c r="V1061">
        <v>1</v>
      </c>
      <c r="W1061">
        <v>0</v>
      </c>
    </row>
    <row r="1062" spans="1:23" ht="34.200000000000003" x14ac:dyDescent="0.3">
      <c r="A1062" s="212">
        <v>39257</v>
      </c>
      <c r="B1062" s="212">
        <f t="shared" si="39"/>
        <v>39257</v>
      </c>
      <c r="C1062" s="6">
        <v>6</v>
      </c>
      <c r="D1062" s="6">
        <v>1</v>
      </c>
      <c r="E1062" s="6">
        <v>2007</v>
      </c>
      <c r="F1062" s="15" t="s">
        <v>22</v>
      </c>
      <c r="G1062" s="16" t="s">
        <v>6256</v>
      </c>
      <c r="H1062" s="9" t="s">
        <v>52</v>
      </c>
      <c r="I1062" s="17" t="s">
        <v>1279</v>
      </c>
      <c r="J1062" s="17" t="s">
        <v>1856</v>
      </c>
      <c r="K1062" s="13">
        <v>0</v>
      </c>
      <c r="L1062" s="233">
        <v>359</v>
      </c>
      <c r="M1062" s="13">
        <v>0</v>
      </c>
      <c r="N1062" s="13">
        <v>0</v>
      </c>
      <c r="O1062" s="13">
        <v>0</v>
      </c>
      <c r="P1062" s="13">
        <v>0</v>
      </c>
      <c r="Q1062" s="60">
        <v>902.25</v>
      </c>
      <c r="R1062" s="61">
        <v>2.5259999999999998</v>
      </c>
      <c r="S1062" s="6" t="s">
        <v>1667</v>
      </c>
      <c r="T1062" s="257">
        <f t="shared" si="37"/>
        <v>359</v>
      </c>
      <c r="U1062" s="257">
        <f t="shared" si="38"/>
        <v>0</v>
      </c>
      <c r="V1062">
        <v>1</v>
      </c>
      <c r="W1062">
        <v>0</v>
      </c>
    </row>
    <row r="1063" spans="1:23" x14ac:dyDescent="0.3">
      <c r="A1063" s="212">
        <v>39234</v>
      </c>
      <c r="B1063" s="212">
        <f t="shared" si="39"/>
        <v>39234</v>
      </c>
      <c r="C1063" s="6">
        <v>6</v>
      </c>
      <c r="D1063" s="6">
        <v>1</v>
      </c>
      <c r="E1063" s="6">
        <v>2007</v>
      </c>
      <c r="F1063" s="15" t="s">
        <v>22</v>
      </c>
      <c r="G1063" s="18" t="s">
        <v>6255</v>
      </c>
      <c r="H1063" s="9" t="s">
        <v>84</v>
      </c>
      <c r="I1063" s="17" t="s">
        <v>1857</v>
      </c>
      <c r="J1063" s="17" t="s">
        <v>1858</v>
      </c>
      <c r="K1063" s="13">
        <v>0</v>
      </c>
      <c r="L1063" s="233">
        <v>748</v>
      </c>
      <c r="M1063" s="13">
        <v>0</v>
      </c>
      <c r="N1063" s="13">
        <v>0</v>
      </c>
      <c r="O1063" s="13">
        <v>0</v>
      </c>
      <c r="P1063" s="13">
        <v>0</v>
      </c>
      <c r="Q1063" s="60">
        <v>2087.63</v>
      </c>
      <c r="R1063" s="61">
        <v>4.2549999999999999</v>
      </c>
      <c r="S1063" s="6" t="s">
        <v>1667</v>
      </c>
      <c r="T1063" s="257">
        <f t="shared" si="37"/>
        <v>748</v>
      </c>
      <c r="U1063" s="257">
        <f t="shared" si="38"/>
        <v>0</v>
      </c>
      <c r="V1063">
        <v>1</v>
      </c>
      <c r="W1063">
        <v>0</v>
      </c>
    </row>
    <row r="1064" spans="1:23" ht="22.8" x14ac:dyDescent="0.3">
      <c r="A1064" s="212">
        <v>39083</v>
      </c>
      <c r="B1064" s="212">
        <f t="shared" si="39"/>
        <v>39083</v>
      </c>
      <c r="C1064" s="6">
        <v>1</v>
      </c>
      <c r="D1064" s="6">
        <v>1</v>
      </c>
      <c r="E1064" s="6">
        <v>2007</v>
      </c>
      <c r="F1064" s="15" t="s">
        <v>22</v>
      </c>
      <c r="G1064" s="18" t="s">
        <v>6255</v>
      </c>
      <c r="H1064" s="9" t="s">
        <v>88</v>
      </c>
      <c r="I1064" s="17" t="s">
        <v>1859</v>
      </c>
      <c r="J1064" s="17" t="s">
        <v>1860</v>
      </c>
      <c r="K1064" s="13">
        <v>0</v>
      </c>
      <c r="L1064" s="233">
        <v>380</v>
      </c>
      <c r="M1064" s="13">
        <v>0</v>
      </c>
      <c r="N1064" s="13">
        <v>0</v>
      </c>
      <c r="O1064" s="13">
        <v>0</v>
      </c>
      <c r="P1064" s="13">
        <v>0</v>
      </c>
      <c r="Q1064" s="60">
        <v>1152.3</v>
      </c>
      <c r="R1064" s="61">
        <v>3.6509999999999998</v>
      </c>
      <c r="S1064" s="6" t="s">
        <v>1667</v>
      </c>
      <c r="T1064" s="257">
        <f t="shared" si="37"/>
        <v>380</v>
      </c>
      <c r="U1064" s="257">
        <f t="shared" si="38"/>
        <v>0</v>
      </c>
      <c r="V1064">
        <v>1</v>
      </c>
      <c r="W1064">
        <v>0</v>
      </c>
    </row>
    <row r="1065" spans="1:23" ht="34.200000000000003" x14ac:dyDescent="0.3">
      <c r="A1065" s="212">
        <v>39083</v>
      </c>
      <c r="B1065" s="212">
        <f t="shared" si="39"/>
        <v>39083</v>
      </c>
      <c r="C1065" s="6">
        <v>1</v>
      </c>
      <c r="D1065" s="6">
        <v>1</v>
      </c>
      <c r="E1065" s="6">
        <v>2007</v>
      </c>
      <c r="F1065" s="15" t="s">
        <v>22</v>
      </c>
      <c r="G1065" s="18" t="s">
        <v>6255</v>
      </c>
      <c r="H1065" s="9" t="s">
        <v>24</v>
      </c>
      <c r="I1065" s="17" t="s">
        <v>668</v>
      </c>
      <c r="J1065" s="17" t="s">
        <v>1861</v>
      </c>
      <c r="K1065" s="13">
        <v>0</v>
      </c>
      <c r="L1065" s="233">
        <v>817</v>
      </c>
      <c r="M1065" s="13">
        <v>0</v>
      </c>
      <c r="N1065" s="13">
        <v>0</v>
      </c>
      <c r="O1065" s="13">
        <v>0</v>
      </c>
      <c r="P1065" s="13">
        <v>0</v>
      </c>
      <c r="Q1065" s="60">
        <v>1800.36</v>
      </c>
      <c r="R1065" s="61">
        <v>9.0009999999999994</v>
      </c>
      <c r="S1065" s="6" t="s">
        <v>1667</v>
      </c>
      <c r="T1065" s="257">
        <f t="shared" si="37"/>
        <v>817</v>
      </c>
      <c r="U1065" s="257">
        <f t="shared" si="38"/>
        <v>0</v>
      </c>
      <c r="V1065">
        <v>1</v>
      </c>
      <c r="W1065">
        <v>0</v>
      </c>
    </row>
    <row r="1066" spans="1:23" x14ac:dyDescent="0.3">
      <c r="A1066" s="212">
        <v>39099</v>
      </c>
      <c r="B1066" s="212">
        <v>39099</v>
      </c>
      <c r="C1066" s="6">
        <v>1</v>
      </c>
      <c r="D1066" s="6">
        <v>1</v>
      </c>
      <c r="E1066" s="6">
        <v>2007</v>
      </c>
      <c r="F1066" s="7" t="s">
        <v>17</v>
      </c>
      <c r="G1066" s="8" t="s">
        <v>6261</v>
      </c>
      <c r="H1066" s="9" t="s">
        <v>37</v>
      </c>
      <c r="I1066" s="17" t="s">
        <v>1862</v>
      </c>
      <c r="J1066" s="17" t="s">
        <v>1863</v>
      </c>
      <c r="K1066" s="13">
        <v>1</v>
      </c>
      <c r="L1066" s="233">
        <v>1</v>
      </c>
      <c r="M1066" s="13">
        <v>0</v>
      </c>
      <c r="N1066" s="13">
        <v>0</v>
      </c>
      <c r="O1066" s="13">
        <v>0</v>
      </c>
      <c r="P1066" s="13">
        <v>0</v>
      </c>
      <c r="Q1066" s="60">
        <v>0</v>
      </c>
      <c r="R1066" s="61">
        <v>0</v>
      </c>
      <c r="S1066" s="7" t="s">
        <v>115</v>
      </c>
      <c r="T1066" s="257">
        <f t="shared" si="37"/>
        <v>2</v>
      </c>
      <c r="U1066" s="257">
        <f t="shared" si="38"/>
        <v>0</v>
      </c>
      <c r="V1066">
        <v>1</v>
      </c>
      <c r="W1066">
        <v>0</v>
      </c>
    </row>
    <row r="1067" spans="1:23" ht="45.6" x14ac:dyDescent="0.3">
      <c r="A1067" s="212">
        <v>39119</v>
      </c>
      <c r="B1067" s="212">
        <v>39119</v>
      </c>
      <c r="C1067" s="6">
        <v>2</v>
      </c>
      <c r="D1067" s="6">
        <v>1</v>
      </c>
      <c r="E1067" s="6">
        <v>2007</v>
      </c>
      <c r="F1067" s="7" t="s">
        <v>17</v>
      </c>
      <c r="G1067" s="8" t="s">
        <v>6261</v>
      </c>
      <c r="H1067" s="9" t="s">
        <v>121</v>
      </c>
      <c r="I1067" s="17" t="s">
        <v>1864</v>
      </c>
      <c r="J1067" s="17" t="s">
        <v>1865</v>
      </c>
      <c r="K1067" s="13">
        <v>0</v>
      </c>
      <c r="L1067" s="233">
        <v>2</v>
      </c>
      <c r="M1067" s="13">
        <v>0</v>
      </c>
      <c r="N1067" s="13">
        <v>0</v>
      </c>
      <c r="O1067" s="13">
        <v>0</v>
      </c>
      <c r="P1067" s="13">
        <v>0</v>
      </c>
      <c r="Q1067" s="60">
        <v>0</v>
      </c>
      <c r="R1067" s="61">
        <v>0</v>
      </c>
      <c r="S1067" s="7" t="s">
        <v>115</v>
      </c>
      <c r="T1067" s="257">
        <f t="shared" si="37"/>
        <v>2</v>
      </c>
      <c r="U1067" s="257">
        <f t="shared" si="38"/>
        <v>0</v>
      </c>
      <c r="V1067">
        <v>1</v>
      </c>
      <c r="W1067">
        <v>0</v>
      </c>
    </row>
    <row r="1068" spans="1:23" ht="22.8" x14ac:dyDescent="0.3">
      <c r="A1068" s="212">
        <v>39127</v>
      </c>
      <c r="B1068" s="212">
        <v>39127</v>
      </c>
      <c r="C1068" s="6">
        <v>2</v>
      </c>
      <c r="D1068" s="6">
        <v>1</v>
      </c>
      <c r="E1068" s="6">
        <v>2007</v>
      </c>
      <c r="F1068" s="7" t="s">
        <v>17</v>
      </c>
      <c r="G1068" s="8" t="s">
        <v>6261</v>
      </c>
      <c r="H1068" s="9" t="s">
        <v>43</v>
      </c>
      <c r="I1068" s="17" t="s">
        <v>1866</v>
      </c>
      <c r="J1068" s="17" t="s">
        <v>1867</v>
      </c>
      <c r="K1068" s="13">
        <v>1</v>
      </c>
      <c r="L1068" s="233">
        <v>1</v>
      </c>
      <c r="M1068" s="13">
        <v>0</v>
      </c>
      <c r="N1068" s="13">
        <v>0</v>
      </c>
      <c r="O1068" s="13">
        <v>0</v>
      </c>
      <c r="P1068" s="13">
        <v>0</v>
      </c>
      <c r="Q1068" s="60">
        <v>0</v>
      </c>
      <c r="R1068" s="61">
        <v>0</v>
      </c>
      <c r="S1068" s="7" t="s">
        <v>115</v>
      </c>
      <c r="T1068" s="257">
        <f t="shared" si="37"/>
        <v>2</v>
      </c>
      <c r="U1068" s="257">
        <f t="shared" si="38"/>
        <v>0</v>
      </c>
      <c r="V1068">
        <v>1</v>
      </c>
      <c r="W1068">
        <v>0</v>
      </c>
    </row>
    <row r="1069" spans="1:23" ht="34.200000000000003" x14ac:dyDescent="0.3">
      <c r="A1069" s="212">
        <v>39169</v>
      </c>
      <c r="B1069" s="212">
        <v>39169</v>
      </c>
      <c r="C1069" s="6">
        <v>3</v>
      </c>
      <c r="D1069" s="6">
        <v>1</v>
      </c>
      <c r="E1069" s="6">
        <v>2007</v>
      </c>
      <c r="F1069" s="7" t="s">
        <v>17</v>
      </c>
      <c r="G1069" s="8" t="s">
        <v>6261</v>
      </c>
      <c r="H1069" s="9" t="s">
        <v>24</v>
      </c>
      <c r="I1069" s="17" t="s">
        <v>24</v>
      </c>
      <c r="J1069" s="17" t="s">
        <v>1868</v>
      </c>
      <c r="K1069" s="13">
        <v>1</v>
      </c>
      <c r="L1069" s="233">
        <v>8</v>
      </c>
      <c r="M1069" s="13">
        <v>0</v>
      </c>
      <c r="N1069" s="13">
        <v>0</v>
      </c>
      <c r="O1069" s="13">
        <v>0</v>
      </c>
      <c r="P1069" s="13">
        <v>0</v>
      </c>
      <c r="Q1069" s="60">
        <v>0</v>
      </c>
      <c r="R1069" s="61">
        <v>0</v>
      </c>
      <c r="S1069" s="7" t="s">
        <v>115</v>
      </c>
      <c r="T1069" s="257">
        <f t="shared" si="37"/>
        <v>9</v>
      </c>
      <c r="U1069" s="257">
        <f t="shared" si="38"/>
        <v>0</v>
      </c>
      <c r="V1069">
        <v>1</v>
      </c>
      <c r="W1069">
        <v>0</v>
      </c>
    </row>
    <row r="1070" spans="1:23" ht="102.6" x14ac:dyDescent="0.3">
      <c r="A1070" s="211">
        <v>41123</v>
      </c>
      <c r="B1070" s="211">
        <v>41244</v>
      </c>
      <c r="C1070" s="6">
        <v>8</v>
      </c>
      <c r="D1070" s="6">
        <v>122</v>
      </c>
      <c r="E1070" s="19">
        <v>2012</v>
      </c>
      <c r="F1070" s="15" t="s">
        <v>22</v>
      </c>
      <c r="G1070" s="18" t="s">
        <v>6256</v>
      </c>
      <c r="H1070" s="9" t="s">
        <v>48</v>
      </c>
      <c r="I1070" s="20" t="s">
        <v>1869</v>
      </c>
      <c r="J1070" s="21" t="s">
        <v>1870</v>
      </c>
      <c r="K1070" s="22">
        <v>0</v>
      </c>
      <c r="L1070" s="234">
        <v>3005</v>
      </c>
      <c r="M1070" s="23">
        <v>601</v>
      </c>
      <c r="N1070" s="23">
        <v>0</v>
      </c>
      <c r="O1070" s="23">
        <v>0</v>
      </c>
      <c r="P1070" s="23">
        <v>0</v>
      </c>
      <c r="Q1070" s="23">
        <v>0</v>
      </c>
      <c r="R1070" s="24">
        <f>(M1070*5500)/1000000</f>
        <v>3.3054999999999999</v>
      </c>
      <c r="S1070" s="6" t="s">
        <v>115</v>
      </c>
      <c r="T1070" s="257">
        <f t="shared" si="37"/>
        <v>3005</v>
      </c>
      <c r="U1070" s="257">
        <f t="shared" si="38"/>
        <v>601</v>
      </c>
      <c r="V1070">
        <v>1</v>
      </c>
      <c r="W1070">
        <v>1</v>
      </c>
    </row>
    <row r="1071" spans="1:23" ht="34.200000000000003" x14ac:dyDescent="0.3">
      <c r="A1071" s="212">
        <v>39203</v>
      </c>
      <c r="B1071" s="212">
        <v>39203</v>
      </c>
      <c r="C1071" s="6">
        <v>5</v>
      </c>
      <c r="D1071" s="6">
        <v>1</v>
      </c>
      <c r="E1071" s="6">
        <v>2007</v>
      </c>
      <c r="F1071" s="7" t="s">
        <v>17</v>
      </c>
      <c r="G1071" s="8" t="s">
        <v>6261</v>
      </c>
      <c r="H1071" s="9" t="s">
        <v>43</v>
      </c>
      <c r="I1071" s="17" t="s">
        <v>1871</v>
      </c>
      <c r="J1071" s="17" t="s">
        <v>1872</v>
      </c>
      <c r="K1071" s="13">
        <v>1</v>
      </c>
      <c r="L1071" s="233">
        <v>3</v>
      </c>
      <c r="M1071" s="13">
        <v>0</v>
      </c>
      <c r="N1071" s="13">
        <v>0</v>
      </c>
      <c r="O1071" s="13">
        <v>0</v>
      </c>
      <c r="P1071" s="13">
        <v>0</v>
      </c>
      <c r="Q1071" s="60">
        <v>0</v>
      </c>
      <c r="R1071" s="61">
        <v>0</v>
      </c>
      <c r="S1071" s="7" t="s">
        <v>115</v>
      </c>
      <c r="T1071" s="257">
        <f t="shared" si="37"/>
        <v>4</v>
      </c>
      <c r="U1071" s="257">
        <f t="shared" si="38"/>
        <v>0</v>
      </c>
      <c r="V1071">
        <v>1</v>
      </c>
      <c r="W1071">
        <v>0</v>
      </c>
    </row>
    <row r="1072" spans="1:23" ht="34.200000000000003" x14ac:dyDescent="0.3">
      <c r="A1072" s="212">
        <v>39224</v>
      </c>
      <c r="B1072" s="212">
        <v>39224</v>
      </c>
      <c r="C1072" s="6">
        <v>5</v>
      </c>
      <c r="D1072" s="6">
        <v>1</v>
      </c>
      <c r="E1072" s="6">
        <v>2007</v>
      </c>
      <c r="F1072" s="7" t="s">
        <v>17</v>
      </c>
      <c r="G1072" s="8" t="s">
        <v>6261</v>
      </c>
      <c r="H1072" s="9" t="s">
        <v>37</v>
      </c>
      <c r="I1072" s="17" t="s">
        <v>1022</v>
      </c>
      <c r="J1072" s="17" t="s">
        <v>1873</v>
      </c>
      <c r="K1072" s="13">
        <v>1</v>
      </c>
      <c r="L1072" s="233">
        <v>5</v>
      </c>
      <c r="M1072" s="13">
        <v>0</v>
      </c>
      <c r="N1072" s="13">
        <v>0</v>
      </c>
      <c r="O1072" s="13">
        <v>0</v>
      </c>
      <c r="P1072" s="13">
        <v>0</v>
      </c>
      <c r="Q1072" s="60">
        <v>0</v>
      </c>
      <c r="R1072" s="61">
        <v>0</v>
      </c>
      <c r="S1072" s="7" t="s">
        <v>115</v>
      </c>
      <c r="T1072" s="257">
        <f t="shared" si="37"/>
        <v>6</v>
      </c>
      <c r="U1072" s="257">
        <f t="shared" si="38"/>
        <v>0</v>
      </c>
      <c r="V1072">
        <v>1</v>
      </c>
      <c r="W1072">
        <v>0</v>
      </c>
    </row>
    <row r="1073" spans="1:23" ht="57" x14ac:dyDescent="0.3">
      <c r="A1073" s="212">
        <v>39233</v>
      </c>
      <c r="B1073" s="212">
        <v>39233</v>
      </c>
      <c r="C1073" s="6">
        <v>5</v>
      </c>
      <c r="D1073" s="6">
        <v>1</v>
      </c>
      <c r="E1073" s="6">
        <v>2007</v>
      </c>
      <c r="F1073" s="7" t="s">
        <v>17</v>
      </c>
      <c r="G1073" s="28" t="s">
        <v>6261</v>
      </c>
      <c r="H1073" s="9" t="s">
        <v>27</v>
      </c>
      <c r="I1073" s="17" t="s">
        <v>671</v>
      </c>
      <c r="J1073" s="17" t="s">
        <v>1874</v>
      </c>
      <c r="K1073" s="13">
        <v>2</v>
      </c>
      <c r="L1073" s="233">
        <v>7</v>
      </c>
      <c r="M1073" s="13">
        <v>1</v>
      </c>
      <c r="N1073" s="13">
        <v>0</v>
      </c>
      <c r="O1073" s="13">
        <v>0</v>
      </c>
      <c r="P1073" s="13">
        <v>0</v>
      </c>
      <c r="Q1073" s="60">
        <v>0</v>
      </c>
      <c r="R1073" s="61">
        <v>4.1000000000000002E-2</v>
      </c>
      <c r="S1073" s="7" t="s">
        <v>115</v>
      </c>
      <c r="T1073" s="257">
        <f t="shared" si="37"/>
        <v>9</v>
      </c>
      <c r="U1073" s="257">
        <f t="shared" si="38"/>
        <v>1</v>
      </c>
      <c r="V1073">
        <v>1</v>
      </c>
      <c r="W1073">
        <v>1</v>
      </c>
    </row>
    <row r="1074" spans="1:23" ht="57" x14ac:dyDescent="0.3">
      <c r="A1074" s="212">
        <v>39267</v>
      </c>
      <c r="B1074" s="212">
        <v>39267</v>
      </c>
      <c r="C1074" s="6">
        <v>7</v>
      </c>
      <c r="D1074" s="6">
        <v>1</v>
      </c>
      <c r="E1074" s="6">
        <v>2007</v>
      </c>
      <c r="F1074" s="7" t="s">
        <v>17</v>
      </c>
      <c r="G1074" s="28" t="s">
        <v>6261</v>
      </c>
      <c r="H1074" s="9" t="s">
        <v>64</v>
      </c>
      <c r="I1074" s="17" t="s">
        <v>1875</v>
      </c>
      <c r="J1074" s="17" t="s">
        <v>1876</v>
      </c>
      <c r="K1074" s="13">
        <v>32</v>
      </c>
      <c r="L1074" s="233">
        <v>45</v>
      </c>
      <c r="M1074" s="13">
        <v>0</v>
      </c>
      <c r="N1074" s="13">
        <v>0</v>
      </c>
      <c r="O1074" s="13">
        <v>0</v>
      </c>
      <c r="P1074" s="13">
        <v>0</v>
      </c>
      <c r="Q1074" s="60">
        <v>0</v>
      </c>
      <c r="R1074" s="61">
        <v>0</v>
      </c>
      <c r="S1074" s="7" t="s">
        <v>115</v>
      </c>
      <c r="T1074" s="257">
        <f t="shared" si="37"/>
        <v>77</v>
      </c>
      <c r="U1074" s="257">
        <f t="shared" si="38"/>
        <v>0</v>
      </c>
      <c r="V1074">
        <v>1</v>
      </c>
      <c r="W1074">
        <v>0</v>
      </c>
    </row>
    <row r="1075" spans="1:23" ht="34.200000000000003" x14ac:dyDescent="0.3">
      <c r="A1075" s="212">
        <v>39301</v>
      </c>
      <c r="B1075" s="212">
        <v>39301</v>
      </c>
      <c r="C1075" s="6">
        <v>8</v>
      </c>
      <c r="D1075" s="6">
        <v>1</v>
      </c>
      <c r="E1075" s="6">
        <v>2007</v>
      </c>
      <c r="F1075" s="7" t="s">
        <v>17</v>
      </c>
      <c r="G1075" s="8" t="s">
        <v>6261</v>
      </c>
      <c r="H1075" s="9" t="s">
        <v>55</v>
      </c>
      <c r="I1075" s="17" t="s">
        <v>1877</v>
      </c>
      <c r="J1075" s="17" t="s">
        <v>1878</v>
      </c>
      <c r="K1075" s="13">
        <v>2</v>
      </c>
      <c r="L1075" s="233">
        <v>2</v>
      </c>
      <c r="M1075" s="13">
        <v>0</v>
      </c>
      <c r="N1075" s="13">
        <v>0</v>
      </c>
      <c r="O1075" s="13">
        <v>0</v>
      </c>
      <c r="P1075" s="13">
        <v>0</v>
      </c>
      <c r="Q1075" s="60">
        <v>0</v>
      </c>
      <c r="R1075" s="61">
        <v>0</v>
      </c>
      <c r="S1075" s="7" t="s">
        <v>115</v>
      </c>
      <c r="T1075" s="257">
        <f t="shared" si="37"/>
        <v>4</v>
      </c>
      <c r="U1075" s="257">
        <f t="shared" si="38"/>
        <v>0</v>
      </c>
      <c r="V1075">
        <v>1</v>
      </c>
      <c r="W1075">
        <v>0</v>
      </c>
    </row>
    <row r="1076" spans="1:23" ht="22.8" x14ac:dyDescent="0.3">
      <c r="A1076" s="212">
        <v>39312</v>
      </c>
      <c r="B1076" s="212">
        <v>39312</v>
      </c>
      <c r="C1076" s="6">
        <v>8</v>
      </c>
      <c r="D1076" s="6">
        <v>1</v>
      </c>
      <c r="E1076" s="6">
        <v>2007</v>
      </c>
      <c r="F1076" s="7" t="s">
        <v>17</v>
      </c>
      <c r="G1076" s="8" t="s">
        <v>6261</v>
      </c>
      <c r="H1076" s="9" t="s">
        <v>43</v>
      </c>
      <c r="I1076" s="17" t="s">
        <v>1879</v>
      </c>
      <c r="J1076" s="17" t="s">
        <v>1880</v>
      </c>
      <c r="K1076" s="13">
        <v>2</v>
      </c>
      <c r="L1076" s="233">
        <v>3</v>
      </c>
      <c r="M1076" s="13">
        <v>0</v>
      </c>
      <c r="N1076" s="13">
        <v>0</v>
      </c>
      <c r="O1076" s="13">
        <v>0</v>
      </c>
      <c r="P1076" s="13">
        <v>0</v>
      </c>
      <c r="Q1076" s="60">
        <v>0</v>
      </c>
      <c r="R1076" s="61">
        <v>0</v>
      </c>
      <c r="S1076" s="7" t="s">
        <v>115</v>
      </c>
      <c r="T1076" s="257">
        <f t="shared" si="37"/>
        <v>5</v>
      </c>
      <c r="U1076" s="257">
        <f t="shared" si="38"/>
        <v>0</v>
      </c>
      <c r="V1076">
        <v>1</v>
      </c>
      <c r="W1076">
        <v>0</v>
      </c>
    </row>
    <row r="1077" spans="1:23" ht="34.200000000000003" x14ac:dyDescent="0.3">
      <c r="A1077" s="212">
        <v>39316</v>
      </c>
      <c r="B1077" s="212">
        <v>39316</v>
      </c>
      <c r="C1077" s="6">
        <v>8</v>
      </c>
      <c r="D1077" s="6">
        <v>1</v>
      </c>
      <c r="E1077" s="6">
        <v>2007</v>
      </c>
      <c r="F1077" s="7" t="s">
        <v>17</v>
      </c>
      <c r="G1077" s="8" t="s">
        <v>6261</v>
      </c>
      <c r="H1077" s="9" t="s">
        <v>51</v>
      </c>
      <c r="I1077" s="17" t="s">
        <v>271</v>
      </c>
      <c r="J1077" s="17" t="s">
        <v>1881</v>
      </c>
      <c r="K1077" s="13">
        <v>1</v>
      </c>
      <c r="L1077" s="233">
        <v>2</v>
      </c>
      <c r="M1077" s="13">
        <v>1</v>
      </c>
      <c r="N1077" s="13">
        <v>0</v>
      </c>
      <c r="O1077" s="13">
        <v>0</v>
      </c>
      <c r="P1077" s="13">
        <v>0</v>
      </c>
      <c r="Q1077" s="60">
        <v>0</v>
      </c>
      <c r="R1077" s="61">
        <v>0.04</v>
      </c>
      <c r="S1077" s="7" t="s">
        <v>115</v>
      </c>
      <c r="T1077" s="257">
        <f t="shared" si="37"/>
        <v>3</v>
      </c>
      <c r="U1077" s="257">
        <f t="shared" si="38"/>
        <v>1</v>
      </c>
      <c r="V1077">
        <v>1</v>
      </c>
      <c r="W1077">
        <v>1</v>
      </c>
    </row>
    <row r="1078" spans="1:23" ht="22.8" x14ac:dyDescent="0.3">
      <c r="A1078" s="212">
        <v>39338</v>
      </c>
      <c r="B1078" s="212">
        <v>39338</v>
      </c>
      <c r="C1078" s="6">
        <v>9</v>
      </c>
      <c r="D1078" s="6">
        <v>1</v>
      </c>
      <c r="E1078" s="6">
        <v>2007</v>
      </c>
      <c r="F1078" s="7" t="s">
        <v>17</v>
      </c>
      <c r="G1078" s="28" t="s">
        <v>6261</v>
      </c>
      <c r="H1078" s="9" t="s">
        <v>121</v>
      </c>
      <c r="I1078" s="17" t="s">
        <v>1882</v>
      </c>
      <c r="J1078" s="17" t="s">
        <v>1883</v>
      </c>
      <c r="K1078" s="13">
        <v>1</v>
      </c>
      <c r="L1078" s="233">
        <v>1</v>
      </c>
      <c r="M1078" s="13">
        <v>0</v>
      </c>
      <c r="N1078" s="13">
        <v>0</v>
      </c>
      <c r="O1078" s="13">
        <v>0</v>
      </c>
      <c r="P1078" s="13">
        <v>0</v>
      </c>
      <c r="Q1078" s="60">
        <v>0</v>
      </c>
      <c r="R1078" s="61">
        <v>0</v>
      </c>
      <c r="S1078" s="7" t="s">
        <v>115</v>
      </c>
      <c r="T1078" s="257">
        <f t="shared" si="37"/>
        <v>2</v>
      </c>
      <c r="U1078" s="257">
        <f t="shared" si="38"/>
        <v>0</v>
      </c>
      <c r="V1078">
        <v>1</v>
      </c>
      <c r="W1078">
        <v>0</v>
      </c>
    </row>
    <row r="1079" spans="1:23" ht="205.2" x14ac:dyDescent="0.3">
      <c r="A1079" s="224">
        <v>43335</v>
      </c>
      <c r="B1079" s="224">
        <v>43335</v>
      </c>
      <c r="C1079" s="6">
        <v>8</v>
      </c>
      <c r="D1079" s="6">
        <v>1</v>
      </c>
      <c r="E1079" s="84">
        <v>2018</v>
      </c>
      <c r="F1079" s="15" t="s">
        <v>22</v>
      </c>
      <c r="G1079" s="9" t="s">
        <v>6257</v>
      </c>
      <c r="H1079" s="9" t="s">
        <v>48</v>
      </c>
      <c r="I1079" s="86" t="s">
        <v>1884</v>
      </c>
      <c r="J1079" s="34" t="s">
        <v>1885</v>
      </c>
      <c r="K1079" s="84">
        <v>0</v>
      </c>
      <c r="L1079" s="173">
        <v>670</v>
      </c>
      <c r="M1079" s="84">
        <v>117</v>
      </c>
      <c r="N1079" s="84">
        <v>0</v>
      </c>
      <c r="O1079" s="84">
        <v>0</v>
      </c>
      <c r="P1079" s="84">
        <v>0</v>
      </c>
      <c r="Q1079" s="88">
        <v>0</v>
      </c>
      <c r="R1079" s="126">
        <v>3.0644</v>
      </c>
      <c r="S1079" s="89" t="s">
        <v>115</v>
      </c>
      <c r="T1079" s="257">
        <f t="shared" si="37"/>
        <v>670</v>
      </c>
      <c r="U1079" s="257">
        <f t="shared" si="38"/>
        <v>117</v>
      </c>
      <c r="V1079">
        <v>1</v>
      </c>
      <c r="W1079">
        <v>1</v>
      </c>
    </row>
    <row r="1080" spans="1:23" ht="68.400000000000006" x14ac:dyDescent="0.3">
      <c r="A1080" s="129">
        <v>38886</v>
      </c>
      <c r="B1080" s="129">
        <v>38886</v>
      </c>
      <c r="C1080" s="6">
        <v>6</v>
      </c>
      <c r="D1080" s="6">
        <v>1</v>
      </c>
      <c r="E1080" s="103">
        <v>2006</v>
      </c>
      <c r="F1080" s="15" t="s">
        <v>22</v>
      </c>
      <c r="G1080" s="18" t="s">
        <v>6254</v>
      </c>
      <c r="H1080" s="9" t="s">
        <v>48</v>
      </c>
      <c r="I1080" s="59" t="s">
        <v>1886</v>
      </c>
      <c r="J1080" s="106" t="s">
        <v>1887</v>
      </c>
      <c r="K1080" s="19">
        <v>0</v>
      </c>
      <c r="L1080" s="234">
        <v>299</v>
      </c>
      <c r="M1080" s="19">
        <v>68</v>
      </c>
      <c r="N1080" s="19">
        <v>0</v>
      </c>
      <c r="O1080" s="19">
        <v>0</v>
      </c>
      <c r="P1080" s="19">
        <v>0</v>
      </c>
      <c r="Q1080" s="105">
        <v>0</v>
      </c>
      <c r="R1080" s="93">
        <v>2.4281679999999999</v>
      </c>
      <c r="S1080" s="7" t="s">
        <v>115</v>
      </c>
      <c r="T1080" s="257">
        <f t="shared" si="37"/>
        <v>299</v>
      </c>
      <c r="U1080" s="257">
        <f t="shared" si="38"/>
        <v>68</v>
      </c>
      <c r="V1080">
        <v>1</v>
      </c>
      <c r="W1080">
        <v>1</v>
      </c>
    </row>
    <row r="1081" spans="1:23" ht="102.6" x14ac:dyDescent="0.3">
      <c r="A1081" s="212">
        <v>39390</v>
      </c>
      <c r="B1081" s="212">
        <v>39390</v>
      </c>
      <c r="C1081" s="6">
        <v>11</v>
      </c>
      <c r="D1081" s="6">
        <v>1</v>
      </c>
      <c r="E1081" s="6">
        <v>2007</v>
      </c>
      <c r="F1081" s="7" t="s">
        <v>17</v>
      </c>
      <c r="G1081" s="28" t="s">
        <v>6261</v>
      </c>
      <c r="H1081" s="9" t="s">
        <v>31</v>
      </c>
      <c r="I1081" s="17" t="s">
        <v>1888</v>
      </c>
      <c r="J1081" s="10" t="s">
        <v>1889</v>
      </c>
      <c r="K1081" s="13">
        <v>25</v>
      </c>
      <c r="L1081" s="233">
        <v>906</v>
      </c>
      <c r="M1081" s="13">
        <v>100</v>
      </c>
      <c r="N1081" s="13">
        <v>0</v>
      </c>
      <c r="O1081" s="13">
        <v>0</v>
      </c>
      <c r="P1081" s="13">
        <v>0</v>
      </c>
      <c r="Q1081" s="60">
        <v>0</v>
      </c>
      <c r="R1081" s="61">
        <v>1015.946</v>
      </c>
      <c r="S1081" s="6" t="s">
        <v>21</v>
      </c>
      <c r="T1081" s="257">
        <f t="shared" si="37"/>
        <v>931</v>
      </c>
      <c r="U1081" s="257">
        <f t="shared" si="38"/>
        <v>100</v>
      </c>
      <c r="V1081">
        <v>1</v>
      </c>
      <c r="W1081">
        <v>1</v>
      </c>
    </row>
    <row r="1082" spans="1:23" ht="34.200000000000003" x14ac:dyDescent="0.3">
      <c r="A1082" s="212">
        <v>39337</v>
      </c>
      <c r="B1082" s="212">
        <f>A1082</f>
        <v>39337</v>
      </c>
      <c r="C1082" s="6">
        <v>9</v>
      </c>
      <c r="D1082" s="6">
        <v>1</v>
      </c>
      <c r="E1082" s="6">
        <v>2007</v>
      </c>
      <c r="F1082" s="7" t="s">
        <v>17</v>
      </c>
      <c r="G1082" s="28" t="s">
        <v>6261</v>
      </c>
      <c r="H1082" s="9" t="s">
        <v>51</v>
      </c>
      <c r="I1082" s="17" t="s">
        <v>1890</v>
      </c>
      <c r="J1082" s="17" t="s">
        <v>1891</v>
      </c>
      <c r="K1082" s="13">
        <v>0</v>
      </c>
      <c r="L1082" s="233" t="s">
        <v>1678</v>
      </c>
      <c r="M1082" s="13" t="s">
        <v>1678</v>
      </c>
      <c r="N1082" s="13" t="s">
        <v>1678</v>
      </c>
      <c r="O1082" s="13" t="s">
        <v>1678</v>
      </c>
      <c r="P1082" s="13">
        <v>0</v>
      </c>
      <c r="Q1082" s="60"/>
      <c r="R1082" s="61">
        <v>8.1150000000000002</v>
      </c>
      <c r="S1082" s="6" t="s">
        <v>149</v>
      </c>
      <c r="T1082" s="257">
        <f t="shared" si="37"/>
        <v>0</v>
      </c>
      <c r="U1082" s="257">
        <f t="shared" si="38"/>
        <v>0</v>
      </c>
      <c r="V1082">
        <v>0</v>
      </c>
      <c r="W1082">
        <v>0</v>
      </c>
    </row>
    <row r="1083" spans="1:23" ht="79.8" x14ac:dyDescent="0.3">
      <c r="A1083" s="129">
        <v>39448</v>
      </c>
      <c r="B1083" s="129">
        <v>39448</v>
      </c>
      <c r="C1083" s="6">
        <v>1</v>
      </c>
      <c r="D1083" s="6">
        <v>1</v>
      </c>
      <c r="E1083" s="19">
        <v>2008</v>
      </c>
      <c r="F1083" s="15" t="s">
        <v>22</v>
      </c>
      <c r="G1083" s="16" t="s">
        <v>6256</v>
      </c>
      <c r="H1083" s="9" t="s">
        <v>174</v>
      </c>
      <c r="I1083" s="17" t="s">
        <v>1902</v>
      </c>
      <c r="J1083" s="17" t="s">
        <v>1903</v>
      </c>
      <c r="K1083" s="23">
        <v>0</v>
      </c>
      <c r="L1083" s="234">
        <v>2929</v>
      </c>
      <c r="M1083" s="23">
        <v>0</v>
      </c>
      <c r="N1083" s="23">
        <v>0</v>
      </c>
      <c r="O1083" s="23">
        <v>0</v>
      </c>
      <c r="P1083" s="23">
        <v>0</v>
      </c>
      <c r="Q1083" s="92">
        <v>7390.5</v>
      </c>
      <c r="R1083" s="93">
        <v>42.677999999999997</v>
      </c>
      <c r="S1083" s="19" t="s">
        <v>1904</v>
      </c>
      <c r="T1083" s="257">
        <f t="shared" si="37"/>
        <v>2929</v>
      </c>
      <c r="U1083" s="257">
        <f t="shared" si="38"/>
        <v>0</v>
      </c>
      <c r="V1083">
        <v>1</v>
      </c>
      <c r="W1083">
        <v>0</v>
      </c>
    </row>
    <row r="1084" spans="1:23" ht="45.6" x14ac:dyDescent="0.3">
      <c r="A1084" s="129">
        <v>39449</v>
      </c>
      <c r="B1084" s="129">
        <v>39449</v>
      </c>
      <c r="C1084" s="6">
        <v>1</v>
      </c>
      <c r="D1084" s="6">
        <v>1</v>
      </c>
      <c r="E1084" s="19">
        <v>2008</v>
      </c>
      <c r="F1084" s="15" t="s">
        <v>22</v>
      </c>
      <c r="G1084" s="16" t="s">
        <v>6256</v>
      </c>
      <c r="H1084" s="9" t="s">
        <v>31</v>
      </c>
      <c r="I1084" s="17" t="s">
        <v>1905</v>
      </c>
      <c r="J1084" s="17" t="s">
        <v>1906</v>
      </c>
      <c r="K1084" s="23">
        <v>0</v>
      </c>
      <c r="L1084" s="234">
        <f t="shared" ref="L1084:L1094" si="40">((M1084*5)+K1084)*1</f>
        <v>450</v>
      </c>
      <c r="M1084" s="23">
        <v>90</v>
      </c>
      <c r="N1084" s="23">
        <v>0</v>
      </c>
      <c r="O1084" s="23">
        <v>0</v>
      </c>
      <c r="P1084" s="23">
        <v>0</v>
      </c>
      <c r="Q1084" s="92">
        <v>0</v>
      </c>
      <c r="R1084" s="93">
        <v>0.419796</v>
      </c>
      <c r="S1084" s="19" t="s">
        <v>115</v>
      </c>
      <c r="T1084" s="257">
        <f t="shared" si="37"/>
        <v>450</v>
      </c>
      <c r="U1084" s="257">
        <f t="shared" si="38"/>
        <v>90</v>
      </c>
      <c r="V1084">
        <v>1</v>
      </c>
      <c r="W1084">
        <v>1</v>
      </c>
    </row>
    <row r="1085" spans="1:23" ht="45.6" x14ac:dyDescent="0.3">
      <c r="A1085" s="129">
        <v>39454</v>
      </c>
      <c r="B1085" s="129">
        <v>39454</v>
      </c>
      <c r="C1085" s="6">
        <v>1</v>
      </c>
      <c r="D1085" s="6">
        <v>1</v>
      </c>
      <c r="E1085" s="19">
        <v>2008</v>
      </c>
      <c r="F1085" s="15" t="s">
        <v>22</v>
      </c>
      <c r="G1085" s="16" t="s">
        <v>6256</v>
      </c>
      <c r="H1085" s="9" t="s">
        <v>27</v>
      </c>
      <c r="I1085" s="17" t="s">
        <v>671</v>
      </c>
      <c r="J1085" s="10" t="s">
        <v>1907</v>
      </c>
      <c r="K1085" s="23">
        <v>1</v>
      </c>
      <c r="L1085" s="234">
        <f t="shared" si="40"/>
        <v>11</v>
      </c>
      <c r="M1085" s="23">
        <v>2</v>
      </c>
      <c r="N1085" s="23">
        <v>0</v>
      </c>
      <c r="O1085" s="23">
        <v>0</v>
      </c>
      <c r="P1085" s="23">
        <v>0</v>
      </c>
      <c r="Q1085" s="92">
        <v>0</v>
      </c>
      <c r="R1085" s="93">
        <v>9.9000000000000005E-2</v>
      </c>
      <c r="S1085" s="19" t="s">
        <v>115</v>
      </c>
      <c r="T1085" s="257">
        <f t="shared" si="37"/>
        <v>12</v>
      </c>
      <c r="U1085" s="257">
        <f t="shared" si="38"/>
        <v>2</v>
      </c>
      <c r="V1085">
        <v>1</v>
      </c>
      <c r="W1085">
        <v>1</v>
      </c>
    </row>
    <row r="1086" spans="1:23" ht="22.8" x14ac:dyDescent="0.3">
      <c r="A1086" s="129">
        <v>39466</v>
      </c>
      <c r="B1086" s="129">
        <v>39466</v>
      </c>
      <c r="C1086" s="6">
        <v>1</v>
      </c>
      <c r="D1086" s="6">
        <v>1</v>
      </c>
      <c r="E1086" s="19">
        <v>2008</v>
      </c>
      <c r="F1086" s="15" t="s">
        <v>22</v>
      </c>
      <c r="G1086" s="16" t="s">
        <v>6256</v>
      </c>
      <c r="H1086" s="9" t="s">
        <v>124</v>
      </c>
      <c r="I1086" s="17" t="s">
        <v>1908</v>
      </c>
      <c r="J1086" s="17" t="s">
        <v>1909</v>
      </c>
      <c r="K1086" s="23">
        <v>0</v>
      </c>
      <c r="L1086" s="234">
        <f t="shared" si="40"/>
        <v>100</v>
      </c>
      <c r="M1086" s="23">
        <v>20</v>
      </c>
      <c r="N1086" s="23">
        <v>0</v>
      </c>
      <c r="O1086" s="23">
        <v>0</v>
      </c>
      <c r="P1086" s="23">
        <v>0</v>
      </c>
      <c r="Q1086" s="92">
        <v>0</v>
      </c>
      <c r="R1086" s="93">
        <v>9.3287999999999996E-2</v>
      </c>
      <c r="S1086" s="19" t="s">
        <v>115</v>
      </c>
      <c r="T1086" s="257">
        <f t="shared" si="37"/>
        <v>100</v>
      </c>
      <c r="U1086" s="257">
        <f t="shared" si="38"/>
        <v>20</v>
      </c>
      <c r="V1086">
        <v>1</v>
      </c>
      <c r="W1086">
        <v>1</v>
      </c>
    </row>
    <row r="1087" spans="1:23" ht="57" x14ac:dyDescent="0.3">
      <c r="A1087" s="129">
        <v>39504</v>
      </c>
      <c r="B1087" s="129">
        <v>39504</v>
      </c>
      <c r="C1087" s="6">
        <v>2</v>
      </c>
      <c r="D1087" s="6">
        <v>1</v>
      </c>
      <c r="E1087" s="19">
        <v>2008</v>
      </c>
      <c r="F1087" s="15" t="s">
        <v>22</v>
      </c>
      <c r="G1087" s="16" t="s">
        <v>6256</v>
      </c>
      <c r="H1087" s="9" t="s">
        <v>64</v>
      </c>
      <c r="I1087" s="17" t="s">
        <v>1910</v>
      </c>
      <c r="J1087" s="17" t="s">
        <v>1911</v>
      </c>
      <c r="K1087" s="23">
        <v>0</v>
      </c>
      <c r="L1087" s="234">
        <f t="shared" si="40"/>
        <v>325</v>
      </c>
      <c r="M1087" s="23">
        <v>65</v>
      </c>
      <c r="N1087" s="23">
        <v>0</v>
      </c>
      <c r="O1087" s="23">
        <v>0</v>
      </c>
      <c r="P1087" s="23">
        <v>0</v>
      </c>
      <c r="Q1087" s="92">
        <v>0</v>
      </c>
      <c r="R1087" s="93">
        <v>0.75587199999999999</v>
      </c>
      <c r="S1087" s="19" t="s">
        <v>115</v>
      </c>
      <c r="T1087" s="257">
        <f t="shared" si="37"/>
        <v>325</v>
      </c>
      <c r="U1087" s="257">
        <f t="shared" si="38"/>
        <v>65</v>
      </c>
      <c r="V1087">
        <v>1</v>
      </c>
      <c r="W1087">
        <v>1</v>
      </c>
    </row>
    <row r="1088" spans="1:23" ht="45.6" x14ac:dyDescent="0.3">
      <c r="A1088" s="129">
        <v>39505</v>
      </c>
      <c r="B1088" s="129">
        <v>39505</v>
      </c>
      <c r="C1088" s="6">
        <v>2</v>
      </c>
      <c r="D1088" s="6">
        <v>1</v>
      </c>
      <c r="E1088" s="19">
        <v>2008</v>
      </c>
      <c r="F1088" s="15" t="s">
        <v>22</v>
      </c>
      <c r="G1088" s="16" t="s">
        <v>6256</v>
      </c>
      <c r="H1088" s="9" t="s">
        <v>31</v>
      </c>
      <c r="I1088" s="17" t="s">
        <v>1912</v>
      </c>
      <c r="J1088" s="17" t="s">
        <v>1913</v>
      </c>
      <c r="K1088" s="23">
        <v>0</v>
      </c>
      <c r="L1088" s="234">
        <f t="shared" si="40"/>
        <v>15</v>
      </c>
      <c r="M1088" s="23">
        <v>3</v>
      </c>
      <c r="N1088" s="23">
        <v>0</v>
      </c>
      <c r="O1088" s="23">
        <v>0</v>
      </c>
      <c r="P1088" s="23">
        <v>0</v>
      </c>
      <c r="Q1088" s="92">
        <v>0</v>
      </c>
      <c r="R1088" s="93">
        <v>3.4886E-2</v>
      </c>
      <c r="S1088" s="19" t="s">
        <v>115</v>
      </c>
      <c r="T1088" s="257">
        <f t="shared" si="37"/>
        <v>15</v>
      </c>
      <c r="U1088" s="257">
        <f t="shared" si="38"/>
        <v>3</v>
      </c>
      <c r="V1088">
        <v>1</v>
      </c>
      <c r="W1088">
        <v>1</v>
      </c>
    </row>
    <row r="1089" spans="1:23" ht="102.6" x14ac:dyDescent="0.3">
      <c r="A1089" s="129">
        <v>39511</v>
      </c>
      <c r="B1089" s="129">
        <v>39511</v>
      </c>
      <c r="C1089" s="6">
        <v>3</v>
      </c>
      <c r="D1089" s="6">
        <v>1</v>
      </c>
      <c r="E1089" s="19">
        <v>2008</v>
      </c>
      <c r="F1089" s="15" t="s">
        <v>22</v>
      </c>
      <c r="G1089" s="16" t="s">
        <v>6256</v>
      </c>
      <c r="H1089" s="9" t="s">
        <v>174</v>
      </c>
      <c r="I1089" s="17" t="s">
        <v>1914</v>
      </c>
      <c r="J1089" s="17" t="s">
        <v>1915</v>
      </c>
      <c r="K1089" s="23">
        <v>0</v>
      </c>
      <c r="L1089" s="234">
        <f t="shared" si="40"/>
        <v>5</v>
      </c>
      <c r="M1089" s="23">
        <v>1</v>
      </c>
      <c r="N1089" s="23">
        <v>0</v>
      </c>
      <c r="O1089" s="23">
        <v>0</v>
      </c>
      <c r="P1089" s="23">
        <v>0</v>
      </c>
      <c r="Q1089" s="92">
        <v>0</v>
      </c>
      <c r="R1089" s="93">
        <v>0.101628</v>
      </c>
      <c r="S1089" s="19" t="s">
        <v>115</v>
      </c>
      <c r="T1089" s="257">
        <f t="shared" si="37"/>
        <v>5</v>
      </c>
      <c r="U1089" s="257">
        <f t="shared" si="38"/>
        <v>1</v>
      </c>
      <c r="V1089">
        <v>1</v>
      </c>
      <c r="W1089">
        <v>1</v>
      </c>
    </row>
    <row r="1090" spans="1:23" ht="45.6" x14ac:dyDescent="0.3">
      <c r="A1090" s="129">
        <v>39546</v>
      </c>
      <c r="B1090" s="129">
        <v>39546</v>
      </c>
      <c r="C1090" s="6">
        <v>4</v>
      </c>
      <c r="D1090" s="6">
        <v>1</v>
      </c>
      <c r="E1090" s="19">
        <v>2008</v>
      </c>
      <c r="F1090" s="15" t="s">
        <v>22</v>
      </c>
      <c r="G1090" s="16" t="s">
        <v>6256</v>
      </c>
      <c r="H1090" s="9" t="s">
        <v>31</v>
      </c>
      <c r="I1090" s="17" t="s">
        <v>1916</v>
      </c>
      <c r="J1090" s="17" t="s">
        <v>1917</v>
      </c>
      <c r="K1090" s="23">
        <v>0</v>
      </c>
      <c r="L1090" s="234">
        <f t="shared" si="40"/>
        <v>60</v>
      </c>
      <c r="M1090" s="23">
        <v>12</v>
      </c>
      <c r="N1090" s="23">
        <v>0</v>
      </c>
      <c r="O1090" s="23">
        <v>0</v>
      </c>
      <c r="P1090" s="23">
        <v>0</v>
      </c>
      <c r="Q1090" s="92">
        <v>0</v>
      </c>
      <c r="R1090" s="93">
        <v>0.139545</v>
      </c>
      <c r="S1090" s="19" t="s">
        <v>115</v>
      </c>
      <c r="T1090" s="257">
        <f t="shared" si="37"/>
        <v>60</v>
      </c>
      <c r="U1090" s="257">
        <f t="shared" si="38"/>
        <v>12</v>
      </c>
      <c r="V1090">
        <v>1</v>
      </c>
      <c r="W1090">
        <v>1</v>
      </c>
    </row>
    <row r="1091" spans="1:23" ht="45.6" x14ac:dyDescent="0.3">
      <c r="A1091" s="129">
        <v>39546</v>
      </c>
      <c r="B1091" s="129">
        <v>39546</v>
      </c>
      <c r="C1091" s="6">
        <v>4</v>
      </c>
      <c r="D1091" s="6">
        <v>1</v>
      </c>
      <c r="E1091" s="19">
        <v>2008</v>
      </c>
      <c r="F1091" s="15" t="s">
        <v>22</v>
      </c>
      <c r="G1091" s="16" t="s">
        <v>6256</v>
      </c>
      <c r="H1091" s="9" t="s">
        <v>112</v>
      </c>
      <c r="I1091" s="17" t="s">
        <v>1918</v>
      </c>
      <c r="J1091" s="17" t="s">
        <v>1919</v>
      </c>
      <c r="K1091" s="23">
        <v>0</v>
      </c>
      <c r="L1091" s="234">
        <f t="shared" si="40"/>
        <v>50</v>
      </c>
      <c r="M1091" s="23">
        <v>10</v>
      </c>
      <c r="N1091" s="23">
        <v>0</v>
      </c>
      <c r="O1091" s="23">
        <v>0</v>
      </c>
      <c r="P1091" s="23">
        <v>0</v>
      </c>
      <c r="Q1091" s="92">
        <v>0</v>
      </c>
      <c r="R1091" s="93">
        <v>0.116288</v>
      </c>
      <c r="S1091" s="19" t="s">
        <v>115</v>
      </c>
      <c r="T1091" s="257">
        <f t="shared" ref="T1091:T1154" si="41">SUM(K1091:L1091)</f>
        <v>50</v>
      </c>
      <c r="U1091" s="257">
        <f t="shared" ref="U1091:U1154" si="42">SUM(M1091:P1091)</f>
        <v>10</v>
      </c>
      <c r="V1091">
        <v>1</v>
      </c>
      <c r="W1091">
        <v>1</v>
      </c>
    </row>
    <row r="1092" spans="1:23" ht="45.6" x14ac:dyDescent="0.3">
      <c r="A1092" s="129">
        <v>39550</v>
      </c>
      <c r="B1092" s="129">
        <v>39550</v>
      </c>
      <c r="C1092" s="6">
        <v>4</v>
      </c>
      <c r="D1092" s="6">
        <v>1</v>
      </c>
      <c r="E1092" s="19">
        <v>2008</v>
      </c>
      <c r="F1092" s="15" t="s">
        <v>22</v>
      </c>
      <c r="G1092" s="16" t="s">
        <v>6256</v>
      </c>
      <c r="H1092" s="9" t="s">
        <v>70</v>
      </c>
      <c r="I1092" s="17" t="s">
        <v>1920</v>
      </c>
      <c r="J1092" s="17" t="s">
        <v>1921</v>
      </c>
      <c r="K1092" s="23">
        <v>0</v>
      </c>
      <c r="L1092" s="234">
        <f t="shared" si="40"/>
        <v>50</v>
      </c>
      <c r="M1092" s="23">
        <v>10</v>
      </c>
      <c r="N1092" s="23">
        <v>0</v>
      </c>
      <c r="O1092" s="23">
        <v>0</v>
      </c>
      <c r="P1092" s="23">
        <v>0</v>
      </c>
      <c r="Q1092" s="92">
        <v>0</v>
      </c>
      <c r="R1092" s="93">
        <v>0.12</v>
      </c>
      <c r="S1092" s="19" t="s">
        <v>115</v>
      </c>
      <c r="T1092" s="257">
        <f t="shared" si="41"/>
        <v>50</v>
      </c>
      <c r="U1092" s="257">
        <f t="shared" si="42"/>
        <v>10</v>
      </c>
      <c r="V1092">
        <v>1</v>
      </c>
      <c r="W1092">
        <v>1</v>
      </c>
    </row>
    <row r="1093" spans="1:23" ht="22.8" x14ac:dyDescent="0.3">
      <c r="A1093" s="129">
        <v>39550</v>
      </c>
      <c r="B1093" s="129">
        <v>39550</v>
      </c>
      <c r="C1093" s="6">
        <v>4</v>
      </c>
      <c r="D1093" s="6">
        <v>1</v>
      </c>
      <c r="E1093" s="19">
        <v>2008</v>
      </c>
      <c r="F1093" s="15" t="s">
        <v>22</v>
      </c>
      <c r="G1093" s="16" t="s">
        <v>6256</v>
      </c>
      <c r="H1093" s="9" t="s">
        <v>84</v>
      </c>
      <c r="I1093" s="17" t="s">
        <v>1922</v>
      </c>
      <c r="J1093" s="17" t="s">
        <v>1923</v>
      </c>
      <c r="K1093" s="23">
        <v>0</v>
      </c>
      <c r="L1093" s="234">
        <f t="shared" si="40"/>
        <v>250</v>
      </c>
      <c r="M1093" s="23">
        <v>50</v>
      </c>
      <c r="N1093" s="23">
        <v>0</v>
      </c>
      <c r="O1093" s="23">
        <v>0</v>
      </c>
      <c r="P1093" s="23">
        <v>0</v>
      </c>
      <c r="Q1093" s="92">
        <v>0</v>
      </c>
      <c r="R1093" s="93">
        <v>0.23322000000000001</v>
      </c>
      <c r="S1093" s="19" t="s">
        <v>115</v>
      </c>
      <c r="T1093" s="257">
        <f t="shared" si="41"/>
        <v>250</v>
      </c>
      <c r="U1093" s="257">
        <f t="shared" si="42"/>
        <v>50</v>
      </c>
      <c r="V1093">
        <v>1</v>
      </c>
      <c r="W1093">
        <v>1</v>
      </c>
    </row>
    <row r="1094" spans="1:23" ht="45.6" x14ac:dyDescent="0.3">
      <c r="A1094" s="129">
        <v>39550</v>
      </c>
      <c r="B1094" s="129">
        <v>39550</v>
      </c>
      <c r="C1094" s="6">
        <v>4</v>
      </c>
      <c r="D1094" s="6">
        <v>1</v>
      </c>
      <c r="E1094" s="19">
        <v>2008</v>
      </c>
      <c r="F1094" s="15" t="s">
        <v>22</v>
      </c>
      <c r="G1094" s="16" t="s">
        <v>6256</v>
      </c>
      <c r="H1094" s="9" t="s">
        <v>174</v>
      </c>
      <c r="I1094" s="17" t="s">
        <v>1924</v>
      </c>
      <c r="J1094" s="17" t="s">
        <v>1925</v>
      </c>
      <c r="K1094" s="23">
        <v>0</v>
      </c>
      <c r="L1094" s="234">
        <f t="shared" si="40"/>
        <v>3640</v>
      </c>
      <c r="M1094" s="23">
        <v>728</v>
      </c>
      <c r="N1094" s="23">
        <v>0</v>
      </c>
      <c r="O1094" s="23">
        <v>0</v>
      </c>
      <c r="P1094" s="23">
        <v>0</v>
      </c>
      <c r="Q1094" s="92">
        <v>0</v>
      </c>
      <c r="R1094" s="93">
        <v>3.395683</v>
      </c>
      <c r="S1094" s="19" t="s">
        <v>115</v>
      </c>
      <c r="T1094" s="257">
        <f t="shared" si="41"/>
        <v>3640</v>
      </c>
      <c r="U1094" s="257">
        <f t="shared" si="42"/>
        <v>728</v>
      </c>
      <c r="V1094">
        <v>1</v>
      </c>
      <c r="W1094">
        <v>1</v>
      </c>
    </row>
    <row r="1095" spans="1:23" ht="68.400000000000006" x14ac:dyDescent="0.3">
      <c r="A1095" s="129">
        <v>39551</v>
      </c>
      <c r="B1095" s="129">
        <v>39551</v>
      </c>
      <c r="C1095" s="6">
        <v>4</v>
      </c>
      <c r="D1095" s="6">
        <v>1</v>
      </c>
      <c r="E1095" s="19">
        <v>2008</v>
      </c>
      <c r="F1095" s="15" t="s">
        <v>22</v>
      </c>
      <c r="G1095" s="16" t="s">
        <v>6256</v>
      </c>
      <c r="H1095" s="9" t="s">
        <v>52</v>
      </c>
      <c r="I1095" s="17" t="s">
        <v>405</v>
      </c>
      <c r="J1095" s="17" t="s">
        <v>1926</v>
      </c>
      <c r="K1095" s="23">
        <v>0</v>
      </c>
      <c r="L1095" s="234">
        <v>17</v>
      </c>
      <c r="M1095" s="23">
        <v>3</v>
      </c>
      <c r="N1095" s="23">
        <v>0</v>
      </c>
      <c r="O1095" s="23">
        <v>1</v>
      </c>
      <c r="P1095" s="23">
        <v>0</v>
      </c>
      <c r="Q1095" s="92">
        <v>0</v>
      </c>
      <c r="R1095" s="93">
        <v>1.3990000000000001E-2</v>
      </c>
      <c r="S1095" s="19" t="s">
        <v>115</v>
      </c>
      <c r="T1095" s="257">
        <f t="shared" si="41"/>
        <v>17</v>
      </c>
      <c r="U1095" s="257">
        <f t="shared" si="42"/>
        <v>4</v>
      </c>
      <c r="V1095">
        <v>1</v>
      </c>
      <c r="W1095">
        <v>1</v>
      </c>
    </row>
    <row r="1096" spans="1:23" ht="45.6" x14ac:dyDescent="0.3">
      <c r="A1096" s="129">
        <v>39561</v>
      </c>
      <c r="B1096" s="129">
        <v>39561</v>
      </c>
      <c r="C1096" s="6">
        <v>4</v>
      </c>
      <c r="D1096" s="6">
        <v>1</v>
      </c>
      <c r="E1096" s="19">
        <v>2008</v>
      </c>
      <c r="F1096" s="15" t="s">
        <v>22</v>
      </c>
      <c r="G1096" s="16" t="s">
        <v>6256</v>
      </c>
      <c r="H1096" s="9" t="s">
        <v>84</v>
      </c>
      <c r="I1096" s="17" t="s">
        <v>308</v>
      </c>
      <c r="J1096" s="17" t="s">
        <v>1927</v>
      </c>
      <c r="K1096" s="23">
        <v>0</v>
      </c>
      <c r="L1096" s="234">
        <v>350</v>
      </c>
      <c r="M1096" s="23">
        <v>70</v>
      </c>
      <c r="N1096" s="23">
        <v>0</v>
      </c>
      <c r="O1096" s="23">
        <v>0</v>
      </c>
      <c r="P1096" s="23">
        <v>0</v>
      </c>
      <c r="Q1096" s="92">
        <v>0</v>
      </c>
      <c r="R1096" s="93">
        <v>0.81401599999999996</v>
      </c>
      <c r="S1096" s="19" t="s">
        <v>115</v>
      </c>
      <c r="T1096" s="257">
        <f t="shared" si="41"/>
        <v>350</v>
      </c>
      <c r="U1096" s="257">
        <f t="shared" si="42"/>
        <v>70</v>
      </c>
      <c r="V1096">
        <v>1</v>
      </c>
      <c r="W1096">
        <v>1</v>
      </c>
    </row>
    <row r="1097" spans="1:23" ht="45.6" x14ac:dyDescent="0.3">
      <c r="A1097" s="129">
        <v>39561</v>
      </c>
      <c r="B1097" s="129">
        <v>39561</v>
      </c>
      <c r="C1097" s="6">
        <v>4</v>
      </c>
      <c r="D1097" s="6">
        <v>1</v>
      </c>
      <c r="E1097" s="19">
        <v>2008</v>
      </c>
      <c r="F1097" s="15" t="s">
        <v>22</v>
      </c>
      <c r="G1097" s="16" t="s">
        <v>6256</v>
      </c>
      <c r="H1097" s="9" t="s">
        <v>84</v>
      </c>
      <c r="I1097" s="17" t="s">
        <v>1928</v>
      </c>
      <c r="J1097" s="17" t="s">
        <v>1929</v>
      </c>
      <c r="K1097" s="23">
        <v>0</v>
      </c>
      <c r="L1097" s="234">
        <v>45</v>
      </c>
      <c r="M1097" s="23">
        <v>9</v>
      </c>
      <c r="N1097" s="23">
        <v>0</v>
      </c>
      <c r="O1097" s="23">
        <v>0</v>
      </c>
      <c r="P1097" s="23">
        <v>0</v>
      </c>
      <c r="Q1097" s="92">
        <v>0</v>
      </c>
      <c r="R1097" s="93">
        <v>0.104659</v>
      </c>
      <c r="S1097" s="19" t="s">
        <v>115</v>
      </c>
      <c r="T1097" s="257">
        <f t="shared" si="41"/>
        <v>45</v>
      </c>
      <c r="U1097" s="257">
        <f t="shared" si="42"/>
        <v>9</v>
      </c>
      <c r="V1097">
        <v>1</v>
      </c>
      <c r="W1097">
        <v>1</v>
      </c>
    </row>
    <row r="1098" spans="1:23" ht="45.6" x14ac:dyDescent="0.3">
      <c r="A1098" s="129">
        <v>39561</v>
      </c>
      <c r="B1098" s="129">
        <v>39561</v>
      </c>
      <c r="C1098" s="6">
        <v>4</v>
      </c>
      <c r="D1098" s="6">
        <v>1</v>
      </c>
      <c r="E1098" s="19">
        <v>2008</v>
      </c>
      <c r="F1098" s="15" t="s">
        <v>22</v>
      </c>
      <c r="G1098" s="16" t="s">
        <v>6256</v>
      </c>
      <c r="H1098" s="9" t="s">
        <v>37</v>
      </c>
      <c r="I1098" s="17" t="s">
        <v>1930</v>
      </c>
      <c r="J1098" s="17" t="s">
        <v>1931</v>
      </c>
      <c r="K1098" s="23">
        <v>0</v>
      </c>
      <c r="L1098" s="234">
        <v>100</v>
      </c>
      <c r="M1098" s="23">
        <v>20</v>
      </c>
      <c r="N1098" s="23">
        <v>0</v>
      </c>
      <c r="O1098" s="23">
        <v>0</v>
      </c>
      <c r="P1098" s="23">
        <v>0</v>
      </c>
      <c r="Q1098" s="92">
        <v>0</v>
      </c>
      <c r="R1098" s="93">
        <v>0.232576</v>
      </c>
      <c r="S1098" s="19" t="s">
        <v>115</v>
      </c>
      <c r="T1098" s="257">
        <f t="shared" si="41"/>
        <v>100</v>
      </c>
      <c r="U1098" s="257">
        <f t="shared" si="42"/>
        <v>20</v>
      </c>
      <c r="V1098">
        <v>1</v>
      </c>
      <c r="W1098">
        <v>1</v>
      </c>
    </row>
    <row r="1099" spans="1:23" ht="45.6" x14ac:dyDescent="0.3">
      <c r="A1099" s="129">
        <v>39562</v>
      </c>
      <c r="B1099" s="129">
        <v>39562</v>
      </c>
      <c r="C1099" s="6">
        <v>4</v>
      </c>
      <c r="D1099" s="6">
        <v>1</v>
      </c>
      <c r="E1099" s="19">
        <v>2008</v>
      </c>
      <c r="F1099" s="15" t="s">
        <v>22</v>
      </c>
      <c r="G1099" s="16" t="s">
        <v>6256</v>
      </c>
      <c r="H1099" s="9" t="s">
        <v>121</v>
      </c>
      <c r="I1099" s="17" t="s">
        <v>1932</v>
      </c>
      <c r="J1099" s="17" t="s">
        <v>1933</v>
      </c>
      <c r="K1099" s="23">
        <v>0</v>
      </c>
      <c r="L1099" s="234">
        <v>30</v>
      </c>
      <c r="M1099" s="23">
        <v>6</v>
      </c>
      <c r="N1099" s="23">
        <v>0</v>
      </c>
      <c r="O1099" s="23">
        <v>0</v>
      </c>
      <c r="P1099" s="23">
        <v>0</v>
      </c>
      <c r="Q1099" s="92">
        <v>0</v>
      </c>
      <c r="R1099" s="93">
        <v>6.9772000000000001E-2</v>
      </c>
      <c r="S1099" s="19" t="s">
        <v>115</v>
      </c>
      <c r="T1099" s="257">
        <f t="shared" si="41"/>
        <v>30</v>
      </c>
      <c r="U1099" s="257">
        <f t="shared" si="42"/>
        <v>6</v>
      </c>
      <c r="V1099">
        <v>1</v>
      </c>
      <c r="W1099">
        <v>1</v>
      </c>
    </row>
    <row r="1100" spans="1:23" ht="34.200000000000003" x14ac:dyDescent="0.3">
      <c r="A1100" s="129">
        <v>39564</v>
      </c>
      <c r="B1100" s="129">
        <v>39564</v>
      </c>
      <c r="C1100" s="6">
        <v>4</v>
      </c>
      <c r="D1100" s="6">
        <v>1</v>
      </c>
      <c r="E1100" s="19">
        <v>2008</v>
      </c>
      <c r="F1100" s="15" t="s">
        <v>22</v>
      </c>
      <c r="G1100" s="16" t="s">
        <v>6256</v>
      </c>
      <c r="H1100" s="9" t="s">
        <v>78</v>
      </c>
      <c r="I1100" s="17" t="s">
        <v>1725</v>
      </c>
      <c r="J1100" s="17" t="s">
        <v>1934</v>
      </c>
      <c r="K1100" s="23">
        <v>1</v>
      </c>
      <c r="L1100" s="234">
        <v>1</v>
      </c>
      <c r="M1100" s="23">
        <v>0</v>
      </c>
      <c r="N1100" s="23">
        <v>0</v>
      </c>
      <c r="O1100" s="23">
        <v>0</v>
      </c>
      <c r="P1100" s="23">
        <v>0</v>
      </c>
      <c r="Q1100" s="92">
        <v>0</v>
      </c>
      <c r="R1100" s="93">
        <v>4.4999999999999998E-2</v>
      </c>
      <c r="S1100" s="19" t="s">
        <v>115</v>
      </c>
      <c r="T1100" s="257">
        <f t="shared" si="41"/>
        <v>2</v>
      </c>
      <c r="U1100" s="257">
        <f t="shared" si="42"/>
        <v>0</v>
      </c>
      <c r="V1100">
        <v>1</v>
      </c>
      <c r="W1100">
        <v>0</v>
      </c>
    </row>
    <row r="1101" spans="1:23" ht="79.8" x14ac:dyDescent="0.3">
      <c r="A1101" s="129">
        <v>39565</v>
      </c>
      <c r="B1101" s="129">
        <v>39565</v>
      </c>
      <c r="C1101" s="6">
        <v>4</v>
      </c>
      <c r="D1101" s="6">
        <v>1</v>
      </c>
      <c r="E1101" s="19">
        <v>2008</v>
      </c>
      <c r="F1101" s="15" t="s">
        <v>22</v>
      </c>
      <c r="G1101" s="16" t="s">
        <v>6256</v>
      </c>
      <c r="H1101" s="9" t="s">
        <v>61</v>
      </c>
      <c r="I1101" s="17" t="s">
        <v>1935</v>
      </c>
      <c r="J1101" s="17" t="s">
        <v>1936</v>
      </c>
      <c r="K1101" s="23">
        <v>2</v>
      </c>
      <c r="L1101" s="234">
        <v>2</v>
      </c>
      <c r="M1101" s="23">
        <v>0</v>
      </c>
      <c r="N1101" s="23">
        <v>0</v>
      </c>
      <c r="O1101" s="23">
        <v>0</v>
      </c>
      <c r="P1101" s="23">
        <v>0</v>
      </c>
      <c r="Q1101" s="92">
        <v>0</v>
      </c>
      <c r="R1101" s="93">
        <v>0</v>
      </c>
      <c r="S1101" s="19" t="s">
        <v>115</v>
      </c>
      <c r="T1101" s="257">
        <f t="shared" si="41"/>
        <v>4</v>
      </c>
      <c r="U1101" s="257">
        <f t="shared" si="42"/>
        <v>0</v>
      </c>
      <c r="V1101">
        <v>1</v>
      </c>
      <c r="W1101">
        <v>0</v>
      </c>
    </row>
    <row r="1102" spans="1:23" ht="57" x14ac:dyDescent="0.3">
      <c r="A1102" s="129">
        <v>39567</v>
      </c>
      <c r="B1102" s="129">
        <v>39567</v>
      </c>
      <c r="C1102" s="6">
        <v>4</v>
      </c>
      <c r="D1102" s="6">
        <v>1</v>
      </c>
      <c r="E1102" s="19">
        <v>2008</v>
      </c>
      <c r="F1102" s="15" t="s">
        <v>22</v>
      </c>
      <c r="G1102" s="16" t="s">
        <v>6256</v>
      </c>
      <c r="H1102" s="17" t="s">
        <v>565</v>
      </c>
      <c r="I1102" s="17" t="s">
        <v>1937</v>
      </c>
      <c r="J1102" s="17" t="s">
        <v>1938</v>
      </c>
      <c r="K1102" s="23">
        <v>1</v>
      </c>
      <c r="L1102" s="234">
        <v>1</v>
      </c>
      <c r="M1102" s="23">
        <v>0</v>
      </c>
      <c r="N1102" s="23">
        <v>0</v>
      </c>
      <c r="O1102" s="23">
        <v>0</v>
      </c>
      <c r="P1102" s="23">
        <v>0</v>
      </c>
      <c r="Q1102" s="92">
        <v>0</v>
      </c>
      <c r="R1102" s="93">
        <v>0</v>
      </c>
      <c r="S1102" s="19" t="s">
        <v>115</v>
      </c>
      <c r="T1102" s="257">
        <f t="shared" si="41"/>
        <v>2</v>
      </c>
      <c r="U1102" s="257">
        <f t="shared" si="42"/>
        <v>0</v>
      </c>
      <c r="V1102">
        <v>1</v>
      </c>
      <c r="W1102">
        <v>0</v>
      </c>
    </row>
    <row r="1103" spans="1:23" ht="57" x14ac:dyDescent="0.3">
      <c r="A1103" s="129">
        <v>39574</v>
      </c>
      <c r="B1103" s="129">
        <v>39574</v>
      </c>
      <c r="C1103" s="6">
        <v>5</v>
      </c>
      <c r="D1103" s="6">
        <v>1</v>
      </c>
      <c r="E1103" s="19">
        <v>2008</v>
      </c>
      <c r="F1103" s="15" t="s">
        <v>22</v>
      </c>
      <c r="G1103" s="16" t="s">
        <v>6256</v>
      </c>
      <c r="H1103" s="9" t="s">
        <v>78</v>
      </c>
      <c r="I1103" s="17" t="s">
        <v>1939</v>
      </c>
      <c r="J1103" s="17" t="s">
        <v>1940</v>
      </c>
      <c r="K1103" s="23">
        <v>0</v>
      </c>
      <c r="L1103" s="234">
        <v>1000</v>
      </c>
      <c r="M1103" s="23">
        <v>200</v>
      </c>
      <c r="N1103" s="23">
        <v>0</v>
      </c>
      <c r="O1103" s="23">
        <v>0</v>
      </c>
      <c r="P1103" s="23">
        <v>0</v>
      </c>
      <c r="Q1103" s="92">
        <v>0</v>
      </c>
      <c r="R1103" s="93">
        <v>0.4</v>
      </c>
      <c r="S1103" s="19" t="s">
        <v>115</v>
      </c>
      <c r="T1103" s="257">
        <f t="shared" si="41"/>
        <v>1000</v>
      </c>
      <c r="U1103" s="257">
        <f t="shared" si="42"/>
        <v>200</v>
      </c>
      <c r="V1103">
        <v>1</v>
      </c>
      <c r="W1103">
        <v>1</v>
      </c>
    </row>
    <row r="1104" spans="1:23" ht="45.6" x14ac:dyDescent="0.3">
      <c r="A1104" s="129">
        <v>39579</v>
      </c>
      <c r="B1104" s="129">
        <v>39579</v>
      </c>
      <c r="C1104" s="6">
        <v>5</v>
      </c>
      <c r="D1104" s="6">
        <v>1</v>
      </c>
      <c r="E1104" s="19">
        <v>2008</v>
      </c>
      <c r="F1104" s="15" t="s">
        <v>22</v>
      </c>
      <c r="G1104" s="16" t="s">
        <v>6256</v>
      </c>
      <c r="H1104" s="9" t="s">
        <v>118</v>
      </c>
      <c r="I1104" s="17" t="s">
        <v>1293</v>
      </c>
      <c r="J1104" s="17" t="s">
        <v>1941</v>
      </c>
      <c r="K1104" s="23">
        <v>0</v>
      </c>
      <c r="L1104" s="234">
        <v>6</v>
      </c>
      <c r="M1104" s="23">
        <v>0</v>
      </c>
      <c r="N1104" s="23">
        <v>0</v>
      </c>
      <c r="O1104" s="23">
        <v>0</v>
      </c>
      <c r="P1104" s="23">
        <v>0</v>
      </c>
      <c r="Q1104" s="92">
        <v>0</v>
      </c>
      <c r="R1104" s="93">
        <v>0</v>
      </c>
      <c r="S1104" s="19" t="s">
        <v>115</v>
      </c>
      <c r="T1104" s="257">
        <f t="shared" si="41"/>
        <v>6</v>
      </c>
      <c r="U1104" s="257">
        <f t="shared" si="42"/>
        <v>0</v>
      </c>
      <c r="V1104">
        <v>1</v>
      </c>
      <c r="W1104">
        <v>0</v>
      </c>
    </row>
    <row r="1105" spans="1:23" ht="45.6" x14ac:dyDescent="0.3">
      <c r="A1105" s="129">
        <v>39581</v>
      </c>
      <c r="B1105" s="129">
        <v>39581</v>
      </c>
      <c r="C1105" s="6">
        <v>5</v>
      </c>
      <c r="D1105" s="6">
        <v>1</v>
      </c>
      <c r="E1105" s="19">
        <v>2008</v>
      </c>
      <c r="F1105" s="15" t="s">
        <v>22</v>
      </c>
      <c r="G1105" s="16" t="s">
        <v>6256</v>
      </c>
      <c r="H1105" s="9" t="s">
        <v>64</v>
      </c>
      <c r="I1105" s="17" t="s">
        <v>1942</v>
      </c>
      <c r="J1105" s="17" t="s">
        <v>1943</v>
      </c>
      <c r="K1105" s="23">
        <v>0</v>
      </c>
      <c r="L1105" s="234">
        <v>500</v>
      </c>
      <c r="M1105" s="23">
        <v>100</v>
      </c>
      <c r="N1105" s="23">
        <v>0</v>
      </c>
      <c r="O1105" s="23">
        <v>0</v>
      </c>
      <c r="P1105" s="23">
        <v>0</v>
      </c>
      <c r="Q1105" s="92">
        <v>0</v>
      </c>
      <c r="R1105" s="93">
        <v>1.1628799999999999</v>
      </c>
      <c r="S1105" s="19" t="s">
        <v>115</v>
      </c>
      <c r="T1105" s="257">
        <f t="shared" si="41"/>
        <v>500</v>
      </c>
      <c r="U1105" s="257">
        <f t="shared" si="42"/>
        <v>100</v>
      </c>
      <c r="V1105">
        <v>1</v>
      </c>
      <c r="W1105">
        <v>1</v>
      </c>
    </row>
    <row r="1106" spans="1:23" ht="22.8" x14ac:dyDescent="0.3">
      <c r="A1106" s="129">
        <v>39582</v>
      </c>
      <c r="B1106" s="129">
        <v>39582</v>
      </c>
      <c r="C1106" s="6">
        <v>5</v>
      </c>
      <c r="D1106" s="6">
        <v>1</v>
      </c>
      <c r="E1106" s="19">
        <v>2008</v>
      </c>
      <c r="F1106" s="15" t="s">
        <v>22</v>
      </c>
      <c r="G1106" s="16" t="s">
        <v>6256</v>
      </c>
      <c r="H1106" s="9" t="s">
        <v>31</v>
      </c>
      <c r="I1106" s="17" t="s">
        <v>1944</v>
      </c>
      <c r="J1106" s="17" t="s">
        <v>1945</v>
      </c>
      <c r="K1106" s="23">
        <v>0</v>
      </c>
      <c r="L1106" s="234">
        <v>450</v>
      </c>
      <c r="M1106" s="23">
        <v>90</v>
      </c>
      <c r="N1106" s="23">
        <v>0</v>
      </c>
      <c r="O1106" s="23">
        <v>0</v>
      </c>
      <c r="P1106" s="23">
        <v>0</v>
      </c>
      <c r="Q1106" s="92">
        <v>0</v>
      </c>
      <c r="R1106" s="93">
        <v>1.257083</v>
      </c>
      <c r="S1106" s="19" t="s">
        <v>115</v>
      </c>
      <c r="T1106" s="257">
        <f t="shared" si="41"/>
        <v>450</v>
      </c>
      <c r="U1106" s="257">
        <f t="shared" si="42"/>
        <v>90</v>
      </c>
      <c r="V1106">
        <v>1</v>
      </c>
      <c r="W1106">
        <v>1</v>
      </c>
    </row>
    <row r="1107" spans="1:23" ht="57" x14ac:dyDescent="0.3">
      <c r="A1107" s="129">
        <v>39583</v>
      </c>
      <c r="B1107" s="129">
        <v>39583</v>
      </c>
      <c r="C1107" s="6">
        <v>5</v>
      </c>
      <c r="D1107" s="6">
        <v>1</v>
      </c>
      <c r="E1107" s="19">
        <v>2008</v>
      </c>
      <c r="F1107" s="15" t="s">
        <v>22</v>
      </c>
      <c r="G1107" s="16" t="s">
        <v>6256</v>
      </c>
      <c r="H1107" s="9" t="s">
        <v>174</v>
      </c>
      <c r="I1107" s="17" t="s">
        <v>1946</v>
      </c>
      <c r="J1107" s="17" t="s">
        <v>1947</v>
      </c>
      <c r="K1107" s="23">
        <v>0</v>
      </c>
      <c r="L1107" s="234">
        <v>12550</v>
      </c>
      <c r="M1107" s="23">
        <v>2510</v>
      </c>
      <c r="N1107" s="23">
        <v>0</v>
      </c>
      <c r="O1107" s="23">
        <v>0</v>
      </c>
      <c r="P1107" s="23">
        <v>0</v>
      </c>
      <c r="Q1107" s="92">
        <v>0</v>
      </c>
      <c r="R1107" s="93">
        <v>5.0199999999999996</v>
      </c>
      <c r="S1107" s="19" t="s">
        <v>115</v>
      </c>
      <c r="T1107" s="257">
        <f t="shared" si="41"/>
        <v>12550</v>
      </c>
      <c r="U1107" s="257">
        <f t="shared" si="42"/>
        <v>2510</v>
      </c>
      <c r="V1107">
        <v>2</v>
      </c>
      <c r="W1107">
        <v>2</v>
      </c>
    </row>
    <row r="1108" spans="1:23" ht="34.200000000000003" x14ac:dyDescent="0.3">
      <c r="A1108" s="129">
        <v>39586</v>
      </c>
      <c r="B1108" s="129">
        <v>39586</v>
      </c>
      <c r="C1108" s="6">
        <v>5</v>
      </c>
      <c r="D1108" s="6">
        <v>1</v>
      </c>
      <c r="E1108" s="19">
        <v>2008</v>
      </c>
      <c r="F1108" s="15" t="s">
        <v>22</v>
      </c>
      <c r="G1108" s="16" t="s">
        <v>6256</v>
      </c>
      <c r="H1108" s="9" t="s">
        <v>64</v>
      </c>
      <c r="I1108" s="17" t="s">
        <v>1948</v>
      </c>
      <c r="J1108" s="17" t="s">
        <v>1949</v>
      </c>
      <c r="K1108" s="23">
        <v>0</v>
      </c>
      <c r="L1108" s="234">
        <v>600</v>
      </c>
      <c r="M1108" s="23">
        <v>120</v>
      </c>
      <c r="N1108" s="23">
        <v>0</v>
      </c>
      <c r="O1108" s="23">
        <v>0</v>
      </c>
      <c r="P1108" s="23">
        <v>0</v>
      </c>
      <c r="Q1108" s="92">
        <v>0</v>
      </c>
      <c r="R1108" s="93">
        <v>0.24</v>
      </c>
      <c r="S1108" s="19" t="s">
        <v>115</v>
      </c>
      <c r="T1108" s="257">
        <f t="shared" si="41"/>
        <v>600</v>
      </c>
      <c r="U1108" s="257">
        <f t="shared" si="42"/>
        <v>120</v>
      </c>
      <c r="V1108">
        <v>1</v>
      </c>
      <c r="W1108">
        <v>1</v>
      </c>
    </row>
    <row r="1109" spans="1:23" ht="34.200000000000003" x14ac:dyDescent="0.3">
      <c r="A1109" s="129">
        <v>39587</v>
      </c>
      <c r="B1109" s="129">
        <v>39587</v>
      </c>
      <c r="C1109" s="6">
        <v>5</v>
      </c>
      <c r="D1109" s="6">
        <v>1</v>
      </c>
      <c r="E1109" s="19">
        <v>2008</v>
      </c>
      <c r="F1109" s="15" t="s">
        <v>22</v>
      </c>
      <c r="G1109" s="16" t="s">
        <v>6256</v>
      </c>
      <c r="H1109" s="9" t="s">
        <v>46</v>
      </c>
      <c r="I1109" s="17" t="s">
        <v>1023</v>
      </c>
      <c r="J1109" s="17" t="s">
        <v>1950</v>
      </c>
      <c r="K1109" s="23">
        <v>1</v>
      </c>
      <c r="L1109" s="234">
        <v>1</v>
      </c>
      <c r="M1109" s="23">
        <v>0</v>
      </c>
      <c r="N1109" s="23">
        <v>0</v>
      </c>
      <c r="O1109" s="23">
        <v>0</v>
      </c>
      <c r="P1109" s="23">
        <v>0</v>
      </c>
      <c r="Q1109" s="92">
        <v>0</v>
      </c>
      <c r="R1109" s="93">
        <v>0</v>
      </c>
      <c r="S1109" s="19" t="s">
        <v>115</v>
      </c>
      <c r="T1109" s="257">
        <f t="shared" si="41"/>
        <v>2</v>
      </c>
      <c r="U1109" s="257">
        <f t="shared" si="42"/>
        <v>0</v>
      </c>
      <c r="V1109">
        <v>1</v>
      </c>
      <c r="W1109">
        <v>0</v>
      </c>
    </row>
    <row r="1110" spans="1:23" ht="22.8" x14ac:dyDescent="0.3">
      <c r="A1110" s="129">
        <v>39594</v>
      </c>
      <c r="B1110" s="129">
        <v>39594</v>
      </c>
      <c r="C1110" s="6">
        <v>5</v>
      </c>
      <c r="D1110" s="6">
        <v>1</v>
      </c>
      <c r="E1110" s="19">
        <v>2008</v>
      </c>
      <c r="F1110" s="15" t="s">
        <v>22</v>
      </c>
      <c r="G1110" s="16" t="s">
        <v>6256</v>
      </c>
      <c r="H1110" s="9" t="s">
        <v>61</v>
      </c>
      <c r="I1110" s="17" t="s">
        <v>1951</v>
      </c>
      <c r="J1110" s="17" t="s">
        <v>1952</v>
      </c>
      <c r="K1110" s="23">
        <v>0</v>
      </c>
      <c r="L1110" s="234">
        <v>40</v>
      </c>
      <c r="M1110" s="23">
        <v>8</v>
      </c>
      <c r="N1110" s="23">
        <v>1</v>
      </c>
      <c r="O1110" s="23">
        <v>0</v>
      </c>
      <c r="P1110" s="23">
        <v>0</v>
      </c>
      <c r="Q1110" s="92">
        <v>0</v>
      </c>
      <c r="R1110" s="93">
        <v>9.3030000000000002E-2</v>
      </c>
      <c r="S1110" s="19" t="s">
        <v>115</v>
      </c>
      <c r="T1110" s="257">
        <f t="shared" si="41"/>
        <v>40</v>
      </c>
      <c r="U1110" s="257">
        <f t="shared" si="42"/>
        <v>9</v>
      </c>
      <c r="V1110">
        <v>1</v>
      </c>
      <c r="W1110">
        <v>1</v>
      </c>
    </row>
    <row r="1111" spans="1:23" ht="22.8" x14ac:dyDescent="0.3">
      <c r="A1111" s="129">
        <v>39595</v>
      </c>
      <c r="B1111" s="129">
        <v>39595</v>
      </c>
      <c r="C1111" s="6">
        <v>5</v>
      </c>
      <c r="D1111" s="6">
        <v>1</v>
      </c>
      <c r="E1111" s="19">
        <v>2008</v>
      </c>
      <c r="F1111" s="15" t="s">
        <v>22</v>
      </c>
      <c r="G1111" s="16" t="s">
        <v>6256</v>
      </c>
      <c r="H1111" s="9" t="s">
        <v>174</v>
      </c>
      <c r="I1111" s="17" t="s">
        <v>1263</v>
      </c>
      <c r="J1111" s="17" t="s">
        <v>1953</v>
      </c>
      <c r="K1111" s="23">
        <v>0</v>
      </c>
      <c r="L1111" s="234">
        <v>100</v>
      </c>
      <c r="M1111" s="23">
        <v>20</v>
      </c>
      <c r="N1111" s="23">
        <v>0</v>
      </c>
      <c r="O1111" s="23">
        <v>0</v>
      </c>
      <c r="P1111" s="23">
        <v>0</v>
      </c>
      <c r="Q1111" s="92">
        <v>0</v>
      </c>
      <c r="R1111" s="93">
        <v>0.04</v>
      </c>
      <c r="S1111" s="19" t="s">
        <v>115</v>
      </c>
      <c r="T1111" s="257">
        <f t="shared" si="41"/>
        <v>100</v>
      </c>
      <c r="U1111" s="257">
        <f t="shared" si="42"/>
        <v>20</v>
      </c>
      <c r="V1111">
        <v>1</v>
      </c>
      <c r="W1111">
        <v>1</v>
      </c>
    </row>
    <row r="1112" spans="1:23" ht="34.200000000000003" x14ac:dyDescent="0.3">
      <c r="A1112" s="129">
        <v>39600</v>
      </c>
      <c r="B1112" s="129">
        <v>39600</v>
      </c>
      <c r="C1112" s="6">
        <v>6</v>
      </c>
      <c r="D1112" s="6">
        <v>1</v>
      </c>
      <c r="E1112" s="19">
        <v>2008</v>
      </c>
      <c r="F1112" s="15" t="s">
        <v>22</v>
      </c>
      <c r="G1112" s="16" t="s">
        <v>6256</v>
      </c>
      <c r="H1112" s="9" t="s">
        <v>31</v>
      </c>
      <c r="I1112" s="17" t="s">
        <v>1954</v>
      </c>
      <c r="J1112" s="17" t="s">
        <v>1955</v>
      </c>
      <c r="K1112" s="23">
        <v>0</v>
      </c>
      <c r="L1112" s="234">
        <v>0</v>
      </c>
      <c r="M1112" s="23">
        <v>0</v>
      </c>
      <c r="N1112" s="23">
        <v>0</v>
      </c>
      <c r="O1112" s="23">
        <v>0</v>
      </c>
      <c r="P1112" s="23">
        <v>0</v>
      </c>
      <c r="Q1112" s="92">
        <v>0</v>
      </c>
      <c r="R1112" s="93">
        <v>58.539225999999999</v>
      </c>
      <c r="S1112" s="19" t="str">
        <f>+fo</f>
        <v>FONDEN</v>
      </c>
      <c r="T1112" s="257">
        <f t="shared" si="41"/>
        <v>0</v>
      </c>
      <c r="U1112" s="257">
        <f t="shared" si="42"/>
        <v>0</v>
      </c>
      <c r="V1112">
        <v>0</v>
      </c>
      <c r="W1112">
        <v>0</v>
      </c>
    </row>
    <row r="1113" spans="1:23" ht="68.400000000000006" x14ac:dyDescent="0.3">
      <c r="A1113" s="129">
        <v>39600</v>
      </c>
      <c r="B1113" s="129">
        <v>39600</v>
      </c>
      <c r="C1113" s="6">
        <v>6</v>
      </c>
      <c r="D1113" s="6">
        <v>1</v>
      </c>
      <c r="E1113" s="19">
        <v>2008</v>
      </c>
      <c r="F1113" s="15" t="s">
        <v>22</v>
      </c>
      <c r="G1113" s="16" t="s">
        <v>6254</v>
      </c>
      <c r="H1113" s="9" t="s">
        <v>31</v>
      </c>
      <c r="I1113" s="17" t="s">
        <v>1956</v>
      </c>
      <c r="J1113" s="17" t="s">
        <v>1957</v>
      </c>
      <c r="K1113" s="23">
        <v>0</v>
      </c>
      <c r="L1113" s="234">
        <v>561</v>
      </c>
      <c r="M1113" s="23">
        <v>49</v>
      </c>
      <c r="N1113" s="23">
        <v>0</v>
      </c>
      <c r="O1113" s="23">
        <v>0</v>
      </c>
      <c r="P1113" s="23">
        <v>0</v>
      </c>
      <c r="Q1113" s="92">
        <v>0</v>
      </c>
      <c r="R1113" s="93">
        <v>0.22855500000000001</v>
      </c>
      <c r="S1113" s="19" t="s">
        <v>115</v>
      </c>
      <c r="T1113" s="257">
        <f t="shared" si="41"/>
        <v>561</v>
      </c>
      <c r="U1113" s="257">
        <f t="shared" si="42"/>
        <v>49</v>
      </c>
      <c r="V1113">
        <v>1</v>
      </c>
      <c r="W1113">
        <v>1</v>
      </c>
    </row>
    <row r="1114" spans="1:23" ht="79.8" x14ac:dyDescent="0.3">
      <c r="A1114" s="129">
        <v>39600</v>
      </c>
      <c r="B1114" s="129">
        <v>39600</v>
      </c>
      <c r="C1114" s="6">
        <v>6</v>
      </c>
      <c r="D1114" s="6">
        <v>1</v>
      </c>
      <c r="E1114" s="19">
        <v>2008</v>
      </c>
      <c r="F1114" s="15" t="s">
        <v>22</v>
      </c>
      <c r="G1114" s="16" t="s">
        <v>6254</v>
      </c>
      <c r="H1114" s="17" t="s">
        <v>565</v>
      </c>
      <c r="I1114" s="17" t="s">
        <v>1958</v>
      </c>
      <c r="J1114" s="17" t="s">
        <v>1959</v>
      </c>
      <c r="K1114" s="23">
        <v>0</v>
      </c>
      <c r="L1114" s="234">
        <v>3517</v>
      </c>
      <c r="M1114" s="23">
        <v>881</v>
      </c>
      <c r="N1114" s="23">
        <v>0</v>
      </c>
      <c r="O1114" s="23">
        <v>0</v>
      </c>
      <c r="P1114" s="23">
        <v>0</v>
      </c>
      <c r="Q1114" s="92">
        <v>0</v>
      </c>
      <c r="R1114" s="93">
        <v>1.762</v>
      </c>
      <c r="S1114" s="19" t="s">
        <v>115</v>
      </c>
      <c r="T1114" s="257">
        <f t="shared" si="41"/>
        <v>3517</v>
      </c>
      <c r="U1114" s="257">
        <f t="shared" si="42"/>
        <v>881</v>
      </c>
      <c r="V1114">
        <v>1</v>
      </c>
      <c r="W1114">
        <v>1</v>
      </c>
    </row>
    <row r="1115" spans="1:23" ht="22.8" x14ac:dyDescent="0.3">
      <c r="A1115" s="129">
        <v>39601</v>
      </c>
      <c r="B1115" s="129">
        <v>39601</v>
      </c>
      <c r="C1115" s="6">
        <v>6</v>
      </c>
      <c r="D1115" s="6">
        <v>1</v>
      </c>
      <c r="E1115" s="19">
        <v>2008</v>
      </c>
      <c r="F1115" s="15" t="s">
        <v>22</v>
      </c>
      <c r="G1115" s="16" t="s">
        <v>6256</v>
      </c>
      <c r="H1115" s="9" t="s">
        <v>69</v>
      </c>
      <c r="I1115" s="17" t="s">
        <v>1634</v>
      </c>
      <c r="J1115" s="17" t="s">
        <v>1960</v>
      </c>
      <c r="K1115" s="23">
        <v>0</v>
      </c>
      <c r="L1115" s="234">
        <v>0</v>
      </c>
      <c r="M1115" s="23">
        <v>0</v>
      </c>
      <c r="N1115" s="23">
        <v>0</v>
      </c>
      <c r="O1115" s="23">
        <v>0</v>
      </c>
      <c r="P1115" s="23">
        <v>0</v>
      </c>
      <c r="Q1115" s="92">
        <v>0</v>
      </c>
      <c r="R1115" s="93">
        <v>140.64006499999999</v>
      </c>
      <c r="S1115" s="19" t="s">
        <v>149</v>
      </c>
      <c r="T1115" s="257">
        <f t="shared" si="41"/>
        <v>0</v>
      </c>
      <c r="U1115" s="257">
        <f t="shared" si="42"/>
        <v>0</v>
      </c>
      <c r="V1115">
        <v>0</v>
      </c>
      <c r="W1115">
        <v>0</v>
      </c>
    </row>
    <row r="1116" spans="1:23" ht="159.6" x14ac:dyDescent="0.3">
      <c r="A1116" s="129">
        <v>39603</v>
      </c>
      <c r="B1116" s="129">
        <v>39603</v>
      </c>
      <c r="C1116" s="6">
        <v>6</v>
      </c>
      <c r="D1116" s="6">
        <v>1</v>
      </c>
      <c r="E1116" s="19">
        <v>2008</v>
      </c>
      <c r="F1116" s="15" t="s">
        <v>22</v>
      </c>
      <c r="G1116" s="16" t="s">
        <v>6256</v>
      </c>
      <c r="H1116" s="9" t="s">
        <v>61</v>
      </c>
      <c r="I1116" s="17" t="s">
        <v>1961</v>
      </c>
      <c r="J1116" s="17" t="s">
        <v>1962</v>
      </c>
      <c r="K1116" s="23">
        <v>0</v>
      </c>
      <c r="L1116" s="234">
        <f>((M1116*5))*1</f>
        <v>2575</v>
      </c>
      <c r="M1116" s="23">
        <v>515</v>
      </c>
      <c r="N1116" s="23">
        <v>0</v>
      </c>
      <c r="O1116" s="23">
        <v>0</v>
      </c>
      <c r="P1116" s="23">
        <v>0</v>
      </c>
      <c r="Q1116" s="92">
        <v>0</v>
      </c>
      <c r="R1116" s="93">
        <v>480.30592000000001</v>
      </c>
      <c r="S1116" s="19" t="s">
        <v>149</v>
      </c>
      <c r="T1116" s="257">
        <f t="shared" si="41"/>
        <v>2575</v>
      </c>
      <c r="U1116" s="257">
        <f t="shared" si="42"/>
        <v>515</v>
      </c>
      <c r="V1116">
        <v>1</v>
      </c>
      <c r="W1116">
        <v>1</v>
      </c>
    </row>
    <row r="1117" spans="1:23" ht="45.6" x14ac:dyDescent="0.3">
      <c r="A1117" s="129">
        <v>39603</v>
      </c>
      <c r="B1117" s="129">
        <v>39603</v>
      </c>
      <c r="C1117" s="6">
        <v>6</v>
      </c>
      <c r="D1117" s="6">
        <v>1</v>
      </c>
      <c r="E1117" s="19">
        <v>2008</v>
      </c>
      <c r="F1117" s="15" t="s">
        <v>22</v>
      </c>
      <c r="G1117" s="16" t="s">
        <v>6256</v>
      </c>
      <c r="H1117" s="9" t="s">
        <v>174</v>
      </c>
      <c r="I1117" s="17" t="s">
        <v>1963</v>
      </c>
      <c r="J1117" s="17" t="s">
        <v>1964</v>
      </c>
      <c r="K1117" s="23">
        <v>0</v>
      </c>
      <c r="L1117" s="234">
        <v>0</v>
      </c>
      <c r="M1117" s="23">
        <v>309</v>
      </c>
      <c r="N1117" s="23">
        <v>0</v>
      </c>
      <c r="O1117" s="23">
        <v>40</v>
      </c>
      <c r="P1117" s="23">
        <v>0</v>
      </c>
      <c r="Q1117" s="92">
        <v>0</v>
      </c>
      <c r="R1117" s="93">
        <v>179.08199999999999</v>
      </c>
      <c r="S1117" s="19" t="s">
        <v>149</v>
      </c>
      <c r="T1117" s="257">
        <f t="shared" si="41"/>
        <v>0</v>
      </c>
      <c r="U1117" s="257">
        <f t="shared" si="42"/>
        <v>349</v>
      </c>
      <c r="V1117">
        <v>0</v>
      </c>
      <c r="W1117">
        <v>1</v>
      </c>
    </row>
    <row r="1118" spans="1:23" ht="34.200000000000003" x14ac:dyDescent="0.3">
      <c r="A1118" s="129">
        <v>39605</v>
      </c>
      <c r="B1118" s="129">
        <v>39605</v>
      </c>
      <c r="C1118" s="6">
        <v>6</v>
      </c>
      <c r="D1118" s="6">
        <v>1</v>
      </c>
      <c r="E1118" s="19">
        <v>2008</v>
      </c>
      <c r="F1118" s="15" t="s">
        <v>22</v>
      </c>
      <c r="G1118" s="16" t="s">
        <v>6256</v>
      </c>
      <c r="H1118" s="9" t="s">
        <v>61</v>
      </c>
      <c r="I1118" s="17" t="s">
        <v>1965</v>
      </c>
      <c r="J1118" s="17" t="s">
        <v>1966</v>
      </c>
      <c r="K1118" s="23">
        <v>1</v>
      </c>
      <c r="L1118" s="234">
        <v>1</v>
      </c>
      <c r="M1118" s="23">
        <v>0</v>
      </c>
      <c r="N1118" s="23">
        <v>0</v>
      </c>
      <c r="O1118" s="23">
        <v>0</v>
      </c>
      <c r="P1118" s="23">
        <v>0</v>
      </c>
      <c r="Q1118" s="92">
        <v>0</v>
      </c>
      <c r="R1118" s="93">
        <v>0</v>
      </c>
      <c r="S1118" s="19" t="s">
        <v>115</v>
      </c>
      <c r="T1118" s="257">
        <f t="shared" si="41"/>
        <v>2</v>
      </c>
      <c r="U1118" s="257">
        <f t="shared" si="42"/>
        <v>0</v>
      </c>
      <c r="V1118">
        <v>1</v>
      </c>
      <c r="W1118">
        <v>0</v>
      </c>
    </row>
    <row r="1119" spans="1:23" ht="45.6" x14ac:dyDescent="0.3">
      <c r="A1119" s="129">
        <v>39605</v>
      </c>
      <c r="B1119" s="129">
        <v>39605</v>
      </c>
      <c r="C1119" s="6">
        <v>6</v>
      </c>
      <c r="D1119" s="6">
        <v>1</v>
      </c>
      <c r="E1119" s="19">
        <v>2008</v>
      </c>
      <c r="F1119" s="15" t="s">
        <v>22</v>
      </c>
      <c r="G1119" s="16" t="s">
        <v>6256</v>
      </c>
      <c r="H1119" s="9" t="s">
        <v>70</v>
      </c>
      <c r="I1119" s="17" t="s">
        <v>1967</v>
      </c>
      <c r="J1119" s="17" t="s">
        <v>1968</v>
      </c>
      <c r="K1119" s="23">
        <v>0</v>
      </c>
      <c r="L1119" s="234">
        <v>395</v>
      </c>
      <c r="M1119" s="23">
        <v>0</v>
      </c>
      <c r="N1119" s="23">
        <v>0</v>
      </c>
      <c r="O1119" s="23">
        <v>0</v>
      </c>
      <c r="P1119" s="23">
        <v>0</v>
      </c>
      <c r="Q1119" s="92">
        <v>0</v>
      </c>
      <c r="R1119" s="93">
        <v>0</v>
      </c>
      <c r="S1119" s="19" t="s">
        <v>115</v>
      </c>
      <c r="T1119" s="257">
        <f t="shared" si="41"/>
        <v>395</v>
      </c>
      <c r="U1119" s="257">
        <f t="shared" si="42"/>
        <v>0</v>
      </c>
      <c r="V1119">
        <v>1</v>
      </c>
      <c r="W1119">
        <v>0</v>
      </c>
    </row>
    <row r="1120" spans="1:23" ht="79.8" x14ac:dyDescent="0.3">
      <c r="A1120" s="129">
        <v>39605</v>
      </c>
      <c r="B1120" s="129">
        <v>39605</v>
      </c>
      <c r="C1120" s="6">
        <v>6</v>
      </c>
      <c r="D1120" s="6">
        <v>1</v>
      </c>
      <c r="E1120" s="19">
        <v>2008</v>
      </c>
      <c r="F1120" s="15" t="s">
        <v>22</v>
      </c>
      <c r="G1120" s="16" t="s">
        <v>6256</v>
      </c>
      <c r="H1120" s="9" t="s">
        <v>70</v>
      </c>
      <c r="I1120" s="17" t="s">
        <v>1969</v>
      </c>
      <c r="J1120" s="17" t="s">
        <v>1970</v>
      </c>
      <c r="K1120" s="23">
        <v>0</v>
      </c>
      <c r="L1120" s="234">
        <v>3185</v>
      </c>
      <c r="M1120" s="23">
        <v>0</v>
      </c>
      <c r="N1120" s="23">
        <v>0</v>
      </c>
      <c r="O1120" s="23">
        <v>0</v>
      </c>
      <c r="P1120" s="23">
        <v>0</v>
      </c>
      <c r="Q1120" s="92">
        <v>4964.8999999999996</v>
      </c>
      <c r="R1120" s="93">
        <v>11.717000000000001</v>
      </c>
      <c r="S1120" s="19" t="s">
        <v>1904</v>
      </c>
      <c r="T1120" s="257">
        <f t="shared" si="41"/>
        <v>3185</v>
      </c>
      <c r="U1120" s="257">
        <f t="shared" si="42"/>
        <v>0</v>
      </c>
      <c r="V1120">
        <v>1</v>
      </c>
      <c r="W1120">
        <v>0</v>
      </c>
    </row>
    <row r="1121" spans="1:23" ht="79.8" x14ac:dyDescent="0.3">
      <c r="A1121" s="129">
        <v>39605</v>
      </c>
      <c r="B1121" s="129">
        <v>39605</v>
      </c>
      <c r="C1121" s="6">
        <v>6</v>
      </c>
      <c r="D1121" s="6">
        <v>1</v>
      </c>
      <c r="E1121" s="19">
        <v>2008</v>
      </c>
      <c r="F1121" s="15" t="s">
        <v>22</v>
      </c>
      <c r="G1121" s="16" t="s">
        <v>6256</v>
      </c>
      <c r="H1121" s="9" t="s">
        <v>70</v>
      </c>
      <c r="I1121" s="17" t="s">
        <v>1971</v>
      </c>
      <c r="J1121" s="17" t="s">
        <v>1972</v>
      </c>
      <c r="K1121" s="23">
        <v>0</v>
      </c>
      <c r="L1121" s="234">
        <v>320</v>
      </c>
      <c r="M1121" s="23">
        <v>0</v>
      </c>
      <c r="N1121" s="23">
        <v>0</v>
      </c>
      <c r="O1121" s="23">
        <v>0</v>
      </c>
      <c r="P1121" s="23">
        <v>0</v>
      </c>
      <c r="Q1121" s="92">
        <v>428.5</v>
      </c>
      <c r="R1121" s="93">
        <v>0.28599999999999998</v>
      </c>
      <c r="S1121" s="19" t="s">
        <v>1904</v>
      </c>
      <c r="T1121" s="257">
        <f t="shared" si="41"/>
        <v>320</v>
      </c>
      <c r="U1121" s="257">
        <f t="shared" si="42"/>
        <v>0</v>
      </c>
      <c r="V1121">
        <v>1</v>
      </c>
      <c r="W1121">
        <v>0</v>
      </c>
    </row>
    <row r="1122" spans="1:23" ht="102.6" x14ac:dyDescent="0.3">
      <c r="A1122" s="129">
        <v>39606</v>
      </c>
      <c r="B1122" s="129">
        <v>39606</v>
      </c>
      <c r="C1122" s="6">
        <v>6</v>
      </c>
      <c r="D1122" s="6">
        <v>1</v>
      </c>
      <c r="E1122" s="19">
        <v>2008</v>
      </c>
      <c r="F1122" s="15" t="s">
        <v>22</v>
      </c>
      <c r="G1122" s="16" t="s">
        <v>6256</v>
      </c>
      <c r="H1122" s="9" t="s">
        <v>61</v>
      </c>
      <c r="I1122" s="17" t="s">
        <v>1973</v>
      </c>
      <c r="J1122" s="17" t="s">
        <v>1974</v>
      </c>
      <c r="K1122" s="23">
        <v>0</v>
      </c>
      <c r="L1122" s="234">
        <v>2750</v>
      </c>
      <c r="M1122" s="23">
        <v>550</v>
      </c>
      <c r="N1122" s="23">
        <v>0</v>
      </c>
      <c r="O1122" s="23">
        <v>0</v>
      </c>
      <c r="P1122" s="23">
        <v>0</v>
      </c>
      <c r="Q1122" s="92">
        <v>0</v>
      </c>
      <c r="R1122" s="93">
        <v>2.56542</v>
      </c>
      <c r="S1122" s="19" t="s">
        <v>115</v>
      </c>
      <c r="T1122" s="257">
        <f t="shared" si="41"/>
        <v>2750</v>
      </c>
      <c r="U1122" s="257">
        <f t="shared" si="42"/>
        <v>550</v>
      </c>
      <c r="V1122">
        <v>1</v>
      </c>
      <c r="W1122">
        <v>1</v>
      </c>
    </row>
    <row r="1123" spans="1:23" ht="34.200000000000003" x14ac:dyDescent="0.3">
      <c r="A1123" s="129">
        <v>39606</v>
      </c>
      <c r="B1123" s="129">
        <v>39606</v>
      </c>
      <c r="C1123" s="6">
        <v>6</v>
      </c>
      <c r="D1123" s="6">
        <v>1</v>
      </c>
      <c r="E1123" s="19">
        <v>2008</v>
      </c>
      <c r="F1123" s="15" t="s">
        <v>22</v>
      </c>
      <c r="G1123" s="16" t="s">
        <v>6256</v>
      </c>
      <c r="H1123" s="9" t="s">
        <v>64</v>
      </c>
      <c r="I1123" s="17" t="s">
        <v>1975</v>
      </c>
      <c r="J1123" s="17" t="s">
        <v>1976</v>
      </c>
      <c r="K1123" s="23">
        <v>0</v>
      </c>
      <c r="L1123" s="234">
        <v>65</v>
      </c>
      <c r="M1123" s="23">
        <v>13</v>
      </c>
      <c r="N1123" s="23">
        <v>4</v>
      </c>
      <c r="O1123" s="23">
        <v>0</v>
      </c>
      <c r="P1123" s="23">
        <v>0</v>
      </c>
      <c r="Q1123" s="92">
        <v>0</v>
      </c>
      <c r="R1123" s="93">
        <v>6.0630000000000003E-2</v>
      </c>
      <c r="S1123" s="19" t="s">
        <v>115</v>
      </c>
      <c r="T1123" s="257">
        <f t="shared" si="41"/>
        <v>65</v>
      </c>
      <c r="U1123" s="257">
        <f t="shared" si="42"/>
        <v>17</v>
      </c>
      <c r="V1123">
        <v>1</v>
      </c>
      <c r="W1123">
        <v>1</v>
      </c>
    </row>
    <row r="1124" spans="1:23" ht="57" x14ac:dyDescent="0.3">
      <c r="A1124" s="129">
        <v>39606</v>
      </c>
      <c r="B1124" s="129">
        <v>39606</v>
      </c>
      <c r="C1124" s="6">
        <v>6</v>
      </c>
      <c r="D1124" s="6">
        <v>1</v>
      </c>
      <c r="E1124" s="19">
        <v>2008</v>
      </c>
      <c r="F1124" s="15" t="s">
        <v>22</v>
      </c>
      <c r="G1124" s="16" t="s">
        <v>6256</v>
      </c>
      <c r="H1124" s="9" t="s">
        <v>31</v>
      </c>
      <c r="I1124" s="17" t="s">
        <v>1977</v>
      </c>
      <c r="J1124" s="17" t="s">
        <v>1978</v>
      </c>
      <c r="K1124" s="23">
        <v>0</v>
      </c>
      <c r="L1124" s="234">
        <v>3320</v>
      </c>
      <c r="M1124" s="23">
        <v>664</v>
      </c>
      <c r="N1124" s="23">
        <v>0</v>
      </c>
      <c r="O1124" s="23">
        <v>0</v>
      </c>
      <c r="P1124" s="23">
        <v>0</v>
      </c>
      <c r="Q1124" s="92">
        <v>0</v>
      </c>
      <c r="R1124" s="93">
        <v>1.5145</v>
      </c>
      <c r="S1124" s="19" t="s">
        <v>115</v>
      </c>
      <c r="T1124" s="257">
        <f t="shared" si="41"/>
        <v>3320</v>
      </c>
      <c r="U1124" s="257">
        <f t="shared" si="42"/>
        <v>664</v>
      </c>
      <c r="V1124">
        <v>1</v>
      </c>
      <c r="W1124">
        <v>1</v>
      </c>
    </row>
    <row r="1125" spans="1:23" ht="22.8" x14ac:dyDescent="0.3">
      <c r="A1125" s="129">
        <v>39606</v>
      </c>
      <c r="B1125" s="129">
        <v>39606</v>
      </c>
      <c r="C1125" s="6">
        <v>6</v>
      </c>
      <c r="D1125" s="6">
        <v>1</v>
      </c>
      <c r="E1125" s="19">
        <v>2008</v>
      </c>
      <c r="F1125" s="15" t="s">
        <v>22</v>
      </c>
      <c r="G1125" s="16" t="s">
        <v>6256</v>
      </c>
      <c r="H1125" s="17" t="s">
        <v>565</v>
      </c>
      <c r="I1125" s="17" t="s">
        <v>1979</v>
      </c>
      <c r="J1125" s="17" t="s">
        <v>1980</v>
      </c>
      <c r="K1125" s="23">
        <v>0</v>
      </c>
      <c r="L1125" s="234">
        <v>0</v>
      </c>
      <c r="M1125" s="23">
        <v>0</v>
      </c>
      <c r="N1125" s="23">
        <v>0</v>
      </c>
      <c r="O1125" s="23">
        <v>0</v>
      </c>
      <c r="P1125" s="23">
        <v>0</v>
      </c>
      <c r="Q1125" s="92">
        <v>0</v>
      </c>
      <c r="R1125" s="93">
        <v>0</v>
      </c>
      <c r="S1125" s="19" t="s">
        <v>115</v>
      </c>
      <c r="T1125" s="257">
        <f t="shared" si="41"/>
        <v>0</v>
      </c>
      <c r="U1125" s="257">
        <f t="shared" si="42"/>
        <v>0</v>
      </c>
      <c r="V1125">
        <v>0</v>
      </c>
      <c r="W1125">
        <v>0</v>
      </c>
    </row>
    <row r="1126" spans="1:23" ht="34.200000000000003" x14ac:dyDescent="0.3">
      <c r="A1126" s="129">
        <v>39607</v>
      </c>
      <c r="B1126" s="129">
        <v>39607</v>
      </c>
      <c r="C1126" s="6">
        <v>6</v>
      </c>
      <c r="D1126" s="6">
        <v>1</v>
      </c>
      <c r="E1126" s="19">
        <v>2008</v>
      </c>
      <c r="F1126" s="15" t="s">
        <v>22</v>
      </c>
      <c r="G1126" s="16" t="s">
        <v>6256</v>
      </c>
      <c r="H1126" s="9" t="s">
        <v>24</v>
      </c>
      <c r="I1126" s="17" t="s">
        <v>1981</v>
      </c>
      <c r="J1126" s="17" t="s">
        <v>1982</v>
      </c>
      <c r="K1126" s="23">
        <v>0</v>
      </c>
      <c r="L1126" s="234">
        <v>0</v>
      </c>
      <c r="M1126" s="23">
        <v>0</v>
      </c>
      <c r="N1126" s="23">
        <v>0</v>
      </c>
      <c r="O1126" s="23">
        <v>0</v>
      </c>
      <c r="P1126" s="23">
        <v>0</v>
      </c>
      <c r="Q1126" s="92">
        <v>0</v>
      </c>
      <c r="R1126" s="93">
        <v>0</v>
      </c>
      <c r="S1126" s="19" t="s">
        <v>115</v>
      </c>
      <c r="T1126" s="257">
        <f t="shared" si="41"/>
        <v>0</v>
      </c>
      <c r="U1126" s="257">
        <f t="shared" si="42"/>
        <v>0</v>
      </c>
      <c r="V1126">
        <v>0</v>
      </c>
      <c r="W1126">
        <v>0</v>
      </c>
    </row>
    <row r="1127" spans="1:23" ht="68.400000000000006" x14ac:dyDescent="0.3">
      <c r="A1127" s="129">
        <v>39607</v>
      </c>
      <c r="B1127" s="129">
        <v>39607</v>
      </c>
      <c r="C1127" s="6">
        <v>6</v>
      </c>
      <c r="D1127" s="6">
        <v>1</v>
      </c>
      <c r="E1127" s="19">
        <v>2008</v>
      </c>
      <c r="F1127" s="15" t="s">
        <v>22</v>
      </c>
      <c r="G1127" s="16" t="s">
        <v>6256</v>
      </c>
      <c r="H1127" s="9" t="s">
        <v>51</v>
      </c>
      <c r="I1127" s="17" t="s">
        <v>1983</v>
      </c>
      <c r="J1127" s="17" t="s">
        <v>1984</v>
      </c>
      <c r="K1127" s="23">
        <v>0</v>
      </c>
      <c r="L1127" s="234">
        <v>955</v>
      </c>
      <c r="M1127" s="23">
        <v>191</v>
      </c>
      <c r="N1127" s="23">
        <v>0</v>
      </c>
      <c r="O1127" s="23">
        <v>0</v>
      </c>
      <c r="P1127" s="23">
        <v>0</v>
      </c>
      <c r="Q1127" s="92">
        <v>0</v>
      </c>
      <c r="R1127" s="93">
        <v>0.38200000000000001</v>
      </c>
      <c r="S1127" s="19" t="s">
        <v>115</v>
      </c>
      <c r="T1127" s="257">
        <f t="shared" si="41"/>
        <v>955</v>
      </c>
      <c r="U1127" s="257">
        <f t="shared" si="42"/>
        <v>191</v>
      </c>
      <c r="V1127">
        <v>1</v>
      </c>
      <c r="W1127">
        <v>1</v>
      </c>
    </row>
    <row r="1128" spans="1:23" ht="22.8" x14ac:dyDescent="0.3">
      <c r="A1128" s="129">
        <v>39607</v>
      </c>
      <c r="B1128" s="129">
        <v>39607</v>
      </c>
      <c r="C1128" s="6">
        <v>6</v>
      </c>
      <c r="D1128" s="6">
        <v>1</v>
      </c>
      <c r="E1128" s="19">
        <v>2008</v>
      </c>
      <c r="F1128" s="15" t="s">
        <v>22</v>
      </c>
      <c r="G1128" s="16" t="s">
        <v>6256</v>
      </c>
      <c r="H1128" s="9" t="s">
        <v>55</v>
      </c>
      <c r="I1128" s="17" t="s">
        <v>763</v>
      </c>
      <c r="J1128" s="17" t="s">
        <v>1985</v>
      </c>
      <c r="K1128" s="23">
        <v>0</v>
      </c>
      <c r="L1128" s="234">
        <v>100</v>
      </c>
      <c r="M1128" s="23">
        <v>20</v>
      </c>
      <c r="N1128" s="23">
        <v>0</v>
      </c>
      <c r="O1128" s="23">
        <v>0</v>
      </c>
      <c r="P1128" s="23">
        <v>0</v>
      </c>
      <c r="Q1128" s="92">
        <v>0</v>
      </c>
      <c r="R1128" s="93">
        <v>0.04</v>
      </c>
      <c r="S1128" s="19" t="s">
        <v>115</v>
      </c>
      <c r="T1128" s="257">
        <f t="shared" si="41"/>
        <v>100</v>
      </c>
      <c r="U1128" s="257">
        <f t="shared" si="42"/>
        <v>20</v>
      </c>
      <c r="V1128">
        <v>1</v>
      </c>
      <c r="W1128">
        <v>1</v>
      </c>
    </row>
    <row r="1129" spans="1:23" ht="34.200000000000003" x14ac:dyDescent="0.3">
      <c r="A1129" s="129">
        <v>39607</v>
      </c>
      <c r="B1129" s="129">
        <v>39607</v>
      </c>
      <c r="C1129" s="6">
        <v>6</v>
      </c>
      <c r="D1129" s="6">
        <v>1</v>
      </c>
      <c r="E1129" s="19">
        <v>2008</v>
      </c>
      <c r="F1129" s="15" t="s">
        <v>22</v>
      </c>
      <c r="G1129" s="16" t="s">
        <v>6256</v>
      </c>
      <c r="H1129" s="9" t="s">
        <v>174</v>
      </c>
      <c r="I1129" s="17" t="s">
        <v>647</v>
      </c>
      <c r="J1129" s="17" t="s">
        <v>1986</v>
      </c>
      <c r="K1129" s="23">
        <v>1</v>
      </c>
      <c r="L1129" s="234">
        <v>1</v>
      </c>
      <c r="M1129" s="23">
        <v>0</v>
      </c>
      <c r="N1129" s="23">
        <v>0</v>
      </c>
      <c r="O1129" s="23">
        <v>0</v>
      </c>
      <c r="P1129" s="23">
        <v>0</v>
      </c>
      <c r="Q1129" s="92">
        <v>0</v>
      </c>
      <c r="R1129" s="93">
        <v>0</v>
      </c>
      <c r="S1129" s="19" t="s">
        <v>115</v>
      </c>
      <c r="T1129" s="257">
        <f t="shared" si="41"/>
        <v>2</v>
      </c>
      <c r="U1129" s="257">
        <f t="shared" si="42"/>
        <v>0</v>
      </c>
      <c r="V1129">
        <v>1</v>
      </c>
      <c r="W1129">
        <v>0</v>
      </c>
    </row>
    <row r="1130" spans="1:23" ht="102.6" x14ac:dyDescent="0.3">
      <c r="A1130" s="225">
        <v>42280</v>
      </c>
      <c r="B1130" s="225">
        <v>42280</v>
      </c>
      <c r="C1130" s="6">
        <v>10</v>
      </c>
      <c r="D1130" s="6">
        <v>1</v>
      </c>
      <c r="E1130" s="54">
        <v>2015</v>
      </c>
      <c r="F1130" s="7" t="s">
        <v>17</v>
      </c>
      <c r="G1130" s="28" t="s">
        <v>6261</v>
      </c>
      <c r="H1130" s="9" t="s">
        <v>48</v>
      </c>
      <c r="I1130" s="70" t="s">
        <v>1987</v>
      </c>
      <c r="J1130" s="127" t="s">
        <v>1988</v>
      </c>
      <c r="K1130" s="124">
        <v>0</v>
      </c>
      <c r="L1130" s="246">
        <v>0</v>
      </c>
      <c r="M1130" s="72">
        <v>62</v>
      </c>
      <c r="N1130" s="72">
        <v>0</v>
      </c>
      <c r="O1130" s="72">
        <v>0</v>
      </c>
      <c r="P1130" s="72">
        <v>0</v>
      </c>
      <c r="Q1130" s="72">
        <v>0</v>
      </c>
      <c r="R1130" s="128">
        <v>2.4</v>
      </c>
      <c r="S1130" s="125" t="s">
        <v>115</v>
      </c>
      <c r="T1130" s="257">
        <f t="shared" si="41"/>
        <v>0</v>
      </c>
      <c r="U1130" s="257">
        <f t="shared" si="42"/>
        <v>62</v>
      </c>
      <c r="V1130">
        <v>0</v>
      </c>
      <c r="W1130">
        <v>1</v>
      </c>
    </row>
    <row r="1131" spans="1:23" ht="45.6" x14ac:dyDescent="0.3">
      <c r="A1131" s="129">
        <v>39609</v>
      </c>
      <c r="B1131" s="129">
        <v>39609</v>
      </c>
      <c r="C1131" s="6">
        <v>6</v>
      </c>
      <c r="D1131" s="6">
        <v>1</v>
      </c>
      <c r="E1131" s="19">
        <v>2008</v>
      </c>
      <c r="F1131" s="15" t="s">
        <v>22</v>
      </c>
      <c r="G1131" s="16" t="s">
        <v>6256</v>
      </c>
      <c r="H1131" s="9" t="s">
        <v>24</v>
      </c>
      <c r="I1131" s="17" t="s">
        <v>24</v>
      </c>
      <c r="J1131" s="17" t="s">
        <v>1989</v>
      </c>
      <c r="K1131" s="23">
        <v>0</v>
      </c>
      <c r="L1131" s="234">
        <v>40</v>
      </c>
      <c r="M1131" s="23">
        <v>8</v>
      </c>
      <c r="N1131" s="23">
        <v>0</v>
      </c>
      <c r="O1131" s="23">
        <v>0</v>
      </c>
      <c r="P1131" s="23">
        <v>0</v>
      </c>
      <c r="Q1131" s="92">
        <v>0</v>
      </c>
      <c r="R1131" s="93">
        <v>0.35567199999999999</v>
      </c>
      <c r="S1131" s="19" t="s">
        <v>115</v>
      </c>
      <c r="T1131" s="257">
        <f t="shared" si="41"/>
        <v>40</v>
      </c>
      <c r="U1131" s="257">
        <f t="shared" si="42"/>
        <v>8</v>
      </c>
      <c r="V1131">
        <v>1</v>
      </c>
      <c r="W1131">
        <v>1</v>
      </c>
    </row>
    <row r="1132" spans="1:23" ht="34.200000000000003" x14ac:dyDescent="0.3">
      <c r="A1132" s="129">
        <v>39609</v>
      </c>
      <c r="B1132" s="129">
        <v>39609</v>
      </c>
      <c r="C1132" s="6">
        <v>6</v>
      </c>
      <c r="D1132" s="6">
        <v>1</v>
      </c>
      <c r="E1132" s="19">
        <v>2008</v>
      </c>
      <c r="F1132" s="15" t="s">
        <v>22</v>
      </c>
      <c r="G1132" s="16" t="s">
        <v>6256</v>
      </c>
      <c r="H1132" s="9" t="s">
        <v>112</v>
      </c>
      <c r="I1132" s="17" t="s">
        <v>892</v>
      </c>
      <c r="J1132" s="17" t="s">
        <v>1990</v>
      </c>
      <c r="K1132" s="23">
        <v>0</v>
      </c>
      <c r="L1132" s="234">
        <v>35</v>
      </c>
      <c r="M1132" s="23">
        <v>7</v>
      </c>
      <c r="N1132" s="23">
        <v>0</v>
      </c>
      <c r="O1132" s="23">
        <v>0</v>
      </c>
      <c r="P1132" s="23">
        <v>0</v>
      </c>
      <c r="Q1132" s="92">
        <v>0</v>
      </c>
      <c r="R1132" s="93">
        <v>8.1401000000000001E-2</v>
      </c>
      <c r="S1132" s="19" t="s">
        <v>115</v>
      </c>
      <c r="T1132" s="257">
        <f t="shared" si="41"/>
        <v>35</v>
      </c>
      <c r="U1132" s="257">
        <f t="shared" si="42"/>
        <v>7</v>
      </c>
      <c r="V1132">
        <v>1</v>
      </c>
      <c r="W1132">
        <v>1</v>
      </c>
    </row>
    <row r="1133" spans="1:23" ht="45.6" x14ac:dyDescent="0.3">
      <c r="A1133" s="129">
        <v>39610</v>
      </c>
      <c r="B1133" s="129">
        <v>39610</v>
      </c>
      <c r="C1133" s="6">
        <v>6</v>
      </c>
      <c r="D1133" s="6">
        <v>1</v>
      </c>
      <c r="E1133" s="19">
        <v>2008</v>
      </c>
      <c r="F1133" s="15" t="s">
        <v>22</v>
      </c>
      <c r="G1133" s="16" t="s">
        <v>6256</v>
      </c>
      <c r="H1133" s="9" t="s">
        <v>46</v>
      </c>
      <c r="I1133" s="17" t="s">
        <v>1991</v>
      </c>
      <c r="J1133" s="17" t="s">
        <v>1992</v>
      </c>
      <c r="K1133" s="23">
        <v>1</v>
      </c>
      <c r="L1133" s="234">
        <v>2</v>
      </c>
      <c r="M1133" s="23">
        <v>0</v>
      </c>
      <c r="N1133" s="23">
        <v>0</v>
      </c>
      <c r="O1133" s="23">
        <v>0</v>
      </c>
      <c r="P1133" s="23">
        <v>0</v>
      </c>
      <c r="Q1133" s="92">
        <v>0</v>
      </c>
      <c r="R1133" s="93">
        <v>0</v>
      </c>
      <c r="S1133" s="19" t="s">
        <v>115</v>
      </c>
      <c r="T1133" s="257">
        <f t="shared" si="41"/>
        <v>3</v>
      </c>
      <c r="U1133" s="257">
        <f t="shared" si="42"/>
        <v>0</v>
      </c>
      <c r="V1133">
        <v>1</v>
      </c>
      <c r="W1133">
        <v>0</v>
      </c>
    </row>
    <row r="1134" spans="1:23" ht="45.6" x14ac:dyDescent="0.3">
      <c r="A1134" s="129">
        <v>39610</v>
      </c>
      <c r="B1134" s="129">
        <v>39610</v>
      </c>
      <c r="C1134" s="6">
        <v>6</v>
      </c>
      <c r="D1134" s="6">
        <v>1</v>
      </c>
      <c r="E1134" s="19">
        <v>2008</v>
      </c>
      <c r="F1134" s="15" t="s">
        <v>22</v>
      </c>
      <c r="G1134" s="16" t="s">
        <v>6256</v>
      </c>
      <c r="H1134" s="9" t="s">
        <v>64</v>
      </c>
      <c r="I1134" s="17" t="s">
        <v>1993</v>
      </c>
      <c r="J1134" s="17" t="s">
        <v>1994</v>
      </c>
      <c r="K1134" s="23">
        <v>0</v>
      </c>
      <c r="L1134" s="234">
        <v>200</v>
      </c>
      <c r="M1134" s="23">
        <v>40</v>
      </c>
      <c r="N1134" s="23">
        <v>0</v>
      </c>
      <c r="O1134" s="23">
        <v>0</v>
      </c>
      <c r="P1134" s="23">
        <v>0</v>
      </c>
      <c r="Q1134" s="92">
        <v>0</v>
      </c>
      <c r="R1134" s="93">
        <v>0.08</v>
      </c>
      <c r="S1134" s="19" t="s">
        <v>115</v>
      </c>
      <c r="T1134" s="257">
        <f t="shared" si="41"/>
        <v>200</v>
      </c>
      <c r="U1134" s="257">
        <f t="shared" si="42"/>
        <v>40</v>
      </c>
      <c r="V1134">
        <v>1</v>
      </c>
      <c r="W1134">
        <v>1</v>
      </c>
    </row>
    <row r="1135" spans="1:23" ht="79.8" x14ac:dyDescent="0.3">
      <c r="A1135" s="129">
        <v>39609</v>
      </c>
      <c r="B1135" s="129">
        <v>39609</v>
      </c>
      <c r="C1135" s="6">
        <v>6</v>
      </c>
      <c r="D1135" s="6">
        <v>1</v>
      </c>
      <c r="E1135" s="19">
        <v>2008</v>
      </c>
      <c r="F1135" s="15" t="s">
        <v>22</v>
      </c>
      <c r="G1135" s="16" t="s">
        <v>6256</v>
      </c>
      <c r="H1135" s="9" t="s">
        <v>174</v>
      </c>
      <c r="I1135" s="17" t="s">
        <v>1995</v>
      </c>
      <c r="J1135" s="17" t="s">
        <v>1996</v>
      </c>
      <c r="K1135" s="23">
        <v>0</v>
      </c>
      <c r="L1135" s="234">
        <f>((M1135*5))*1</f>
        <v>4490</v>
      </c>
      <c r="M1135" s="23">
        <v>898</v>
      </c>
      <c r="N1135" s="23">
        <v>0</v>
      </c>
      <c r="O1135" s="23">
        <v>0</v>
      </c>
      <c r="P1135" s="23">
        <v>0</v>
      </c>
      <c r="Q1135" s="92">
        <v>0</v>
      </c>
      <c r="R1135" s="93">
        <v>1.796</v>
      </c>
      <c r="S1135" s="19" t="s">
        <v>115</v>
      </c>
      <c r="T1135" s="257">
        <f t="shared" si="41"/>
        <v>4490</v>
      </c>
      <c r="U1135" s="257">
        <f t="shared" si="42"/>
        <v>898</v>
      </c>
      <c r="V1135">
        <v>1</v>
      </c>
      <c r="W1135">
        <v>1</v>
      </c>
    </row>
    <row r="1136" spans="1:23" ht="45.6" x14ac:dyDescent="0.3">
      <c r="A1136" s="129">
        <v>39615</v>
      </c>
      <c r="B1136" s="129">
        <v>39615</v>
      </c>
      <c r="C1136" s="6">
        <v>6</v>
      </c>
      <c r="D1136" s="6">
        <v>1</v>
      </c>
      <c r="E1136" s="19">
        <v>2008</v>
      </c>
      <c r="F1136" s="15" t="s">
        <v>22</v>
      </c>
      <c r="G1136" s="16" t="s">
        <v>6256</v>
      </c>
      <c r="H1136" s="9" t="s">
        <v>51</v>
      </c>
      <c r="I1136" s="17" t="s">
        <v>1997</v>
      </c>
      <c r="J1136" s="17" t="s">
        <v>1998</v>
      </c>
      <c r="K1136" s="23">
        <v>1</v>
      </c>
      <c r="L1136" s="234">
        <v>2</v>
      </c>
      <c r="M1136" s="23">
        <v>0</v>
      </c>
      <c r="N1136" s="23">
        <v>0</v>
      </c>
      <c r="O1136" s="23">
        <v>0</v>
      </c>
      <c r="P1136" s="23">
        <v>0</v>
      </c>
      <c r="Q1136" s="92">
        <v>0</v>
      </c>
      <c r="R1136" s="93">
        <v>0</v>
      </c>
      <c r="S1136" s="19" t="s">
        <v>115</v>
      </c>
      <c r="T1136" s="257">
        <f t="shared" si="41"/>
        <v>3</v>
      </c>
      <c r="U1136" s="257">
        <f t="shared" si="42"/>
        <v>0</v>
      </c>
      <c r="V1136">
        <v>1</v>
      </c>
      <c r="W1136">
        <v>0</v>
      </c>
    </row>
    <row r="1137" spans="1:23" ht="22.8" x14ac:dyDescent="0.3">
      <c r="A1137" s="129">
        <v>39615</v>
      </c>
      <c r="B1137" s="129">
        <v>39615</v>
      </c>
      <c r="C1137" s="6">
        <v>6</v>
      </c>
      <c r="D1137" s="6">
        <v>1</v>
      </c>
      <c r="E1137" s="19">
        <v>2008</v>
      </c>
      <c r="F1137" s="15" t="s">
        <v>22</v>
      </c>
      <c r="G1137" s="16" t="s">
        <v>6256</v>
      </c>
      <c r="H1137" s="9" t="s">
        <v>84</v>
      </c>
      <c r="I1137" s="17" t="s">
        <v>1999</v>
      </c>
      <c r="J1137" s="17" t="s">
        <v>2000</v>
      </c>
      <c r="K1137" s="23">
        <v>0</v>
      </c>
      <c r="L1137" s="234">
        <v>1000</v>
      </c>
      <c r="M1137" s="23">
        <v>200</v>
      </c>
      <c r="N1137" s="23">
        <v>0</v>
      </c>
      <c r="O1137" s="23">
        <v>0</v>
      </c>
      <c r="P1137" s="23">
        <v>0</v>
      </c>
      <c r="Q1137" s="92">
        <v>0</v>
      </c>
      <c r="R1137" s="93">
        <v>2.3257599999999998</v>
      </c>
      <c r="S1137" s="19" t="s">
        <v>115</v>
      </c>
      <c r="T1137" s="257">
        <f t="shared" si="41"/>
        <v>1000</v>
      </c>
      <c r="U1137" s="257">
        <f t="shared" si="42"/>
        <v>200</v>
      </c>
      <c r="V1137">
        <v>1</v>
      </c>
      <c r="W1137">
        <v>1</v>
      </c>
    </row>
    <row r="1138" spans="1:23" ht="34.200000000000003" x14ac:dyDescent="0.3">
      <c r="A1138" s="129">
        <v>39616</v>
      </c>
      <c r="B1138" s="129">
        <v>39616</v>
      </c>
      <c r="C1138" s="6">
        <v>6</v>
      </c>
      <c r="D1138" s="6">
        <v>1</v>
      </c>
      <c r="E1138" s="19">
        <v>2008</v>
      </c>
      <c r="F1138" s="15" t="s">
        <v>22</v>
      </c>
      <c r="G1138" s="16" t="s">
        <v>6256</v>
      </c>
      <c r="H1138" s="9" t="s">
        <v>46</v>
      </c>
      <c r="I1138" s="17" t="s">
        <v>2001</v>
      </c>
      <c r="J1138" s="17" t="s">
        <v>2002</v>
      </c>
      <c r="K1138" s="23">
        <v>0</v>
      </c>
      <c r="L1138" s="234">
        <v>95</v>
      </c>
      <c r="M1138" s="23">
        <v>19</v>
      </c>
      <c r="N1138" s="23">
        <v>0</v>
      </c>
      <c r="O1138" s="23">
        <v>0</v>
      </c>
      <c r="P1138" s="23">
        <v>0</v>
      </c>
      <c r="Q1138" s="92">
        <v>0</v>
      </c>
      <c r="R1138" s="93">
        <v>0.31362299999999999</v>
      </c>
      <c r="S1138" s="19" t="s">
        <v>115</v>
      </c>
      <c r="T1138" s="257">
        <f t="shared" si="41"/>
        <v>95</v>
      </c>
      <c r="U1138" s="257">
        <f t="shared" si="42"/>
        <v>19</v>
      </c>
      <c r="V1138">
        <v>1</v>
      </c>
      <c r="W1138">
        <v>1</v>
      </c>
    </row>
    <row r="1139" spans="1:23" ht="34.200000000000003" x14ac:dyDescent="0.3">
      <c r="A1139" s="129">
        <v>39620</v>
      </c>
      <c r="B1139" s="129">
        <v>39620</v>
      </c>
      <c r="C1139" s="6">
        <v>6</v>
      </c>
      <c r="D1139" s="6">
        <v>1</v>
      </c>
      <c r="E1139" s="19">
        <v>2008</v>
      </c>
      <c r="F1139" s="15" t="s">
        <v>22</v>
      </c>
      <c r="G1139" s="16" t="s">
        <v>6256</v>
      </c>
      <c r="H1139" s="9" t="s">
        <v>88</v>
      </c>
      <c r="I1139" s="17" t="s">
        <v>2003</v>
      </c>
      <c r="J1139" s="17" t="s">
        <v>2004</v>
      </c>
      <c r="K1139" s="23">
        <v>0</v>
      </c>
      <c r="L1139" s="234">
        <v>325</v>
      </c>
      <c r="M1139" s="23">
        <v>65</v>
      </c>
      <c r="N1139" s="23">
        <v>0</v>
      </c>
      <c r="O1139" s="23">
        <v>0</v>
      </c>
      <c r="P1139" s="23">
        <v>0</v>
      </c>
      <c r="Q1139" s="92">
        <v>190</v>
      </c>
      <c r="R1139" s="93">
        <v>7.5865999999999998</v>
      </c>
      <c r="S1139" s="19" t="s">
        <v>115</v>
      </c>
      <c r="T1139" s="257">
        <f t="shared" si="41"/>
        <v>325</v>
      </c>
      <c r="U1139" s="257">
        <f t="shared" si="42"/>
        <v>65</v>
      </c>
      <c r="V1139">
        <v>1</v>
      </c>
      <c r="W1139">
        <v>1</v>
      </c>
    </row>
    <row r="1140" spans="1:23" ht="34.200000000000003" x14ac:dyDescent="0.3">
      <c r="A1140" s="129">
        <v>39621</v>
      </c>
      <c r="B1140" s="129">
        <v>39621</v>
      </c>
      <c r="C1140" s="6">
        <v>6</v>
      </c>
      <c r="D1140" s="6">
        <v>1</v>
      </c>
      <c r="E1140" s="19">
        <v>2008</v>
      </c>
      <c r="F1140" s="15" t="s">
        <v>22</v>
      </c>
      <c r="G1140" s="16" t="s">
        <v>6256</v>
      </c>
      <c r="H1140" s="9" t="s">
        <v>43</v>
      </c>
      <c r="I1140" s="17" t="s">
        <v>305</v>
      </c>
      <c r="J1140" s="17" t="s">
        <v>2005</v>
      </c>
      <c r="K1140" s="23">
        <v>0</v>
      </c>
      <c r="L1140" s="234">
        <v>750</v>
      </c>
      <c r="M1140" s="23">
        <v>150</v>
      </c>
      <c r="N1140" s="23">
        <v>0</v>
      </c>
      <c r="O1140" s="23">
        <v>0</v>
      </c>
      <c r="P1140" s="23">
        <v>0</v>
      </c>
      <c r="Q1140" s="92">
        <v>0</v>
      </c>
      <c r="R1140" s="93">
        <v>1.2</v>
      </c>
      <c r="S1140" s="19" t="s">
        <v>115</v>
      </c>
      <c r="T1140" s="257">
        <f t="shared" si="41"/>
        <v>750</v>
      </c>
      <c r="U1140" s="257">
        <f t="shared" si="42"/>
        <v>150</v>
      </c>
      <c r="V1140">
        <v>1</v>
      </c>
      <c r="W1140">
        <v>1</v>
      </c>
    </row>
    <row r="1141" spans="1:23" ht="22.8" x14ac:dyDescent="0.3">
      <c r="A1141" s="129">
        <v>39622</v>
      </c>
      <c r="B1141" s="129">
        <v>39622</v>
      </c>
      <c r="C1141" s="6">
        <v>6</v>
      </c>
      <c r="D1141" s="6">
        <v>1</v>
      </c>
      <c r="E1141" s="19">
        <v>2008</v>
      </c>
      <c r="F1141" s="15" t="s">
        <v>22</v>
      </c>
      <c r="G1141" s="16" t="s">
        <v>6256</v>
      </c>
      <c r="H1141" s="9" t="s">
        <v>174</v>
      </c>
      <c r="I1141" s="17" t="s">
        <v>2006</v>
      </c>
      <c r="J1141" s="17" t="s">
        <v>2007</v>
      </c>
      <c r="K1141" s="23">
        <v>0</v>
      </c>
      <c r="L1141" s="234">
        <v>355</v>
      </c>
      <c r="M1141" s="23">
        <v>71</v>
      </c>
      <c r="N1141" s="23">
        <v>0</v>
      </c>
      <c r="O1141" s="23">
        <v>0</v>
      </c>
      <c r="P1141" s="23">
        <v>0</v>
      </c>
      <c r="Q1141" s="92">
        <v>0</v>
      </c>
      <c r="R1141" s="93">
        <v>0.33117200000000002</v>
      </c>
      <c r="S1141" s="19" t="s">
        <v>115</v>
      </c>
      <c r="T1141" s="257">
        <f t="shared" si="41"/>
        <v>355</v>
      </c>
      <c r="U1141" s="257">
        <f t="shared" si="42"/>
        <v>71</v>
      </c>
      <c r="V1141">
        <v>1</v>
      </c>
      <c r="W1141">
        <v>1</v>
      </c>
    </row>
    <row r="1142" spans="1:23" ht="34.200000000000003" x14ac:dyDescent="0.3">
      <c r="A1142" s="129">
        <v>39623</v>
      </c>
      <c r="B1142" s="129">
        <v>39623</v>
      </c>
      <c r="C1142" s="6">
        <v>6</v>
      </c>
      <c r="D1142" s="6">
        <v>1</v>
      </c>
      <c r="E1142" s="19">
        <v>2008</v>
      </c>
      <c r="F1142" s="15" t="s">
        <v>22</v>
      </c>
      <c r="G1142" s="16" t="s">
        <v>6256</v>
      </c>
      <c r="H1142" s="9" t="s">
        <v>174</v>
      </c>
      <c r="I1142" s="17" t="s">
        <v>2008</v>
      </c>
      <c r="J1142" s="17" t="s">
        <v>2009</v>
      </c>
      <c r="K1142" s="23">
        <v>0</v>
      </c>
      <c r="L1142" s="234">
        <v>350</v>
      </c>
      <c r="M1142" s="23">
        <v>70</v>
      </c>
      <c r="N1142" s="23">
        <v>0</v>
      </c>
      <c r="O1142" s="23">
        <v>0</v>
      </c>
      <c r="P1142" s="23">
        <v>0</v>
      </c>
      <c r="Q1142" s="92">
        <v>0</v>
      </c>
      <c r="R1142" s="93">
        <v>0.14000000000000001</v>
      </c>
      <c r="S1142" s="19" t="s">
        <v>115</v>
      </c>
      <c r="T1142" s="257">
        <f t="shared" si="41"/>
        <v>350</v>
      </c>
      <c r="U1142" s="257">
        <f t="shared" si="42"/>
        <v>70</v>
      </c>
      <c r="V1142">
        <v>1</v>
      </c>
      <c r="W1142">
        <v>1</v>
      </c>
    </row>
    <row r="1143" spans="1:23" ht="22.8" x14ac:dyDescent="0.3">
      <c r="A1143" s="129">
        <v>39628</v>
      </c>
      <c r="B1143" s="129">
        <v>39628</v>
      </c>
      <c r="C1143" s="6">
        <v>6</v>
      </c>
      <c r="D1143" s="6">
        <v>1</v>
      </c>
      <c r="E1143" s="19">
        <v>2008</v>
      </c>
      <c r="F1143" s="15" t="s">
        <v>22</v>
      </c>
      <c r="G1143" s="16" t="s">
        <v>6256</v>
      </c>
      <c r="H1143" s="9" t="s">
        <v>61</v>
      </c>
      <c r="I1143" s="17" t="s">
        <v>592</v>
      </c>
      <c r="J1143" s="17" t="s">
        <v>2010</v>
      </c>
      <c r="K1143" s="23">
        <v>0</v>
      </c>
      <c r="L1143" s="234">
        <v>400</v>
      </c>
      <c r="M1143" s="23">
        <v>80</v>
      </c>
      <c r="N1143" s="23">
        <v>0</v>
      </c>
      <c r="O1143" s="23">
        <v>0</v>
      </c>
      <c r="P1143" s="23">
        <v>0</v>
      </c>
      <c r="Q1143" s="92">
        <v>0</v>
      </c>
      <c r="R1143" s="93">
        <v>0.16</v>
      </c>
      <c r="S1143" s="19" t="s">
        <v>115</v>
      </c>
      <c r="T1143" s="257">
        <f t="shared" si="41"/>
        <v>400</v>
      </c>
      <c r="U1143" s="257">
        <f t="shared" si="42"/>
        <v>80</v>
      </c>
      <c r="V1143">
        <v>1</v>
      </c>
      <c r="W1143">
        <v>1</v>
      </c>
    </row>
    <row r="1144" spans="1:23" ht="34.200000000000003" x14ac:dyDescent="0.3">
      <c r="A1144" s="129">
        <v>39629</v>
      </c>
      <c r="B1144" s="129">
        <v>39630</v>
      </c>
      <c r="C1144" s="6">
        <v>6</v>
      </c>
      <c r="D1144" s="6">
        <v>2</v>
      </c>
      <c r="E1144" s="19">
        <v>2008</v>
      </c>
      <c r="F1144" s="15" t="s">
        <v>22</v>
      </c>
      <c r="G1144" s="16" t="s">
        <v>6256</v>
      </c>
      <c r="H1144" s="9" t="s">
        <v>174</v>
      </c>
      <c r="I1144" s="17" t="s">
        <v>2011</v>
      </c>
      <c r="J1144" s="17" t="s">
        <v>2012</v>
      </c>
      <c r="K1144" s="23">
        <v>0</v>
      </c>
      <c r="L1144" s="234">
        <f>(M1144*5)*1</f>
        <v>4470</v>
      </c>
      <c r="M1144" s="23">
        <v>894</v>
      </c>
      <c r="N1144" s="23">
        <v>0</v>
      </c>
      <c r="O1144" s="23">
        <v>0</v>
      </c>
      <c r="P1144" s="23">
        <v>0</v>
      </c>
      <c r="Q1144" s="92">
        <v>0</v>
      </c>
      <c r="R1144" s="93">
        <v>508.567566</v>
      </c>
      <c r="S1144" s="19" t="str">
        <f>+fo</f>
        <v>FONDEN</v>
      </c>
      <c r="T1144" s="257">
        <f t="shared" si="41"/>
        <v>4470</v>
      </c>
      <c r="U1144" s="257">
        <f t="shared" si="42"/>
        <v>894</v>
      </c>
      <c r="V1144">
        <v>1</v>
      </c>
      <c r="W1144">
        <v>1</v>
      </c>
    </row>
    <row r="1145" spans="1:23" ht="102.6" x14ac:dyDescent="0.3">
      <c r="A1145" s="129">
        <v>39630</v>
      </c>
      <c r="B1145" s="129">
        <v>39630</v>
      </c>
      <c r="C1145" s="6">
        <v>7</v>
      </c>
      <c r="D1145" s="6">
        <v>1</v>
      </c>
      <c r="E1145" s="19">
        <v>2008</v>
      </c>
      <c r="F1145" s="15" t="s">
        <v>22</v>
      </c>
      <c r="G1145" s="16" t="s">
        <v>6256</v>
      </c>
      <c r="H1145" s="9" t="s">
        <v>174</v>
      </c>
      <c r="I1145" s="17" t="s">
        <v>2013</v>
      </c>
      <c r="J1145" s="17" t="s">
        <v>2014</v>
      </c>
      <c r="K1145" s="23">
        <v>0</v>
      </c>
      <c r="L1145" s="234">
        <v>4210</v>
      </c>
      <c r="M1145" s="23">
        <v>842</v>
      </c>
      <c r="N1145" s="23">
        <v>0</v>
      </c>
      <c r="O1145" s="23">
        <v>0</v>
      </c>
      <c r="P1145" s="23">
        <v>0</v>
      </c>
      <c r="Q1145" s="92">
        <v>0</v>
      </c>
      <c r="R1145" s="93">
        <v>3.144091</v>
      </c>
      <c r="S1145" s="19" t="s">
        <v>115</v>
      </c>
      <c r="T1145" s="257">
        <f t="shared" si="41"/>
        <v>4210</v>
      </c>
      <c r="U1145" s="257">
        <f t="shared" si="42"/>
        <v>842</v>
      </c>
      <c r="V1145">
        <v>1</v>
      </c>
      <c r="W1145">
        <v>1</v>
      </c>
    </row>
    <row r="1146" spans="1:23" ht="57" x14ac:dyDescent="0.3">
      <c r="A1146" s="129">
        <v>39632</v>
      </c>
      <c r="B1146" s="129">
        <v>39632</v>
      </c>
      <c r="C1146" s="6">
        <v>7</v>
      </c>
      <c r="D1146" s="6">
        <v>1</v>
      </c>
      <c r="E1146" s="19">
        <v>2008</v>
      </c>
      <c r="F1146" s="15" t="s">
        <v>22</v>
      </c>
      <c r="G1146" s="16" t="s">
        <v>6256</v>
      </c>
      <c r="H1146" s="9" t="s">
        <v>61</v>
      </c>
      <c r="I1146" s="17" t="s">
        <v>2015</v>
      </c>
      <c r="J1146" s="17" t="s">
        <v>2016</v>
      </c>
      <c r="K1146" s="23">
        <v>0</v>
      </c>
      <c r="L1146" s="234">
        <f>((M1146*5))*1</f>
        <v>510</v>
      </c>
      <c r="M1146" s="23">
        <v>102</v>
      </c>
      <c r="N1146" s="23">
        <v>0</v>
      </c>
      <c r="O1146" s="23">
        <v>0</v>
      </c>
      <c r="P1146" s="23">
        <v>0</v>
      </c>
      <c r="Q1146" s="92">
        <v>0</v>
      </c>
      <c r="R1146" s="93">
        <v>0.47576800000000002</v>
      </c>
      <c r="S1146" s="19" t="s">
        <v>115</v>
      </c>
      <c r="T1146" s="257">
        <f t="shared" si="41"/>
        <v>510</v>
      </c>
      <c r="U1146" s="257">
        <f t="shared" si="42"/>
        <v>102</v>
      </c>
      <c r="V1146">
        <v>1</v>
      </c>
      <c r="W1146">
        <v>1</v>
      </c>
    </row>
    <row r="1147" spans="1:23" ht="57" x14ac:dyDescent="0.3">
      <c r="A1147" s="129">
        <v>39633</v>
      </c>
      <c r="B1147" s="129">
        <v>39639</v>
      </c>
      <c r="C1147" s="6">
        <v>7</v>
      </c>
      <c r="D1147" s="6">
        <v>7</v>
      </c>
      <c r="E1147" s="19">
        <v>2008</v>
      </c>
      <c r="F1147" s="15" t="s">
        <v>22</v>
      </c>
      <c r="G1147" s="16" t="s">
        <v>6256</v>
      </c>
      <c r="H1147" s="9" t="s">
        <v>78</v>
      </c>
      <c r="I1147" s="17" t="s">
        <v>2017</v>
      </c>
      <c r="J1147" s="17" t="s">
        <v>2018</v>
      </c>
      <c r="K1147" s="23">
        <v>0</v>
      </c>
      <c r="L1147" s="234">
        <v>0</v>
      </c>
      <c r="M1147" s="23">
        <v>720</v>
      </c>
      <c r="N1147" s="23">
        <v>7</v>
      </c>
      <c r="O1147" s="23">
        <v>0</v>
      </c>
      <c r="P1147" s="23">
        <v>0</v>
      </c>
      <c r="Q1147" s="92">
        <v>0</v>
      </c>
      <c r="R1147" s="93">
        <v>359.28402599999998</v>
      </c>
      <c r="S1147" s="19" t="s">
        <v>149</v>
      </c>
      <c r="T1147" s="257">
        <f t="shared" si="41"/>
        <v>0</v>
      </c>
      <c r="U1147" s="257">
        <f t="shared" si="42"/>
        <v>727</v>
      </c>
      <c r="V1147">
        <v>0</v>
      </c>
      <c r="W1147">
        <v>1</v>
      </c>
    </row>
    <row r="1148" spans="1:23" ht="79.8" x14ac:dyDescent="0.3">
      <c r="A1148" s="129">
        <v>39633</v>
      </c>
      <c r="B1148" s="129">
        <v>39634</v>
      </c>
      <c r="C1148" s="6">
        <v>7</v>
      </c>
      <c r="D1148" s="6">
        <v>2</v>
      </c>
      <c r="E1148" s="19">
        <v>2008</v>
      </c>
      <c r="F1148" s="15" t="s">
        <v>22</v>
      </c>
      <c r="G1148" s="16" t="s">
        <v>6256</v>
      </c>
      <c r="H1148" s="9" t="s">
        <v>174</v>
      </c>
      <c r="I1148" s="17" t="s">
        <v>2019</v>
      </c>
      <c r="J1148" s="17" t="s">
        <v>2020</v>
      </c>
      <c r="K1148" s="23">
        <v>0</v>
      </c>
      <c r="L1148" s="234">
        <v>760</v>
      </c>
      <c r="M1148" s="23">
        <v>358</v>
      </c>
      <c r="N1148" s="23">
        <v>0</v>
      </c>
      <c r="O1148" s="23">
        <v>0</v>
      </c>
      <c r="P1148" s="23">
        <v>0</v>
      </c>
      <c r="Q1148" s="92">
        <v>0</v>
      </c>
      <c r="R1148" s="93">
        <v>0.79539800000000005</v>
      </c>
      <c r="S1148" s="19" t="s">
        <v>115</v>
      </c>
      <c r="T1148" s="257">
        <f t="shared" si="41"/>
        <v>760</v>
      </c>
      <c r="U1148" s="257">
        <f t="shared" si="42"/>
        <v>358</v>
      </c>
      <c r="V1148">
        <v>1</v>
      </c>
      <c r="W1148">
        <v>1</v>
      </c>
    </row>
    <row r="1149" spans="1:23" ht="34.200000000000003" x14ac:dyDescent="0.3">
      <c r="A1149" s="129">
        <v>39633</v>
      </c>
      <c r="B1149" s="129">
        <v>39633</v>
      </c>
      <c r="C1149" s="6">
        <v>7</v>
      </c>
      <c r="D1149" s="6">
        <v>1</v>
      </c>
      <c r="E1149" s="19">
        <v>2008</v>
      </c>
      <c r="F1149" s="15" t="s">
        <v>22</v>
      </c>
      <c r="G1149" s="16" t="s">
        <v>6256</v>
      </c>
      <c r="H1149" s="9" t="s">
        <v>74</v>
      </c>
      <c r="I1149" s="17" t="s">
        <v>74</v>
      </c>
      <c r="J1149" s="17" t="s">
        <v>2021</v>
      </c>
      <c r="K1149" s="23">
        <v>0</v>
      </c>
      <c r="L1149" s="234">
        <v>125</v>
      </c>
      <c r="M1149" s="23">
        <v>25</v>
      </c>
      <c r="N1149" s="23">
        <v>0</v>
      </c>
      <c r="O1149" s="23">
        <v>0</v>
      </c>
      <c r="P1149" s="23">
        <v>0</v>
      </c>
      <c r="Q1149" s="92">
        <v>0</v>
      </c>
      <c r="R1149" s="93">
        <v>0.11661000000000001</v>
      </c>
      <c r="S1149" s="19" t="s">
        <v>115</v>
      </c>
      <c r="T1149" s="257">
        <f t="shared" si="41"/>
        <v>125</v>
      </c>
      <c r="U1149" s="257">
        <f t="shared" si="42"/>
        <v>25</v>
      </c>
      <c r="V1149">
        <v>1</v>
      </c>
      <c r="W1149">
        <v>1</v>
      </c>
    </row>
    <row r="1150" spans="1:23" ht="22.8" x14ac:dyDescent="0.3">
      <c r="A1150" s="129">
        <v>39634</v>
      </c>
      <c r="B1150" s="129">
        <v>39634</v>
      </c>
      <c r="C1150" s="6">
        <v>7</v>
      </c>
      <c r="D1150" s="6">
        <v>1</v>
      </c>
      <c r="E1150" s="19">
        <v>2008</v>
      </c>
      <c r="F1150" s="15" t="s">
        <v>22</v>
      </c>
      <c r="G1150" s="16" t="s">
        <v>6256</v>
      </c>
      <c r="H1150" s="9" t="s">
        <v>88</v>
      </c>
      <c r="I1150" s="17" t="s">
        <v>2022</v>
      </c>
      <c r="J1150" s="17" t="s">
        <v>2023</v>
      </c>
      <c r="K1150" s="23">
        <v>0</v>
      </c>
      <c r="L1150" s="234">
        <v>0</v>
      </c>
      <c r="M1150" s="23">
        <v>347</v>
      </c>
      <c r="N1150" s="23">
        <v>0</v>
      </c>
      <c r="O1150" s="23">
        <v>0</v>
      </c>
      <c r="P1150" s="23">
        <v>0</v>
      </c>
      <c r="Q1150" s="92">
        <v>0</v>
      </c>
      <c r="R1150" s="93">
        <v>0.69399999999999995</v>
      </c>
      <c r="S1150" s="19" t="s">
        <v>115</v>
      </c>
      <c r="T1150" s="257">
        <f t="shared" si="41"/>
        <v>0</v>
      </c>
      <c r="U1150" s="257">
        <f t="shared" si="42"/>
        <v>347</v>
      </c>
      <c r="V1150">
        <v>0</v>
      </c>
      <c r="W1150">
        <v>1</v>
      </c>
    </row>
    <row r="1151" spans="1:23" ht="22.8" x14ac:dyDescent="0.3">
      <c r="A1151" s="129">
        <v>39634</v>
      </c>
      <c r="B1151" s="129">
        <v>39634</v>
      </c>
      <c r="C1151" s="6">
        <v>7</v>
      </c>
      <c r="D1151" s="6">
        <v>1</v>
      </c>
      <c r="E1151" s="19">
        <v>2008</v>
      </c>
      <c r="F1151" s="15" t="s">
        <v>22</v>
      </c>
      <c r="G1151" s="16" t="s">
        <v>6256</v>
      </c>
      <c r="H1151" s="9" t="s">
        <v>31</v>
      </c>
      <c r="I1151" s="17" t="s">
        <v>456</v>
      </c>
      <c r="J1151" s="17" t="s">
        <v>2024</v>
      </c>
      <c r="K1151" s="23">
        <v>0</v>
      </c>
      <c r="L1151" s="234">
        <v>150</v>
      </c>
      <c r="M1151" s="23">
        <v>30</v>
      </c>
      <c r="N1151" s="23">
        <v>0</v>
      </c>
      <c r="O1151" s="23">
        <v>0</v>
      </c>
      <c r="P1151" s="23">
        <v>0</v>
      </c>
      <c r="Q1151" s="92">
        <v>0</v>
      </c>
      <c r="R1151" s="93">
        <v>0.139932</v>
      </c>
      <c r="S1151" s="19" t="s">
        <v>115</v>
      </c>
      <c r="T1151" s="257">
        <f t="shared" si="41"/>
        <v>150</v>
      </c>
      <c r="U1151" s="257">
        <f t="shared" si="42"/>
        <v>30</v>
      </c>
      <c r="V1151">
        <v>1</v>
      </c>
      <c r="W1151">
        <v>1</v>
      </c>
    </row>
    <row r="1152" spans="1:23" ht="22.8" x14ac:dyDescent="0.3">
      <c r="A1152" s="129">
        <v>39604</v>
      </c>
      <c r="B1152" s="129">
        <v>39605</v>
      </c>
      <c r="C1152" s="6">
        <v>6</v>
      </c>
      <c r="D1152" s="6">
        <v>2</v>
      </c>
      <c r="E1152" s="19">
        <v>2008</v>
      </c>
      <c r="F1152" s="15" t="s">
        <v>22</v>
      </c>
      <c r="G1152" s="16" t="s">
        <v>6256</v>
      </c>
      <c r="H1152" s="9" t="s">
        <v>88</v>
      </c>
      <c r="I1152" s="17" t="s">
        <v>2025</v>
      </c>
      <c r="J1152" s="17" t="s">
        <v>2026</v>
      </c>
      <c r="K1152" s="23">
        <v>0</v>
      </c>
      <c r="L1152" s="234">
        <f>(M1152*5)*1</f>
        <v>1700</v>
      </c>
      <c r="M1152" s="23">
        <v>340</v>
      </c>
      <c r="N1152" s="23"/>
      <c r="O1152" s="23">
        <v>0</v>
      </c>
      <c r="P1152" s="23">
        <v>0</v>
      </c>
      <c r="Q1152" s="92">
        <v>0</v>
      </c>
      <c r="R1152" s="93">
        <v>0.68</v>
      </c>
      <c r="S1152" s="19" t="s">
        <v>115</v>
      </c>
      <c r="T1152" s="257">
        <f t="shared" si="41"/>
        <v>1700</v>
      </c>
      <c r="U1152" s="257">
        <f t="shared" si="42"/>
        <v>340</v>
      </c>
      <c r="V1152">
        <v>1</v>
      </c>
      <c r="W1152">
        <v>1</v>
      </c>
    </row>
    <row r="1153" spans="1:23" ht="34.200000000000003" x14ac:dyDescent="0.3">
      <c r="A1153" s="129">
        <v>39604</v>
      </c>
      <c r="B1153" s="129">
        <v>39605</v>
      </c>
      <c r="C1153" s="6">
        <v>6</v>
      </c>
      <c r="D1153" s="6">
        <v>2</v>
      </c>
      <c r="E1153" s="19">
        <v>2008</v>
      </c>
      <c r="F1153" s="15" t="s">
        <v>22</v>
      </c>
      <c r="G1153" s="16" t="s">
        <v>6256</v>
      </c>
      <c r="H1153" s="9" t="s">
        <v>78</v>
      </c>
      <c r="I1153" s="17" t="s">
        <v>2027</v>
      </c>
      <c r="J1153" s="17" t="s">
        <v>2028</v>
      </c>
      <c r="K1153" s="23">
        <v>0</v>
      </c>
      <c r="L1153" s="234">
        <v>2800</v>
      </c>
      <c r="M1153" s="23">
        <v>0</v>
      </c>
      <c r="N1153" s="23">
        <v>0</v>
      </c>
      <c r="O1153" s="23">
        <v>0</v>
      </c>
      <c r="P1153" s="23">
        <v>0</v>
      </c>
      <c r="Q1153" s="92">
        <v>0</v>
      </c>
      <c r="R1153" s="93">
        <v>0</v>
      </c>
      <c r="S1153" s="19" t="s">
        <v>115</v>
      </c>
      <c r="T1153" s="257">
        <f t="shared" si="41"/>
        <v>2800</v>
      </c>
      <c r="U1153" s="257">
        <f t="shared" si="42"/>
        <v>0</v>
      </c>
      <c r="V1153">
        <v>1</v>
      </c>
      <c r="W1153">
        <v>0</v>
      </c>
    </row>
    <row r="1154" spans="1:23" ht="34.200000000000003" x14ac:dyDescent="0.3">
      <c r="A1154" s="129">
        <v>39635</v>
      </c>
      <c r="B1154" s="129">
        <v>39635</v>
      </c>
      <c r="C1154" s="6">
        <v>7</v>
      </c>
      <c r="D1154" s="6">
        <v>1</v>
      </c>
      <c r="E1154" s="19">
        <v>2008</v>
      </c>
      <c r="F1154" s="15" t="s">
        <v>22</v>
      </c>
      <c r="G1154" s="16" t="s">
        <v>6256</v>
      </c>
      <c r="H1154" s="9" t="s">
        <v>57</v>
      </c>
      <c r="I1154" s="17" t="s">
        <v>535</v>
      </c>
      <c r="J1154" s="17" t="s">
        <v>2029</v>
      </c>
      <c r="K1154" s="23">
        <v>1</v>
      </c>
      <c r="L1154" s="234">
        <v>3</v>
      </c>
      <c r="M1154" s="23">
        <v>0</v>
      </c>
      <c r="N1154" s="23">
        <v>0</v>
      </c>
      <c r="O1154" s="23">
        <v>0</v>
      </c>
      <c r="P1154" s="23">
        <v>0</v>
      </c>
      <c r="Q1154" s="92">
        <v>0</v>
      </c>
      <c r="R1154" s="93">
        <v>0</v>
      </c>
      <c r="S1154" s="19" t="s">
        <v>115</v>
      </c>
      <c r="T1154" s="257">
        <f t="shared" si="41"/>
        <v>4</v>
      </c>
      <c r="U1154" s="257">
        <f t="shared" si="42"/>
        <v>0</v>
      </c>
      <c r="V1154">
        <v>1</v>
      </c>
      <c r="W1154">
        <v>0</v>
      </c>
    </row>
    <row r="1155" spans="1:23" ht="45.6" x14ac:dyDescent="0.3">
      <c r="A1155" s="129">
        <v>39635</v>
      </c>
      <c r="B1155" s="129">
        <v>39635</v>
      </c>
      <c r="C1155" s="6">
        <v>7</v>
      </c>
      <c r="D1155" s="6">
        <v>1</v>
      </c>
      <c r="E1155" s="19">
        <v>2008</v>
      </c>
      <c r="F1155" s="15" t="s">
        <v>22</v>
      </c>
      <c r="G1155" s="16" t="s">
        <v>6256</v>
      </c>
      <c r="H1155" s="9" t="s">
        <v>78</v>
      </c>
      <c r="I1155" s="17" t="s">
        <v>2030</v>
      </c>
      <c r="J1155" s="17" t="s">
        <v>2031</v>
      </c>
      <c r="K1155" s="23">
        <v>3</v>
      </c>
      <c r="L1155" s="234">
        <v>3</v>
      </c>
      <c r="M1155" s="23">
        <v>0</v>
      </c>
      <c r="N1155" s="23">
        <v>0</v>
      </c>
      <c r="O1155" s="23">
        <v>0</v>
      </c>
      <c r="P1155" s="23">
        <v>0</v>
      </c>
      <c r="Q1155" s="92">
        <v>0</v>
      </c>
      <c r="R1155" s="93">
        <v>0</v>
      </c>
      <c r="S1155" s="19" t="s">
        <v>115</v>
      </c>
      <c r="T1155" s="257">
        <f t="shared" ref="T1155:T1218" si="43">SUM(K1155:L1155)</f>
        <v>6</v>
      </c>
      <c r="U1155" s="257">
        <f t="shared" ref="U1155:U1218" si="44">SUM(M1155:P1155)</f>
        <v>0</v>
      </c>
      <c r="V1155">
        <v>1</v>
      </c>
      <c r="W1155">
        <v>0</v>
      </c>
    </row>
    <row r="1156" spans="1:23" ht="22.8" x14ac:dyDescent="0.3">
      <c r="A1156" s="129">
        <v>39634</v>
      </c>
      <c r="B1156" s="129">
        <v>39636</v>
      </c>
      <c r="C1156" s="6">
        <v>7</v>
      </c>
      <c r="D1156" s="6">
        <v>3</v>
      </c>
      <c r="E1156" s="19">
        <v>2008</v>
      </c>
      <c r="F1156" s="15" t="s">
        <v>22</v>
      </c>
      <c r="G1156" s="16" t="s">
        <v>6256</v>
      </c>
      <c r="H1156" s="9" t="s">
        <v>51</v>
      </c>
      <c r="I1156" s="17" t="s">
        <v>2032</v>
      </c>
      <c r="J1156" s="17" t="s">
        <v>2033</v>
      </c>
      <c r="K1156" s="23">
        <v>1</v>
      </c>
      <c r="L1156" s="234">
        <v>1</v>
      </c>
      <c r="M1156" s="23">
        <v>0</v>
      </c>
      <c r="N1156" s="23">
        <v>0</v>
      </c>
      <c r="O1156" s="23">
        <v>0</v>
      </c>
      <c r="P1156" s="23">
        <v>0</v>
      </c>
      <c r="Q1156" s="92">
        <v>0</v>
      </c>
      <c r="R1156" s="93">
        <v>0</v>
      </c>
      <c r="S1156" s="19" t="s">
        <v>115</v>
      </c>
      <c r="T1156" s="257">
        <f t="shared" si="43"/>
        <v>2</v>
      </c>
      <c r="U1156" s="257">
        <f t="shared" si="44"/>
        <v>0</v>
      </c>
      <c r="V1156">
        <v>1</v>
      </c>
      <c r="W1156">
        <v>0</v>
      </c>
    </row>
    <row r="1157" spans="1:23" ht="34.200000000000003" x14ac:dyDescent="0.3">
      <c r="A1157" s="129">
        <v>39635</v>
      </c>
      <c r="B1157" s="129">
        <v>39636</v>
      </c>
      <c r="C1157" s="6">
        <v>7</v>
      </c>
      <c r="D1157" s="6">
        <v>2</v>
      </c>
      <c r="E1157" s="19">
        <v>2008</v>
      </c>
      <c r="F1157" s="15" t="s">
        <v>22</v>
      </c>
      <c r="G1157" s="16" t="s">
        <v>6256</v>
      </c>
      <c r="H1157" s="9" t="s">
        <v>61</v>
      </c>
      <c r="I1157" s="17" t="s">
        <v>2034</v>
      </c>
      <c r="J1157" s="17" t="s">
        <v>2035</v>
      </c>
      <c r="K1157" s="23">
        <v>0</v>
      </c>
      <c r="L1157" s="234">
        <f>((M1157*5))*1</f>
        <v>660</v>
      </c>
      <c r="M1157" s="23">
        <v>132</v>
      </c>
      <c r="N1157" s="23">
        <v>0</v>
      </c>
      <c r="O1157" s="23">
        <v>0</v>
      </c>
      <c r="P1157" s="23">
        <v>0</v>
      </c>
      <c r="Q1157" s="92">
        <v>0</v>
      </c>
      <c r="R1157" s="93">
        <v>131.012451</v>
      </c>
      <c r="S1157" s="19" t="str">
        <f>+fo</f>
        <v>FONDEN</v>
      </c>
      <c r="T1157" s="257">
        <f t="shared" si="43"/>
        <v>660</v>
      </c>
      <c r="U1157" s="257">
        <f t="shared" si="44"/>
        <v>132</v>
      </c>
      <c r="V1157">
        <v>1</v>
      </c>
      <c r="W1157">
        <v>1</v>
      </c>
    </row>
    <row r="1158" spans="1:23" ht="68.400000000000006" x14ac:dyDescent="0.3">
      <c r="A1158" s="129">
        <v>39635</v>
      </c>
      <c r="B1158" s="129">
        <v>39636</v>
      </c>
      <c r="C1158" s="6">
        <v>7</v>
      </c>
      <c r="D1158" s="6">
        <v>2</v>
      </c>
      <c r="E1158" s="19">
        <v>2008</v>
      </c>
      <c r="F1158" s="15" t="s">
        <v>22</v>
      </c>
      <c r="G1158" s="16" t="s">
        <v>6256</v>
      </c>
      <c r="H1158" s="9" t="s">
        <v>174</v>
      </c>
      <c r="I1158" s="17" t="s">
        <v>2036</v>
      </c>
      <c r="J1158" s="17" t="s">
        <v>2033</v>
      </c>
      <c r="K1158" s="23">
        <v>1</v>
      </c>
      <c r="L1158" s="234">
        <v>1</v>
      </c>
      <c r="M1158" s="23">
        <v>0</v>
      </c>
      <c r="N1158" s="23">
        <v>0</v>
      </c>
      <c r="O1158" s="23">
        <v>0</v>
      </c>
      <c r="P1158" s="23">
        <v>0</v>
      </c>
      <c r="Q1158" s="92">
        <v>0</v>
      </c>
      <c r="R1158" s="93">
        <v>0</v>
      </c>
      <c r="S1158" s="19" t="s">
        <v>115</v>
      </c>
      <c r="T1158" s="257">
        <f t="shared" si="43"/>
        <v>2</v>
      </c>
      <c r="U1158" s="257">
        <f t="shared" si="44"/>
        <v>0</v>
      </c>
      <c r="V1158">
        <v>1</v>
      </c>
      <c r="W1158">
        <v>0</v>
      </c>
    </row>
    <row r="1159" spans="1:23" ht="34.200000000000003" x14ac:dyDescent="0.3">
      <c r="A1159" s="129">
        <v>39635</v>
      </c>
      <c r="B1159" s="129">
        <v>39635</v>
      </c>
      <c r="C1159" s="6">
        <v>7</v>
      </c>
      <c r="D1159" s="6">
        <v>1</v>
      </c>
      <c r="E1159" s="19">
        <v>2008</v>
      </c>
      <c r="F1159" s="15" t="s">
        <v>22</v>
      </c>
      <c r="G1159" s="16" t="s">
        <v>6256</v>
      </c>
      <c r="H1159" s="9" t="s">
        <v>121</v>
      </c>
      <c r="I1159" s="17" t="s">
        <v>2037</v>
      </c>
      <c r="J1159" s="17" t="s">
        <v>2031</v>
      </c>
      <c r="K1159" s="23">
        <v>3</v>
      </c>
      <c r="L1159" s="234">
        <v>3</v>
      </c>
      <c r="M1159" s="23">
        <v>0</v>
      </c>
      <c r="N1159" s="23">
        <v>0</v>
      </c>
      <c r="O1159" s="23">
        <v>0</v>
      </c>
      <c r="P1159" s="23">
        <v>0</v>
      </c>
      <c r="Q1159" s="92">
        <v>0</v>
      </c>
      <c r="R1159" s="93">
        <v>0</v>
      </c>
      <c r="S1159" s="19" t="s">
        <v>115</v>
      </c>
      <c r="T1159" s="257">
        <f t="shared" si="43"/>
        <v>6</v>
      </c>
      <c r="U1159" s="257">
        <f t="shared" si="44"/>
        <v>0</v>
      </c>
      <c r="V1159">
        <v>1</v>
      </c>
      <c r="W1159">
        <v>0</v>
      </c>
    </row>
    <row r="1160" spans="1:23" ht="34.200000000000003" x14ac:dyDescent="0.3">
      <c r="A1160" s="129">
        <v>39636</v>
      </c>
      <c r="B1160" s="129">
        <v>39636</v>
      </c>
      <c r="C1160" s="6">
        <v>7</v>
      </c>
      <c r="D1160" s="6">
        <v>1</v>
      </c>
      <c r="E1160" s="19">
        <v>2008</v>
      </c>
      <c r="F1160" s="15" t="s">
        <v>22</v>
      </c>
      <c r="G1160" s="16" t="s">
        <v>6256</v>
      </c>
      <c r="H1160" s="17" t="s">
        <v>565</v>
      </c>
      <c r="I1160" s="17" t="s">
        <v>1979</v>
      </c>
      <c r="J1160" s="17" t="s">
        <v>2038</v>
      </c>
      <c r="K1160" s="23">
        <v>0</v>
      </c>
      <c r="L1160" s="234">
        <v>0</v>
      </c>
      <c r="M1160" s="23">
        <v>0</v>
      </c>
      <c r="N1160" s="23">
        <v>0</v>
      </c>
      <c r="O1160" s="23">
        <v>0</v>
      </c>
      <c r="P1160" s="23">
        <v>0</v>
      </c>
      <c r="Q1160" s="92">
        <v>0</v>
      </c>
      <c r="R1160" s="93">
        <v>0</v>
      </c>
      <c r="S1160" s="19" t="s">
        <v>115</v>
      </c>
      <c r="T1160" s="257">
        <f t="shared" si="43"/>
        <v>0</v>
      </c>
      <c r="U1160" s="257">
        <f t="shared" si="44"/>
        <v>0</v>
      </c>
      <c r="V1160">
        <v>0</v>
      </c>
      <c r="W1160">
        <v>0</v>
      </c>
    </row>
    <row r="1161" spans="1:23" ht="45.6" x14ac:dyDescent="0.3">
      <c r="A1161" s="129">
        <v>39637</v>
      </c>
      <c r="B1161" s="129">
        <v>39640</v>
      </c>
      <c r="C1161" s="6">
        <v>7</v>
      </c>
      <c r="D1161" s="6">
        <v>4</v>
      </c>
      <c r="E1161" s="19">
        <v>2008</v>
      </c>
      <c r="F1161" s="15" t="s">
        <v>22</v>
      </c>
      <c r="G1161" s="16" t="s">
        <v>6256</v>
      </c>
      <c r="H1161" s="9" t="s">
        <v>70</v>
      </c>
      <c r="I1161" s="17" t="s">
        <v>2039</v>
      </c>
      <c r="J1161" s="17" t="s">
        <v>2040</v>
      </c>
      <c r="K1161" s="23">
        <v>0</v>
      </c>
      <c r="L1161" s="234">
        <v>0</v>
      </c>
      <c r="M1161" s="23">
        <v>0</v>
      </c>
      <c r="N1161" s="23">
        <v>0</v>
      </c>
      <c r="O1161" s="23">
        <v>0</v>
      </c>
      <c r="P1161" s="23">
        <v>0</v>
      </c>
      <c r="Q1161" s="92">
        <v>0</v>
      </c>
      <c r="R1161" s="93">
        <v>122.861712</v>
      </c>
      <c r="S1161" s="19" t="str">
        <f>+fo</f>
        <v>FONDEN</v>
      </c>
      <c r="T1161" s="257">
        <f t="shared" si="43"/>
        <v>0</v>
      </c>
      <c r="U1161" s="257">
        <f t="shared" si="44"/>
        <v>0</v>
      </c>
      <c r="V1161">
        <v>0</v>
      </c>
      <c r="W1161">
        <v>0</v>
      </c>
    </row>
    <row r="1162" spans="1:23" ht="45.6" x14ac:dyDescent="0.3">
      <c r="A1162" s="129">
        <v>39639</v>
      </c>
      <c r="B1162" s="129">
        <v>39643</v>
      </c>
      <c r="C1162" s="6">
        <v>7</v>
      </c>
      <c r="D1162" s="6">
        <v>5</v>
      </c>
      <c r="E1162" s="19">
        <v>2008</v>
      </c>
      <c r="F1162" s="15" t="s">
        <v>22</v>
      </c>
      <c r="G1162" s="16" t="s">
        <v>6256</v>
      </c>
      <c r="H1162" s="9" t="s">
        <v>174</v>
      </c>
      <c r="I1162" s="17" t="s">
        <v>2041</v>
      </c>
      <c r="J1162" s="17" t="s">
        <v>2042</v>
      </c>
      <c r="K1162" s="23">
        <v>0</v>
      </c>
      <c r="L1162" s="234">
        <v>0</v>
      </c>
      <c r="M1162" s="23">
        <v>72</v>
      </c>
      <c r="N1162" s="23">
        <v>0</v>
      </c>
      <c r="O1162" s="23">
        <v>0</v>
      </c>
      <c r="P1162" s="23">
        <v>0</v>
      </c>
      <c r="Q1162" s="92">
        <v>0</v>
      </c>
      <c r="R1162" s="93">
        <v>144.98971700000001</v>
      </c>
      <c r="S1162" s="19" t="str">
        <f>+fo</f>
        <v>FONDEN</v>
      </c>
      <c r="T1162" s="257">
        <f t="shared" si="43"/>
        <v>0</v>
      </c>
      <c r="U1162" s="257">
        <f t="shared" si="44"/>
        <v>72</v>
      </c>
      <c r="V1162">
        <v>0</v>
      </c>
      <c r="W1162">
        <v>1</v>
      </c>
    </row>
    <row r="1163" spans="1:23" ht="102.6" x14ac:dyDescent="0.3">
      <c r="A1163" s="129">
        <v>39638</v>
      </c>
      <c r="B1163" s="129">
        <v>39638</v>
      </c>
      <c r="C1163" s="6">
        <v>7</v>
      </c>
      <c r="D1163" s="6">
        <v>1</v>
      </c>
      <c r="E1163" s="19">
        <v>2008</v>
      </c>
      <c r="F1163" s="15" t="s">
        <v>22</v>
      </c>
      <c r="G1163" s="16" t="s">
        <v>6256</v>
      </c>
      <c r="H1163" s="9" t="s">
        <v>174</v>
      </c>
      <c r="I1163" s="17" t="s">
        <v>2043</v>
      </c>
      <c r="J1163" s="17" t="s">
        <v>2044</v>
      </c>
      <c r="K1163" s="23">
        <v>0</v>
      </c>
      <c r="L1163" s="234">
        <v>0</v>
      </c>
      <c r="M1163" s="23">
        <v>0</v>
      </c>
      <c r="N1163" s="23">
        <v>0</v>
      </c>
      <c r="O1163" s="23">
        <v>0</v>
      </c>
      <c r="P1163" s="23">
        <v>0</v>
      </c>
      <c r="Q1163" s="92">
        <v>0</v>
      </c>
      <c r="R1163" s="93">
        <v>0</v>
      </c>
      <c r="S1163" s="19" t="s">
        <v>115</v>
      </c>
      <c r="T1163" s="257">
        <f t="shared" si="43"/>
        <v>0</v>
      </c>
      <c r="U1163" s="257">
        <f t="shared" si="44"/>
        <v>0</v>
      </c>
      <c r="V1163">
        <v>0</v>
      </c>
      <c r="W1163">
        <v>0</v>
      </c>
    </row>
    <row r="1164" spans="1:23" ht="45.6" x14ac:dyDescent="0.3">
      <c r="A1164" s="129">
        <v>39641</v>
      </c>
      <c r="B1164" s="129">
        <v>39641</v>
      </c>
      <c r="C1164" s="6">
        <v>7</v>
      </c>
      <c r="D1164" s="6">
        <v>1</v>
      </c>
      <c r="E1164" s="19">
        <v>2008</v>
      </c>
      <c r="F1164" s="15" t="s">
        <v>22</v>
      </c>
      <c r="G1164" s="16" t="s">
        <v>6256</v>
      </c>
      <c r="H1164" s="9" t="s">
        <v>74</v>
      </c>
      <c r="I1164" s="17" t="s">
        <v>95</v>
      </c>
      <c r="J1164" s="17" t="s">
        <v>2045</v>
      </c>
      <c r="K1164" s="23">
        <v>0</v>
      </c>
      <c r="L1164" s="234">
        <f>((M1164*5))*1</f>
        <v>445</v>
      </c>
      <c r="M1164" s="23">
        <v>89</v>
      </c>
      <c r="N1164" s="23">
        <v>0</v>
      </c>
      <c r="O1164" s="23">
        <v>0</v>
      </c>
      <c r="P1164" s="23">
        <v>0</v>
      </c>
      <c r="Q1164" s="92">
        <v>0</v>
      </c>
      <c r="R1164" s="93">
        <v>53.473902000000002</v>
      </c>
      <c r="S1164" s="19" t="str">
        <f>+fo</f>
        <v>FONDEN</v>
      </c>
      <c r="T1164" s="257">
        <f t="shared" si="43"/>
        <v>445</v>
      </c>
      <c r="U1164" s="257">
        <f t="shared" si="44"/>
        <v>89</v>
      </c>
      <c r="V1164">
        <v>1</v>
      </c>
      <c r="W1164">
        <v>1</v>
      </c>
    </row>
    <row r="1165" spans="1:23" ht="79.8" x14ac:dyDescent="0.3">
      <c r="A1165" s="129">
        <v>39642</v>
      </c>
      <c r="B1165" s="129">
        <v>39642</v>
      </c>
      <c r="C1165" s="6">
        <v>7</v>
      </c>
      <c r="D1165" s="6">
        <v>1</v>
      </c>
      <c r="E1165" s="19">
        <v>2008</v>
      </c>
      <c r="F1165" s="15" t="s">
        <v>22</v>
      </c>
      <c r="G1165" s="16" t="s">
        <v>6256</v>
      </c>
      <c r="H1165" s="9" t="s">
        <v>174</v>
      </c>
      <c r="I1165" s="17" t="s">
        <v>2046</v>
      </c>
      <c r="J1165" s="17" t="s">
        <v>2047</v>
      </c>
      <c r="K1165" s="23">
        <v>0</v>
      </c>
      <c r="L1165" s="234">
        <v>0</v>
      </c>
      <c r="M1165" s="23">
        <v>0</v>
      </c>
      <c r="N1165" s="23">
        <v>0</v>
      </c>
      <c r="O1165" s="23">
        <v>0</v>
      </c>
      <c r="P1165" s="23">
        <v>0</v>
      </c>
      <c r="Q1165" s="92">
        <v>0</v>
      </c>
      <c r="R1165" s="93">
        <v>0</v>
      </c>
      <c r="S1165" s="19" t="s">
        <v>115</v>
      </c>
      <c r="T1165" s="257">
        <f t="shared" si="43"/>
        <v>0</v>
      </c>
      <c r="U1165" s="257">
        <f t="shared" si="44"/>
        <v>0</v>
      </c>
      <c r="V1165">
        <v>0</v>
      </c>
      <c r="W1165">
        <v>0</v>
      </c>
    </row>
    <row r="1166" spans="1:23" ht="34.200000000000003" x14ac:dyDescent="0.3">
      <c r="A1166" s="129">
        <v>39647</v>
      </c>
      <c r="B1166" s="129">
        <v>39647</v>
      </c>
      <c r="C1166" s="6">
        <v>7</v>
      </c>
      <c r="D1166" s="6">
        <v>1</v>
      </c>
      <c r="E1166" s="19">
        <v>2008</v>
      </c>
      <c r="F1166" s="15" t="s">
        <v>22</v>
      </c>
      <c r="G1166" s="16" t="s">
        <v>6256</v>
      </c>
      <c r="H1166" s="9" t="s">
        <v>88</v>
      </c>
      <c r="I1166" s="17" t="s">
        <v>674</v>
      </c>
      <c r="J1166" s="17" t="s">
        <v>2048</v>
      </c>
      <c r="K1166" s="23">
        <v>3</v>
      </c>
      <c r="L1166" s="234">
        <f>((M1166*5))*1</f>
        <v>885</v>
      </c>
      <c r="M1166" s="23">
        <v>177</v>
      </c>
      <c r="N1166" s="23">
        <v>1</v>
      </c>
      <c r="O1166" s="23">
        <v>2</v>
      </c>
      <c r="P1166" s="23">
        <v>270</v>
      </c>
      <c r="Q1166" s="92">
        <v>0</v>
      </c>
      <c r="R1166" s="93">
        <v>55.1</v>
      </c>
      <c r="S1166" s="19" t="s">
        <v>21</v>
      </c>
      <c r="T1166" s="257">
        <f t="shared" si="43"/>
        <v>888</v>
      </c>
      <c r="U1166" s="257">
        <f t="shared" si="44"/>
        <v>450</v>
      </c>
      <c r="V1166">
        <v>1</v>
      </c>
      <c r="W1166">
        <v>1</v>
      </c>
    </row>
    <row r="1167" spans="1:23" ht="68.400000000000006" x14ac:dyDescent="0.3">
      <c r="A1167" s="129">
        <v>39652</v>
      </c>
      <c r="B1167" s="129">
        <v>39652</v>
      </c>
      <c r="C1167" s="6">
        <v>7</v>
      </c>
      <c r="D1167" s="6">
        <v>1</v>
      </c>
      <c r="E1167" s="19">
        <v>2008</v>
      </c>
      <c r="F1167" s="15" t="s">
        <v>22</v>
      </c>
      <c r="G1167" s="16" t="s">
        <v>6254</v>
      </c>
      <c r="H1167" s="9" t="s">
        <v>78</v>
      </c>
      <c r="I1167" s="17" t="s">
        <v>2017</v>
      </c>
      <c r="J1167" s="17" t="s">
        <v>2049</v>
      </c>
      <c r="K1167" s="23">
        <v>0</v>
      </c>
      <c r="L1167" s="234">
        <v>164904</v>
      </c>
      <c r="M1167" s="23">
        <v>742</v>
      </c>
      <c r="N1167" s="23">
        <v>3</v>
      </c>
      <c r="O1167" s="23">
        <v>0</v>
      </c>
      <c r="P1167" s="23">
        <v>0</v>
      </c>
      <c r="Q1167" s="92">
        <v>0</v>
      </c>
      <c r="R1167" s="93">
        <v>287.55</v>
      </c>
      <c r="S1167" s="19" t="s">
        <v>111</v>
      </c>
      <c r="T1167" s="257">
        <f t="shared" si="43"/>
        <v>164904</v>
      </c>
      <c r="U1167" s="257">
        <f t="shared" si="44"/>
        <v>745</v>
      </c>
      <c r="V1167">
        <v>3</v>
      </c>
      <c r="W1167">
        <v>1</v>
      </c>
    </row>
    <row r="1168" spans="1:23" ht="45.6" x14ac:dyDescent="0.3">
      <c r="A1168" s="129">
        <v>39655</v>
      </c>
      <c r="B1168" s="129">
        <v>39655</v>
      </c>
      <c r="C1168" s="6">
        <v>7</v>
      </c>
      <c r="D1168" s="6">
        <v>1</v>
      </c>
      <c r="E1168" s="19">
        <v>2008</v>
      </c>
      <c r="F1168" s="15" t="s">
        <v>22</v>
      </c>
      <c r="G1168" s="16" t="s">
        <v>6256</v>
      </c>
      <c r="H1168" s="9" t="s">
        <v>174</v>
      </c>
      <c r="I1168" s="17" t="s">
        <v>95</v>
      </c>
      <c r="J1168" s="17" t="s">
        <v>2050</v>
      </c>
      <c r="K1168" s="23">
        <v>0</v>
      </c>
      <c r="L1168" s="234">
        <f>((M1168*5))*1</f>
        <v>205</v>
      </c>
      <c r="M1168" s="23">
        <v>41</v>
      </c>
      <c r="N1168" s="23">
        <v>0</v>
      </c>
      <c r="O1168" s="23">
        <v>0</v>
      </c>
      <c r="P1168" s="23">
        <v>0</v>
      </c>
      <c r="Q1168" s="92">
        <v>0</v>
      </c>
      <c r="R1168" s="93">
        <v>130.03718000000001</v>
      </c>
      <c r="S1168" s="19" t="str">
        <f>+fo</f>
        <v>FONDEN</v>
      </c>
      <c r="T1168" s="257">
        <f t="shared" si="43"/>
        <v>205</v>
      </c>
      <c r="U1168" s="257">
        <f t="shared" si="44"/>
        <v>41</v>
      </c>
      <c r="V1168">
        <v>1</v>
      </c>
      <c r="W1168">
        <v>1</v>
      </c>
    </row>
    <row r="1169" spans="1:23" ht="57" x14ac:dyDescent="0.3">
      <c r="A1169" s="129">
        <v>39655</v>
      </c>
      <c r="B1169" s="129">
        <v>39655</v>
      </c>
      <c r="C1169" s="6">
        <v>7</v>
      </c>
      <c r="D1169" s="6">
        <v>1</v>
      </c>
      <c r="E1169" s="19">
        <v>2008</v>
      </c>
      <c r="F1169" s="15" t="s">
        <v>22</v>
      </c>
      <c r="G1169" s="16" t="s">
        <v>6256</v>
      </c>
      <c r="H1169" s="9" t="s">
        <v>34</v>
      </c>
      <c r="I1169" s="17" t="s">
        <v>2051</v>
      </c>
      <c r="J1169" s="17" t="s">
        <v>2052</v>
      </c>
      <c r="K1169" s="23">
        <v>5</v>
      </c>
      <c r="L1169" s="234">
        <f>((M1169*5))*1</f>
        <v>2825</v>
      </c>
      <c r="M1169" s="23">
        <v>565</v>
      </c>
      <c r="N1169" s="23">
        <v>6</v>
      </c>
      <c r="O1169" s="23">
        <v>0</v>
      </c>
      <c r="P1169" s="23">
        <v>34</v>
      </c>
      <c r="Q1169" s="92">
        <v>0</v>
      </c>
      <c r="R1169" s="93">
        <v>161.9</v>
      </c>
      <c r="S1169" s="19" t="s">
        <v>111</v>
      </c>
      <c r="T1169" s="257">
        <f t="shared" si="43"/>
        <v>2830</v>
      </c>
      <c r="U1169" s="257">
        <f t="shared" si="44"/>
        <v>605</v>
      </c>
      <c r="V1169">
        <v>1</v>
      </c>
      <c r="W1169">
        <v>1</v>
      </c>
    </row>
    <row r="1170" spans="1:23" ht="34.200000000000003" x14ac:dyDescent="0.3">
      <c r="A1170" s="129">
        <v>39660</v>
      </c>
      <c r="B1170" s="129">
        <v>39660</v>
      </c>
      <c r="C1170" s="6">
        <v>7</v>
      </c>
      <c r="D1170" s="6">
        <v>1</v>
      </c>
      <c r="E1170" s="19">
        <v>2008</v>
      </c>
      <c r="F1170" s="15" t="s">
        <v>22</v>
      </c>
      <c r="G1170" s="16" t="s">
        <v>6256</v>
      </c>
      <c r="H1170" s="9" t="s">
        <v>46</v>
      </c>
      <c r="I1170" s="17" t="s">
        <v>2053</v>
      </c>
      <c r="J1170" s="17" t="s">
        <v>2054</v>
      </c>
      <c r="K1170" s="23">
        <v>0</v>
      </c>
      <c r="L1170" s="234">
        <f>((M1170*5))*1</f>
        <v>530</v>
      </c>
      <c r="M1170" s="23">
        <v>106</v>
      </c>
      <c r="N1170" s="23">
        <v>0</v>
      </c>
      <c r="O1170" s="23">
        <v>0</v>
      </c>
      <c r="P1170" s="23">
        <v>0</v>
      </c>
      <c r="Q1170" s="92">
        <v>0</v>
      </c>
      <c r="R1170" s="93">
        <v>0.21199999999999999</v>
      </c>
      <c r="S1170" s="19" t="s">
        <v>115</v>
      </c>
      <c r="T1170" s="257">
        <f t="shared" si="43"/>
        <v>530</v>
      </c>
      <c r="U1170" s="257">
        <f t="shared" si="44"/>
        <v>106</v>
      </c>
      <c r="V1170">
        <v>1</v>
      </c>
      <c r="W1170">
        <v>1</v>
      </c>
    </row>
    <row r="1171" spans="1:23" ht="68.400000000000006" x14ac:dyDescent="0.3">
      <c r="A1171" s="129">
        <v>39661</v>
      </c>
      <c r="B1171" s="129">
        <v>39661</v>
      </c>
      <c r="C1171" s="6">
        <v>8</v>
      </c>
      <c r="D1171" s="6">
        <v>1</v>
      </c>
      <c r="E1171" s="19">
        <v>2008</v>
      </c>
      <c r="F1171" s="15" t="s">
        <v>22</v>
      </c>
      <c r="G1171" s="16" t="s">
        <v>6256</v>
      </c>
      <c r="H1171" s="9" t="s">
        <v>41</v>
      </c>
      <c r="I1171" s="17" t="s">
        <v>2055</v>
      </c>
      <c r="J1171" s="17" t="s">
        <v>2056</v>
      </c>
      <c r="K1171" s="23">
        <v>0</v>
      </c>
      <c r="L1171" s="234">
        <v>1085</v>
      </c>
      <c r="M1171" s="23">
        <v>0</v>
      </c>
      <c r="N1171" s="23">
        <v>0</v>
      </c>
      <c r="O1171" s="23">
        <v>0</v>
      </c>
      <c r="P1171" s="23">
        <v>0</v>
      </c>
      <c r="Q1171" s="92">
        <v>3183.5</v>
      </c>
      <c r="R1171" s="93">
        <v>2.8359999999999999</v>
      </c>
      <c r="S1171" s="19" t="s">
        <v>1904</v>
      </c>
      <c r="T1171" s="257">
        <f t="shared" si="43"/>
        <v>1085</v>
      </c>
      <c r="U1171" s="257">
        <f t="shared" si="44"/>
        <v>0</v>
      </c>
      <c r="V1171">
        <v>1</v>
      </c>
      <c r="W1171">
        <v>0</v>
      </c>
    </row>
    <row r="1172" spans="1:23" ht="68.400000000000006" x14ac:dyDescent="0.3">
      <c r="A1172" s="129">
        <v>39663</v>
      </c>
      <c r="B1172" s="129">
        <v>39663</v>
      </c>
      <c r="C1172" s="6">
        <v>8</v>
      </c>
      <c r="D1172" s="6">
        <v>1</v>
      </c>
      <c r="E1172" s="19">
        <v>2008</v>
      </c>
      <c r="F1172" s="15" t="s">
        <v>22</v>
      </c>
      <c r="G1172" s="16" t="s">
        <v>6256</v>
      </c>
      <c r="H1172" s="9" t="s">
        <v>34</v>
      </c>
      <c r="I1172" s="17" t="s">
        <v>2057</v>
      </c>
      <c r="J1172" s="17" t="s">
        <v>2058</v>
      </c>
      <c r="K1172" s="23">
        <v>0</v>
      </c>
      <c r="L1172" s="234">
        <v>2527</v>
      </c>
      <c r="M1172" s="23">
        <v>0</v>
      </c>
      <c r="N1172" s="23">
        <v>0</v>
      </c>
      <c r="O1172" s="23">
        <v>0</v>
      </c>
      <c r="P1172" s="23">
        <v>0</v>
      </c>
      <c r="Q1172" s="92">
        <v>6168.8</v>
      </c>
      <c r="R1172" s="93">
        <v>119.233</v>
      </c>
      <c r="S1172" s="19" t="s">
        <v>1904</v>
      </c>
      <c r="T1172" s="257">
        <f t="shared" si="43"/>
        <v>2527</v>
      </c>
      <c r="U1172" s="257">
        <f t="shared" si="44"/>
        <v>0</v>
      </c>
      <c r="V1172">
        <v>1</v>
      </c>
      <c r="W1172">
        <v>0</v>
      </c>
    </row>
    <row r="1173" spans="1:23" ht="22.8" x14ac:dyDescent="0.3">
      <c r="A1173" s="129">
        <v>39665</v>
      </c>
      <c r="B1173" s="129">
        <v>39665</v>
      </c>
      <c r="C1173" s="6">
        <v>8</v>
      </c>
      <c r="D1173" s="6">
        <v>1</v>
      </c>
      <c r="E1173" s="19">
        <v>2008</v>
      </c>
      <c r="F1173" s="15" t="s">
        <v>22</v>
      </c>
      <c r="G1173" s="16" t="s">
        <v>6256</v>
      </c>
      <c r="H1173" s="9" t="s">
        <v>43</v>
      </c>
      <c r="I1173" s="17" t="s">
        <v>305</v>
      </c>
      <c r="J1173" s="17" t="s">
        <v>2059</v>
      </c>
      <c r="K1173" s="23">
        <v>0</v>
      </c>
      <c r="L1173" s="234">
        <f>((M1173*5))*1</f>
        <v>400</v>
      </c>
      <c r="M1173" s="23">
        <v>80</v>
      </c>
      <c r="N1173" s="23">
        <v>0</v>
      </c>
      <c r="O1173" s="23">
        <v>0</v>
      </c>
      <c r="P1173" s="23">
        <v>0</v>
      </c>
      <c r="Q1173" s="92">
        <v>0</v>
      </c>
      <c r="R1173" s="93">
        <v>0.16</v>
      </c>
      <c r="S1173" s="19" t="s">
        <v>115</v>
      </c>
      <c r="T1173" s="257">
        <f t="shared" si="43"/>
        <v>400</v>
      </c>
      <c r="U1173" s="257">
        <f t="shared" si="44"/>
        <v>80</v>
      </c>
      <c r="V1173">
        <v>1</v>
      </c>
      <c r="W1173">
        <v>1</v>
      </c>
    </row>
    <row r="1174" spans="1:23" ht="22.8" x14ac:dyDescent="0.3">
      <c r="A1174" s="129">
        <v>39673</v>
      </c>
      <c r="B1174" s="129">
        <v>39673</v>
      </c>
      <c r="C1174" s="6">
        <v>8</v>
      </c>
      <c r="D1174" s="6">
        <v>1</v>
      </c>
      <c r="E1174" s="19">
        <v>2008</v>
      </c>
      <c r="F1174" s="15" t="s">
        <v>22</v>
      </c>
      <c r="G1174" s="16" t="s">
        <v>6256</v>
      </c>
      <c r="H1174" s="9" t="s">
        <v>64</v>
      </c>
      <c r="I1174" s="17" t="s">
        <v>2060</v>
      </c>
      <c r="J1174" s="17" t="s">
        <v>2061</v>
      </c>
      <c r="K1174" s="23">
        <v>0</v>
      </c>
      <c r="L1174" s="234">
        <f>((M1174*5))*1</f>
        <v>125</v>
      </c>
      <c r="M1174" s="23">
        <v>25</v>
      </c>
      <c r="N1174" s="23">
        <v>0</v>
      </c>
      <c r="O1174" s="23">
        <v>0</v>
      </c>
      <c r="P1174" s="23">
        <v>0</v>
      </c>
      <c r="Q1174" s="92">
        <v>0</v>
      </c>
      <c r="R1174" s="93">
        <v>0.05</v>
      </c>
      <c r="S1174" s="19" t="s">
        <v>115</v>
      </c>
      <c r="T1174" s="257">
        <f t="shared" si="43"/>
        <v>125</v>
      </c>
      <c r="U1174" s="257">
        <f t="shared" si="44"/>
        <v>25</v>
      </c>
      <c r="V1174">
        <v>1</v>
      </c>
      <c r="W1174">
        <v>1</v>
      </c>
    </row>
    <row r="1175" spans="1:23" ht="34.200000000000003" x14ac:dyDescent="0.3">
      <c r="A1175" s="129">
        <v>39673</v>
      </c>
      <c r="B1175" s="129">
        <v>39673</v>
      </c>
      <c r="C1175" s="6">
        <v>8</v>
      </c>
      <c r="D1175" s="6">
        <v>1</v>
      </c>
      <c r="E1175" s="19">
        <v>2008</v>
      </c>
      <c r="F1175" s="15" t="s">
        <v>22</v>
      </c>
      <c r="G1175" s="16" t="s">
        <v>6256</v>
      </c>
      <c r="H1175" s="9" t="s">
        <v>66</v>
      </c>
      <c r="I1175" s="17" t="s">
        <v>2062</v>
      </c>
      <c r="J1175" s="17" t="s">
        <v>2063</v>
      </c>
      <c r="K1175" s="23">
        <v>0</v>
      </c>
      <c r="L1175" s="234">
        <f>((M1175*5))*1</f>
        <v>175</v>
      </c>
      <c r="M1175" s="23">
        <v>35</v>
      </c>
      <c r="N1175" s="23">
        <v>3</v>
      </c>
      <c r="O1175" s="23">
        <v>0</v>
      </c>
      <c r="P1175" s="23">
        <v>0</v>
      </c>
      <c r="Q1175" s="92">
        <v>0</v>
      </c>
      <c r="R1175" s="93">
        <v>7.0000000000000007E-2</v>
      </c>
      <c r="S1175" s="19" t="s">
        <v>115</v>
      </c>
      <c r="T1175" s="257">
        <f t="shared" si="43"/>
        <v>175</v>
      </c>
      <c r="U1175" s="257">
        <f t="shared" si="44"/>
        <v>38</v>
      </c>
      <c r="V1175">
        <v>1</v>
      </c>
      <c r="W1175">
        <v>1</v>
      </c>
    </row>
    <row r="1176" spans="1:23" ht="22.8" x14ac:dyDescent="0.3">
      <c r="A1176" s="129">
        <v>39673</v>
      </c>
      <c r="B1176" s="129">
        <v>39673</v>
      </c>
      <c r="C1176" s="6">
        <v>8</v>
      </c>
      <c r="D1176" s="6">
        <v>1</v>
      </c>
      <c r="E1176" s="19">
        <v>2008</v>
      </c>
      <c r="F1176" s="15" t="s">
        <v>22</v>
      </c>
      <c r="G1176" s="16" t="s">
        <v>6256</v>
      </c>
      <c r="H1176" s="9" t="s">
        <v>84</v>
      </c>
      <c r="I1176" s="17" t="s">
        <v>2064</v>
      </c>
      <c r="J1176" s="17" t="s">
        <v>2065</v>
      </c>
      <c r="K1176" s="23">
        <v>0</v>
      </c>
      <c r="L1176" s="234">
        <f>((M1176*5))*1</f>
        <v>60</v>
      </c>
      <c r="M1176" s="23">
        <v>12</v>
      </c>
      <c r="N1176" s="23">
        <v>0</v>
      </c>
      <c r="O1176" s="23">
        <v>0</v>
      </c>
      <c r="P1176" s="23">
        <v>0</v>
      </c>
      <c r="Q1176" s="92">
        <v>0</v>
      </c>
      <c r="R1176" s="93">
        <v>5.5972800000000003E-2</v>
      </c>
      <c r="S1176" s="19" t="s">
        <v>115</v>
      </c>
      <c r="T1176" s="257">
        <f t="shared" si="43"/>
        <v>60</v>
      </c>
      <c r="U1176" s="257">
        <f t="shared" si="44"/>
        <v>12</v>
      </c>
      <c r="V1176">
        <v>1</v>
      </c>
      <c r="W1176">
        <v>1</v>
      </c>
    </row>
    <row r="1177" spans="1:23" ht="102.6" x14ac:dyDescent="0.3">
      <c r="A1177" s="129">
        <v>39673</v>
      </c>
      <c r="B1177" s="129">
        <v>39673</v>
      </c>
      <c r="C1177" s="6">
        <v>8</v>
      </c>
      <c r="D1177" s="6">
        <v>1</v>
      </c>
      <c r="E1177" s="19">
        <v>2008</v>
      </c>
      <c r="F1177" s="15" t="s">
        <v>22</v>
      </c>
      <c r="G1177" s="16" t="s">
        <v>6256</v>
      </c>
      <c r="H1177" s="9" t="s">
        <v>41</v>
      </c>
      <c r="I1177" s="17" t="s">
        <v>2066</v>
      </c>
      <c r="J1177" s="17" t="s">
        <v>2067</v>
      </c>
      <c r="K1177" s="23">
        <v>0</v>
      </c>
      <c r="L1177" s="234">
        <v>1242</v>
      </c>
      <c r="M1177" s="23">
        <v>0</v>
      </c>
      <c r="N1177" s="23">
        <v>0</v>
      </c>
      <c r="O1177" s="23">
        <v>0</v>
      </c>
      <c r="P1177" s="23">
        <v>0</v>
      </c>
      <c r="Q1177" s="92">
        <v>3582.6</v>
      </c>
      <c r="R1177" s="93">
        <v>13.974</v>
      </c>
      <c r="S1177" s="19" t="s">
        <v>1904</v>
      </c>
      <c r="T1177" s="257">
        <f t="shared" si="43"/>
        <v>1242</v>
      </c>
      <c r="U1177" s="257">
        <f t="shared" si="44"/>
        <v>0</v>
      </c>
      <c r="V1177">
        <v>1</v>
      </c>
      <c r="W1177">
        <v>0</v>
      </c>
    </row>
    <row r="1178" spans="1:23" ht="57" x14ac:dyDescent="0.3">
      <c r="A1178" s="129">
        <v>39674</v>
      </c>
      <c r="B1178" s="129">
        <v>39690</v>
      </c>
      <c r="C1178" s="6">
        <v>8</v>
      </c>
      <c r="D1178" s="6">
        <v>17</v>
      </c>
      <c r="E1178" s="19">
        <v>2008</v>
      </c>
      <c r="F1178" s="15" t="s">
        <v>22</v>
      </c>
      <c r="G1178" s="16" t="s">
        <v>6256</v>
      </c>
      <c r="H1178" s="9" t="s">
        <v>41</v>
      </c>
      <c r="I1178" s="17" t="s">
        <v>2068</v>
      </c>
      <c r="J1178" s="17" t="s">
        <v>2069</v>
      </c>
      <c r="K1178" s="23">
        <v>0</v>
      </c>
      <c r="L1178" s="234">
        <f>((M1178*5))*1</f>
        <v>12200</v>
      </c>
      <c r="M1178" s="23">
        <v>2440</v>
      </c>
      <c r="N1178" s="23">
        <v>0</v>
      </c>
      <c r="O1178" s="23">
        <v>0</v>
      </c>
      <c r="P1178" s="23">
        <v>0</v>
      </c>
      <c r="Q1178" s="92">
        <v>0</v>
      </c>
      <c r="R1178" s="93">
        <v>401.42500000000001</v>
      </c>
      <c r="S1178" s="19" t="str">
        <f>+fo</f>
        <v>FONDEN</v>
      </c>
      <c r="T1178" s="257">
        <f t="shared" si="43"/>
        <v>12200</v>
      </c>
      <c r="U1178" s="257">
        <f t="shared" si="44"/>
        <v>2440</v>
      </c>
      <c r="V1178">
        <v>2</v>
      </c>
      <c r="W1178">
        <v>2</v>
      </c>
    </row>
    <row r="1179" spans="1:23" ht="22.8" x14ac:dyDescent="0.3">
      <c r="A1179" s="129">
        <v>39674</v>
      </c>
      <c r="B1179" s="129">
        <v>39674</v>
      </c>
      <c r="C1179" s="6">
        <v>8</v>
      </c>
      <c r="D1179" s="6">
        <v>1</v>
      </c>
      <c r="E1179" s="19">
        <v>2008</v>
      </c>
      <c r="F1179" s="15" t="s">
        <v>22</v>
      </c>
      <c r="G1179" s="16" t="s">
        <v>6256</v>
      </c>
      <c r="H1179" s="9" t="s">
        <v>31</v>
      </c>
      <c r="I1179" s="17" t="s">
        <v>2070</v>
      </c>
      <c r="J1179" s="17" t="s">
        <v>2071</v>
      </c>
      <c r="K1179" s="23">
        <v>0</v>
      </c>
      <c r="L1179" s="234">
        <v>0</v>
      </c>
      <c r="M1179" s="23">
        <v>0</v>
      </c>
      <c r="N1179" s="23">
        <v>0</v>
      </c>
      <c r="O1179" s="23">
        <v>0</v>
      </c>
      <c r="P1179" s="23">
        <v>0</v>
      </c>
      <c r="Q1179" s="92">
        <v>0</v>
      </c>
      <c r="R1179" s="93">
        <v>0.23788400000000001</v>
      </c>
      <c r="S1179" s="19" t="s">
        <v>115</v>
      </c>
      <c r="T1179" s="257">
        <f t="shared" si="43"/>
        <v>0</v>
      </c>
      <c r="U1179" s="257">
        <f t="shared" si="44"/>
        <v>0</v>
      </c>
      <c r="V1179">
        <v>0</v>
      </c>
      <c r="W1179">
        <v>0</v>
      </c>
    </row>
    <row r="1180" spans="1:23" ht="34.200000000000003" x14ac:dyDescent="0.3">
      <c r="A1180" s="129">
        <v>39674</v>
      </c>
      <c r="B1180" s="129">
        <v>39674</v>
      </c>
      <c r="C1180" s="6">
        <v>8</v>
      </c>
      <c r="D1180" s="6">
        <v>1</v>
      </c>
      <c r="E1180" s="19">
        <v>2008</v>
      </c>
      <c r="F1180" s="15" t="s">
        <v>22</v>
      </c>
      <c r="G1180" s="16" t="s">
        <v>6256</v>
      </c>
      <c r="H1180" s="9" t="s">
        <v>72</v>
      </c>
      <c r="I1180" s="17" t="s">
        <v>2072</v>
      </c>
      <c r="J1180" s="17" t="s">
        <v>2073</v>
      </c>
      <c r="K1180" s="23">
        <v>1</v>
      </c>
      <c r="L1180" s="234">
        <v>371</v>
      </c>
      <c r="M1180" s="23">
        <v>74</v>
      </c>
      <c r="N1180" s="23">
        <v>0</v>
      </c>
      <c r="O1180" s="23">
        <v>0</v>
      </c>
      <c r="P1180" s="23">
        <v>0</v>
      </c>
      <c r="Q1180" s="92">
        <v>0</v>
      </c>
      <c r="R1180" s="93">
        <v>0.345165</v>
      </c>
      <c r="S1180" s="19" t="s">
        <v>115</v>
      </c>
      <c r="T1180" s="257">
        <f t="shared" si="43"/>
        <v>372</v>
      </c>
      <c r="U1180" s="257">
        <f t="shared" si="44"/>
        <v>74</v>
      </c>
      <c r="V1180">
        <v>1</v>
      </c>
      <c r="W1180">
        <v>1</v>
      </c>
    </row>
    <row r="1181" spans="1:23" ht="22.8" x14ac:dyDescent="0.3">
      <c r="A1181" s="129">
        <v>39677</v>
      </c>
      <c r="B1181" s="129">
        <v>39677</v>
      </c>
      <c r="C1181" s="6">
        <v>8</v>
      </c>
      <c r="D1181" s="6">
        <v>1</v>
      </c>
      <c r="E1181" s="19">
        <v>2008</v>
      </c>
      <c r="F1181" s="15" t="s">
        <v>22</v>
      </c>
      <c r="G1181" s="16" t="s">
        <v>6256</v>
      </c>
      <c r="H1181" s="9" t="s">
        <v>72</v>
      </c>
      <c r="I1181" s="17" t="s">
        <v>657</v>
      </c>
      <c r="J1181" s="17" t="s">
        <v>2074</v>
      </c>
      <c r="K1181" s="23">
        <v>0</v>
      </c>
      <c r="L1181" s="234">
        <v>0</v>
      </c>
      <c r="M1181" s="23">
        <v>0</v>
      </c>
      <c r="N1181" s="23">
        <v>0</v>
      </c>
      <c r="O1181" s="23">
        <v>0</v>
      </c>
      <c r="P1181" s="23">
        <v>0</v>
      </c>
      <c r="Q1181" s="92">
        <v>0</v>
      </c>
      <c r="R1181" s="93">
        <v>0</v>
      </c>
      <c r="S1181" s="19" t="s">
        <v>115</v>
      </c>
      <c r="T1181" s="257">
        <f t="shared" si="43"/>
        <v>0</v>
      </c>
      <c r="U1181" s="257">
        <f t="shared" si="44"/>
        <v>0</v>
      </c>
      <c r="V1181">
        <v>0</v>
      </c>
      <c r="W1181">
        <v>0</v>
      </c>
    </row>
    <row r="1182" spans="1:23" ht="22.8" x14ac:dyDescent="0.3">
      <c r="A1182" s="129">
        <v>39678</v>
      </c>
      <c r="B1182" s="129">
        <v>39678</v>
      </c>
      <c r="C1182" s="6">
        <v>8</v>
      </c>
      <c r="D1182" s="6">
        <v>1</v>
      </c>
      <c r="E1182" s="19">
        <v>2008</v>
      </c>
      <c r="F1182" s="15" t="s">
        <v>22</v>
      </c>
      <c r="G1182" s="16" t="s">
        <v>6256</v>
      </c>
      <c r="H1182" s="9" t="s">
        <v>64</v>
      </c>
      <c r="I1182" s="17" t="s">
        <v>2075</v>
      </c>
      <c r="J1182" s="17" t="s">
        <v>2076</v>
      </c>
      <c r="K1182" s="23"/>
      <c r="L1182" s="234">
        <f>((M1182*5))*1</f>
        <v>255</v>
      </c>
      <c r="M1182" s="23">
        <v>51</v>
      </c>
      <c r="N1182" s="23">
        <v>0</v>
      </c>
      <c r="O1182" s="23">
        <v>0</v>
      </c>
      <c r="P1182" s="23">
        <v>0</v>
      </c>
      <c r="Q1182" s="92">
        <v>0</v>
      </c>
      <c r="R1182" s="93">
        <v>0.10199999999999999</v>
      </c>
      <c r="S1182" s="19" t="s">
        <v>115</v>
      </c>
      <c r="T1182" s="257">
        <f t="shared" si="43"/>
        <v>255</v>
      </c>
      <c r="U1182" s="257">
        <f t="shared" si="44"/>
        <v>51</v>
      </c>
      <c r="V1182">
        <v>1</v>
      </c>
      <c r="W1182">
        <v>1</v>
      </c>
    </row>
    <row r="1183" spans="1:23" ht="22.8" x14ac:dyDescent="0.3">
      <c r="A1183" s="129">
        <v>39679</v>
      </c>
      <c r="B1183" s="129">
        <v>39679</v>
      </c>
      <c r="C1183" s="6">
        <v>8</v>
      </c>
      <c r="D1183" s="6">
        <v>1</v>
      </c>
      <c r="E1183" s="19">
        <v>2008</v>
      </c>
      <c r="F1183" s="15" t="s">
        <v>22</v>
      </c>
      <c r="G1183" s="16" t="s">
        <v>6256</v>
      </c>
      <c r="H1183" s="9" t="s">
        <v>46</v>
      </c>
      <c r="I1183" s="17" t="s">
        <v>1364</v>
      </c>
      <c r="J1183" s="17" t="s">
        <v>2077</v>
      </c>
      <c r="K1183" s="23"/>
      <c r="L1183" s="234">
        <f>((M1183*5))*1</f>
        <v>105</v>
      </c>
      <c r="M1183" s="23">
        <v>21</v>
      </c>
      <c r="N1183" s="23">
        <v>0</v>
      </c>
      <c r="O1183" s="23">
        <v>0</v>
      </c>
      <c r="P1183" s="23">
        <v>0</v>
      </c>
      <c r="Q1183" s="92">
        <v>0</v>
      </c>
      <c r="R1183" s="93">
        <v>4.2000000000000003E-2</v>
      </c>
      <c r="S1183" s="19" t="s">
        <v>115</v>
      </c>
      <c r="T1183" s="257">
        <f t="shared" si="43"/>
        <v>105</v>
      </c>
      <c r="U1183" s="257">
        <f t="shared" si="44"/>
        <v>21</v>
      </c>
      <c r="V1183">
        <v>1</v>
      </c>
      <c r="W1183">
        <v>1</v>
      </c>
    </row>
    <row r="1184" spans="1:23" ht="45.6" x14ac:dyDescent="0.3">
      <c r="A1184" s="212">
        <v>39264</v>
      </c>
      <c r="B1184" s="212">
        <v>39294</v>
      </c>
      <c r="C1184" s="6">
        <v>7</v>
      </c>
      <c r="D1184" s="6">
        <v>31</v>
      </c>
      <c r="E1184" s="6">
        <v>2007</v>
      </c>
      <c r="F1184" s="15" t="s">
        <v>22</v>
      </c>
      <c r="G1184" s="16" t="s">
        <v>23</v>
      </c>
      <c r="H1184" s="9" t="s">
        <v>48</v>
      </c>
      <c r="I1184" s="17" t="s">
        <v>2078</v>
      </c>
      <c r="J1184" s="10" t="s">
        <v>1824</v>
      </c>
      <c r="K1184" s="13">
        <v>0</v>
      </c>
      <c r="L1184" s="233">
        <v>1493</v>
      </c>
      <c r="M1184" s="13">
        <v>0</v>
      </c>
      <c r="N1184" s="13">
        <v>0</v>
      </c>
      <c r="O1184" s="13">
        <v>0</v>
      </c>
      <c r="P1184" s="13">
        <v>0</v>
      </c>
      <c r="Q1184" s="60">
        <v>2876.75</v>
      </c>
      <c r="R1184" s="61">
        <v>2.3010000000000002</v>
      </c>
      <c r="S1184" s="6" t="s">
        <v>1667</v>
      </c>
      <c r="T1184" s="257">
        <f t="shared" si="43"/>
        <v>1493</v>
      </c>
      <c r="U1184" s="257">
        <f t="shared" si="44"/>
        <v>0</v>
      </c>
      <c r="V1184">
        <v>1</v>
      </c>
      <c r="W1184">
        <v>0</v>
      </c>
    </row>
    <row r="1185" spans="1:23" ht="57" x14ac:dyDescent="0.3">
      <c r="A1185" s="129">
        <v>39681</v>
      </c>
      <c r="B1185" s="129">
        <v>39681</v>
      </c>
      <c r="C1185" s="6">
        <v>8</v>
      </c>
      <c r="D1185" s="6">
        <v>1</v>
      </c>
      <c r="E1185" s="19">
        <v>2008</v>
      </c>
      <c r="F1185" s="15" t="s">
        <v>22</v>
      </c>
      <c r="G1185" s="16" t="s">
        <v>6256</v>
      </c>
      <c r="H1185" s="9" t="s">
        <v>46</v>
      </c>
      <c r="I1185" s="17" t="s">
        <v>2079</v>
      </c>
      <c r="J1185" s="17" t="s">
        <v>2080</v>
      </c>
      <c r="K1185" s="23">
        <v>1</v>
      </c>
      <c r="L1185" s="234">
        <v>616</v>
      </c>
      <c r="M1185" s="23">
        <v>690</v>
      </c>
      <c r="N1185" s="23">
        <v>1</v>
      </c>
      <c r="O1185" s="23">
        <v>0</v>
      </c>
      <c r="P1185" s="23">
        <v>0</v>
      </c>
      <c r="Q1185" s="92">
        <v>0</v>
      </c>
      <c r="R1185" s="93">
        <v>3.2184360000000001</v>
      </c>
      <c r="S1185" s="19" t="s">
        <v>115</v>
      </c>
      <c r="T1185" s="257">
        <f t="shared" si="43"/>
        <v>617</v>
      </c>
      <c r="U1185" s="257">
        <f t="shared" si="44"/>
        <v>691</v>
      </c>
      <c r="V1185">
        <v>1</v>
      </c>
      <c r="W1185">
        <v>1</v>
      </c>
    </row>
    <row r="1186" spans="1:23" ht="45.6" x14ac:dyDescent="0.3">
      <c r="A1186" s="129">
        <v>39681</v>
      </c>
      <c r="B1186" s="129">
        <v>39681</v>
      </c>
      <c r="C1186" s="6">
        <v>8</v>
      </c>
      <c r="D1186" s="6">
        <v>1</v>
      </c>
      <c r="E1186" s="19">
        <v>2008</v>
      </c>
      <c r="F1186" s="15" t="s">
        <v>22</v>
      </c>
      <c r="G1186" s="16" t="s">
        <v>6256</v>
      </c>
      <c r="H1186" s="9" t="s">
        <v>57</v>
      </c>
      <c r="I1186" s="17" t="s">
        <v>2081</v>
      </c>
      <c r="J1186" s="17" t="s">
        <v>2082</v>
      </c>
      <c r="K1186" s="23">
        <v>0</v>
      </c>
      <c r="L1186" s="234">
        <f>((M1186*5))*1</f>
        <v>175</v>
      </c>
      <c r="M1186" s="23">
        <v>35</v>
      </c>
      <c r="N1186" s="23">
        <v>0</v>
      </c>
      <c r="O1186" s="23">
        <v>0</v>
      </c>
      <c r="P1186" s="23">
        <v>0</v>
      </c>
      <c r="Q1186" s="92">
        <v>0</v>
      </c>
      <c r="R1186" s="93">
        <v>26.924834000000001</v>
      </c>
      <c r="S1186" s="19" t="str">
        <f>+fo</f>
        <v>FONDEN</v>
      </c>
      <c r="T1186" s="257">
        <f t="shared" si="43"/>
        <v>175</v>
      </c>
      <c r="U1186" s="257">
        <f t="shared" si="44"/>
        <v>35</v>
      </c>
      <c r="V1186">
        <v>1</v>
      </c>
      <c r="W1186">
        <v>1</v>
      </c>
    </row>
    <row r="1187" spans="1:23" ht="34.200000000000003" x14ac:dyDescent="0.3">
      <c r="A1187" s="129">
        <v>39681</v>
      </c>
      <c r="B1187" s="129">
        <v>39681</v>
      </c>
      <c r="C1187" s="6">
        <v>8</v>
      </c>
      <c r="D1187" s="6">
        <v>1</v>
      </c>
      <c r="E1187" s="19">
        <v>2008</v>
      </c>
      <c r="F1187" s="15" t="s">
        <v>22</v>
      </c>
      <c r="G1187" s="16" t="s">
        <v>6256</v>
      </c>
      <c r="H1187" s="9" t="s">
        <v>55</v>
      </c>
      <c r="I1187" s="17" t="s">
        <v>2083</v>
      </c>
      <c r="J1187" s="17" t="s">
        <v>2084</v>
      </c>
      <c r="K1187" s="23">
        <v>0</v>
      </c>
      <c r="L1187" s="234">
        <f>((M1187*5))*1</f>
        <v>205</v>
      </c>
      <c r="M1187" s="23">
        <v>41</v>
      </c>
      <c r="N1187" s="23">
        <v>0</v>
      </c>
      <c r="O1187" s="23">
        <v>0</v>
      </c>
      <c r="P1187" s="23">
        <v>0</v>
      </c>
      <c r="Q1187" s="92">
        <v>0</v>
      </c>
      <c r="R1187" s="93">
        <v>0.47677999999999998</v>
      </c>
      <c r="S1187" s="19" t="s">
        <v>115</v>
      </c>
      <c r="T1187" s="257">
        <f t="shared" si="43"/>
        <v>205</v>
      </c>
      <c r="U1187" s="257">
        <f t="shared" si="44"/>
        <v>41</v>
      </c>
      <c r="V1187">
        <v>1</v>
      </c>
      <c r="W1187">
        <v>1</v>
      </c>
    </row>
    <row r="1188" spans="1:23" ht="68.400000000000006" x14ac:dyDescent="0.3">
      <c r="A1188" s="129">
        <v>39682</v>
      </c>
      <c r="B1188" s="129">
        <v>39682</v>
      </c>
      <c r="C1188" s="6">
        <v>8</v>
      </c>
      <c r="D1188" s="6">
        <v>1</v>
      </c>
      <c r="E1188" s="19">
        <v>2008</v>
      </c>
      <c r="F1188" s="15" t="s">
        <v>22</v>
      </c>
      <c r="G1188" s="16" t="s">
        <v>6256</v>
      </c>
      <c r="H1188" s="9" t="s">
        <v>84</v>
      </c>
      <c r="I1188" s="17" t="s">
        <v>2085</v>
      </c>
      <c r="J1188" s="17" t="s">
        <v>2086</v>
      </c>
      <c r="K1188" s="23">
        <v>0</v>
      </c>
      <c r="L1188" s="234">
        <v>3024</v>
      </c>
      <c r="M1188" s="23">
        <v>0</v>
      </c>
      <c r="N1188" s="23">
        <v>0</v>
      </c>
      <c r="O1188" s="23">
        <v>0</v>
      </c>
      <c r="P1188" s="23">
        <v>0</v>
      </c>
      <c r="Q1188" s="92">
        <v>8167.8</v>
      </c>
      <c r="R1188" s="93">
        <v>55.23</v>
      </c>
      <c r="S1188" s="19" t="s">
        <v>1904</v>
      </c>
      <c r="T1188" s="257">
        <f t="shared" si="43"/>
        <v>3024</v>
      </c>
      <c r="U1188" s="257">
        <f t="shared" si="44"/>
        <v>0</v>
      </c>
      <c r="V1188">
        <v>1</v>
      </c>
      <c r="W1188">
        <v>0</v>
      </c>
    </row>
    <row r="1189" spans="1:23" ht="22.8" x14ac:dyDescent="0.3">
      <c r="A1189" s="129">
        <v>39682</v>
      </c>
      <c r="B1189" s="129">
        <v>39682</v>
      </c>
      <c r="C1189" s="6">
        <v>8</v>
      </c>
      <c r="D1189" s="6">
        <v>1</v>
      </c>
      <c r="E1189" s="19">
        <v>2008</v>
      </c>
      <c r="F1189" s="15" t="s">
        <v>22</v>
      </c>
      <c r="G1189" s="16" t="s">
        <v>6256</v>
      </c>
      <c r="H1189" s="9" t="s">
        <v>51</v>
      </c>
      <c r="I1189" s="17" t="s">
        <v>2087</v>
      </c>
      <c r="J1189" s="17" t="s">
        <v>2088</v>
      </c>
      <c r="K1189" s="23">
        <v>0</v>
      </c>
      <c r="L1189" s="234">
        <f>((M1189*5))*1</f>
        <v>150</v>
      </c>
      <c r="M1189" s="23">
        <v>30</v>
      </c>
      <c r="N1189" s="23">
        <v>0</v>
      </c>
      <c r="O1189" s="23">
        <v>0</v>
      </c>
      <c r="P1189" s="23">
        <v>0</v>
      </c>
      <c r="Q1189" s="92">
        <v>0</v>
      </c>
      <c r="R1189" s="93">
        <v>0.34886400000000001</v>
      </c>
      <c r="S1189" s="19" t="s">
        <v>115</v>
      </c>
      <c r="T1189" s="257">
        <f t="shared" si="43"/>
        <v>150</v>
      </c>
      <c r="U1189" s="257">
        <f t="shared" si="44"/>
        <v>30</v>
      </c>
      <c r="V1189">
        <v>1</v>
      </c>
      <c r="W1189">
        <v>1</v>
      </c>
    </row>
    <row r="1190" spans="1:23" ht="68.400000000000006" x14ac:dyDescent="0.3">
      <c r="A1190" s="129">
        <v>39682</v>
      </c>
      <c r="B1190" s="129">
        <v>39682</v>
      </c>
      <c r="C1190" s="6">
        <v>8</v>
      </c>
      <c r="D1190" s="6">
        <v>1</v>
      </c>
      <c r="E1190" s="19">
        <v>2008</v>
      </c>
      <c r="F1190" s="15" t="s">
        <v>22</v>
      </c>
      <c r="G1190" s="16" t="s">
        <v>6256</v>
      </c>
      <c r="H1190" s="9" t="s">
        <v>70</v>
      </c>
      <c r="I1190" s="17" t="s">
        <v>2089</v>
      </c>
      <c r="J1190" s="17" t="s">
        <v>2090</v>
      </c>
      <c r="K1190" s="23">
        <v>0</v>
      </c>
      <c r="L1190" s="234">
        <v>1484</v>
      </c>
      <c r="M1190" s="23">
        <v>0</v>
      </c>
      <c r="N1190" s="23">
        <v>0</v>
      </c>
      <c r="O1190" s="23">
        <v>0</v>
      </c>
      <c r="P1190" s="23">
        <v>0</v>
      </c>
      <c r="Q1190" s="92">
        <v>3116.2</v>
      </c>
      <c r="R1190" s="93">
        <v>9.5090000000000003</v>
      </c>
      <c r="S1190" s="19" t="s">
        <v>1904</v>
      </c>
      <c r="T1190" s="257">
        <f t="shared" si="43"/>
        <v>1484</v>
      </c>
      <c r="U1190" s="257">
        <f t="shared" si="44"/>
        <v>0</v>
      </c>
      <c r="V1190">
        <v>1</v>
      </c>
      <c r="W1190">
        <v>0</v>
      </c>
    </row>
    <row r="1191" spans="1:23" ht="22.8" x14ac:dyDescent="0.3">
      <c r="A1191" s="129">
        <v>39683</v>
      </c>
      <c r="B1191" s="129">
        <v>39683</v>
      </c>
      <c r="C1191" s="6">
        <v>8</v>
      </c>
      <c r="D1191" s="6">
        <v>1</v>
      </c>
      <c r="E1191" s="19">
        <v>2008</v>
      </c>
      <c r="F1191" s="15" t="s">
        <v>22</v>
      </c>
      <c r="G1191" s="16" t="s">
        <v>6256</v>
      </c>
      <c r="H1191" s="9" t="s">
        <v>66</v>
      </c>
      <c r="I1191" s="17" t="s">
        <v>660</v>
      </c>
      <c r="J1191" s="17" t="s">
        <v>2091</v>
      </c>
      <c r="K1191" s="23">
        <v>0</v>
      </c>
      <c r="L1191" s="234">
        <f>((M1191*5))*1</f>
        <v>250</v>
      </c>
      <c r="M1191" s="23">
        <v>50</v>
      </c>
      <c r="N1191" s="23">
        <v>0</v>
      </c>
      <c r="O1191" s="23">
        <v>0</v>
      </c>
      <c r="P1191" s="23">
        <v>0</v>
      </c>
      <c r="Q1191" s="92">
        <v>0</v>
      </c>
      <c r="R1191" s="93">
        <v>0.23322000000000001</v>
      </c>
      <c r="S1191" s="19" t="s">
        <v>115</v>
      </c>
      <c r="T1191" s="257">
        <f t="shared" si="43"/>
        <v>250</v>
      </c>
      <c r="U1191" s="257">
        <f t="shared" si="44"/>
        <v>50</v>
      </c>
      <c r="V1191">
        <v>1</v>
      </c>
      <c r="W1191">
        <v>1</v>
      </c>
    </row>
    <row r="1192" spans="1:23" ht="34.200000000000003" x14ac:dyDescent="0.3">
      <c r="A1192" s="129">
        <v>39684</v>
      </c>
      <c r="B1192" s="129">
        <v>39684</v>
      </c>
      <c r="C1192" s="6">
        <v>8</v>
      </c>
      <c r="D1192" s="6">
        <v>1</v>
      </c>
      <c r="E1192" s="19">
        <v>2008</v>
      </c>
      <c r="F1192" s="15" t="s">
        <v>22</v>
      </c>
      <c r="G1192" s="16" t="s">
        <v>6254</v>
      </c>
      <c r="H1192" s="9" t="s">
        <v>28</v>
      </c>
      <c r="I1192" s="17" t="s">
        <v>2092</v>
      </c>
      <c r="J1192" s="17" t="s">
        <v>2093</v>
      </c>
      <c r="K1192" s="23">
        <v>1</v>
      </c>
      <c r="L1192" s="234">
        <v>1</v>
      </c>
      <c r="M1192" s="23">
        <v>0</v>
      </c>
      <c r="N1192" s="23">
        <v>0</v>
      </c>
      <c r="O1192" s="23">
        <v>0</v>
      </c>
      <c r="P1192" s="23">
        <v>0</v>
      </c>
      <c r="Q1192" s="92">
        <v>0</v>
      </c>
      <c r="R1192" s="93">
        <v>0</v>
      </c>
      <c r="S1192" s="19" t="s">
        <v>115</v>
      </c>
      <c r="T1192" s="257">
        <f t="shared" si="43"/>
        <v>2</v>
      </c>
      <c r="U1192" s="257">
        <f t="shared" si="44"/>
        <v>0</v>
      </c>
      <c r="V1192">
        <v>1</v>
      </c>
      <c r="W1192">
        <v>0</v>
      </c>
    </row>
    <row r="1193" spans="1:23" ht="34.200000000000003" x14ac:dyDescent="0.3">
      <c r="A1193" s="129">
        <v>39684</v>
      </c>
      <c r="B1193" s="129">
        <v>39684</v>
      </c>
      <c r="C1193" s="6">
        <v>8</v>
      </c>
      <c r="D1193" s="6">
        <v>1</v>
      </c>
      <c r="E1193" s="19">
        <v>2008</v>
      </c>
      <c r="F1193" s="15" t="s">
        <v>22</v>
      </c>
      <c r="G1193" s="16" t="s">
        <v>6256</v>
      </c>
      <c r="H1193" s="9" t="s">
        <v>24</v>
      </c>
      <c r="I1193" s="17" t="s">
        <v>2094</v>
      </c>
      <c r="J1193" s="17" t="s">
        <v>2095</v>
      </c>
      <c r="K1193" s="23">
        <v>2</v>
      </c>
      <c r="L1193" s="234">
        <v>5294</v>
      </c>
      <c r="M1193" s="23">
        <v>0</v>
      </c>
      <c r="N1193" s="23">
        <v>0</v>
      </c>
      <c r="O1193" s="23">
        <v>0</v>
      </c>
      <c r="P1193" s="23">
        <v>0</v>
      </c>
      <c r="Q1193" s="92">
        <v>0</v>
      </c>
      <c r="R1193" s="93">
        <v>0</v>
      </c>
      <c r="S1193" s="19" t="s">
        <v>115</v>
      </c>
      <c r="T1193" s="257">
        <f t="shared" si="43"/>
        <v>5296</v>
      </c>
      <c r="U1193" s="257">
        <f t="shared" si="44"/>
        <v>0</v>
      </c>
      <c r="V1193">
        <v>1</v>
      </c>
      <c r="W1193">
        <v>0</v>
      </c>
    </row>
    <row r="1194" spans="1:23" ht="34.200000000000003" x14ac:dyDescent="0.3">
      <c r="A1194" s="129">
        <v>39684</v>
      </c>
      <c r="B1194" s="129">
        <v>39684</v>
      </c>
      <c r="C1194" s="6">
        <v>8</v>
      </c>
      <c r="D1194" s="6">
        <v>1</v>
      </c>
      <c r="E1194" s="19">
        <v>2008</v>
      </c>
      <c r="F1194" s="15" t="s">
        <v>22</v>
      </c>
      <c r="G1194" s="16" t="s">
        <v>6256</v>
      </c>
      <c r="H1194" s="9" t="s">
        <v>70</v>
      </c>
      <c r="I1194" s="17" t="s">
        <v>2096</v>
      </c>
      <c r="J1194" s="17" t="s">
        <v>2097</v>
      </c>
      <c r="K1194" s="23">
        <v>2</v>
      </c>
      <c r="L1194" s="234">
        <v>2</v>
      </c>
      <c r="M1194" s="23">
        <v>0</v>
      </c>
      <c r="N1194" s="23">
        <v>0</v>
      </c>
      <c r="O1194" s="23">
        <v>0</v>
      </c>
      <c r="P1194" s="23">
        <v>0</v>
      </c>
      <c r="Q1194" s="92">
        <v>0</v>
      </c>
      <c r="R1194" s="93">
        <v>0</v>
      </c>
      <c r="S1194" s="19" t="s">
        <v>115</v>
      </c>
      <c r="T1194" s="257">
        <f t="shared" si="43"/>
        <v>4</v>
      </c>
      <c r="U1194" s="257">
        <f t="shared" si="44"/>
        <v>0</v>
      </c>
      <c r="V1194">
        <v>1</v>
      </c>
      <c r="W1194">
        <v>0</v>
      </c>
    </row>
    <row r="1195" spans="1:23" ht="45.6" x14ac:dyDescent="0.3">
      <c r="A1195" s="129">
        <v>39685</v>
      </c>
      <c r="B1195" s="129">
        <v>39687</v>
      </c>
      <c r="C1195" s="6">
        <v>8</v>
      </c>
      <c r="D1195" s="6">
        <v>3</v>
      </c>
      <c r="E1195" s="19">
        <v>2008</v>
      </c>
      <c r="F1195" s="15" t="s">
        <v>22</v>
      </c>
      <c r="G1195" s="16" t="s">
        <v>6256</v>
      </c>
      <c r="H1195" s="9" t="s">
        <v>24</v>
      </c>
      <c r="I1195" s="17" t="s">
        <v>2041</v>
      </c>
      <c r="J1195" s="17" t="s">
        <v>2098</v>
      </c>
      <c r="K1195" s="23">
        <v>0</v>
      </c>
      <c r="L1195" s="234">
        <f>((M1195*5))*1</f>
        <v>860</v>
      </c>
      <c r="M1195" s="23">
        <v>172</v>
      </c>
      <c r="N1195" s="23">
        <v>9</v>
      </c>
      <c r="O1195" s="23">
        <v>0</v>
      </c>
      <c r="P1195" s="23">
        <v>0</v>
      </c>
      <c r="Q1195" s="92">
        <v>0</v>
      </c>
      <c r="R1195" s="93">
        <v>150.76599999999999</v>
      </c>
      <c r="S1195" s="19" t="str">
        <f>+fo</f>
        <v>FONDEN</v>
      </c>
      <c r="T1195" s="257">
        <f t="shared" si="43"/>
        <v>860</v>
      </c>
      <c r="U1195" s="257">
        <f t="shared" si="44"/>
        <v>181</v>
      </c>
      <c r="V1195">
        <v>1</v>
      </c>
      <c r="W1195">
        <v>1</v>
      </c>
    </row>
    <row r="1196" spans="1:23" ht="45.6" x14ac:dyDescent="0.3">
      <c r="A1196" s="129">
        <v>39685</v>
      </c>
      <c r="B1196" s="129">
        <v>39686</v>
      </c>
      <c r="C1196" s="6">
        <v>8</v>
      </c>
      <c r="D1196" s="6">
        <v>2</v>
      </c>
      <c r="E1196" s="19">
        <v>2008</v>
      </c>
      <c r="F1196" s="15" t="s">
        <v>22</v>
      </c>
      <c r="G1196" s="16" t="s">
        <v>6256</v>
      </c>
      <c r="H1196" s="9" t="s">
        <v>28</v>
      </c>
      <c r="I1196" s="17" t="s">
        <v>2017</v>
      </c>
      <c r="J1196" s="17" t="s">
        <v>2099</v>
      </c>
      <c r="K1196" s="23">
        <v>0</v>
      </c>
      <c r="L1196" s="234">
        <f>((M1196*5))*1</f>
        <v>455</v>
      </c>
      <c r="M1196" s="23">
        <v>91</v>
      </c>
      <c r="N1196" s="23">
        <v>0</v>
      </c>
      <c r="O1196" s="23">
        <v>0</v>
      </c>
      <c r="P1196" s="23">
        <v>0</v>
      </c>
      <c r="Q1196" s="92">
        <v>0</v>
      </c>
      <c r="R1196" s="93">
        <v>146.548777</v>
      </c>
      <c r="S1196" s="19" t="str">
        <f>+fo</f>
        <v>FONDEN</v>
      </c>
      <c r="T1196" s="257">
        <f t="shared" si="43"/>
        <v>455</v>
      </c>
      <c r="U1196" s="257">
        <f t="shared" si="44"/>
        <v>91</v>
      </c>
      <c r="V1196">
        <v>1</v>
      </c>
      <c r="W1196">
        <v>1</v>
      </c>
    </row>
    <row r="1197" spans="1:23" ht="34.200000000000003" x14ac:dyDescent="0.3">
      <c r="A1197" s="129">
        <v>39685</v>
      </c>
      <c r="B1197" s="129">
        <v>39685</v>
      </c>
      <c r="C1197" s="6">
        <v>8</v>
      </c>
      <c r="D1197" s="6">
        <v>1</v>
      </c>
      <c r="E1197" s="19">
        <v>2008</v>
      </c>
      <c r="F1197" s="15" t="s">
        <v>22</v>
      </c>
      <c r="G1197" s="16" t="s">
        <v>6256</v>
      </c>
      <c r="H1197" s="9" t="s">
        <v>43</v>
      </c>
      <c r="I1197" s="17" t="s">
        <v>2100</v>
      </c>
      <c r="J1197" s="17" t="s">
        <v>2101</v>
      </c>
      <c r="K1197" s="23">
        <v>2</v>
      </c>
      <c r="L1197" s="234">
        <v>2</v>
      </c>
      <c r="M1197" s="23">
        <v>0</v>
      </c>
      <c r="N1197" s="23">
        <v>0</v>
      </c>
      <c r="O1197" s="23">
        <v>0</v>
      </c>
      <c r="P1197" s="23">
        <v>0</v>
      </c>
      <c r="Q1197" s="92">
        <v>0</v>
      </c>
      <c r="R1197" s="93">
        <v>0</v>
      </c>
      <c r="S1197" s="19" t="s">
        <v>115</v>
      </c>
      <c r="T1197" s="257">
        <f t="shared" si="43"/>
        <v>4</v>
      </c>
      <c r="U1197" s="257">
        <f t="shared" si="44"/>
        <v>0</v>
      </c>
      <c r="V1197">
        <v>1</v>
      </c>
      <c r="W1197">
        <v>0</v>
      </c>
    </row>
    <row r="1198" spans="1:23" ht="22.8" x14ac:dyDescent="0.3">
      <c r="A1198" s="129">
        <v>39685</v>
      </c>
      <c r="B1198" s="129">
        <v>39685</v>
      </c>
      <c r="C1198" s="6">
        <v>8</v>
      </c>
      <c r="D1198" s="6">
        <v>1</v>
      </c>
      <c r="E1198" s="19">
        <v>2008</v>
      </c>
      <c r="F1198" s="15" t="s">
        <v>22</v>
      </c>
      <c r="G1198" s="16" t="s">
        <v>6256</v>
      </c>
      <c r="H1198" s="9" t="s">
        <v>88</v>
      </c>
      <c r="I1198" s="17" t="s">
        <v>2102</v>
      </c>
      <c r="J1198" s="17" t="s">
        <v>2103</v>
      </c>
      <c r="K1198" s="23">
        <v>2</v>
      </c>
      <c r="L1198" s="234">
        <v>1122</v>
      </c>
      <c r="M1198" s="23">
        <v>2375</v>
      </c>
      <c r="N1198" s="23">
        <v>0</v>
      </c>
      <c r="O1198" s="23">
        <v>0</v>
      </c>
      <c r="P1198" s="23">
        <v>0</v>
      </c>
      <c r="Q1198" s="92">
        <v>0</v>
      </c>
      <c r="R1198" s="93">
        <v>11.07795</v>
      </c>
      <c r="S1198" s="19" t="s">
        <v>115</v>
      </c>
      <c r="T1198" s="257">
        <f t="shared" si="43"/>
        <v>1124</v>
      </c>
      <c r="U1198" s="257">
        <f t="shared" si="44"/>
        <v>2375</v>
      </c>
      <c r="V1198">
        <v>1</v>
      </c>
      <c r="W1198">
        <v>2</v>
      </c>
    </row>
    <row r="1199" spans="1:23" ht="68.400000000000006" x14ac:dyDescent="0.3">
      <c r="A1199" s="129">
        <v>39685</v>
      </c>
      <c r="B1199" s="129">
        <v>39685</v>
      </c>
      <c r="C1199" s="6">
        <v>8</v>
      </c>
      <c r="D1199" s="6">
        <v>1</v>
      </c>
      <c r="E1199" s="19">
        <v>2008</v>
      </c>
      <c r="F1199" s="15" t="s">
        <v>22</v>
      </c>
      <c r="G1199" s="16" t="s">
        <v>6256</v>
      </c>
      <c r="H1199" s="9" t="s">
        <v>56</v>
      </c>
      <c r="I1199" s="17" t="s">
        <v>2104</v>
      </c>
      <c r="J1199" s="17" t="s">
        <v>2105</v>
      </c>
      <c r="K1199" s="23">
        <v>0</v>
      </c>
      <c r="L1199" s="234">
        <v>1565</v>
      </c>
      <c r="M1199" s="23">
        <v>0</v>
      </c>
      <c r="N1199" s="23">
        <v>0</v>
      </c>
      <c r="O1199" s="23">
        <v>0</v>
      </c>
      <c r="P1199" s="23">
        <v>0</v>
      </c>
      <c r="Q1199" s="92">
        <v>4071.4</v>
      </c>
      <c r="R1199" s="93">
        <v>108.651</v>
      </c>
      <c r="S1199" s="19" t="s">
        <v>1904</v>
      </c>
      <c r="T1199" s="257">
        <f t="shared" si="43"/>
        <v>1565</v>
      </c>
      <c r="U1199" s="257">
        <f t="shared" si="44"/>
        <v>0</v>
      </c>
      <c r="V1199">
        <v>1</v>
      </c>
      <c r="W1199">
        <v>0</v>
      </c>
    </row>
    <row r="1200" spans="1:23" ht="22.8" x14ac:dyDescent="0.3">
      <c r="A1200" s="129">
        <v>39686</v>
      </c>
      <c r="B1200" s="129">
        <v>39686</v>
      </c>
      <c r="C1200" s="6">
        <v>8</v>
      </c>
      <c r="D1200" s="6">
        <v>1</v>
      </c>
      <c r="E1200" s="19">
        <v>2008</v>
      </c>
      <c r="F1200" s="15" t="s">
        <v>22</v>
      </c>
      <c r="G1200" s="16" t="s">
        <v>6256</v>
      </c>
      <c r="H1200" s="9" t="s">
        <v>74</v>
      </c>
      <c r="I1200" s="17" t="s">
        <v>95</v>
      </c>
      <c r="J1200" s="17" t="s">
        <v>2106</v>
      </c>
      <c r="K1200" s="23">
        <v>0</v>
      </c>
      <c r="L1200" s="234">
        <f>((M1200*5))*1</f>
        <v>2025</v>
      </c>
      <c r="M1200" s="23">
        <v>405</v>
      </c>
      <c r="N1200" s="23">
        <v>4</v>
      </c>
      <c r="O1200" s="23">
        <v>0</v>
      </c>
      <c r="P1200" s="23">
        <v>0</v>
      </c>
      <c r="Q1200" s="92">
        <v>0</v>
      </c>
      <c r="R1200" s="93">
        <v>67.434287999999995</v>
      </c>
      <c r="S1200" s="19" t="str">
        <f>+fo</f>
        <v>FONDEN</v>
      </c>
      <c r="T1200" s="257">
        <f t="shared" si="43"/>
        <v>2025</v>
      </c>
      <c r="U1200" s="257">
        <f t="shared" si="44"/>
        <v>409</v>
      </c>
      <c r="V1200">
        <v>1</v>
      </c>
      <c r="W1200">
        <v>1</v>
      </c>
    </row>
    <row r="1201" spans="1:23" ht="45.6" x14ac:dyDescent="0.3">
      <c r="A1201" s="129">
        <v>39687</v>
      </c>
      <c r="B1201" s="129">
        <v>39687</v>
      </c>
      <c r="C1201" s="6">
        <v>8</v>
      </c>
      <c r="D1201" s="6">
        <v>1</v>
      </c>
      <c r="E1201" s="19">
        <v>2008</v>
      </c>
      <c r="F1201" s="15" t="s">
        <v>22</v>
      </c>
      <c r="G1201" s="16" t="s">
        <v>6256</v>
      </c>
      <c r="H1201" s="9" t="s">
        <v>51</v>
      </c>
      <c r="I1201" s="17" t="s">
        <v>690</v>
      </c>
      <c r="J1201" s="17" t="s">
        <v>2107</v>
      </c>
      <c r="K1201" s="23">
        <v>0</v>
      </c>
      <c r="L1201" s="234">
        <f>((M1201*5))*1</f>
        <v>130</v>
      </c>
      <c r="M1201" s="23">
        <v>26</v>
      </c>
      <c r="N1201" s="23">
        <v>0</v>
      </c>
      <c r="O1201" s="23">
        <v>0</v>
      </c>
      <c r="P1201" s="23">
        <v>0</v>
      </c>
      <c r="Q1201" s="92">
        <v>0</v>
      </c>
      <c r="R1201" s="93"/>
      <c r="S1201" s="19" t="s">
        <v>115</v>
      </c>
      <c r="T1201" s="257">
        <f t="shared" si="43"/>
        <v>130</v>
      </c>
      <c r="U1201" s="257">
        <f t="shared" si="44"/>
        <v>26</v>
      </c>
      <c r="V1201">
        <v>1</v>
      </c>
      <c r="W1201">
        <v>1</v>
      </c>
    </row>
    <row r="1202" spans="1:23" ht="34.200000000000003" x14ac:dyDescent="0.3">
      <c r="A1202" s="129">
        <v>39687</v>
      </c>
      <c r="B1202" s="129">
        <v>39688</v>
      </c>
      <c r="C1202" s="6">
        <v>8</v>
      </c>
      <c r="D1202" s="6">
        <v>2</v>
      </c>
      <c r="E1202" s="19">
        <v>2008</v>
      </c>
      <c r="F1202" s="15" t="s">
        <v>22</v>
      </c>
      <c r="G1202" s="16" t="s">
        <v>6256</v>
      </c>
      <c r="H1202" s="9" t="s">
        <v>31</v>
      </c>
      <c r="I1202" s="17" t="s">
        <v>2108</v>
      </c>
      <c r="J1202" s="17" t="s">
        <v>2103</v>
      </c>
      <c r="K1202" s="23">
        <v>0</v>
      </c>
      <c r="L1202" s="234">
        <f>((M1202*5))*1</f>
        <v>415</v>
      </c>
      <c r="M1202" s="23">
        <v>83</v>
      </c>
      <c r="N1202" s="23">
        <v>0</v>
      </c>
      <c r="O1202" s="23">
        <v>0</v>
      </c>
      <c r="P1202" s="23">
        <v>0</v>
      </c>
      <c r="Q1202" s="92">
        <v>0</v>
      </c>
      <c r="R1202" s="93">
        <v>0.16600000000000001</v>
      </c>
      <c r="S1202" s="19" t="s">
        <v>115</v>
      </c>
      <c r="T1202" s="257">
        <f t="shared" si="43"/>
        <v>415</v>
      </c>
      <c r="U1202" s="257">
        <f t="shared" si="44"/>
        <v>83</v>
      </c>
      <c r="V1202">
        <v>1</v>
      </c>
      <c r="W1202">
        <v>1</v>
      </c>
    </row>
    <row r="1203" spans="1:23" ht="34.200000000000003" x14ac:dyDescent="0.3">
      <c r="A1203" s="129">
        <v>39689</v>
      </c>
      <c r="B1203" s="129">
        <v>39690</v>
      </c>
      <c r="C1203" s="6">
        <v>8</v>
      </c>
      <c r="D1203" s="6">
        <v>2</v>
      </c>
      <c r="E1203" s="19">
        <v>2008</v>
      </c>
      <c r="F1203" s="15" t="s">
        <v>22</v>
      </c>
      <c r="G1203" s="16" t="s">
        <v>6256</v>
      </c>
      <c r="H1203" s="9" t="s">
        <v>37</v>
      </c>
      <c r="I1203" s="17" t="s">
        <v>2109</v>
      </c>
      <c r="J1203" s="17" t="s">
        <v>2110</v>
      </c>
      <c r="K1203" s="23">
        <v>0</v>
      </c>
      <c r="L1203" s="234">
        <v>220</v>
      </c>
      <c r="M1203" s="23">
        <v>0</v>
      </c>
      <c r="N1203" s="23">
        <v>0</v>
      </c>
      <c r="O1203" s="23">
        <v>0</v>
      </c>
      <c r="P1203" s="23">
        <v>0</v>
      </c>
      <c r="Q1203" s="92">
        <v>0</v>
      </c>
      <c r="R1203" s="93">
        <v>0</v>
      </c>
      <c r="S1203" s="19" t="s">
        <v>115</v>
      </c>
      <c r="T1203" s="257">
        <f t="shared" si="43"/>
        <v>220</v>
      </c>
      <c r="U1203" s="257">
        <f t="shared" si="44"/>
        <v>0</v>
      </c>
      <c r="V1203">
        <v>1</v>
      </c>
      <c r="W1203">
        <v>0</v>
      </c>
    </row>
    <row r="1204" spans="1:23" ht="148.19999999999999" x14ac:dyDescent="0.3">
      <c r="A1204" s="129">
        <v>39689</v>
      </c>
      <c r="B1204" s="129">
        <v>39689</v>
      </c>
      <c r="C1204" s="6">
        <v>8</v>
      </c>
      <c r="D1204" s="6">
        <v>1</v>
      </c>
      <c r="E1204" s="19">
        <v>2008</v>
      </c>
      <c r="F1204" s="15" t="s">
        <v>22</v>
      </c>
      <c r="G1204" s="16" t="s">
        <v>6256</v>
      </c>
      <c r="H1204" s="9" t="s">
        <v>34</v>
      </c>
      <c r="I1204" s="17" t="s">
        <v>2111</v>
      </c>
      <c r="J1204" s="17" t="s">
        <v>2112</v>
      </c>
      <c r="K1204" s="23">
        <v>3</v>
      </c>
      <c r="L1204" s="234">
        <v>12503</v>
      </c>
      <c r="M1204" s="23">
        <v>2500</v>
      </c>
      <c r="N1204" s="23">
        <v>0</v>
      </c>
      <c r="O1204" s="23">
        <v>0</v>
      </c>
      <c r="P1204" s="23">
        <v>0</v>
      </c>
      <c r="Q1204" s="92">
        <v>0</v>
      </c>
      <c r="R1204" s="93">
        <v>11.661</v>
      </c>
      <c r="S1204" s="19" t="s">
        <v>115</v>
      </c>
      <c r="T1204" s="257">
        <f t="shared" si="43"/>
        <v>12506</v>
      </c>
      <c r="U1204" s="257">
        <f t="shared" si="44"/>
        <v>2500</v>
      </c>
      <c r="V1204">
        <v>2</v>
      </c>
      <c r="W1204">
        <v>2</v>
      </c>
    </row>
    <row r="1205" spans="1:23" ht="91.2" x14ac:dyDescent="0.3">
      <c r="A1205" s="129">
        <v>39689</v>
      </c>
      <c r="B1205" s="129">
        <v>39689</v>
      </c>
      <c r="C1205" s="6">
        <v>8</v>
      </c>
      <c r="D1205" s="6">
        <v>1</v>
      </c>
      <c r="E1205" s="19">
        <v>2008</v>
      </c>
      <c r="F1205" s="15" t="s">
        <v>22</v>
      </c>
      <c r="G1205" s="16" t="s">
        <v>6256</v>
      </c>
      <c r="H1205" s="9" t="s">
        <v>34</v>
      </c>
      <c r="I1205" s="17" t="s">
        <v>2113</v>
      </c>
      <c r="J1205" s="17" t="s">
        <v>2114</v>
      </c>
      <c r="K1205" s="23">
        <v>0</v>
      </c>
      <c r="L1205" s="234">
        <v>729</v>
      </c>
      <c r="M1205" s="23">
        <v>0</v>
      </c>
      <c r="N1205" s="23">
        <v>0</v>
      </c>
      <c r="O1205" s="23">
        <v>0</v>
      </c>
      <c r="P1205" s="23">
        <v>0</v>
      </c>
      <c r="Q1205" s="92">
        <v>1500.8</v>
      </c>
      <c r="R1205" s="93">
        <v>13.236000000000001</v>
      </c>
      <c r="S1205" s="19" t="s">
        <v>1904</v>
      </c>
      <c r="T1205" s="257">
        <f t="shared" si="43"/>
        <v>729</v>
      </c>
      <c r="U1205" s="257">
        <f t="shared" si="44"/>
        <v>0</v>
      </c>
      <c r="V1205">
        <v>1</v>
      </c>
      <c r="W1205">
        <v>0</v>
      </c>
    </row>
    <row r="1206" spans="1:23" ht="68.400000000000006" x14ac:dyDescent="0.3">
      <c r="A1206" s="129">
        <v>39689</v>
      </c>
      <c r="B1206" s="129">
        <v>39689</v>
      </c>
      <c r="C1206" s="6">
        <v>8</v>
      </c>
      <c r="D1206" s="6">
        <v>1</v>
      </c>
      <c r="E1206" s="19">
        <v>2008</v>
      </c>
      <c r="F1206" s="15" t="s">
        <v>22</v>
      </c>
      <c r="G1206" s="16" t="s">
        <v>6256</v>
      </c>
      <c r="H1206" s="9" t="s">
        <v>34</v>
      </c>
      <c r="I1206" s="17" t="s">
        <v>2115</v>
      </c>
      <c r="J1206" s="17" t="s">
        <v>2116</v>
      </c>
      <c r="K1206" s="23">
        <v>0</v>
      </c>
      <c r="L1206" s="234">
        <v>133</v>
      </c>
      <c r="M1206" s="23">
        <v>0</v>
      </c>
      <c r="N1206" s="23">
        <v>0</v>
      </c>
      <c r="O1206" s="23">
        <v>0</v>
      </c>
      <c r="P1206" s="23">
        <v>0</v>
      </c>
      <c r="Q1206" s="92">
        <v>227.7</v>
      </c>
      <c r="R1206" s="93">
        <v>1.5149999999999999</v>
      </c>
      <c r="S1206" s="19" t="s">
        <v>1904</v>
      </c>
      <c r="T1206" s="257">
        <f t="shared" si="43"/>
        <v>133</v>
      </c>
      <c r="U1206" s="257">
        <f t="shared" si="44"/>
        <v>0</v>
      </c>
      <c r="V1206">
        <v>1</v>
      </c>
      <c r="W1206">
        <v>0</v>
      </c>
    </row>
    <row r="1207" spans="1:23" ht="57" x14ac:dyDescent="0.3">
      <c r="A1207" s="129">
        <v>39690</v>
      </c>
      <c r="B1207" s="129">
        <v>39690</v>
      </c>
      <c r="C1207" s="6">
        <v>8</v>
      </c>
      <c r="D1207" s="6">
        <v>1</v>
      </c>
      <c r="E1207" s="19">
        <v>2008</v>
      </c>
      <c r="F1207" s="15" t="s">
        <v>22</v>
      </c>
      <c r="G1207" s="16" t="s">
        <v>6256</v>
      </c>
      <c r="H1207" s="9" t="s">
        <v>34</v>
      </c>
      <c r="I1207" s="17" t="str">
        <f>+va&amp;" (6)"</f>
        <v>varios municipios (6)</v>
      </c>
      <c r="J1207" s="17" t="s">
        <v>2117</v>
      </c>
      <c r="K1207" s="23">
        <v>0</v>
      </c>
      <c r="L1207" s="234">
        <f>((M1207*5))*1</f>
        <v>2905</v>
      </c>
      <c r="M1207" s="23">
        <v>581</v>
      </c>
      <c r="N1207" s="23">
        <v>6</v>
      </c>
      <c r="O1207" s="23">
        <v>0</v>
      </c>
      <c r="P1207" s="23">
        <v>0</v>
      </c>
      <c r="Q1207" s="92">
        <v>0</v>
      </c>
      <c r="R1207" s="93">
        <v>176.293036</v>
      </c>
      <c r="S1207" s="19" t="str">
        <f>+fo</f>
        <v>FONDEN</v>
      </c>
      <c r="T1207" s="257">
        <f t="shared" si="43"/>
        <v>2905</v>
      </c>
      <c r="U1207" s="257">
        <f t="shared" si="44"/>
        <v>587</v>
      </c>
      <c r="V1207">
        <v>1</v>
      </c>
      <c r="W1207">
        <v>1</v>
      </c>
    </row>
    <row r="1208" spans="1:23" ht="57" x14ac:dyDescent="0.3">
      <c r="A1208" s="129">
        <v>39694</v>
      </c>
      <c r="B1208" s="129">
        <v>39703</v>
      </c>
      <c r="C1208" s="6">
        <v>9</v>
      </c>
      <c r="D1208" s="6">
        <v>10</v>
      </c>
      <c r="E1208" s="19">
        <v>2008</v>
      </c>
      <c r="F1208" s="15" t="s">
        <v>22</v>
      </c>
      <c r="G1208" s="16" t="s">
        <v>6256</v>
      </c>
      <c r="H1208" s="9" t="s">
        <v>34</v>
      </c>
      <c r="I1208" s="17" t="str">
        <f>+va&amp;" (12)"</f>
        <v>varios municipios (12)</v>
      </c>
      <c r="J1208" s="17" t="s">
        <v>2118</v>
      </c>
      <c r="K1208" s="23">
        <v>0</v>
      </c>
      <c r="L1208" s="234">
        <f>((M1208*5))*1</f>
        <v>1765</v>
      </c>
      <c r="M1208" s="23">
        <v>353</v>
      </c>
      <c r="N1208" s="23">
        <v>2</v>
      </c>
      <c r="O1208" s="23">
        <v>0</v>
      </c>
      <c r="P1208" s="23">
        <v>0</v>
      </c>
      <c r="Q1208" s="92">
        <v>0</v>
      </c>
      <c r="R1208" s="93">
        <v>379.92099999999999</v>
      </c>
      <c r="S1208" s="19" t="str">
        <f>+fo</f>
        <v>FONDEN</v>
      </c>
      <c r="T1208" s="257">
        <f t="shared" si="43"/>
        <v>1765</v>
      </c>
      <c r="U1208" s="257">
        <f t="shared" si="44"/>
        <v>355</v>
      </c>
      <c r="V1208">
        <v>1</v>
      </c>
      <c r="W1208">
        <v>1</v>
      </c>
    </row>
    <row r="1209" spans="1:23" ht="22.8" x14ac:dyDescent="0.3">
      <c r="A1209" s="129">
        <v>39694</v>
      </c>
      <c r="B1209" s="129">
        <v>39694</v>
      </c>
      <c r="C1209" s="6">
        <v>9</v>
      </c>
      <c r="D1209" s="6">
        <v>1</v>
      </c>
      <c r="E1209" s="19">
        <v>2008</v>
      </c>
      <c r="F1209" s="15" t="s">
        <v>22</v>
      </c>
      <c r="G1209" s="16" t="s">
        <v>6256</v>
      </c>
      <c r="H1209" s="9" t="s">
        <v>51</v>
      </c>
      <c r="I1209" s="17" t="s">
        <v>2119</v>
      </c>
      <c r="J1209" s="17" t="s">
        <v>2120</v>
      </c>
      <c r="K1209" s="23">
        <v>5</v>
      </c>
      <c r="L1209" s="234">
        <v>35</v>
      </c>
      <c r="M1209" s="23">
        <v>6</v>
      </c>
      <c r="N1209" s="23">
        <v>0</v>
      </c>
      <c r="O1209" s="23">
        <v>0</v>
      </c>
      <c r="P1209" s="23">
        <v>0</v>
      </c>
      <c r="Q1209" s="92">
        <v>0</v>
      </c>
      <c r="R1209" s="93">
        <v>2.7980000000000001E-2</v>
      </c>
      <c r="S1209" s="19" t="s">
        <v>115</v>
      </c>
      <c r="T1209" s="257">
        <f t="shared" si="43"/>
        <v>40</v>
      </c>
      <c r="U1209" s="257">
        <f t="shared" si="44"/>
        <v>6</v>
      </c>
      <c r="V1209">
        <v>1</v>
      </c>
      <c r="W1209">
        <v>1</v>
      </c>
    </row>
    <row r="1210" spans="1:23" ht="22.8" x14ac:dyDescent="0.3">
      <c r="A1210" s="129">
        <v>39694</v>
      </c>
      <c r="B1210" s="129">
        <v>39694</v>
      </c>
      <c r="C1210" s="6">
        <v>9</v>
      </c>
      <c r="D1210" s="6">
        <v>1</v>
      </c>
      <c r="E1210" s="19">
        <v>2008</v>
      </c>
      <c r="F1210" s="15" t="s">
        <v>22</v>
      </c>
      <c r="G1210" s="16" t="s">
        <v>6256</v>
      </c>
      <c r="H1210" s="9" t="s">
        <v>52</v>
      </c>
      <c r="I1210" s="17" t="s">
        <v>2121</v>
      </c>
      <c r="J1210" s="17" t="s">
        <v>2122</v>
      </c>
      <c r="K1210" s="23">
        <v>0</v>
      </c>
      <c r="L1210" s="234">
        <f>((M1210*5))*1</f>
        <v>200</v>
      </c>
      <c r="M1210" s="23">
        <v>40</v>
      </c>
      <c r="N1210" s="23">
        <v>0</v>
      </c>
      <c r="O1210" s="23">
        <v>0</v>
      </c>
      <c r="P1210" s="23">
        <v>0</v>
      </c>
      <c r="Q1210" s="92">
        <v>0</v>
      </c>
      <c r="R1210" s="93">
        <v>1.6679600000000001</v>
      </c>
      <c r="S1210" s="19" t="s">
        <v>115</v>
      </c>
      <c r="T1210" s="257">
        <f t="shared" si="43"/>
        <v>200</v>
      </c>
      <c r="U1210" s="257">
        <f t="shared" si="44"/>
        <v>40</v>
      </c>
      <c r="V1210">
        <v>1</v>
      </c>
      <c r="W1210">
        <v>1</v>
      </c>
    </row>
    <row r="1211" spans="1:23" ht="57" x14ac:dyDescent="0.3">
      <c r="A1211" s="129">
        <v>39695</v>
      </c>
      <c r="B1211" s="129">
        <v>39696</v>
      </c>
      <c r="C1211" s="6">
        <v>9</v>
      </c>
      <c r="D1211" s="6">
        <v>2</v>
      </c>
      <c r="E1211" s="19">
        <v>2008</v>
      </c>
      <c r="F1211" s="15" t="s">
        <v>22</v>
      </c>
      <c r="G1211" s="16" t="s">
        <v>6256</v>
      </c>
      <c r="H1211" s="9" t="s">
        <v>57</v>
      </c>
      <c r="I1211" s="17" t="s">
        <v>95</v>
      </c>
      <c r="J1211" s="17" t="s">
        <v>2123</v>
      </c>
      <c r="K1211" s="23">
        <v>0</v>
      </c>
      <c r="L1211" s="234">
        <f>((M1211*5))*1</f>
        <v>465</v>
      </c>
      <c r="M1211" s="23">
        <v>93</v>
      </c>
      <c r="N1211" s="23">
        <v>0</v>
      </c>
      <c r="O1211" s="23">
        <v>0</v>
      </c>
      <c r="P1211" s="23">
        <v>0</v>
      </c>
      <c r="Q1211" s="92">
        <v>0</v>
      </c>
      <c r="R1211" s="93">
        <v>129.512</v>
      </c>
      <c r="S1211" s="19" t="str">
        <f>+fo</f>
        <v>FONDEN</v>
      </c>
      <c r="T1211" s="257">
        <f t="shared" si="43"/>
        <v>465</v>
      </c>
      <c r="U1211" s="257">
        <f t="shared" si="44"/>
        <v>93</v>
      </c>
      <c r="V1211">
        <v>1</v>
      </c>
      <c r="W1211">
        <v>1</v>
      </c>
    </row>
    <row r="1212" spans="1:23" ht="22.8" x14ac:dyDescent="0.3">
      <c r="A1212" s="129">
        <v>39697</v>
      </c>
      <c r="B1212" s="129">
        <v>39698</v>
      </c>
      <c r="C1212" s="6">
        <v>9</v>
      </c>
      <c r="D1212" s="6">
        <v>2</v>
      </c>
      <c r="E1212" s="19">
        <v>2008</v>
      </c>
      <c r="F1212" s="15" t="s">
        <v>22</v>
      </c>
      <c r="G1212" s="16" t="s">
        <v>6256</v>
      </c>
      <c r="H1212" s="9" t="s">
        <v>56</v>
      </c>
      <c r="I1212" s="17" t="s">
        <v>2124</v>
      </c>
      <c r="J1212" s="17" t="s">
        <v>2125</v>
      </c>
      <c r="K1212" s="23">
        <v>0</v>
      </c>
      <c r="L1212" s="234">
        <v>1670</v>
      </c>
      <c r="M1212" s="23">
        <v>0</v>
      </c>
      <c r="N1212" s="23">
        <v>0</v>
      </c>
      <c r="O1212" s="23">
        <v>0</v>
      </c>
      <c r="P1212" s="23">
        <v>0</v>
      </c>
      <c r="Q1212" s="92">
        <v>0</v>
      </c>
      <c r="R1212" s="93">
        <v>0</v>
      </c>
      <c r="S1212" s="19" t="s">
        <v>115</v>
      </c>
      <c r="T1212" s="257">
        <f t="shared" si="43"/>
        <v>1670</v>
      </c>
      <c r="U1212" s="257">
        <f t="shared" si="44"/>
        <v>0</v>
      </c>
      <c r="V1212">
        <v>1</v>
      </c>
      <c r="W1212">
        <v>0</v>
      </c>
    </row>
    <row r="1213" spans="1:23" ht="22.8" x14ac:dyDescent="0.3">
      <c r="A1213" s="129">
        <v>39697</v>
      </c>
      <c r="B1213" s="129">
        <v>39698</v>
      </c>
      <c r="C1213" s="6">
        <v>9</v>
      </c>
      <c r="D1213" s="6">
        <v>2</v>
      </c>
      <c r="E1213" s="19">
        <v>2008</v>
      </c>
      <c r="F1213" s="15" t="s">
        <v>22</v>
      </c>
      <c r="G1213" s="16" t="s">
        <v>6256</v>
      </c>
      <c r="H1213" s="9" t="s">
        <v>61</v>
      </c>
      <c r="I1213" s="17" t="s">
        <v>2126</v>
      </c>
      <c r="J1213" s="17" t="s">
        <v>2127</v>
      </c>
      <c r="K1213" s="23">
        <v>0</v>
      </c>
      <c r="L1213" s="234">
        <f>((M1213*5))*1</f>
        <v>2125</v>
      </c>
      <c r="M1213" s="23">
        <v>425</v>
      </c>
      <c r="N1213" s="23">
        <v>0</v>
      </c>
      <c r="O1213" s="23">
        <v>0</v>
      </c>
      <c r="P1213" s="23">
        <v>0</v>
      </c>
      <c r="Q1213" s="92">
        <v>0</v>
      </c>
      <c r="R1213" s="93">
        <v>1.98237</v>
      </c>
      <c r="S1213" s="19" t="s">
        <v>115</v>
      </c>
      <c r="T1213" s="257">
        <f t="shared" si="43"/>
        <v>2125</v>
      </c>
      <c r="U1213" s="257">
        <f t="shared" si="44"/>
        <v>425</v>
      </c>
      <c r="V1213">
        <v>1</v>
      </c>
      <c r="W1213">
        <v>1</v>
      </c>
    </row>
    <row r="1214" spans="1:23" ht="57" x14ac:dyDescent="0.3">
      <c r="A1214" s="129">
        <v>39696</v>
      </c>
      <c r="B1214" s="129">
        <v>39699</v>
      </c>
      <c r="C1214" s="6">
        <v>9</v>
      </c>
      <c r="D1214" s="6">
        <v>4</v>
      </c>
      <c r="E1214" s="19">
        <v>2008</v>
      </c>
      <c r="F1214" s="15" t="s">
        <v>22</v>
      </c>
      <c r="G1214" s="16" t="s">
        <v>6256</v>
      </c>
      <c r="H1214" s="9" t="s">
        <v>174</v>
      </c>
      <c r="I1214" s="17" t="s">
        <v>2128</v>
      </c>
      <c r="J1214" s="17" t="s">
        <v>2129</v>
      </c>
      <c r="K1214" s="23">
        <v>0</v>
      </c>
      <c r="L1214" s="234">
        <f>((M1214*5))*1</f>
        <v>5565</v>
      </c>
      <c r="M1214" s="23">
        <v>1113</v>
      </c>
      <c r="N1214" s="23">
        <v>0</v>
      </c>
      <c r="O1214" s="23">
        <v>40</v>
      </c>
      <c r="P1214" s="23">
        <v>0</v>
      </c>
      <c r="Q1214" s="92">
        <v>0</v>
      </c>
      <c r="R1214" s="93">
        <v>346.61700000000002</v>
      </c>
      <c r="S1214" s="19" t="str">
        <f>+fo</f>
        <v>FONDEN</v>
      </c>
      <c r="T1214" s="257">
        <f t="shared" si="43"/>
        <v>5565</v>
      </c>
      <c r="U1214" s="257">
        <f t="shared" si="44"/>
        <v>1153</v>
      </c>
      <c r="V1214">
        <v>1</v>
      </c>
      <c r="W1214">
        <v>2</v>
      </c>
    </row>
    <row r="1215" spans="1:23" ht="125.4" x14ac:dyDescent="0.3">
      <c r="A1215" s="129">
        <v>39696</v>
      </c>
      <c r="B1215" s="129">
        <v>39697</v>
      </c>
      <c r="C1215" s="6">
        <v>9</v>
      </c>
      <c r="D1215" s="6">
        <v>2</v>
      </c>
      <c r="E1215" s="19">
        <v>2008</v>
      </c>
      <c r="F1215" s="15" t="s">
        <v>22</v>
      </c>
      <c r="G1215" s="16" t="s">
        <v>6256</v>
      </c>
      <c r="H1215" s="9" t="s">
        <v>174</v>
      </c>
      <c r="I1215" s="17" t="s">
        <v>2130</v>
      </c>
      <c r="J1215" s="17" t="s">
        <v>2131</v>
      </c>
      <c r="K1215" s="23">
        <v>2</v>
      </c>
      <c r="L1215" s="234">
        <f>((M1215*5))*1</f>
        <v>15920</v>
      </c>
      <c r="M1215" s="23">
        <v>3184</v>
      </c>
      <c r="N1215" s="23">
        <v>0</v>
      </c>
      <c r="O1215" s="23">
        <v>0</v>
      </c>
      <c r="P1215" s="23">
        <v>0</v>
      </c>
      <c r="Q1215" s="92">
        <v>0</v>
      </c>
      <c r="R1215" s="93">
        <v>6.3680000000000003</v>
      </c>
      <c r="S1215" s="19" t="s">
        <v>115</v>
      </c>
      <c r="T1215" s="257">
        <f t="shared" si="43"/>
        <v>15922</v>
      </c>
      <c r="U1215" s="257">
        <f t="shared" si="44"/>
        <v>3184</v>
      </c>
      <c r="V1215">
        <v>2</v>
      </c>
      <c r="W1215">
        <v>2</v>
      </c>
    </row>
    <row r="1216" spans="1:23" x14ac:dyDescent="0.3">
      <c r="A1216" s="212">
        <v>38353</v>
      </c>
      <c r="B1216" s="212">
        <v>38717</v>
      </c>
      <c r="C1216" s="6">
        <v>1</v>
      </c>
      <c r="D1216" s="6">
        <v>365</v>
      </c>
      <c r="E1216" s="76">
        <v>2005</v>
      </c>
      <c r="F1216" s="15" t="s">
        <v>22</v>
      </c>
      <c r="G1216" s="16" t="s">
        <v>23</v>
      </c>
      <c r="H1216" s="9" t="s">
        <v>48</v>
      </c>
      <c r="I1216" s="34" t="s">
        <v>1109</v>
      </c>
      <c r="J1216" s="65" t="s">
        <v>1232</v>
      </c>
      <c r="K1216" s="6">
        <v>0</v>
      </c>
      <c r="L1216" s="233">
        <v>11149</v>
      </c>
      <c r="M1216" s="13">
        <v>0</v>
      </c>
      <c r="N1216" s="13">
        <v>0</v>
      </c>
      <c r="O1216" s="37">
        <v>0</v>
      </c>
      <c r="P1216" s="37">
        <v>0</v>
      </c>
      <c r="Q1216" s="37">
        <v>2634</v>
      </c>
      <c r="R1216" s="99">
        <v>2</v>
      </c>
      <c r="S1216" s="7" t="s">
        <v>115</v>
      </c>
      <c r="T1216" s="257">
        <f t="shared" si="43"/>
        <v>11149</v>
      </c>
      <c r="U1216" s="257">
        <f t="shared" si="44"/>
        <v>0</v>
      </c>
      <c r="V1216">
        <v>2</v>
      </c>
      <c r="W1216">
        <v>0</v>
      </c>
    </row>
    <row r="1217" spans="1:23" ht="68.400000000000006" x14ac:dyDescent="0.3">
      <c r="A1217" s="129">
        <v>39699</v>
      </c>
      <c r="B1217" s="129">
        <v>39702</v>
      </c>
      <c r="C1217" s="6">
        <v>9</v>
      </c>
      <c r="D1217" s="6">
        <v>4</v>
      </c>
      <c r="E1217" s="19">
        <v>2008</v>
      </c>
      <c r="F1217" s="15" t="s">
        <v>22</v>
      </c>
      <c r="G1217" s="16" t="s">
        <v>6254</v>
      </c>
      <c r="H1217" s="9" t="s">
        <v>74</v>
      </c>
      <c r="I1217" s="17" t="s">
        <v>2132</v>
      </c>
      <c r="J1217" s="17" t="s">
        <v>2133</v>
      </c>
      <c r="K1217" s="23">
        <v>0</v>
      </c>
      <c r="L1217" s="234">
        <f>((M1217*5))*1</f>
        <v>8450</v>
      </c>
      <c r="M1217" s="23">
        <v>1690</v>
      </c>
      <c r="N1217" s="23">
        <v>13</v>
      </c>
      <c r="O1217" s="23">
        <v>20</v>
      </c>
      <c r="P1217" s="23">
        <v>0</v>
      </c>
      <c r="Q1217" s="92">
        <v>0</v>
      </c>
      <c r="R1217" s="93">
        <v>378.6</v>
      </c>
      <c r="S1217" s="19" t="s">
        <v>111</v>
      </c>
      <c r="T1217" s="257">
        <f t="shared" si="43"/>
        <v>8450</v>
      </c>
      <c r="U1217" s="257">
        <f t="shared" si="44"/>
        <v>1723</v>
      </c>
      <c r="V1217">
        <v>1</v>
      </c>
      <c r="W1217">
        <v>2</v>
      </c>
    </row>
    <row r="1218" spans="1:23" ht="57" x14ac:dyDescent="0.3">
      <c r="A1218" s="129">
        <v>39700</v>
      </c>
      <c r="B1218" s="129">
        <v>39703</v>
      </c>
      <c r="C1218" s="6">
        <v>9</v>
      </c>
      <c r="D1218" s="6">
        <v>4</v>
      </c>
      <c r="E1218" s="19">
        <v>2008</v>
      </c>
      <c r="F1218" s="15" t="s">
        <v>22</v>
      </c>
      <c r="G1218" s="16" t="s">
        <v>6256</v>
      </c>
      <c r="H1218" s="9" t="s">
        <v>72</v>
      </c>
      <c r="I1218" s="17">
        <v>3</v>
      </c>
      <c r="J1218" s="17" t="s">
        <v>2134</v>
      </c>
      <c r="K1218" s="23">
        <v>0</v>
      </c>
      <c r="L1218" s="234">
        <f>((M1218*5))*1</f>
        <v>7770</v>
      </c>
      <c r="M1218" s="23">
        <v>1554</v>
      </c>
      <c r="N1218" s="23">
        <v>0</v>
      </c>
      <c r="O1218" s="23">
        <v>0</v>
      </c>
      <c r="P1218" s="23">
        <v>0</v>
      </c>
      <c r="Q1218" s="92">
        <v>0</v>
      </c>
      <c r="R1218" s="93">
        <v>103.55800000000001</v>
      </c>
      <c r="S1218" s="19" t="str">
        <f>+fo</f>
        <v>FONDEN</v>
      </c>
      <c r="T1218" s="257">
        <f t="shared" si="43"/>
        <v>7770</v>
      </c>
      <c r="U1218" s="257">
        <f t="shared" si="44"/>
        <v>1554</v>
      </c>
      <c r="V1218">
        <v>1</v>
      </c>
      <c r="W1218">
        <v>2</v>
      </c>
    </row>
    <row r="1219" spans="1:23" ht="79.8" x14ac:dyDescent="0.3">
      <c r="A1219" s="129">
        <v>39700</v>
      </c>
      <c r="B1219" s="129">
        <v>39700</v>
      </c>
      <c r="C1219" s="6">
        <v>9</v>
      </c>
      <c r="D1219" s="6">
        <v>1</v>
      </c>
      <c r="E1219" s="19">
        <v>2008</v>
      </c>
      <c r="F1219" s="15" t="s">
        <v>22</v>
      </c>
      <c r="G1219" s="16" t="s">
        <v>6256</v>
      </c>
      <c r="H1219" s="9" t="s">
        <v>72</v>
      </c>
      <c r="I1219" s="17" t="s">
        <v>2135</v>
      </c>
      <c r="J1219" s="17" t="s">
        <v>2136</v>
      </c>
      <c r="K1219" s="23">
        <v>0</v>
      </c>
      <c r="L1219" s="234">
        <v>1438</v>
      </c>
      <c r="M1219" s="23">
        <v>0</v>
      </c>
      <c r="N1219" s="23">
        <v>0</v>
      </c>
      <c r="O1219" s="23">
        <v>0</v>
      </c>
      <c r="P1219" s="23">
        <v>0</v>
      </c>
      <c r="Q1219" s="92">
        <v>7169.1</v>
      </c>
      <c r="R1219" s="93">
        <v>38.552</v>
      </c>
      <c r="S1219" s="19" t="s">
        <v>1904</v>
      </c>
      <c r="T1219" s="257">
        <f t="shared" ref="T1219:T1282" si="45">SUM(K1219:L1219)</f>
        <v>1438</v>
      </c>
      <c r="U1219" s="257">
        <f t="shared" ref="U1219:U1282" si="46">SUM(M1219:P1219)</f>
        <v>0</v>
      </c>
      <c r="V1219">
        <v>1</v>
      </c>
      <c r="W1219">
        <v>0</v>
      </c>
    </row>
    <row r="1220" spans="1:23" ht="22.8" x14ac:dyDescent="0.3">
      <c r="A1220" s="129">
        <v>39701</v>
      </c>
      <c r="B1220" s="129">
        <v>39701</v>
      </c>
      <c r="C1220" s="6">
        <v>9</v>
      </c>
      <c r="D1220" s="6">
        <v>1</v>
      </c>
      <c r="E1220" s="19">
        <v>2008</v>
      </c>
      <c r="F1220" s="15" t="s">
        <v>22</v>
      </c>
      <c r="G1220" s="16" t="s">
        <v>6256</v>
      </c>
      <c r="H1220" s="9" t="s">
        <v>66</v>
      </c>
      <c r="I1220" s="17" t="str">
        <f>+H1220</f>
        <v>Querétaro</v>
      </c>
      <c r="J1220" s="17" t="s">
        <v>2137</v>
      </c>
      <c r="K1220" s="23">
        <v>0</v>
      </c>
      <c r="L1220" s="234">
        <f>((M1220*5))*1</f>
        <v>450</v>
      </c>
      <c r="M1220" s="23">
        <v>90</v>
      </c>
      <c r="N1220" s="23">
        <v>0</v>
      </c>
      <c r="O1220" s="23">
        <v>0</v>
      </c>
      <c r="P1220" s="23">
        <v>0</v>
      </c>
      <c r="Q1220" s="92">
        <v>0</v>
      </c>
      <c r="R1220" s="93">
        <v>0.18</v>
      </c>
      <c r="S1220" s="19" t="s">
        <v>115</v>
      </c>
      <c r="T1220" s="257">
        <f t="shared" si="45"/>
        <v>450</v>
      </c>
      <c r="U1220" s="257">
        <f t="shared" si="46"/>
        <v>90</v>
      </c>
      <c r="V1220">
        <v>1</v>
      </c>
      <c r="W1220">
        <v>1</v>
      </c>
    </row>
    <row r="1221" spans="1:23" ht="22.8" x14ac:dyDescent="0.3">
      <c r="A1221" s="129">
        <v>39701</v>
      </c>
      <c r="B1221" s="129">
        <v>39701</v>
      </c>
      <c r="C1221" s="6">
        <v>9</v>
      </c>
      <c r="D1221" s="6">
        <v>1</v>
      </c>
      <c r="E1221" s="19">
        <v>2008</v>
      </c>
      <c r="F1221" s="15" t="s">
        <v>22</v>
      </c>
      <c r="G1221" s="16" t="s">
        <v>6256</v>
      </c>
      <c r="H1221" s="9" t="s">
        <v>70</v>
      </c>
      <c r="I1221" s="17" t="s">
        <v>2138</v>
      </c>
      <c r="J1221" s="17" t="s">
        <v>2139</v>
      </c>
      <c r="K1221" s="23">
        <v>0</v>
      </c>
      <c r="L1221" s="234">
        <v>419</v>
      </c>
      <c r="M1221" s="23">
        <v>12</v>
      </c>
      <c r="N1221" s="23">
        <v>0</v>
      </c>
      <c r="O1221" s="23">
        <v>0</v>
      </c>
      <c r="P1221" s="23">
        <v>0</v>
      </c>
      <c r="Q1221" s="92">
        <v>0</v>
      </c>
      <c r="R1221" s="93">
        <v>2.4E-2</v>
      </c>
      <c r="S1221" s="19" t="s">
        <v>115</v>
      </c>
      <c r="T1221" s="257">
        <f t="shared" si="45"/>
        <v>419</v>
      </c>
      <c r="U1221" s="257">
        <f t="shared" si="46"/>
        <v>12</v>
      </c>
      <c r="V1221">
        <v>1</v>
      </c>
      <c r="W1221">
        <v>1</v>
      </c>
    </row>
    <row r="1222" spans="1:23" ht="22.8" x14ac:dyDescent="0.3">
      <c r="A1222" s="129">
        <v>39702</v>
      </c>
      <c r="B1222" s="129">
        <v>39702</v>
      </c>
      <c r="C1222" s="6">
        <v>9</v>
      </c>
      <c r="D1222" s="6">
        <v>1</v>
      </c>
      <c r="E1222" s="19">
        <v>2008</v>
      </c>
      <c r="F1222" s="15" t="s">
        <v>22</v>
      </c>
      <c r="G1222" s="16" t="s">
        <v>6256</v>
      </c>
      <c r="H1222" s="9" t="s">
        <v>46</v>
      </c>
      <c r="I1222" s="17" t="s">
        <v>1384</v>
      </c>
      <c r="J1222" s="17" t="str">
        <f>+J1229</f>
        <v>Se registraron fuertes lluvias dejando grandes afectaciones</v>
      </c>
      <c r="K1222" s="23">
        <v>0</v>
      </c>
      <c r="L1222" s="234">
        <f>((M1222*5))*1</f>
        <v>150</v>
      </c>
      <c r="M1222" s="23">
        <v>30</v>
      </c>
      <c r="N1222" s="23">
        <v>3</v>
      </c>
      <c r="O1222" s="23">
        <v>1</v>
      </c>
      <c r="P1222" s="23">
        <v>0</v>
      </c>
      <c r="Q1222" s="92">
        <v>0</v>
      </c>
      <c r="R1222" s="93">
        <v>0.06</v>
      </c>
      <c r="S1222" s="19" t="s">
        <v>115</v>
      </c>
      <c r="T1222" s="257">
        <f t="shared" si="45"/>
        <v>150</v>
      </c>
      <c r="U1222" s="257">
        <f t="shared" si="46"/>
        <v>34</v>
      </c>
      <c r="V1222">
        <v>1</v>
      </c>
      <c r="W1222">
        <v>1</v>
      </c>
    </row>
    <row r="1223" spans="1:23" ht="22.8" x14ac:dyDescent="0.3">
      <c r="A1223" s="129">
        <v>39699</v>
      </c>
      <c r="B1223" s="129">
        <v>39702</v>
      </c>
      <c r="C1223" s="6">
        <v>9</v>
      </c>
      <c r="D1223" s="6">
        <v>4</v>
      </c>
      <c r="E1223" s="19">
        <v>2008</v>
      </c>
      <c r="F1223" s="15" t="s">
        <v>22</v>
      </c>
      <c r="G1223" s="16" t="s">
        <v>6256</v>
      </c>
      <c r="H1223" s="9" t="s">
        <v>72</v>
      </c>
      <c r="I1223" s="17" t="s">
        <v>2140</v>
      </c>
      <c r="J1223" s="17" t="str">
        <f>+J1222</f>
        <v>Se registraron fuertes lluvias dejando grandes afectaciones</v>
      </c>
      <c r="K1223" s="23">
        <v>0</v>
      </c>
      <c r="L1223" s="234">
        <v>1314</v>
      </c>
      <c r="M1223" s="23">
        <v>150</v>
      </c>
      <c r="N1223" s="23">
        <v>0</v>
      </c>
      <c r="O1223" s="23">
        <v>0</v>
      </c>
      <c r="P1223" s="23">
        <v>0</v>
      </c>
      <c r="Q1223" s="92">
        <v>0</v>
      </c>
      <c r="R1223" s="93">
        <v>0.3</v>
      </c>
      <c r="S1223" s="19" t="s">
        <v>115</v>
      </c>
      <c r="T1223" s="257">
        <f t="shared" si="45"/>
        <v>1314</v>
      </c>
      <c r="U1223" s="257">
        <f t="shared" si="46"/>
        <v>150</v>
      </c>
      <c r="V1223">
        <v>1</v>
      </c>
      <c r="W1223">
        <v>1</v>
      </c>
    </row>
    <row r="1224" spans="1:23" ht="228" x14ac:dyDescent="0.3">
      <c r="A1224" s="212">
        <v>40645</v>
      </c>
      <c r="B1224" s="212">
        <v>40645</v>
      </c>
      <c r="C1224" s="6">
        <v>4</v>
      </c>
      <c r="D1224" s="6">
        <v>1</v>
      </c>
      <c r="E1224" s="6">
        <v>2011</v>
      </c>
      <c r="F1224" s="15" t="s">
        <v>22</v>
      </c>
      <c r="G1224" s="18" t="s">
        <v>6256</v>
      </c>
      <c r="H1224" s="9" t="s">
        <v>48</v>
      </c>
      <c r="I1224" s="53" t="s">
        <v>2141</v>
      </c>
      <c r="J1224" s="53" t="s">
        <v>2142</v>
      </c>
      <c r="K1224" s="13">
        <v>1</v>
      </c>
      <c r="L1224" s="233">
        <f>((182*5))*1</f>
        <v>910</v>
      </c>
      <c r="M1224" s="13">
        <v>182</v>
      </c>
      <c r="N1224" s="13">
        <v>0</v>
      </c>
      <c r="O1224" s="13">
        <v>0</v>
      </c>
      <c r="P1224" s="13">
        <v>0</v>
      </c>
      <c r="Q1224" s="13">
        <v>0</v>
      </c>
      <c r="R1224" s="26">
        <v>1.9219999999999999</v>
      </c>
      <c r="S1224" s="19" t="s">
        <v>115</v>
      </c>
      <c r="T1224" s="257">
        <f t="shared" si="45"/>
        <v>911</v>
      </c>
      <c r="U1224" s="257">
        <f t="shared" si="46"/>
        <v>182</v>
      </c>
      <c r="V1224">
        <v>1</v>
      </c>
      <c r="W1224">
        <v>1</v>
      </c>
    </row>
    <row r="1225" spans="1:23" ht="34.200000000000003" x14ac:dyDescent="0.3">
      <c r="A1225" s="129">
        <v>39704</v>
      </c>
      <c r="B1225" s="129">
        <v>39705</v>
      </c>
      <c r="C1225" s="6">
        <v>9</v>
      </c>
      <c r="D1225" s="6">
        <v>2</v>
      </c>
      <c r="E1225" s="19">
        <v>2008</v>
      </c>
      <c r="F1225" s="15" t="s">
        <v>22</v>
      </c>
      <c r="G1225" s="16" t="s">
        <v>6256</v>
      </c>
      <c r="H1225" s="9" t="s">
        <v>57</v>
      </c>
      <c r="I1225" s="17" t="str">
        <f>+va&amp;" (10)"</f>
        <v>varios municipios (10)</v>
      </c>
      <c r="J1225" s="17" t="s">
        <v>2143</v>
      </c>
      <c r="K1225" s="23">
        <v>0</v>
      </c>
      <c r="L1225" s="234">
        <f>((M1225*5))*1</f>
        <v>215</v>
      </c>
      <c r="M1225" s="23">
        <v>43</v>
      </c>
      <c r="N1225" s="23">
        <v>0</v>
      </c>
      <c r="O1225" s="23">
        <v>0</v>
      </c>
      <c r="P1225" s="23">
        <v>0</v>
      </c>
      <c r="Q1225" s="92">
        <v>0</v>
      </c>
      <c r="R1225" s="93">
        <v>54.442</v>
      </c>
      <c r="S1225" s="19" t="str">
        <f>+fo</f>
        <v>FONDEN</v>
      </c>
      <c r="T1225" s="257">
        <f t="shared" si="45"/>
        <v>215</v>
      </c>
      <c r="U1225" s="257">
        <f t="shared" si="46"/>
        <v>43</v>
      </c>
      <c r="V1225">
        <v>1</v>
      </c>
      <c r="W1225">
        <v>1</v>
      </c>
    </row>
    <row r="1226" spans="1:23" ht="34.200000000000003" x14ac:dyDescent="0.3">
      <c r="A1226" s="129">
        <v>39705</v>
      </c>
      <c r="B1226" s="129">
        <v>39705</v>
      </c>
      <c r="C1226" s="6">
        <v>9</v>
      </c>
      <c r="D1226" s="6">
        <v>1</v>
      </c>
      <c r="E1226" s="19">
        <v>2008</v>
      </c>
      <c r="F1226" s="15" t="s">
        <v>22</v>
      </c>
      <c r="G1226" s="16" t="s">
        <v>6256</v>
      </c>
      <c r="H1226" s="9" t="s">
        <v>174</v>
      </c>
      <c r="I1226" s="17" t="s">
        <v>2144</v>
      </c>
      <c r="J1226" s="17" t="str">
        <f>+J1223</f>
        <v>Se registraron fuertes lluvias dejando grandes afectaciones</v>
      </c>
      <c r="K1226" s="23">
        <v>3</v>
      </c>
      <c r="L1226" s="234">
        <f>((M1226*5))*1</f>
        <v>100</v>
      </c>
      <c r="M1226" s="23">
        <v>20</v>
      </c>
      <c r="N1226" s="23">
        <v>0</v>
      </c>
      <c r="O1226" s="23">
        <v>0</v>
      </c>
      <c r="P1226" s="23">
        <v>0</v>
      </c>
      <c r="Q1226" s="92">
        <v>0</v>
      </c>
      <c r="R1226" s="93">
        <v>0.04</v>
      </c>
      <c r="S1226" s="19" t="s">
        <v>115</v>
      </c>
      <c r="T1226" s="257">
        <f t="shared" si="45"/>
        <v>103</v>
      </c>
      <c r="U1226" s="257">
        <f t="shared" si="46"/>
        <v>20</v>
      </c>
      <c r="V1226">
        <v>1</v>
      </c>
      <c r="W1226">
        <v>1</v>
      </c>
    </row>
    <row r="1227" spans="1:23" ht="57" x14ac:dyDescent="0.3">
      <c r="A1227" s="129">
        <v>39705</v>
      </c>
      <c r="B1227" s="129">
        <v>39705</v>
      </c>
      <c r="C1227" s="6">
        <v>9</v>
      </c>
      <c r="D1227" s="6">
        <v>1</v>
      </c>
      <c r="E1227" s="19">
        <v>2008</v>
      </c>
      <c r="F1227" s="15" t="s">
        <v>22</v>
      </c>
      <c r="G1227" s="16" t="s">
        <v>6256</v>
      </c>
      <c r="H1227" s="9" t="s">
        <v>51</v>
      </c>
      <c r="I1227" s="17" t="s">
        <v>1277</v>
      </c>
      <c r="J1227" s="17" t="s">
        <v>2145</v>
      </c>
      <c r="K1227" s="23">
        <v>0</v>
      </c>
      <c r="L1227" s="234">
        <v>298</v>
      </c>
      <c r="M1227" s="23">
        <v>0</v>
      </c>
      <c r="N1227" s="23">
        <v>0</v>
      </c>
      <c r="O1227" s="23">
        <v>0</v>
      </c>
      <c r="P1227" s="23">
        <v>0</v>
      </c>
      <c r="Q1227" s="92">
        <v>901.9</v>
      </c>
      <c r="R1227" s="93">
        <v>12.794</v>
      </c>
      <c r="S1227" s="19" t="s">
        <v>1904</v>
      </c>
      <c r="T1227" s="257">
        <f t="shared" si="45"/>
        <v>298</v>
      </c>
      <c r="U1227" s="257">
        <f t="shared" si="46"/>
        <v>0</v>
      </c>
      <c r="V1227">
        <v>1</v>
      </c>
      <c r="W1227">
        <v>0</v>
      </c>
    </row>
    <row r="1228" spans="1:23" ht="57" x14ac:dyDescent="0.3">
      <c r="A1228" s="129">
        <v>39706</v>
      </c>
      <c r="B1228" s="129">
        <v>39706</v>
      </c>
      <c r="C1228" s="6">
        <v>9</v>
      </c>
      <c r="D1228" s="6">
        <v>1</v>
      </c>
      <c r="E1228" s="19">
        <v>2008</v>
      </c>
      <c r="F1228" s="15" t="s">
        <v>22</v>
      </c>
      <c r="G1228" s="16" t="s">
        <v>6256</v>
      </c>
      <c r="H1228" s="9" t="s">
        <v>51</v>
      </c>
      <c r="I1228" s="17" t="s">
        <v>2146</v>
      </c>
      <c r="J1228" s="17" t="s">
        <v>2147</v>
      </c>
      <c r="K1228" s="23">
        <v>0</v>
      </c>
      <c r="L1228" s="234">
        <v>31</v>
      </c>
      <c r="M1228" s="23">
        <v>0</v>
      </c>
      <c r="N1228" s="23">
        <v>0</v>
      </c>
      <c r="O1228" s="23">
        <v>0</v>
      </c>
      <c r="P1228" s="23">
        <v>0</v>
      </c>
      <c r="Q1228" s="92">
        <v>110</v>
      </c>
      <c r="R1228" s="93">
        <v>1.4039999999999999</v>
      </c>
      <c r="S1228" s="19" t="s">
        <v>1904</v>
      </c>
      <c r="T1228" s="257">
        <f t="shared" si="45"/>
        <v>31</v>
      </c>
      <c r="U1228" s="257">
        <f t="shared" si="46"/>
        <v>0</v>
      </c>
      <c r="V1228">
        <v>1</v>
      </c>
      <c r="W1228">
        <v>0</v>
      </c>
    </row>
    <row r="1229" spans="1:23" ht="22.8" x14ac:dyDescent="0.3">
      <c r="A1229" s="129">
        <v>39706</v>
      </c>
      <c r="B1229" s="129">
        <v>39706</v>
      </c>
      <c r="C1229" s="6">
        <v>9</v>
      </c>
      <c r="D1229" s="6">
        <v>1</v>
      </c>
      <c r="E1229" s="19">
        <v>2008</v>
      </c>
      <c r="F1229" s="15" t="s">
        <v>22</v>
      </c>
      <c r="G1229" s="16" t="s">
        <v>6256</v>
      </c>
      <c r="H1229" s="9" t="s">
        <v>78</v>
      </c>
      <c r="I1229" s="17" t="s">
        <v>2148</v>
      </c>
      <c r="J1229" s="17" t="str">
        <f>+J1212</f>
        <v>Se registraron fuertes lluvias dejando grandes afectaciones</v>
      </c>
      <c r="K1229" s="23">
        <v>0</v>
      </c>
      <c r="L1229" s="234">
        <v>85</v>
      </c>
      <c r="M1229" s="23">
        <v>0</v>
      </c>
      <c r="N1229" s="23">
        <v>0</v>
      </c>
      <c r="O1229" s="23">
        <v>0</v>
      </c>
      <c r="P1229" s="23">
        <v>0</v>
      </c>
      <c r="Q1229" s="92">
        <v>0</v>
      </c>
      <c r="R1229" s="93">
        <v>0</v>
      </c>
      <c r="S1229" s="19" t="s">
        <v>115</v>
      </c>
      <c r="T1229" s="257">
        <f t="shared" si="45"/>
        <v>85</v>
      </c>
      <c r="U1229" s="257">
        <f t="shared" si="46"/>
        <v>0</v>
      </c>
      <c r="V1229">
        <v>1</v>
      </c>
      <c r="W1229">
        <v>0</v>
      </c>
    </row>
    <row r="1230" spans="1:23" ht="68.400000000000006" x14ac:dyDescent="0.3">
      <c r="A1230" s="129">
        <v>39707</v>
      </c>
      <c r="B1230" s="129">
        <v>39707</v>
      </c>
      <c r="C1230" s="6">
        <v>9</v>
      </c>
      <c r="D1230" s="6">
        <v>1</v>
      </c>
      <c r="E1230" s="19">
        <v>2008</v>
      </c>
      <c r="F1230" s="15" t="s">
        <v>22</v>
      </c>
      <c r="G1230" s="16" t="s">
        <v>6256</v>
      </c>
      <c r="H1230" s="9" t="s">
        <v>174</v>
      </c>
      <c r="I1230" s="17" t="s">
        <v>2149</v>
      </c>
      <c r="J1230" s="17" t="str">
        <f>+J1229</f>
        <v>Se registraron fuertes lluvias dejando grandes afectaciones</v>
      </c>
      <c r="K1230" s="23">
        <v>1</v>
      </c>
      <c r="L1230" s="234">
        <v>1</v>
      </c>
      <c r="M1230" s="23">
        <v>122</v>
      </c>
      <c r="N1230" s="23">
        <v>0</v>
      </c>
      <c r="O1230" s="23">
        <v>0</v>
      </c>
      <c r="P1230" s="23">
        <v>0</v>
      </c>
      <c r="Q1230" s="92">
        <v>0</v>
      </c>
      <c r="R1230" s="93">
        <v>0.24399999999999999</v>
      </c>
      <c r="S1230" s="19" t="s">
        <v>115</v>
      </c>
      <c r="T1230" s="257">
        <f t="shared" si="45"/>
        <v>2</v>
      </c>
      <c r="U1230" s="257">
        <f t="shared" si="46"/>
        <v>122</v>
      </c>
      <c r="V1230">
        <v>1</v>
      </c>
      <c r="W1230">
        <v>1</v>
      </c>
    </row>
    <row r="1231" spans="1:23" ht="22.8" x14ac:dyDescent="0.3">
      <c r="A1231" s="129">
        <v>39708</v>
      </c>
      <c r="B1231" s="129">
        <v>39708</v>
      </c>
      <c r="C1231" s="6">
        <v>9</v>
      </c>
      <c r="D1231" s="6">
        <v>1</v>
      </c>
      <c r="E1231" s="19">
        <v>2008</v>
      </c>
      <c r="F1231" s="15" t="s">
        <v>22</v>
      </c>
      <c r="G1231" s="16" t="s">
        <v>6256</v>
      </c>
      <c r="H1231" s="9" t="s">
        <v>31</v>
      </c>
      <c r="I1231" s="17" t="s">
        <v>2150</v>
      </c>
      <c r="J1231" s="17" t="s">
        <v>2151</v>
      </c>
      <c r="K1231" s="23">
        <v>0</v>
      </c>
      <c r="L1231" s="234">
        <f>((M1231*5))*1</f>
        <v>160</v>
      </c>
      <c r="M1231" s="23">
        <v>32</v>
      </c>
      <c r="N1231" s="23">
        <v>0</v>
      </c>
      <c r="O1231" s="23">
        <v>0</v>
      </c>
      <c r="P1231" s="23">
        <v>0</v>
      </c>
      <c r="Q1231" s="92">
        <v>0</v>
      </c>
      <c r="R1231" s="93">
        <v>6.4000000000000001E-2</v>
      </c>
      <c r="S1231" s="19" t="s">
        <v>115</v>
      </c>
      <c r="T1231" s="257">
        <f t="shared" si="45"/>
        <v>160</v>
      </c>
      <c r="U1231" s="257">
        <f t="shared" si="46"/>
        <v>32</v>
      </c>
      <c r="V1231">
        <v>1</v>
      </c>
      <c r="W1231">
        <v>1</v>
      </c>
    </row>
    <row r="1232" spans="1:23" ht="57" x14ac:dyDescent="0.3">
      <c r="A1232" s="129">
        <v>39709</v>
      </c>
      <c r="B1232" s="129">
        <v>39709</v>
      </c>
      <c r="C1232" s="6">
        <v>9</v>
      </c>
      <c r="D1232" s="6">
        <v>1</v>
      </c>
      <c r="E1232" s="19">
        <v>2008</v>
      </c>
      <c r="F1232" s="15" t="s">
        <v>22</v>
      </c>
      <c r="G1232" s="16" t="s">
        <v>6256</v>
      </c>
      <c r="H1232" s="9" t="s">
        <v>52</v>
      </c>
      <c r="I1232" s="17" t="s">
        <v>2152</v>
      </c>
      <c r="J1232" s="17" t="s">
        <v>2153</v>
      </c>
      <c r="K1232" s="23">
        <v>0</v>
      </c>
      <c r="L1232" s="234">
        <v>513</v>
      </c>
      <c r="M1232" s="23">
        <v>0</v>
      </c>
      <c r="N1232" s="23">
        <v>0</v>
      </c>
      <c r="O1232" s="23">
        <v>0</v>
      </c>
      <c r="P1232" s="23">
        <v>0</v>
      </c>
      <c r="Q1232" s="92">
        <v>1560.8</v>
      </c>
      <c r="R1232" s="93">
        <v>15.335000000000001</v>
      </c>
      <c r="S1232" s="19" t="s">
        <v>1904</v>
      </c>
      <c r="T1232" s="257">
        <f t="shared" si="45"/>
        <v>513</v>
      </c>
      <c r="U1232" s="257">
        <f t="shared" si="46"/>
        <v>0</v>
      </c>
      <c r="V1232">
        <v>1</v>
      </c>
      <c r="W1232">
        <v>0</v>
      </c>
    </row>
    <row r="1233" spans="1:23" ht="102.6" x14ac:dyDescent="0.3">
      <c r="A1233" s="129">
        <v>39709</v>
      </c>
      <c r="B1233" s="129">
        <v>39711</v>
      </c>
      <c r="C1233" s="6">
        <v>9</v>
      </c>
      <c r="D1233" s="6">
        <v>3</v>
      </c>
      <c r="E1233" s="19">
        <v>2008</v>
      </c>
      <c r="F1233" s="15" t="s">
        <v>22</v>
      </c>
      <c r="G1233" s="16" t="s">
        <v>6256</v>
      </c>
      <c r="H1233" s="9" t="s">
        <v>174</v>
      </c>
      <c r="I1233" s="17" t="s">
        <v>2154</v>
      </c>
      <c r="J1233" s="17" t="s">
        <v>2155</v>
      </c>
      <c r="K1233" s="23">
        <v>0</v>
      </c>
      <c r="L1233" s="234">
        <v>112095</v>
      </c>
      <c r="M1233" s="23">
        <v>10074</v>
      </c>
      <c r="N1233" s="23">
        <v>0</v>
      </c>
      <c r="O1233" s="23">
        <v>0</v>
      </c>
      <c r="P1233" s="23">
        <v>0</v>
      </c>
      <c r="Q1233" s="92">
        <v>0</v>
      </c>
      <c r="R1233" s="93">
        <v>20.148</v>
      </c>
      <c r="S1233" s="19" t="s">
        <v>115</v>
      </c>
      <c r="T1233" s="257">
        <f t="shared" si="45"/>
        <v>112095</v>
      </c>
      <c r="U1233" s="257">
        <f t="shared" si="46"/>
        <v>10074</v>
      </c>
      <c r="V1233">
        <v>3</v>
      </c>
      <c r="W1233">
        <v>3</v>
      </c>
    </row>
    <row r="1234" spans="1:23" ht="57" x14ac:dyDescent="0.3">
      <c r="A1234" s="129">
        <v>39710</v>
      </c>
      <c r="B1234" s="129">
        <v>39713</v>
      </c>
      <c r="C1234" s="6">
        <v>9</v>
      </c>
      <c r="D1234" s="6">
        <v>4</v>
      </c>
      <c r="E1234" s="19">
        <v>2008</v>
      </c>
      <c r="F1234" s="15" t="s">
        <v>22</v>
      </c>
      <c r="G1234" s="16" t="s">
        <v>6256</v>
      </c>
      <c r="H1234" s="9" t="s">
        <v>174</v>
      </c>
      <c r="I1234" s="17" t="s">
        <v>2156</v>
      </c>
      <c r="J1234" s="17" t="s">
        <v>2157</v>
      </c>
      <c r="K1234" s="23">
        <v>0</v>
      </c>
      <c r="L1234" s="234">
        <v>212471</v>
      </c>
      <c r="M1234" s="23">
        <v>1609</v>
      </c>
      <c r="N1234" s="23">
        <v>31</v>
      </c>
      <c r="O1234" s="23">
        <v>12</v>
      </c>
      <c r="P1234" s="23">
        <v>0</v>
      </c>
      <c r="Q1234" s="92">
        <v>35820</v>
      </c>
      <c r="R1234" s="93">
        <v>1413.373</v>
      </c>
      <c r="S1234" s="19" t="s">
        <v>21</v>
      </c>
      <c r="T1234" s="257">
        <f t="shared" si="45"/>
        <v>212471</v>
      </c>
      <c r="U1234" s="257">
        <f t="shared" si="46"/>
        <v>1652</v>
      </c>
      <c r="V1234">
        <v>3</v>
      </c>
      <c r="W1234">
        <v>2</v>
      </c>
    </row>
    <row r="1235" spans="1:23" ht="22.8" x14ac:dyDescent="0.3">
      <c r="A1235" s="129">
        <v>39710</v>
      </c>
      <c r="B1235" s="129">
        <v>39710</v>
      </c>
      <c r="C1235" s="6">
        <v>9</v>
      </c>
      <c r="D1235" s="6">
        <v>1</v>
      </c>
      <c r="E1235" s="19">
        <v>2008</v>
      </c>
      <c r="F1235" s="15" t="s">
        <v>22</v>
      </c>
      <c r="G1235" s="16" t="s">
        <v>6256</v>
      </c>
      <c r="H1235" s="9" t="s">
        <v>31</v>
      </c>
      <c r="I1235" s="17" t="s">
        <v>1098</v>
      </c>
      <c r="J1235" s="17" t="str">
        <f>+J1230</f>
        <v>Se registraron fuertes lluvias dejando grandes afectaciones</v>
      </c>
      <c r="K1235" s="23">
        <v>0</v>
      </c>
      <c r="L1235" s="234">
        <v>30</v>
      </c>
      <c r="M1235" s="23">
        <v>14</v>
      </c>
      <c r="N1235" s="23">
        <v>0</v>
      </c>
      <c r="O1235" s="23">
        <v>0</v>
      </c>
      <c r="P1235" s="23">
        <v>0</v>
      </c>
      <c r="Q1235" s="92">
        <v>0</v>
      </c>
      <c r="R1235" s="93">
        <v>2.8000000000000001E-2</v>
      </c>
      <c r="S1235" s="19" t="s">
        <v>115</v>
      </c>
      <c r="T1235" s="257">
        <f t="shared" si="45"/>
        <v>30</v>
      </c>
      <c r="U1235" s="257">
        <f t="shared" si="46"/>
        <v>14</v>
      </c>
      <c r="V1235">
        <v>1</v>
      </c>
      <c r="W1235">
        <v>1</v>
      </c>
    </row>
    <row r="1236" spans="1:23" ht="22.8" x14ac:dyDescent="0.3">
      <c r="A1236" s="129">
        <v>39710</v>
      </c>
      <c r="B1236" s="129">
        <v>39710</v>
      </c>
      <c r="C1236" s="6">
        <v>9</v>
      </c>
      <c r="D1236" s="6">
        <v>1</v>
      </c>
      <c r="E1236" s="19">
        <v>2008</v>
      </c>
      <c r="F1236" s="15" t="s">
        <v>22</v>
      </c>
      <c r="G1236" s="16" t="s">
        <v>6256</v>
      </c>
      <c r="H1236" s="9" t="s">
        <v>39</v>
      </c>
      <c r="I1236" s="17" t="s">
        <v>39</v>
      </c>
      <c r="J1236" s="17" t="s">
        <v>2158</v>
      </c>
      <c r="K1236" s="23">
        <v>1</v>
      </c>
      <c r="L1236" s="234">
        <v>1</v>
      </c>
      <c r="M1236" s="23">
        <v>0</v>
      </c>
      <c r="N1236" s="23">
        <v>0</v>
      </c>
      <c r="O1236" s="23">
        <v>0</v>
      </c>
      <c r="P1236" s="23">
        <v>0</v>
      </c>
      <c r="Q1236" s="92">
        <v>0</v>
      </c>
      <c r="R1236" s="93">
        <v>0</v>
      </c>
      <c r="S1236" s="19" t="s">
        <v>115</v>
      </c>
      <c r="T1236" s="257">
        <f t="shared" si="45"/>
        <v>2</v>
      </c>
      <c r="U1236" s="257">
        <f t="shared" si="46"/>
        <v>0</v>
      </c>
      <c r="V1236">
        <v>1</v>
      </c>
      <c r="W1236">
        <v>0</v>
      </c>
    </row>
    <row r="1237" spans="1:23" ht="22.8" x14ac:dyDescent="0.3">
      <c r="A1237" s="129">
        <v>39710</v>
      </c>
      <c r="B1237" s="129">
        <v>39710</v>
      </c>
      <c r="C1237" s="6">
        <v>9</v>
      </c>
      <c r="D1237" s="6">
        <v>1</v>
      </c>
      <c r="E1237" s="19">
        <v>2008</v>
      </c>
      <c r="F1237" s="15" t="s">
        <v>22</v>
      </c>
      <c r="G1237" s="16" t="s">
        <v>6256</v>
      </c>
      <c r="H1237" s="17" t="s">
        <v>565</v>
      </c>
      <c r="I1237" s="17" t="s">
        <v>970</v>
      </c>
      <c r="J1237" s="17" t="str">
        <f>+J1230</f>
        <v>Se registraron fuertes lluvias dejando grandes afectaciones</v>
      </c>
      <c r="K1237" s="23">
        <v>0</v>
      </c>
      <c r="L1237" s="234">
        <v>36</v>
      </c>
      <c r="M1237" s="23">
        <v>10</v>
      </c>
      <c r="N1237" s="23">
        <v>0</v>
      </c>
      <c r="O1237" s="23">
        <v>0</v>
      </c>
      <c r="P1237" s="23">
        <v>0</v>
      </c>
      <c r="Q1237" s="92">
        <v>0</v>
      </c>
      <c r="R1237" s="93">
        <v>0.02</v>
      </c>
      <c r="S1237" s="19" t="s">
        <v>115</v>
      </c>
      <c r="T1237" s="257">
        <f t="shared" si="45"/>
        <v>36</v>
      </c>
      <c r="U1237" s="257">
        <f t="shared" si="46"/>
        <v>10</v>
      </c>
      <c r="V1237">
        <v>1</v>
      </c>
      <c r="W1237">
        <v>1</v>
      </c>
    </row>
    <row r="1238" spans="1:23" ht="57" x14ac:dyDescent="0.3">
      <c r="A1238" s="129">
        <v>39713</v>
      </c>
      <c r="B1238" s="129">
        <v>39717</v>
      </c>
      <c r="C1238" s="6">
        <v>9</v>
      </c>
      <c r="D1238" s="6">
        <v>5</v>
      </c>
      <c r="E1238" s="19">
        <v>2008</v>
      </c>
      <c r="F1238" s="15" t="s">
        <v>22</v>
      </c>
      <c r="G1238" s="16" t="s">
        <v>6256</v>
      </c>
      <c r="H1238" s="9" t="s">
        <v>174</v>
      </c>
      <c r="I1238" s="17" t="str">
        <f>+va&amp;" (25)"</f>
        <v>varios municipios (25)</v>
      </c>
      <c r="J1238" s="17" t="s">
        <v>2159</v>
      </c>
      <c r="K1238" s="23">
        <v>0</v>
      </c>
      <c r="L1238" s="234">
        <f>((M1238*5))*1</f>
        <v>8115</v>
      </c>
      <c r="M1238" s="23">
        <v>1623</v>
      </c>
      <c r="N1238" s="23">
        <v>33</v>
      </c>
      <c r="O1238" s="23">
        <v>6</v>
      </c>
      <c r="P1238" s="23">
        <v>0</v>
      </c>
      <c r="Q1238" s="92">
        <v>0</v>
      </c>
      <c r="R1238" s="93">
        <v>691.56600000000003</v>
      </c>
      <c r="S1238" s="19" t="str">
        <f>+fo</f>
        <v>FONDEN</v>
      </c>
      <c r="T1238" s="257">
        <f t="shared" si="45"/>
        <v>8115</v>
      </c>
      <c r="U1238" s="257">
        <f t="shared" si="46"/>
        <v>1662</v>
      </c>
      <c r="V1238">
        <v>1</v>
      </c>
      <c r="W1238">
        <v>2</v>
      </c>
    </row>
    <row r="1239" spans="1:23" ht="34.200000000000003" x14ac:dyDescent="0.3">
      <c r="A1239" s="129">
        <v>39714</v>
      </c>
      <c r="B1239" s="129">
        <v>39718</v>
      </c>
      <c r="C1239" s="6">
        <v>9</v>
      </c>
      <c r="D1239" s="6">
        <v>5</v>
      </c>
      <c r="E1239" s="19">
        <v>2008</v>
      </c>
      <c r="F1239" s="15" t="s">
        <v>22</v>
      </c>
      <c r="G1239" s="16" t="s">
        <v>6256</v>
      </c>
      <c r="H1239" s="9" t="s">
        <v>61</v>
      </c>
      <c r="I1239" s="17" t="str">
        <f>+va&amp;" (47)"</f>
        <v>varios municipios (47)</v>
      </c>
      <c r="J1239" s="17" t="s">
        <v>2160</v>
      </c>
      <c r="K1239" s="23">
        <v>0</v>
      </c>
      <c r="L1239" s="234">
        <v>0</v>
      </c>
      <c r="M1239" s="23">
        <v>0</v>
      </c>
      <c r="N1239" s="23">
        <v>0</v>
      </c>
      <c r="O1239" s="23">
        <v>0</v>
      </c>
      <c r="P1239" s="23">
        <v>0</v>
      </c>
      <c r="Q1239" s="92">
        <v>0</v>
      </c>
      <c r="R1239" s="93">
        <v>424.94400000000002</v>
      </c>
      <c r="S1239" s="19" t="str">
        <f>+fo</f>
        <v>FONDEN</v>
      </c>
      <c r="T1239" s="257">
        <f t="shared" si="45"/>
        <v>0</v>
      </c>
      <c r="U1239" s="257">
        <f t="shared" si="46"/>
        <v>0</v>
      </c>
      <c r="V1239">
        <v>0</v>
      </c>
      <c r="W1239">
        <v>0</v>
      </c>
    </row>
    <row r="1240" spans="1:23" ht="22.8" x14ac:dyDescent="0.3">
      <c r="A1240" s="129">
        <v>39714</v>
      </c>
      <c r="B1240" s="129">
        <v>39714</v>
      </c>
      <c r="C1240" s="6">
        <v>9</v>
      </c>
      <c r="D1240" s="6">
        <v>1</v>
      </c>
      <c r="E1240" s="19">
        <v>2008</v>
      </c>
      <c r="F1240" s="15" t="s">
        <v>22</v>
      </c>
      <c r="G1240" s="16" t="s">
        <v>6256</v>
      </c>
      <c r="H1240" s="9" t="s">
        <v>174</v>
      </c>
      <c r="I1240" s="17" t="s">
        <v>2161</v>
      </c>
      <c r="J1240" s="17" t="s">
        <v>2139</v>
      </c>
      <c r="K1240" s="23">
        <v>0</v>
      </c>
      <c r="L1240" s="234">
        <f>((M1240*5))*1</f>
        <v>60</v>
      </c>
      <c r="M1240" s="23">
        <v>12</v>
      </c>
      <c r="N1240" s="23">
        <v>0</v>
      </c>
      <c r="O1240" s="23">
        <v>0</v>
      </c>
      <c r="P1240" s="23">
        <v>0</v>
      </c>
      <c r="Q1240" s="92">
        <v>0</v>
      </c>
      <c r="R1240" s="93">
        <v>2.4E-2</v>
      </c>
      <c r="S1240" s="19" t="s">
        <v>115</v>
      </c>
      <c r="T1240" s="257">
        <f t="shared" si="45"/>
        <v>60</v>
      </c>
      <c r="U1240" s="257">
        <f t="shared" si="46"/>
        <v>12</v>
      </c>
      <c r="V1240">
        <v>1</v>
      </c>
      <c r="W1240">
        <v>1</v>
      </c>
    </row>
    <row r="1241" spans="1:23" ht="34.200000000000003" x14ac:dyDescent="0.3">
      <c r="A1241" s="129">
        <v>39714</v>
      </c>
      <c r="B1241" s="129">
        <v>39714</v>
      </c>
      <c r="C1241" s="6">
        <v>9</v>
      </c>
      <c r="D1241" s="6">
        <v>1</v>
      </c>
      <c r="E1241" s="19">
        <v>2008</v>
      </c>
      <c r="F1241" s="15" t="s">
        <v>22</v>
      </c>
      <c r="G1241" s="16" t="s">
        <v>6256</v>
      </c>
      <c r="H1241" s="9" t="s">
        <v>61</v>
      </c>
      <c r="I1241" s="17" t="s">
        <v>2162</v>
      </c>
      <c r="J1241" s="17" t="s">
        <v>2163</v>
      </c>
      <c r="K1241" s="23">
        <v>1</v>
      </c>
      <c r="L1241" s="234">
        <f>((M1241*5))*1</f>
        <v>10885</v>
      </c>
      <c r="M1241" s="23">
        <v>2177</v>
      </c>
      <c r="N1241" s="23">
        <v>3</v>
      </c>
      <c r="O1241" s="23">
        <v>0</v>
      </c>
      <c r="P1241" s="23">
        <v>0</v>
      </c>
      <c r="Q1241" s="92">
        <v>0</v>
      </c>
      <c r="R1241" s="93">
        <v>4.3540000000000001</v>
      </c>
      <c r="S1241" s="19" t="s">
        <v>115</v>
      </c>
      <c r="T1241" s="257">
        <f t="shared" si="45"/>
        <v>10886</v>
      </c>
      <c r="U1241" s="257">
        <f t="shared" si="46"/>
        <v>2180</v>
      </c>
      <c r="V1241">
        <v>2</v>
      </c>
      <c r="W1241">
        <v>2</v>
      </c>
    </row>
    <row r="1242" spans="1:23" ht="68.400000000000006" x14ac:dyDescent="0.3">
      <c r="A1242" s="129">
        <v>39715</v>
      </c>
      <c r="B1242" s="129">
        <v>39715</v>
      </c>
      <c r="C1242" s="6">
        <v>9</v>
      </c>
      <c r="D1242" s="6">
        <v>1</v>
      </c>
      <c r="E1242" s="19">
        <v>2008</v>
      </c>
      <c r="F1242" s="15" t="s">
        <v>22</v>
      </c>
      <c r="G1242" s="16" t="s">
        <v>6256</v>
      </c>
      <c r="H1242" s="17" t="s">
        <v>565</v>
      </c>
      <c r="I1242" s="17" t="s">
        <v>2164</v>
      </c>
      <c r="J1242" s="17" t="s">
        <v>2165</v>
      </c>
      <c r="K1242" s="23">
        <v>0</v>
      </c>
      <c r="L1242" s="234">
        <v>38246</v>
      </c>
      <c r="M1242" s="23">
        <v>1634</v>
      </c>
      <c r="N1242" s="23">
        <v>456</v>
      </c>
      <c r="O1242" s="23">
        <v>8</v>
      </c>
      <c r="P1242" s="23">
        <v>2188</v>
      </c>
      <c r="Q1242" s="92">
        <v>360022</v>
      </c>
      <c r="R1242" s="93">
        <v>4594.2</v>
      </c>
      <c r="S1242" s="6" t="s">
        <v>1208</v>
      </c>
      <c r="T1242" s="257">
        <f t="shared" si="45"/>
        <v>38246</v>
      </c>
      <c r="U1242" s="257">
        <f t="shared" si="46"/>
        <v>4286</v>
      </c>
      <c r="V1242">
        <v>2</v>
      </c>
      <c r="W1242">
        <v>2</v>
      </c>
    </row>
    <row r="1243" spans="1:23" ht="22.8" x14ac:dyDescent="0.3">
      <c r="A1243" s="129">
        <v>39716</v>
      </c>
      <c r="B1243" s="129">
        <v>39716</v>
      </c>
      <c r="C1243" s="6">
        <v>9</v>
      </c>
      <c r="D1243" s="6">
        <v>1</v>
      </c>
      <c r="E1243" s="19">
        <v>2008</v>
      </c>
      <c r="F1243" s="15" t="s">
        <v>22</v>
      </c>
      <c r="G1243" s="16" t="s">
        <v>6256</v>
      </c>
      <c r="H1243" s="9" t="s">
        <v>31</v>
      </c>
      <c r="I1243" s="17" t="s">
        <v>2166</v>
      </c>
      <c r="J1243" s="17" t="s">
        <v>2167</v>
      </c>
      <c r="K1243" s="23">
        <v>0</v>
      </c>
      <c r="L1243" s="234">
        <v>24005</v>
      </c>
      <c r="M1243" s="23">
        <v>2986</v>
      </c>
      <c r="N1243" s="23">
        <v>29</v>
      </c>
      <c r="O1243" s="23">
        <v>0</v>
      </c>
      <c r="P1243" s="23">
        <v>0</v>
      </c>
      <c r="Q1243" s="92">
        <v>0</v>
      </c>
      <c r="R1243" s="93">
        <v>5.9720000000000004</v>
      </c>
      <c r="S1243" s="19" t="s">
        <v>115</v>
      </c>
      <c r="T1243" s="257">
        <f t="shared" si="45"/>
        <v>24005</v>
      </c>
      <c r="U1243" s="257">
        <f t="shared" si="46"/>
        <v>3015</v>
      </c>
      <c r="V1243">
        <v>2</v>
      </c>
      <c r="W1243">
        <v>2</v>
      </c>
    </row>
    <row r="1244" spans="1:23" ht="45.6" x14ac:dyDescent="0.3">
      <c r="A1244" s="129">
        <v>39728</v>
      </c>
      <c r="B1244" s="129">
        <v>39728</v>
      </c>
      <c r="C1244" s="6">
        <v>10</v>
      </c>
      <c r="D1244" s="6">
        <v>1</v>
      </c>
      <c r="E1244" s="19">
        <v>2008</v>
      </c>
      <c r="F1244" s="15" t="s">
        <v>22</v>
      </c>
      <c r="G1244" s="16" t="s">
        <v>6256</v>
      </c>
      <c r="H1244" s="9" t="s">
        <v>174</v>
      </c>
      <c r="I1244" s="17" t="s">
        <v>2168</v>
      </c>
      <c r="J1244" s="17" t="str">
        <f>+J1237</f>
        <v>Se registraron fuertes lluvias dejando grandes afectaciones</v>
      </c>
      <c r="K1244" s="23">
        <v>0</v>
      </c>
      <c r="L1244" s="234">
        <f>((M1244*5))*1</f>
        <v>1140</v>
      </c>
      <c r="M1244" s="23">
        <v>228</v>
      </c>
      <c r="N1244" s="23">
        <v>0</v>
      </c>
      <c r="O1244" s="23">
        <v>0</v>
      </c>
      <c r="P1244" s="23">
        <v>0</v>
      </c>
      <c r="Q1244" s="92">
        <v>0</v>
      </c>
      <c r="R1244" s="93">
        <v>0.45600000000000002</v>
      </c>
      <c r="S1244" s="19" t="s">
        <v>115</v>
      </c>
      <c r="T1244" s="257">
        <f t="shared" si="45"/>
        <v>1140</v>
      </c>
      <c r="U1244" s="257">
        <f t="shared" si="46"/>
        <v>228</v>
      </c>
      <c r="V1244">
        <v>1</v>
      </c>
      <c r="W1244">
        <v>1</v>
      </c>
    </row>
    <row r="1245" spans="1:23" ht="160.80000000000001" x14ac:dyDescent="0.3">
      <c r="A1245" s="212">
        <v>37424</v>
      </c>
      <c r="B1245" s="212">
        <v>37424</v>
      </c>
      <c r="C1245" s="6">
        <v>6</v>
      </c>
      <c r="D1245" s="6">
        <v>1</v>
      </c>
      <c r="E1245" s="6">
        <v>2002</v>
      </c>
      <c r="F1245" s="15" t="s">
        <v>22</v>
      </c>
      <c r="G1245" s="18" t="s">
        <v>6256</v>
      </c>
      <c r="H1245" s="9" t="s">
        <v>48</v>
      </c>
      <c r="I1245" s="34" t="s">
        <v>95</v>
      </c>
      <c r="J1245" s="39" t="s">
        <v>2169</v>
      </c>
      <c r="K1245" s="13">
        <v>0</v>
      </c>
      <c r="L1245" s="233">
        <v>535</v>
      </c>
      <c r="M1245" s="13">
        <f>107+11+36+60</f>
        <v>214</v>
      </c>
      <c r="N1245" s="13">
        <v>0</v>
      </c>
      <c r="O1245" s="13">
        <v>0</v>
      </c>
      <c r="P1245" s="13">
        <v>0</v>
      </c>
      <c r="Q1245" s="13">
        <v>0</v>
      </c>
      <c r="R1245" s="26">
        <f>1.67+0.148</f>
        <v>1.8179999999999998</v>
      </c>
      <c r="S1245" s="7" t="s">
        <v>115</v>
      </c>
      <c r="T1245" s="257">
        <f t="shared" si="45"/>
        <v>535</v>
      </c>
      <c r="U1245" s="257">
        <f t="shared" si="46"/>
        <v>214</v>
      </c>
      <c r="V1245">
        <v>1</v>
      </c>
      <c r="W1245">
        <v>1</v>
      </c>
    </row>
    <row r="1246" spans="1:23" ht="22.8" x14ac:dyDescent="0.3">
      <c r="A1246" s="129">
        <v>39732</v>
      </c>
      <c r="B1246" s="129">
        <v>39733</v>
      </c>
      <c r="C1246" s="6">
        <v>10</v>
      </c>
      <c r="D1246" s="6">
        <v>2</v>
      </c>
      <c r="E1246" s="19">
        <v>2008</v>
      </c>
      <c r="F1246" s="15" t="s">
        <v>22</v>
      </c>
      <c r="G1246" s="16" t="s">
        <v>6256</v>
      </c>
      <c r="H1246" s="9" t="s">
        <v>72</v>
      </c>
      <c r="I1246" s="17" t="s">
        <v>2170</v>
      </c>
      <c r="J1246" s="17" t="s">
        <v>2171</v>
      </c>
      <c r="K1246" s="23">
        <v>0</v>
      </c>
      <c r="L1246" s="234">
        <v>728</v>
      </c>
      <c r="M1246" s="23">
        <v>0</v>
      </c>
      <c r="N1246" s="23">
        <v>0</v>
      </c>
      <c r="O1246" s="23">
        <v>0</v>
      </c>
      <c r="P1246" s="23">
        <v>0</v>
      </c>
      <c r="Q1246" s="92">
        <v>0</v>
      </c>
      <c r="R1246" s="93">
        <v>0</v>
      </c>
      <c r="S1246" s="19" t="s">
        <v>115</v>
      </c>
      <c r="T1246" s="257">
        <f t="shared" si="45"/>
        <v>728</v>
      </c>
      <c r="U1246" s="257">
        <f t="shared" si="46"/>
        <v>0</v>
      </c>
      <c r="V1246">
        <v>1</v>
      </c>
      <c r="W1246">
        <v>0</v>
      </c>
    </row>
    <row r="1247" spans="1:23" ht="34.200000000000003" x14ac:dyDescent="0.3">
      <c r="A1247" s="129">
        <v>39732</v>
      </c>
      <c r="B1247" s="129">
        <v>39732</v>
      </c>
      <c r="C1247" s="6">
        <v>10</v>
      </c>
      <c r="D1247" s="6">
        <v>1</v>
      </c>
      <c r="E1247" s="19">
        <v>2008</v>
      </c>
      <c r="F1247" s="15" t="s">
        <v>22</v>
      </c>
      <c r="G1247" s="16" t="s">
        <v>6254</v>
      </c>
      <c r="H1247" s="9" t="s">
        <v>74</v>
      </c>
      <c r="I1247" s="17" t="s">
        <v>2172</v>
      </c>
      <c r="J1247" s="17" t="s">
        <v>2173</v>
      </c>
      <c r="K1247" s="23">
        <v>4</v>
      </c>
      <c r="L1247" s="234">
        <v>15068</v>
      </c>
      <c r="M1247" s="23">
        <v>815</v>
      </c>
      <c r="N1247" s="23">
        <v>36</v>
      </c>
      <c r="O1247" s="23">
        <v>16</v>
      </c>
      <c r="P1247" s="23">
        <v>73</v>
      </c>
      <c r="Q1247" s="92">
        <v>3370</v>
      </c>
      <c r="R1247" s="93">
        <v>402.9</v>
      </c>
      <c r="S1247" s="19" t="s">
        <v>21</v>
      </c>
      <c r="T1247" s="257">
        <f t="shared" si="45"/>
        <v>15072</v>
      </c>
      <c r="U1247" s="257">
        <f t="shared" si="46"/>
        <v>940</v>
      </c>
      <c r="V1247">
        <v>2</v>
      </c>
      <c r="W1247">
        <v>1</v>
      </c>
    </row>
    <row r="1248" spans="1:23" ht="57" x14ac:dyDescent="0.3">
      <c r="A1248" s="129">
        <v>39732</v>
      </c>
      <c r="B1248" s="129">
        <v>39732</v>
      </c>
      <c r="C1248" s="6">
        <v>10</v>
      </c>
      <c r="D1248" s="6">
        <v>1</v>
      </c>
      <c r="E1248" s="19">
        <v>2008</v>
      </c>
      <c r="F1248" s="15" t="s">
        <v>22</v>
      </c>
      <c r="G1248" s="16" t="s">
        <v>6254</v>
      </c>
      <c r="H1248" s="9" t="s">
        <v>28</v>
      </c>
      <c r="I1248" s="17" t="s">
        <v>2174</v>
      </c>
      <c r="J1248" s="17" t="s">
        <v>2175</v>
      </c>
      <c r="K1248" s="23">
        <v>0</v>
      </c>
      <c r="L1248" s="234">
        <v>3144</v>
      </c>
      <c r="M1248" s="23">
        <v>681</v>
      </c>
      <c r="N1248" s="23">
        <v>10</v>
      </c>
      <c r="O1248" s="23">
        <v>0</v>
      </c>
      <c r="P1248" s="23">
        <v>0</v>
      </c>
      <c r="Q1248" s="92">
        <v>0</v>
      </c>
      <c r="R1248" s="93">
        <v>292.21100000000001</v>
      </c>
      <c r="S1248" s="19" t="s">
        <v>111</v>
      </c>
      <c r="T1248" s="257">
        <f t="shared" si="45"/>
        <v>3144</v>
      </c>
      <c r="U1248" s="257">
        <f t="shared" si="46"/>
        <v>691</v>
      </c>
      <c r="V1248">
        <v>1</v>
      </c>
      <c r="W1248">
        <v>1</v>
      </c>
    </row>
    <row r="1249" spans="1:23" ht="303.60000000000002" x14ac:dyDescent="0.3">
      <c r="A1249" s="219">
        <v>40410</v>
      </c>
      <c r="B1249" s="219">
        <v>40410</v>
      </c>
      <c r="C1249" s="6">
        <v>8</v>
      </c>
      <c r="D1249" s="6">
        <v>1</v>
      </c>
      <c r="E1249" s="73">
        <v>2010</v>
      </c>
      <c r="F1249" s="15" t="s">
        <v>22</v>
      </c>
      <c r="G1249" s="18" t="s">
        <v>6256</v>
      </c>
      <c r="H1249" s="9" t="s">
        <v>48</v>
      </c>
      <c r="I1249" s="74" t="s">
        <v>2176</v>
      </c>
      <c r="J1249" s="74" t="s">
        <v>2177</v>
      </c>
      <c r="K1249" s="75">
        <v>0</v>
      </c>
      <c r="L1249" s="241">
        <v>5000</v>
      </c>
      <c r="M1249" s="75">
        <v>83</v>
      </c>
      <c r="N1249" s="75">
        <v>0</v>
      </c>
      <c r="O1249" s="75">
        <v>0</v>
      </c>
      <c r="P1249" s="75">
        <v>0</v>
      </c>
      <c r="Q1249" s="75">
        <v>0</v>
      </c>
      <c r="R1249" s="61">
        <v>1.5552539999999999</v>
      </c>
      <c r="S1249" s="73" t="s">
        <v>115</v>
      </c>
      <c r="T1249" s="257">
        <f t="shared" si="45"/>
        <v>5000</v>
      </c>
      <c r="U1249" s="257">
        <f t="shared" si="46"/>
        <v>83</v>
      </c>
      <c r="V1249">
        <v>1</v>
      </c>
      <c r="W1249">
        <v>1</v>
      </c>
    </row>
    <row r="1250" spans="1:23" ht="68.400000000000006" x14ac:dyDescent="0.3">
      <c r="A1250" s="129">
        <v>39732</v>
      </c>
      <c r="B1250" s="129">
        <v>39732</v>
      </c>
      <c r="C1250" s="6">
        <v>10</v>
      </c>
      <c r="D1250" s="6">
        <v>1</v>
      </c>
      <c r="E1250" s="19">
        <v>2008</v>
      </c>
      <c r="F1250" s="15" t="s">
        <v>22</v>
      </c>
      <c r="G1250" s="16" t="s">
        <v>6256</v>
      </c>
      <c r="H1250" s="9" t="s">
        <v>31</v>
      </c>
      <c r="I1250" s="17" t="s">
        <v>1025</v>
      </c>
      <c r="J1250" s="17" t="s">
        <v>2178</v>
      </c>
      <c r="K1250" s="23">
        <v>0</v>
      </c>
      <c r="L1250" s="234">
        <v>421</v>
      </c>
      <c r="M1250" s="23">
        <v>0</v>
      </c>
      <c r="N1250" s="23">
        <v>0</v>
      </c>
      <c r="O1250" s="23">
        <v>0</v>
      </c>
      <c r="P1250" s="23">
        <v>0</v>
      </c>
      <c r="Q1250" s="92">
        <v>1569</v>
      </c>
      <c r="R1250" s="93">
        <v>5.9379999999999997</v>
      </c>
      <c r="S1250" s="19" t="s">
        <v>1904</v>
      </c>
      <c r="T1250" s="257">
        <f t="shared" si="45"/>
        <v>421</v>
      </c>
      <c r="U1250" s="257">
        <f t="shared" si="46"/>
        <v>0</v>
      </c>
      <c r="V1250">
        <v>1</v>
      </c>
      <c r="W1250">
        <v>0</v>
      </c>
    </row>
    <row r="1251" spans="1:23" ht="102.6" x14ac:dyDescent="0.3">
      <c r="A1251" s="129">
        <v>39737</v>
      </c>
      <c r="B1251" s="129">
        <v>39737</v>
      </c>
      <c r="C1251" s="6">
        <v>10</v>
      </c>
      <c r="D1251" s="6">
        <v>1</v>
      </c>
      <c r="E1251" s="19">
        <v>2008</v>
      </c>
      <c r="F1251" s="15" t="s">
        <v>22</v>
      </c>
      <c r="G1251" s="16" t="s">
        <v>6256</v>
      </c>
      <c r="H1251" s="9" t="s">
        <v>174</v>
      </c>
      <c r="I1251" s="17" t="s">
        <v>2179</v>
      </c>
      <c r="J1251" s="17" t="s">
        <v>2180</v>
      </c>
      <c r="K1251" s="23">
        <v>0</v>
      </c>
      <c r="L1251" s="234">
        <f>((M1251*5))*1</f>
        <v>8210</v>
      </c>
      <c r="M1251" s="23">
        <v>1642</v>
      </c>
      <c r="N1251" s="23">
        <v>0</v>
      </c>
      <c r="O1251" s="23">
        <v>0</v>
      </c>
      <c r="P1251" s="23">
        <v>0</v>
      </c>
      <c r="Q1251" s="92">
        <v>0</v>
      </c>
      <c r="R1251" s="93">
        <v>3.2839999999999998</v>
      </c>
      <c r="S1251" s="19" t="s">
        <v>115</v>
      </c>
      <c r="T1251" s="257">
        <f t="shared" si="45"/>
        <v>8210</v>
      </c>
      <c r="U1251" s="257">
        <f t="shared" si="46"/>
        <v>1642</v>
      </c>
      <c r="V1251">
        <v>1</v>
      </c>
      <c r="W1251">
        <v>2</v>
      </c>
    </row>
    <row r="1252" spans="1:23" ht="34.200000000000003" x14ac:dyDescent="0.3">
      <c r="A1252" s="129">
        <v>39738</v>
      </c>
      <c r="B1252" s="129">
        <v>39738</v>
      </c>
      <c r="C1252" s="6">
        <v>10</v>
      </c>
      <c r="D1252" s="6">
        <v>1</v>
      </c>
      <c r="E1252" s="19">
        <v>2008</v>
      </c>
      <c r="F1252" s="15" t="s">
        <v>22</v>
      </c>
      <c r="G1252" s="16" t="s">
        <v>6256</v>
      </c>
      <c r="H1252" s="9" t="s">
        <v>31</v>
      </c>
      <c r="I1252" s="17" t="s">
        <v>2181</v>
      </c>
      <c r="J1252" s="17" t="s">
        <v>2180</v>
      </c>
      <c r="K1252" s="23">
        <v>0</v>
      </c>
      <c r="L1252" s="234">
        <v>2385</v>
      </c>
      <c r="M1252" s="23">
        <v>185</v>
      </c>
      <c r="N1252" s="23">
        <v>0</v>
      </c>
      <c r="O1252" s="23">
        <v>0</v>
      </c>
      <c r="P1252" s="23">
        <v>0</v>
      </c>
      <c r="Q1252" s="92">
        <v>0</v>
      </c>
      <c r="R1252" s="93">
        <v>0.37</v>
      </c>
      <c r="S1252" s="19" t="s">
        <v>115</v>
      </c>
      <c r="T1252" s="257">
        <f t="shared" si="45"/>
        <v>2385</v>
      </c>
      <c r="U1252" s="257">
        <f t="shared" si="46"/>
        <v>185</v>
      </c>
      <c r="V1252">
        <v>1</v>
      </c>
      <c r="W1252">
        <v>1</v>
      </c>
    </row>
    <row r="1253" spans="1:23" ht="68.400000000000006" x14ac:dyDescent="0.3">
      <c r="A1253" s="129">
        <v>39738</v>
      </c>
      <c r="B1253" s="129">
        <v>39738</v>
      </c>
      <c r="C1253" s="6">
        <v>10</v>
      </c>
      <c r="D1253" s="6">
        <v>1</v>
      </c>
      <c r="E1253" s="19">
        <v>2008</v>
      </c>
      <c r="F1253" s="15" t="s">
        <v>22</v>
      </c>
      <c r="G1253" s="16" t="s">
        <v>6256</v>
      </c>
      <c r="H1253" s="9" t="s">
        <v>31</v>
      </c>
      <c r="I1253" s="17" t="s">
        <v>2182</v>
      </c>
      <c r="J1253" s="17" t="s">
        <v>2183</v>
      </c>
      <c r="K1253" s="23">
        <v>0</v>
      </c>
      <c r="L1253" s="234">
        <v>324</v>
      </c>
      <c r="M1253" s="23">
        <v>0</v>
      </c>
      <c r="N1253" s="23">
        <v>0</v>
      </c>
      <c r="O1253" s="23">
        <v>0</v>
      </c>
      <c r="P1253" s="23">
        <v>0</v>
      </c>
      <c r="Q1253" s="92">
        <v>584.6</v>
      </c>
      <c r="R1253" s="93">
        <v>2.4169999999999998</v>
      </c>
      <c r="S1253" s="19" t="s">
        <v>1904</v>
      </c>
      <c r="T1253" s="257">
        <f t="shared" si="45"/>
        <v>324</v>
      </c>
      <c r="U1253" s="257">
        <f t="shared" si="46"/>
        <v>0</v>
      </c>
      <c r="V1253">
        <v>1</v>
      </c>
      <c r="W1253">
        <v>0</v>
      </c>
    </row>
    <row r="1254" spans="1:23" ht="68.400000000000006" x14ac:dyDescent="0.3">
      <c r="A1254" s="129">
        <v>39739</v>
      </c>
      <c r="B1254" s="129">
        <v>39739</v>
      </c>
      <c r="C1254" s="6">
        <v>10</v>
      </c>
      <c r="D1254" s="6">
        <v>1</v>
      </c>
      <c r="E1254" s="19">
        <v>2008</v>
      </c>
      <c r="F1254" s="15" t="s">
        <v>22</v>
      </c>
      <c r="G1254" s="16" t="s">
        <v>6256</v>
      </c>
      <c r="H1254" s="9" t="s">
        <v>31</v>
      </c>
      <c r="I1254" s="17" t="s">
        <v>2184</v>
      </c>
      <c r="J1254" s="17" t="s">
        <v>2185</v>
      </c>
      <c r="K1254" s="23">
        <v>0</v>
      </c>
      <c r="L1254" s="234">
        <v>1001</v>
      </c>
      <c r="M1254" s="23">
        <v>0</v>
      </c>
      <c r="N1254" s="23">
        <v>0</v>
      </c>
      <c r="O1254" s="23">
        <v>0</v>
      </c>
      <c r="P1254" s="23">
        <v>0</v>
      </c>
      <c r="Q1254" s="92">
        <v>1691.5</v>
      </c>
      <c r="R1254" s="93">
        <v>12.375999999999999</v>
      </c>
      <c r="S1254" s="19" t="s">
        <v>1904</v>
      </c>
      <c r="T1254" s="257">
        <f t="shared" si="45"/>
        <v>1001</v>
      </c>
      <c r="U1254" s="257">
        <f t="shared" si="46"/>
        <v>0</v>
      </c>
      <c r="V1254">
        <v>1</v>
      </c>
      <c r="W1254">
        <v>0</v>
      </c>
    </row>
    <row r="1255" spans="1:23" ht="22.8" x14ac:dyDescent="0.3">
      <c r="A1255" s="129">
        <v>39742</v>
      </c>
      <c r="B1255" s="129">
        <v>39742</v>
      </c>
      <c r="C1255" s="6">
        <v>10</v>
      </c>
      <c r="D1255" s="6">
        <v>1</v>
      </c>
      <c r="E1255" s="19">
        <v>2008</v>
      </c>
      <c r="F1255" s="15" t="s">
        <v>22</v>
      </c>
      <c r="G1255" s="16" t="s">
        <v>6256</v>
      </c>
      <c r="H1255" s="9" t="s">
        <v>112</v>
      </c>
      <c r="I1255" s="17" t="s">
        <v>2186</v>
      </c>
      <c r="J1255" s="17" t="s">
        <v>2187</v>
      </c>
      <c r="K1255" s="23">
        <v>0</v>
      </c>
      <c r="L1255" s="234">
        <v>59</v>
      </c>
      <c r="M1255" s="23">
        <v>0</v>
      </c>
      <c r="N1255" s="23">
        <v>0</v>
      </c>
      <c r="O1255" s="23">
        <v>0</v>
      </c>
      <c r="P1255" s="23">
        <v>0</v>
      </c>
      <c r="Q1255" s="92">
        <v>0</v>
      </c>
      <c r="R1255" s="93">
        <v>0</v>
      </c>
      <c r="S1255" s="19" t="s">
        <v>115</v>
      </c>
      <c r="T1255" s="257">
        <f t="shared" si="45"/>
        <v>59</v>
      </c>
      <c r="U1255" s="257">
        <f t="shared" si="46"/>
        <v>0</v>
      </c>
      <c r="V1255">
        <v>1</v>
      </c>
      <c r="W1255">
        <v>0</v>
      </c>
    </row>
    <row r="1256" spans="1:23" ht="34.200000000000003" x14ac:dyDescent="0.3">
      <c r="A1256" s="129">
        <v>39745</v>
      </c>
      <c r="B1256" s="129">
        <v>39745</v>
      </c>
      <c r="C1256" s="6">
        <v>10</v>
      </c>
      <c r="D1256" s="6">
        <v>1</v>
      </c>
      <c r="E1256" s="19">
        <v>2008</v>
      </c>
      <c r="F1256" s="15" t="s">
        <v>22</v>
      </c>
      <c r="G1256" s="16" t="s">
        <v>6256</v>
      </c>
      <c r="H1256" s="9" t="s">
        <v>69</v>
      </c>
      <c r="I1256" s="17" t="s">
        <v>1634</v>
      </c>
      <c r="J1256" s="17" t="s">
        <v>2188</v>
      </c>
      <c r="K1256" s="23">
        <v>0</v>
      </c>
      <c r="L1256" s="234">
        <f>((M1256*5))*1</f>
        <v>975</v>
      </c>
      <c r="M1256" s="23">
        <v>195</v>
      </c>
      <c r="N1256" s="23">
        <v>0</v>
      </c>
      <c r="O1256" s="23">
        <v>0</v>
      </c>
      <c r="P1256" s="23">
        <v>0</v>
      </c>
      <c r="Q1256" s="92">
        <v>0</v>
      </c>
      <c r="R1256" s="93">
        <v>0.90955799999999998</v>
      </c>
      <c r="S1256" s="19" t="s">
        <v>115</v>
      </c>
      <c r="T1256" s="257">
        <f t="shared" si="45"/>
        <v>975</v>
      </c>
      <c r="U1256" s="257">
        <f t="shared" si="46"/>
        <v>195</v>
      </c>
      <c r="V1256">
        <v>1</v>
      </c>
      <c r="W1256">
        <v>1</v>
      </c>
    </row>
    <row r="1257" spans="1:23" ht="68.400000000000006" x14ac:dyDescent="0.3">
      <c r="A1257" s="129">
        <v>39600</v>
      </c>
      <c r="B1257" s="129">
        <v>39600</v>
      </c>
      <c r="C1257" s="6">
        <v>6</v>
      </c>
      <c r="D1257" s="6">
        <v>1</v>
      </c>
      <c r="E1257" s="19">
        <v>2008</v>
      </c>
      <c r="F1257" s="15" t="s">
        <v>22</v>
      </c>
      <c r="G1257" s="16" t="s">
        <v>23</v>
      </c>
      <c r="H1257" s="9" t="s">
        <v>31</v>
      </c>
      <c r="I1257" s="17" t="s">
        <v>2189</v>
      </c>
      <c r="J1257" s="17" t="s">
        <v>2190</v>
      </c>
      <c r="K1257" s="23">
        <v>0</v>
      </c>
      <c r="L1257" s="234">
        <v>6935</v>
      </c>
      <c r="M1257" s="23">
        <v>0</v>
      </c>
      <c r="N1257" s="23">
        <v>0</v>
      </c>
      <c r="O1257" s="23">
        <v>0</v>
      </c>
      <c r="P1257" s="23">
        <v>0</v>
      </c>
      <c r="Q1257" s="92">
        <v>16249.5</v>
      </c>
      <c r="R1257" s="93">
        <v>12.696</v>
      </c>
      <c r="S1257" s="19" t="s">
        <v>2191</v>
      </c>
      <c r="T1257" s="257">
        <f t="shared" si="45"/>
        <v>6935</v>
      </c>
      <c r="U1257" s="257">
        <f t="shared" si="46"/>
        <v>0</v>
      </c>
      <c r="V1257">
        <v>1</v>
      </c>
      <c r="W1257">
        <v>0</v>
      </c>
    </row>
    <row r="1258" spans="1:23" ht="68.400000000000006" x14ac:dyDescent="0.3">
      <c r="A1258" s="129">
        <v>39722</v>
      </c>
      <c r="B1258" s="129">
        <v>39722</v>
      </c>
      <c r="C1258" s="6">
        <v>10</v>
      </c>
      <c r="D1258" s="6">
        <v>1</v>
      </c>
      <c r="E1258" s="19">
        <v>2008</v>
      </c>
      <c r="F1258" s="15" t="s">
        <v>22</v>
      </c>
      <c r="G1258" s="16" t="s">
        <v>23</v>
      </c>
      <c r="H1258" s="9" t="s">
        <v>56</v>
      </c>
      <c r="I1258" s="17" t="s">
        <v>2192</v>
      </c>
      <c r="J1258" s="17" t="s">
        <v>2193</v>
      </c>
      <c r="K1258" s="23">
        <v>0</v>
      </c>
      <c r="L1258" s="234">
        <v>241</v>
      </c>
      <c r="M1258" s="23">
        <v>0</v>
      </c>
      <c r="N1258" s="23">
        <v>0</v>
      </c>
      <c r="O1258" s="23">
        <v>0</v>
      </c>
      <c r="P1258" s="23">
        <v>0</v>
      </c>
      <c r="Q1258" s="92">
        <v>900.5</v>
      </c>
      <c r="R1258" s="93">
        <v>0.64300000000000002</v>
      </c>
      <c r="S1258" s="19" t="s">
        <v>2191</v>
      </c>
      <c r="T1258" s="257">
        <f t="shared" si="45"/>
        <v>241</v>
      </c>
      <c r="U1258" s="257">
        <f t="shared" si="46"/>
        <v>0</v>
      </c>
      <c r="V1258">
        <v>1</v>
      </c>
      <c r="W1258">
        <v>0</v>
      </c>
    </row>
    <row r="1259" spans="1:23" ht="102.6" x14ac:dyDescent="0.3">
      <c r="A1259" s="129">
        <v>39692</v>
      </c>
      <c r="B1259" s="129">
        <v>39752</v>
      </c>
      <c r="C1259" s="6">
        <v>9</v>
      </c>
      <c r="D1259" s="6">
        <v>61</v>
      </c>
      <c r="E1259" s="19">
        <v>2008</v>
      </c>
      <c r="F1259" s="15" t="s">
        <v>22</v>
      </c>
      <c r="G1259" s="16" t="s">
        <v>23</v>
      </c>
      <c r="H1259" s="9" t="s">
        <v>88</v>
      </c>
      <c r="I1259" s="17" t="s">
        <v>2194</v>
      </c>
      <c r="J1259" s="17" t="s">
        <v>2195</v>
      </c>
      <c r="K1259" s="23">
        <v>0</v>
      </c>
      <c r="L1259" s="234">
        <v>15455</v>
      </c>
      <c r="M1259" s="23">
        <v>0</v>
      </c>
      <c r="N1259" s="23">
        <v>0</v>
      </c>
      <c r="O1259" s="23">
        <v>0</v>
      </c>
      <c r="P1259" s="23">
        <v>0</v>
      </c>
      <c r="Q1259" s="92">
        <v>52838.8</v>
      </c>
      <c r="R1259" s="93">
        <v>42.271000000000001</v>
      </c>
      <c r="S1259" s="19" t="s">
        <v>2191</v>
      </c>
      <c r="T1259" s="257">
        <f t="shared" si="45"/>
        <v>15455</v>
      </c>
      <c r="U1259" s="257">
        <f t="shared" si="46"/>
        <v>0</v>
      </c>
      <c r="V1259">
        <v>2</v>
      </c>
      <c r="W1259">
        <v>0</v>
      </c>
    </row>
    <row r="1260" spans="1:23" ht="45.6" x14ac:dyDescent="0.3">
      <c r="A1260" s="129">
        <v>39661</v>
      </c>
      <c r="B1260" s="129">
        <v>39661</v>
      </c>
      <c r="C1260" s="6">
        <v>8</v>
      </c>
      <c r="D1260" s="6">
        <v>1</v>
      </c>
      <c r="E1260" s="19">
        <v>2008</v>
      </c>
      <c r="F1260" s="15" t="s">
        <v>22</v>
      </c>
      <c r="G1260" s="16" t="s">
        <v>23</v>
      </c>
      <c r="H1260" s="9" t="s">
        <v>52</v>
      </c>
      <c r="I1260" s="17" t="s">
        <v>2196</v>
      </c>
      <c r="J1260" s="17" t="s">
        <v>2197</v>
      </c>
      <c r="K1260" s="23">
        <v>0</v>
      </c>
      <c r="L1260" s="234">
        <v>548</v>
      </c>
      <c r="M1260" s="23">
        <v>0</v>
      </c>
      <c r="N1260" s="23">
        <v>0</v>
      </c>
      <c r="O1260" s="23">
        <v>0</v>
      </c>
      <c r="P1260" s="23">
        <v>0</v>
      </c>
      <c r="Q1260" s="92">
        <v>2734.4</v>
      </c>
      <c r="R1260" s="93">
        <v>6.0289999999999999</v>
      </c>
      <c r="S1260" s="19" t="s">
        <v>1904</v>
      </c>
      <c r="T1260" s="257">
        <f t="shared" si="45"/>
        <v>548</v>
      </c>
      <c r="U1260" s="257">
        <f t="shared" si="46"/>
        <v>0</v>
      </c>
      <c r="V1260">
        <v>1</v>
      </c>
      <c r="W1260">
        <v>0</v>
      </c>
    </row>
    <row r="1261" spans="1:23" ht="171" x14ac:dyDescent="0.3">
      <c r="A1261" s="129">
        <v>39630</v>
      </c>
      <c r="B1261" s="129">
        <v>39630</v>
      </c>
      <c r="C1261" s="6">
        <v>7</v>
      </c>
      <c r="D1261" s="6">
        <v>1</v>
      </c>
      <c r="E1261" s="19">
        <v>2008</v>
      </c>
      <c r="F1261" s="15" t="s">
        <v>22</v>
      </c>
      <c r="G1261" s="16" t="s">
        <v>23</v>
      </c>
      <c r="H1261" s="9" t="s">
        <v>124</v>
      </c>
      <c r="I1261" s="17" t="s">
        <v>2198</v>
      </c>
      <c r="J1261" s="17" t="s">
        <v>2199</v>
      </c>
      <c r="K1261" s="23">
        <v>0</v>
      </c>
      <c r="L1261" s="234">
        <v>11238</v>
      </c>
      <c r="M1261" s="23">
        <v>0</v>
      </c>
      <c r="N1261" s="23">
        <v>0</v>
      </c>
      <c r="O1261" s="23">
        <v>0</v>
      </c>
      <c r="P1261" s="23">
        <v>0</v>
      </c>
      <c r="Q1261" s="92">
        <v>11639.1</v>
      </c>
      <c r="R1261" s="93">
        <v>30.343</v>
      </c>
      <c r="S1261" s="19" t="s">
        <v>1904</v>
      </c>
      <c r="T1261" s="257">
        <f t="shared" si="45"/>
        <v>11238</v>
      </c>
      <c r="U1261" s="257">
        <f t="shared" si="46"/>
        <v>0</v>
      </c>
      <c r="V1261">
        <v>2</v>
      </c>
      <c r="W1261">
        <v>0</v>
      </c>
    </row>
    <row r="1262" spans="1:23" ht="68.400000000000006" x14ac:dyDescent="0.3">
      <c r="A1262" s="129">
        <v>39692</v>
      </c>
      <c r="B1262" s="129">
        <v>39692</v>
      </c>
      <c r="C1262" s="6">
        <v>9</v>
      </c>
      <c r="D1262" s="6">
        <v>1</v>
      </c>
      <c r="E1262" s="19">
        <v>2008</v>
      </c>
      <c r="F1262" s="15" t="s">
        <v>22</v>
      </c>
      <c r="G1262" s="16" t="s">
        <v>23</v>
      </c>
      <c r="H1262" s="9" t="s">
        <v>64</v>
      </c>
      <c r="I1262" s="17" t="s">
        <v>2200</v>
      </c>
      <c r="J1262" s="17" t="s">
        <v>2201</v>
      </c>
      <c r="K1262" s="23">
        <v>0</v>
      </c>
      <c r="L1262" s="234">
        <v>5604</v>
      </c>
      <c r="M1262" s="23">
        <v>0</v>
      </c>
      <c r="N1262" s="23">
        <v>0</v>
      </c>
      <c r="O1262" s="23">
        <v>0</v>
      </c>
      <c r="P1262" s="23">
        <v>0</v>
      </c>
      <c r="Q1262" s="92">
        <v>17832.3</v>
      </c>
      <c r="R1262" s="93">
        <v>50.5488</v>
      </c>
      <c r="S1262" s="19" t="s">
        <v>1904</v>
      </c>
      <c r="T1262" s="257">
        <f t="shared" si="45"/>
        <v>5604</v>
      </c>
      <c r="U1262" s="257">
        <f t="shared" si="46"/>
        <v>0</v>
      </c>
      <c r="V1262">
        <v>1</v>
      </c>
      <c r="W1262">
        <v>0</v>
      </c>
    </row>
    <row r="1263" spans="1:23" ht="45.6" x14ac:dyDescent="0.3">
      <c r="A1263" s="129">
        <v>39448</v>
      </c>
      <c r="B1263" s="129">
        <v>39813</v>
      </c>
      <c r="C1263" s="6">
        <v>1</v>
      </c>
      <c r="D1263" s="6">
        <v>366</v>
      </c>
      <c r="E1263" s="19">
        <v>2008</v>
      </c>
      <c r="F1263" s="15" t="s">
        <v>22</v>
      </c>
      <c r="G1263" s="18" t="s">
        <v>6255</v>
      </c>
      <c r="H1263" s="9" t="s">
        <v>27</v>
      </c>
      <c r="I1263" s="53" t="s">
        <v>1109</v>
      </c>
      <c r="J1263" s="53" t="s">
        <v>2202</v>
      </c>
      <c r="K1263" s="23">
        <v>5</v>
      </c>
      <c r="L1263" s="234">
        <v>5</v>
      </c>
      <c r="M1263" s="23">
        <v>0</v>
      </c>
      <c r="N1263" s="23">
        <v>0</v>
      </c>
      <c r="O1263" s="23">
        <v>0</v>
      </c>
      <c r="P1263" s="23">
        <v>0</v>
      </c>
      <c r="Q1263" s="23">
        <v>0</v>
      </c>
      <c r="R1263" s="93">
        <v>0</v>
      </c>
      <c r="S1263" s="7" t="s">
        <v>1219</v>
      </c>
      <c r="T1263" s="257">
        <f t="shared" si="45"/>
        <v>10</v>
      </c>
      <c r="U1263" s="257">
        <f t="shared" si="46"/>
        <v>0</v>
      </c>
      <c r="V1263">
        <v>1</v>
      </c>
      <c r="W1263">
        <v>0</v>
      </c>
    </row>
    <row r="1264" spans="1:23" ht="34.200000000000003" x14ac:dyDescent="0.3">
      <c r="A1264" s="129">
        <v>39448</v>
      </c>
      <c r="B1264" s="129">
        <v>39813</v>
      </c>
      <c r="C1264" s="6">
        <v>1</v>
      </c>
      <c r="D1264" s="6">
        <v>366</v>
      </c>
      <c r="E1264" s="19">
        <v>2008</v>
      </c>
      <c r="F1264" s="15" t="s">
        <v>22</v>
      </c>
      <c r="G1264" s="18" t="s">
        <v>6255</v>
      </c>
      <c r="H1264" s="9" t="s">
        <v>37</v>
      </c>
      <c r="I1264" s="53" t="s">
        <v>1109</v>
      </c>
      <c r="J1264" s="53" t="s">
        <v>2203</v>
      </c>
      <c r="K1264" s="23">
        <v>4</v>
      </c>
      <c r="L1264" s="234">
        <v>57504</v>
      </c>
      <c r="M1264" s="23">
        <v>0</v>
      </c>
      <c r="N1264" s="23">
        <v>0</v>
      </c>
      <c r="O1264" s="23">
        <v>0</v>
      </c>
      <c r="P1264" s="23">
        <v>0</v>
      </c>
      <c r="Q1264" s="23">
        <v>0</v>
      </c>
      <c r="R1264" s="93">
        <v>4.24</v>
      </c>
      <c r="S1264" s="19" t="s">
        <v>2204</v>
      </c>
      <c r="T1264" s="257">
        <f t="shared" si="45"/>
        <v>57508</v>
      </c>
      <c r="U1264" s="257">
        <f t="shared" si="46"/>
        <v>0</v>
      </c>
      <c r="V1264">
        <v>2</v>
      </c>
      <c r="W1264">
        <v>0</v>
      </c>
    </row>
    <row r="1265" spans="1:23" ht="34.200000000000003" x14ac:dyDescent="0.3">
      <c r="A1265" s="129">
        <v>39448</v>
      </c>
      <c r="B1265" s="129">
        <v>39813</v>
      </c>
      <c r="C1265" s="6">
        <v>1</v>
      </c>
      <c r="D1265" s="6">
        <v>366</v>
      </c>
      <c r="E1265" s="19">
        <v>2008</v>
      </c>
      <c r="F1265" s="15" t="s">
        <v>22</v>
      </c>
      <c r="G1265" s="18" t="s">
        <v>6255</v>
      </c>
      <c r="H1265" s="9" t="s">
        <v>31</v>
      </c>
      <c r="I1265" s="53" t="s">
        <v>1109</v>
      </c>
      <c r="J1265" s="53" t="s">
        <v>2205</v>
      </c>
      <c r="K1265" s="23">
        <v>0</v>
      </c>
      <c r="L1265" s="234">
        <v>24300</v>
      </c>
      <c r="M1265" s="23">
        <v>0</v>
      </c>
      <c r="N1265" s="23">
        <v>0</v>
      </c>
      <c r="O1265" s="23">
        <v>0</v>
      </c>
      <c r="P1265" s="23">
        <v>0</v>
      </c>
      <c r="Q1265" s="23">
        <v>0</v>
      </c>
      <c r="R1265" s="93">
        <v>2.5089999999999999</v>
      </c>
      <c r="S1265" s="19" t="s">
        <v>149</v>
      </c>
      <c r="T1265" s="257">
        <f t="shared" si="45"/>
        <v>24300</v>
      </c>
      <c r="U1265" s="257">
        <f t="shared" si="46"/>
        <v>0</v>
      </c>
      <c r="V1265">
        <v>2</v>
      </c>
      <c r="W1265">
        <v>0</v>
      </c>
    </row>
    <row r="1266" spans="1:23" ht="34.200000000000003" x14ac:dyDescent="0.3">
      <c r="A1266" s="129">
        <v>39448</v>
      </c>
      <c r="B1266" s="129">
        <v>39813</v>
      </c>
      <c r="C1266" s="6">
        <v>1</v>
      </c>
      <c r="D1266" s="6">
        <v>366</v>
      </c>
      <c r="E1266" s="19">
        <v>2008</v>
      </c>
      <c r="F1266" s="15" t="s">
        <v>22</v>
      </c>
      <c r="G1266" s="18" t="s">
        <v>6255</v>
      </c>
      <c r="H1266" s="9" t="s">
        <v>34</v>
      </c>
      <c r="I1266" s="53" t="s">
        <v>1109</v>
      </c>
      <c r="J1266" s="53" t="s">
        <v>2206</v>
      </c>
      <c r="K1266" s="23">
        <v>32</v>
      </c>
      <c r="L1266" s="234">
        <v>11532</v>
      </c>
      <c r="M1266" s="23">
        <v>0</v>
      </c>
      <c r="N1266" s="23">
        <v>0</v>
      </c>
      <c r="O1266" s="23">
        <v>0</v>
      </c>
      <c r="P1266" s="23">
        <v>0</v>
      </c>
      <c r="Q1266" s="23">
        <v>0</v>
      </c>
      <c r="R1266" s="93">
        <v>1.2829999999999999</v>
      </c>
      <c r="S1266" s="19" t="s">
        <v>2204</v>
      </c>
      <c r="T1266" s="257">
        <f t="shared" si="45"/>
        <v>11564</v>
      </c>
      <c r="U1266" s="257">
        <f t="shared" si="46"/>
        <v>0</v>
      </c>
      <c r="V1266">
        <v>2</v>
      </c>
      <c r="W1266">
        <v>0</v>
      </c>
    </row>
    <row r="1267" spans="1:23" ht="22.8" x14ac:dyDescent="0.3">
      <c r="A1267" s="129">
        <v>39448</v>
      </c>
      <c r="B1267" s="129">
        <v>39813</v>
      </c>
      <c r="C1267" s="6">
        <v>1</v>
      </c>
      <c r="D1267" s="6">
        <v>366</v>
      </c>
      <c r="E1267" s="19">
        <v>2008</v>
      </c>
      <c r="F1267" s="15" t="s">
        <v>22</v>
      </c>
      <c r="G1267" s="18" t="s">
        <v>6255</v>
      </c>
      <c r="H1267" s="9" t="s">
        <v>41</v>
      </c>
      <c r="I1267" s="53" t="s">
        <v>1109</v>
      </c>
      <c r="J1267" s="53" t="s">
        <v>2207</v>
      </c>
      <c r="K1267" s="23">
        <v>4</v>
      </c>
      <c r="L1267" s="234">
        <v>59504</v>
      </c>
      <c r="M1267" s="23">
        <v>0</v>
      </c>
      <c r="N1267" s="23">
        <v>0</v>
      </c>
      <c r="O1267" s="23">
        <v>0</v>
      </c>
      <c r="P1267" s="23">
        <v>0</v>
      </c>
      <c r="Q1267" s="23">
        <v>0</v>
      </c>
      <c r="R1267" s="93">
        <v>8.0719999999999992</v>
      </c>
      <c r="S1267" s="19" t="s">
        <v>2204</v>
      </c>
      <c r="T1267" s="257">
        <f t="shared" si="45"/>
        <v>59508</v>
      </c>
      <c r="U1267" s="257">
        <f t="shared" si="46"/>
        <v>0</v>
      </c>
      <c r="V1267">
        <v>2</v>
      </c>
      <c r="W1267">
        <v>0</v>
      </c>
    </row>
    <row r="1268" spans="1:23" ht="34.200000000000003" x14ac:dyDescent="0.3">
      <c r="A1268" s="129">
        <v>39448</v>
      </c>
      <c r="B1268" s="129">
        <v>39813</v>
      </c>
      <c r="C1268" s="6">
        <v>1</v>
      </c>
      <c r="D1268" s="6">
        <v>366</v>
      </c>
      <c r="E1268" s="19">
        <v>2008</v>
      </c>
      <c r="F1268" s="15" t="s">
        <v>22</v>
      </c>
      <c r="G1268" s="18" t="s">
        <v>6255</v>
      </c>
      <c r="H1268" s="9" t="s">
        <v>121</v>
      </c>
      <c r="I1268" s="53" t="s">
        <v>1109</v>
      </c>
      <c r="J1268" s="53" t="s">
        <v>2203</v>
      </c>
      <c r="K1268" s="23">
        <v>4</v>
      </c>
      <c r="L1268" s="234">
        <v>34604</v>
      </c>
      <c r="M1268" s="23">
        <v>0</v>
      </c>
      <c r="N1268" s="23">
        <v>0</v>
      </c>
      <c r="O1268" s="23">
        <v>0</v>
      </c>
      <c r="P1268" s="23">
        <v>0</v>
      </c>
      <c r="Q1268" s="23">
        <v>0</v>
      </c>
      <c r="R1268" s="93">
        <v>17.385000000000002</v>
      </c>
      <c r="S1268" s="19" t="s">
        <v>2204</v>
      </c>
      <c r="T1268" s="257">
        <f t="shared" si="45"/>
        <v>34608</v>
      </c>
      <c r="U1268" s="257">
        <f t="shared" si="46"/>
        <v>0</v>
      </c>
      <c r="V1268">
        <v>2</v>
      </c>
      <c r="W1268">
        <v>0</v>
      </c>
    </row>
    <row r="1269" spans="1:23" ht="22.8" x14ac:dyDescent="0.3">
      <c r="A1269" s="129">
        <v>39448</v>
      </c>
      <c r="B1269" s="129">
        <v>39813</v>
      </c>
      <c r="C1269" s="6">
        <v>1</v>
      </c>
      <c r="D1269" s="6">
        <v>366</v>
      </c>
      <c r="E1269" s="19">
        <v>2008</v>
      </c>
      <c r="F1269" s="15" t="s">
        <v>22</v>
      </c>
      <c r="G1269" s="18" t="s">
        <v>6255</v>
      </c>
      <c r="H1269" s="9" t="s">
        <v>52</v>
      </c>
      <c r="I1269" s="53" t="s">
        <v>1109</v>
      </c>
      <c r="J1269" s="53" t="s">
        <v>2208</v>
      </c>
      <c r="K1269" s="23">
        <v>1</v>
      </c>
      <c r="L1269" s="234">
        <v>1</v>
      </c>
      <c r="M1269" s="23">
        <v>0</v>
      </c>
      <c r="N1269" s="23">
        <v>0</v>
      </c>
      <c r="O1269" s="23">
        <v>0</v>
      </c>
      <c r="P1269" s="23">
        <v>0</v>
      </c>
      <c r="Q1269" s="23">
        <v>0</v>
      </c>
      <c r="R1269" s="93">
        <v>0</v>
      </c>
      <c r="S1269" s="19" t="s">
        <v>1219</v>
      </c>
      <c r="T1269" s="257">
        <f t="shared" si="45"/>
        <v>2</v>
      </c>
      <c r="U1269" s="257">
        <f t="shared" si="46"/>
        <v>0</v>
      </c>
      <c r="V1269">
        <v>1</v>
      </c>
      <c r="W1269">
        <v>0</v>
      </c>
    </row>
    <row r="1270" spans="1:23" ht="34.200000000000003" x14ac:dyDescent="0.3">
      <c r="A1270" s="129">
        <v>39448</v>
      </c>
      <c r="B1270" s="129">
        <v>39813</v>
      </c>
      <c r="C1270" s="6">
        <v>1</v>
      </c>
      <c r="D1270" s="6">
        <v>366</v>
      </c>
      <c r="E1270" s="19">
        <v>2008</v>
      </c>
      <c r="F1270" s="15" t="s">
        <v>22</v>
      </c>
      <c r="G1270" s="18" t="s">
        <v>6255</v>
      </c>
      <c r="H1270" s="9" t="s">
        <v>61</v>
      </c>
      <c r="I1270" s="53" t="s">
        <v>1109</v>
      </c>
      <c r="J1270" s="53" t="s">
        <v>2209</v>
      </c>
      <c r="K1270" s="23">
        <v>2</v>
      </c>
      <c r="L1270" s="234">
        <v>2</v>
      </c>
      <c r="M1270" s="23">
        <v>0</v>
      </c>
      <c r="N1270" s="23">
        <v>0</v>
      </c>
      <c r="O1270" s="23">
        <v>0</v>
      </c>
      <c r="P1270" s="23">
        <v>0</v>
      </c>
      <c r="Q1270" s="23">
        <v>0</v>
      </c>
      <c r="R1270" s="93">
        <v>0</v>
      </c>
      <c r="S1270" s="19" t="s">
        <v>1219</v>
      </c>
      <c r="T1270" s="257">
        <f t="shared" si="45"/>
        <v>4</v>
      </c>
      <c r="U1270" s="257">
        <f t="shared" si="46"/>
        <v>0</v>
      </c>
      <c r="V1270">
        <v>1</v>
      </c>
      <c r="W1270">
        <v>0</v>
      </c>
    </row>
    <row r="1271" spans="1:23" ht="34.200000000000003" x14ac:dyDescent="0.3">
      <c r="A1271" s="129">
        <v>39448</v>
      </c>
      <c r="B1271" s="129">
        <v>39813</v>
      </c>
      <c r="C1271" s="6">
        <v>1</v>
      </c>
      <c r="D1271" s="6">
        <v>366</v>
      </c>
      <c r="E1271" s="19">
        <v>2008</v>
      </c>
      <c r="F1271" s="15" t="s">
        <v>22</v>
      </c>
      <c r="G1271" s="18" t="s">
        <v>6255</v>
      </c>
      <c r="H1271" s="9" t="s">
        <v>64</v>
      </c>
      <c r="I1271" s="53" t="s">
        <v>1109</v>
      </c>
      <c r="J1271" s="53" t="s">
        <v>2210</v>
      </c>
      <c r="K1271" s="23">
        <v>7</v>
      </c>
      <c r="L1271" s="234">
        <v>7</v>
      </c>
      <c r="M1271" s="23">
        <v>0</v>
      </c>
      <c r="N1271" s="23">
        <v>0</v>
      </c>
      <c r="O1271" s="23">
        <v>0</v>
      </c>
      <c r="P1271" s="23">
        <v>0</v>
      </c>
      <c r="Q1271" s="23">
        <v>0</v>
      </c>
      <c r="R1271" s="93">
        <v>0</v>
      </c>
      <c r="S1271" s="19" t="s">
        <v>1219</v>
      </c>
      <c r="T1271" s="257">
        <f t="shared" si="45"/>
        <v>14</v>
      </c>
      <c r="U1271" s="257">
        <f t="shared" si="46"/>
        <v>0</v>
      </c>
      <c r="V1271">
        <v>1</v>
      </c>
      <c r="W1271">
        <v>0</v>
      </c>
    </row>
    <row r="1272" spans="1:23" ht="34.200000000000003" x14ac:dyDescent="0.3">
      <c r="A1272" s="129">
        <v>39448</v>
      </c>
      <c r="B1272" s="129">
        <v>39813</v>
      </c>
      <c r="C1272" s="6">
        <v>1</v>
      </c>
      <c r="D1272" s="6">
        <v>366</v>
      </c>
      <c r="E1272" s="19">
        <v>2008</v>
      </c>
      <c r="F1272" s="15" t="s">
        <v>22</v>
      </c>
      <c r="G1272" s="18" t="s">
        <v>6255</v>
      </c>
      <c r="H1272" s="9" t="s">
        <v>66</v>
      </c>
      <c r="I1272" s="53" t="s">
        <v>1109</v>
      </c>
      <c r="J1272" s="53" t="s">
        <v>2211</v>
      </c>
      <c r="K1272" s="23">
        <v>1</v>
      </c>
      <c r="L1272" s="234">
        <v>1</v>
      </c>
      <c r="M1272" s="23">
        <v>0</v>
      </c>
      <c r="N1272" s="23">
        <v>0</v>
      </c>
      <c r="O1272" s="23">
        <v>0</v>
      </c>
      <c r="P1272" s="23">
        <v>0</v>
      </c>
      <c r="Q1272" s="23">
        <v>0</v>
      </c>
      <c r="R1272" s="93">
        <v>0</v>
      </c>
      <c r="S1272" s="19" t="s">
        <v>1219</v>
      </c>
      <c r="T1272" s="257">
        <f t="shared" si="45"/>
        <v>2</v>
      </c>
      <c r="U1272" s="257">
        <f t="shared" si="46"/>
        <v>0</v>
      </c>
      <c r="V1272">
        <v>1</v>
      </c>
      <c r="W1272">
        <v>0</v>
      </c>
    </row>
    <row r="1273" spans="1:23" ht="34.200000000000003" x14ac:dyDescent="0.3">
      <c r="A1273" s="129">
        <v>39448</v>
      </c>
      <c r="B1273" s="129">
        <v>39813</v>
      </c>
      <c r="C1273" s="6">
        <v>1</v>
      </c>
      <c r="D1273" s="6">
        <v>366</v>
      </c>
      <c r="E1273" s="19">
        <v>2008</v>
      </c>
      <c r="F1273" s="15" t="s">
        <v>22</v>
      </c>
      <c r="G1273" s="18" t="s">
        <v>6255</v>
      </c>
      <c r="H1273" s="9" t="s">
        <v>70</v>
      </c>
      <c r="I1273" s="53" t="s">
        <v>1109</v>
      </c>
      <c r="J1273" s="53" t="s">
        <v>2212</v>
      </c>
      <c r="K1273" s="23">
        <v>2</v>
      </c>
      <c r="L1273" s="234">
        <v>2</v>
      </c>
      <c r="M1273" s="23">
        <v>0</v>
      </c>
      <c r="N1273" s="23">
        <v>0</v>
      </c>
      <c r="O1273" s="23">
        <v>0</v>
      </c>
      <c r="P1273" s="23">
        <v>0</v>
      </c>
      <c r="Q1273" s="23">
        <v>0</v>
      </c>
      <c r="R1273" s="93">
        <v>0</v>
      </c>
      <c r="S1273" s="19" t="s">
        <v>1219</v>
      </c>
      <c r="T1273" s="257">
        <f t="shared" si="45"/>
        <v>4</v>
      </c>
      <c r="U1273" s="257">
        <f t="shared" si="46"/>
        <v>0</v>
      </c>
      <c r="V1273">
        <v>1</v>
      </c>
      <c r="W1273">
        <v>0</v>
      </c>
    </row>
    <row r="1274" spans="1:23" ht="45.6" x14ac:dyDescent="0.3">
      <c r="A1274" s="129">
        <v>39448</v>
      </c>
      <c r="B1274" s="129">
        <v>39813</v>
      </c>
      <c r="C1274" s="6">
        <v>1</v>
      </c>
      <c r="D1274" s="6">
        <v>366</v>
      </c>
      <c r="E1274" s="19">
        <v>2008</v>
      </c>
      <c r="F1274" s="15" t="s">
        <v>22</v>
      </c>
      <c r="G1274" s="18" t="s">
        <v>6255</v>
      </c>
      <c r="H1274" s="9" t="s">
        <v>74</v>
      </c>
      <c r="I1274" s="53" t="s">
        <v>1109</v>
      </c>
      <c r="J1274" s="53" t="s">
        <v>2213</v>
      </c>
      <c r="K1274" s="23">
        <v>12</v>
      </c>
      <c r="L1274" s="234">
        <v>12</v>
      </c>
      <c r="M1274" s="23">
        <v>0</v>
      </c>
      <c r="N1274" s="23">
        <v>0</v>
      </c>
      <c r="O1274" s="23">
        <v>0</v>
      </c>
      <c r="P1274" s="23">
        <v>0</v>
      </c>
      <c r="Q1274" s="23">
        <v>0</v>
      </c>
      <c r="R1274" s="93">
        <v>0</v>
      </c>
      <c r="S1274" s="19" t="s">
        <v>1219</v>
      </c>
      <c r="T1274" s="257">
        <f t="shared" si="45"/>
        <v>24</v>
      </c>
      <c r="U1274" s="257">
        <f t="shared" si="46"/>
        <v>0</v>
      </c>
      <c r="V1274">
        <v>1</v>
      </c>
      <c r="W1274">
        <v>0</v>
      </c>
    </row>
    <row r="1275" spans="1:23" ht="34.200000000000003" x14ac:dyDescent="0.3">
      <c r="A1275" s="129">
        <v>39448</v>
      </c>
      <c r="B1275" s="129">
        <v>39813</v>
      </c>
      <c r="C1275" s="6">
        <v>1</v>
      </c>
      <c r="D1275" s="6">
        <v>366</v>
      </c>
      <c r="E1275" s="19">
        <v>2008</v>
      </c>
      <c r="F1275" s="15" t="s">
        <v>22</v>
      </c>
      <c r="G1275" s="18" t="s">
        <v>6255</v>
      </c>
      <c r="H1275" s="9" t="s">
        <v>78</v>
      </c>
      <c r="I1275" s="53" t="s">
        <v>1109</v>
      </c>
      <c r="J1275" s="53" t="s">
        <v>2211</v>
      </c>
      <c r="K1275" s="23">
        <v>1</v>
      </c>
      <c r="L1275" s="234">
        <v>26001</v>
      </c>
      <c r="M1275" s="23">
        <v>0</v>
      </c>
      <c r="N1275" s="23">
        <v>0</v>
      </c>
      <c r="O1275" s="23">
        <v>0</v>
      </c>
      <c r="P1275" s="23">
        <v>0</v>
      </c>
      <c r="Q1275" s="23">
        <v>0</v>
      </c>
      <c r="R1275" s="93">
        <v>7.1</v>
      </c>
      <c r="S1275" s="19" t="s">
        <v>2204</v>
      </c>
      <c r="T1275" s="257">
        <f t="shared" si="45"/>
        <v>26002</v>
      </c>
      <c r="U1275" s="257">
        <f t="shared" si="46"/>
        <v>0</v>
      </c>
      <c r="V1275">
        <v>2</v>
      </c>
      <c r="W1275">
        <v>0</v>
      </c>
    </row>
    <row r="1276" spans="1:23" ht="34.200000000000003" x14ac:dyDescent="0.3">
      <c r="A1276" s="129">
        <v>39448</v>
      </c>
      <c r="B1276" s="129">
        <v>39813</v>
      </c>
      <c r="C1276" s="6">
        <v>1</v>
      </c>
      <c r="D1276" s="6">
        <v>366</v>
      </c>
      <c r="E1276" s="19">
        <v>2008</v>
      </c>
      <c r="F1276" s="15" t="s">
        <v>22</v>
      </c>
      <c r="G1276" s="18" t="s">
        <v>6255</v>
      </c>
      <c r="H1276" s="9" t="s">
        <v>84</v>
      </c>
      <c r="I1276" s="53" t="s">
        <v>1109</v>
      </c>
      <c r="J1276" s="53" t="s">
        <v>2205</v>
      </c>
      <c r="K1276" s="23">
        <v>0</v>
      </c>
      <c r="L1276" s="234">
        <v>7420</v>
      </c>
      <c r="M1276" s="23">
        <v>0</v>
      </c>
      <c r="N1276" s="23">
        <v>0</v>
      </c>
      <c r="O1276" s="23">
        <v>0</v>
      </c>
      <c r="P1276" s="23">
        <v>0</v>
      </c>
      <c r="Q1276" s="23">
        <v>0</v>
      </c>
      <c r="R1276" s="93">
        <v>5.2629999999999999</v>
      </c>
      <c r="S1276" s="19" t="s">
        <v>149</v>
      </c>
      <c r="T1276" s="257">
        <f t="shared" si="45"/>
        <v>7420</v>
      </c>
      <c r="U1276" s="257">
        <f t="shared" si="46"/>
        <v>0</v>
      </c>
      <c r="V1276">
        <v>1</v>
      </c>
      <c r="W1276">
        <v>0</v>
      </c>
    </row>
    <row r="1277" spans="1:23" ht="34.200000000000003" x14ac:dyDescent="0.3">
      <c r="A1277" s="129">
        <v>39448</v>
      </c>
      <c r="B1277" s="129">
        <v>39813</v>
      </c>
      <c r="C1277" s="6">
        <v>1</v>
      </c>
      <c r="D1277" s="6">
        <v>366</v>
      </c>
      <c r="E1277" s="19">
        <v>2008</v>
      </c>
      <c r="F1277" s="15" t="s">
        <v>22</v>
      </c>
      <c r="G1277" s="18" t="s">
        <v>6255</v>
      </c>
      <c r="H1277" s="9" t="s">
        <v>174</v>
      </c>
      <c r="I1277" s="53" t="s">
        <v>1109</v>
      </c>
      <c r="J1277" s="53" t="s">
        <v>2205</v>
      </c>
      <c r="K1277" s="23">
        <v>0</v>
      </c>
      <c r="L1277" s="234">
        <v>60600</v>
      </c>
      <c r="M1277" s="23">
        <v>0</v>
      </c>
      <c r="N1277" s="23">
        <v>0</v>
      </c>
      <c r="O1277" s="23">
        <v>0</v>
      </c>
      <c r="P1277" s="23">
        <v>0</v>
      </c>
      <c r="Q1277" s="23">
        <v>0</v>
      </c>
      <c r="R1277" s="93">
        <v>13.981</v>
      </c>
      <c r="S1277" s="19" t="s">
        <v>149</v>
      </c>
      <c r="T1277" s="257">
        <f t="shared" si="45"/>
        <v>60600</v>
      </c>
      <c r="U1277" s="257">
        <f t="shared" si="46"/>
        <v>0</v>
      </c>
      <c r="V1277">
        <v>2</v>
      </c>
      <c r="W1277">
        <v>0</v>
      </c>
    </row>
    <row r="1278" spans="1:23" ht="34.200000000000003" x14ac:dyDescent="0.3">
      <c r="A1278" s="129">
        <v>39448</v>
      </c>
      <c r="B1278" s="129">
        <v>39813</v>
      </c>
      <c r="C1278" s="6">
        <v>1</v>
      </c>
      <c r="D1278" s="6">
        <v>366</v>
      </c>
      <c r="E1278" s="19">
        <v>2008</v>
      </c>
      <c r="F1278" s="15" t="s">
        <v>22</v>
      </c>
      <c r="G1278" s="18" t="s">
        <v>6255</v>
      </c>
      <c r="H1278" s="9" t="s">
        <v>88</v>
      </c>
      <c r="I1278" s="53" t="s">
        <v>1109</v>
      </c>
      <c r="J1278" s="53" t="s">
        <v>2205</v>
      </c>
      <c r="K1278" s="23">
        <v>0</v>
      </c>
      <c r="L1278" s="234">
        <v>68800</v>
      </c>
      <c r="M1278" s="23">
        <v>0</v>
      </c>
      <c r="N1278" s="23">
        <v>0</v>
      </c>
      <c r="O1278" s="23">
        <v>0</v>
      </c>
      <c r="P1278" s="23">
        <v>0</v>
      </c>
      <c r="Q1278" s="23">
        <v>0</v>
      </c>
      <c r="R1278" s="93">
        <v>7.6360000000000001</v>
      </c>
      <c r="S1278" s="19" t="s">
        <v>149</v>
      </c>
      <c r="T1278" s="257">
        <f t="shared" si="45"/>
        <v>68800</v>
      </c>
      <c r="U1278" s="257">
        <f t="shared" si="46"/>
        <v>0</v>
      </c>
      <c r="V1278">
        <v>2</v>
      </c>
      <c r="W1278">
        <v>0</v>
      </c>
    </row>
    <row r="1279" spans="1:23" ht="34.200000000000003" x14ac:dyDescent="0.3">
      <c r="A1279" s="129">
        <v>39448</v>
      </c>
      <c r="B1279" s="129">
        <v>39448</v>
      </c>
      <c r="C1279" s="6">
        <v>1</v>
      </c>
      <c r="D1279" s="6">
        <v>1</v>
      </c>
      <c r="E1279" s="19">
        <v>2008</v>
      </c>
      <c r="F1279" s="15" t="s">
        <v>22</v>
      </c>
      <c r="G1279" s="9" t="s">
        <v>6257</v>
      </c>
      <c r="H1279" s="9" t="s">
        <v>61</v>
      </c>
      <c r="I1279" s="17" t="s">
        <v>2214</v>
      </c>
      <c r="J1279" s="17" t="s">
        <v>2215</v>
      </c>
      <c r="K1279" s="23">
        <v>0</v>
      </c>
      <c r="L1279" s="234">
        <v>125</v>
      </c>
      <c r="M1279" s="23">
        <v>25</v>
      </c>
      <c r="N1279" s="23">
        <v>0</v>
      </c>
      <c r="O1279" s="23">
        <v>0</v>
      </c>
      <c r="P1279" s="23">
        <v>0</v>
      </c>
      <c r="Q1279" s="92">
        <v>0</v>
      </c>
      <c r="R1279" s="93">
        <v>0.29071999999999998</v>
      </c>
      <c r="S1279" s="19" t="s">
        <v>115</v>
      </c>
      <c r="T1279" s="257">
        <f t="shared" si="45"/>
        <v>125</v>
      </c>
      <c r="U1279" s="257">
        <f t="shared" si="46"/>
        <v>25</v>
      </c>
      <c r="V1279">
        <v>1</v>
      </c>
      <c r="W1279">
        <v>1</v>
      </c>
    </row>
    <row r="1280" spans="1:23" ht="68.400000000000006" x14ac:dyDescent="0.3">
      <c r="A1280" s="129">
        <v>39470</v>
      </c>
      <c r="B1280" s="129">
        <v>39470</v>
      </c>
      <c r="C1280" s="6">
        <v>1</v>
      </c>
      <c r="D1280" s="6">
        <v>1</v>
      </c>
      <c r="E1280" s="19">
        <v>2008</v>
      </c>
      <c r="F1280" s="15" t="s">
        <v>22</v>
      </c>
      <c r="G1280" s="9" t="s">
        <v>6257</v>
      </c>
      <c r="H1280" s="9" t="s">
        <v>118</v>
      </c>
      <c r="I1280" s="17" t="s">
        <v>1293</v>
      </c>
      <c r="J1280" s="17" t="s">
        <v>2216</v>
      </c>
      <c r="K1280" s="23">
        <v>2</v>
      </c>
      <c r="L1280" s="234">
        <v>2</v>
      </c>
      <c r="M1280" s="23">
        <v>5</v>
      </c>
      <c r="N1280" s="23">
        <v>0</v>
      </c>
      <c r="O1280" s="23">
        <v>0</v>
      </c>
      <c r="P1280" s="23">
        <v>0</v>
      </c>
      <c r="Q1280" s="92">
        <v>0</v>
      </c>
      <c r="R1280" s="93">
        <v>21.434000000000001</v>
      </c>
      <c r="S1280" s="19" t="s">
        <v>115</v>
      </c>
      <c r="T1280" s="257">
        <f t="shared" si="45"/>
        <v>4</v>
      </c>
      <c r="U1280" s="257">
        <f t="shared" si="46"/>
        <v>5</v>
      </c>
      <c r="V1280">
        <v>1</v>
      </c>
      <c r="W1280">
        <v>1</v>
      </c>
    </row>
    <row r="1281" spans="1:23" ht="45.6" x14ac:dyDescent="0.3">
      <c r="A1281" s="129">
        <v>39492</v>
      </c>
      <c r="B1281" s="129">
        <v>39492</v>
      </c>
      <c r="C1281" s="6">
        <v>2</v>
      </c>
      <c r="D1281" s="6">
        <v>1</v>
      </c>
      <c r="E1281" s="19">
        <v>2008</v>
      </c>
      <c r="F1281" s="15" t="s">
        <v>22</v>
      </c>
      <c r="G1281" s="16" t="s">
        <v>6255</v>
      </c>
      <c r="H1281" s="9" t="s">
        <v>27</v>
      </c>
      <c r="I1281" s="17" t="s">
        <v>1274</v>
      </c>
      <c r="J1281" s="17" t="s">
        <v>2217</v>
      </c>
      <c r="K1281" s="23">
        <v>0</v>
      </c>
      <c r="L1281" s="234">
        <v>0</v>
      </c>
      <c r="M1281" s="23">
        <v>0</v>
      </c>
      <c r="N1281" s="23">
        <v>0</v>
      </c>
      <c r="O1281" s="23">
        <v>0</v>
      </c>
      <c r="P1281" s="23">
        <v>0</v>
      </c>
      <c r="Q1281" s="92">
        <v>0</v>
      </c>
      <c r="R1281" s="93">
        <v>0</v>
      </c>
      <c r="S1281" s="19" t="s">
        <v>115</v>
      </c>
      <c r="T1281" s="257">
        <f t="shared" si="45"/>
        <v>0</v>
      </c>
      <c r="U1281" s="257">
        <f t="shared" si="46"/>
        <v>0</v>
      </c>
      <c r="V1281">
        <v>0</v>
      </c>
      <c r="W1281">
        <v>0</v>
      </c>
    </row>
    <row r="1282" spans="1:23" ht="34.200000000000003" x14ac:dyDescent="0.3">
      <c r="A1282" s="129">
        <v>39493</v>
      </c>
      <c r="B1282" s="129">
        <v>39493</v>
      </c>
      <c r="C1282" s="6">
        <v>2</v>
      </c>
      <c r="D1282" s="6">
        <v>1</v>
      </c>
      <c r="E1282" s="19">
        <v>2008</v>
      </c>
      <c r="F1282" s="15" t="s">
        <v>22</v>
      </c>
      <c r="G1282" s="16" t="s">
        <v>6255</v>
      </c>
      <c r="H1282" s="9" t="s">
        <v>34</v>
      </c>
      <c r="I1282" s="17" t="s">
        <v>2218</v>
      </c>
      <c r="J1282" s="17" t="s">
        <v>2219</v>
      </c>
      <c r="K1282" s="23">
        <v>0</v>
      </c>
      <c r="L1282" s="234">
        <v>0</v>
      </c>
      <c r="M1282" s="23">
        <v>0</v>
      </c>
      <c r="N1282" s="23">
        <v>0</v>
      </c>
      <c r="O1282" s="23">
        <v>0</v>
      </c>
      <c r="P1282" s="23">
        <v>0</v>
      </c>
      <c r="Q1282" s="92">
        <v>0</v>
      </c>
      <c r="R1282" s="93">
        <v>0</v>
      </c>
      <c r="S1282" s="19" t="s">
        <v>115</v>
      </c>
      <c r="T1282" s="257">
        <f t="shared" si="45"/>
        <v>0</v>
      </c>
      <c r="U1282" s="257">
        <f t="shared" si="46"/>
        <v>0</v>
      </c>
      <c r="V1282">
        <v>0</v>
      </c>
      <c r="W1282">
        <v>0</v>
      </c>
    </row>
    <row r="1283" spans="1:23" ht="34.200000000000003" x14ac:dyDescent="0.3">
      <c r="A1283" s="129">
        <v>39525</v>
      </c>
      <c r="B1283" s="129">
        <v>39525</v>
      </c>
      <c r="C1283" s="6">
        <v>3</v>
      </c>
      <c r="D1283" s="6">
        <v>1</v>
      </c>
      <c r="E1283" s="19">
        <v>2008</v>
      </c>
      <c r="F1283" s="15" t="s">
        <v>22</v>
      </c>
      <c r="G1283" s="9" t="s">
        <v>6257</v>
      </c>
      <c r="H1283" s="9" t="s">
        <v>37</v>
      </c>
      <c r="I1283" s="17" t="s">
        <v>2220</v>
      </c>
      <c r="J1283" s="17" t="s">
        <v>2221</v>
      </c>
      <c r="K1283" s="23">
        <v>0</v>
      </c>
      <c r="L1283" s="234">
        <v>0</v>
      </c>
      <c r="M1283" s="23">
        <v>0</v>
      </c>
      <c r="N1283" s="23">
        <v>0</v>
      </c>
      <c r="O1283" s="23">
        <v>0</v>
      </c>
      <c r="P1283" s="23">
        <v>0</v>
      </c>
      <c r="Q1283" s="92">
        <v>0</v>
      </c>
      <c r="R1283" s="93">
        <v>0</v>
      </c>
      <c r="S1283" s="19" t="s">
        <v>115</v>
      </c>
      <c r="T1283" s="257">
        <f t="shared" ref="T1283:T1346" si="47">SUM(K1283:L1283)</f>
        <v>0</v>
      </c>
      <c r="U1283" s="257">
        <f t="shared" ref="U1283:U1346" si="48">SUM(M1283:P1283)</f>
        <v>0</v>
      </c>
      <c r="V1283">
        <v>0</v>
      </c>
      <c r="W1283">
        <v>0</v>
      </c>
    </row>
    <row r="1284" spans="1:23" ht="114" x14ac:dyDescent="0.3">
      <c r="A1284" s="129">
        <v>39525</v>
      </c>
      <c r="B1284" s="129">
        <v>39525</v>
      </c>
      <c r="C1284" s="6">
        <v>3</v>
      </c>
      <c r="D1284" s="6">
        <v>1</v>
      </c>
      <c r="E1284" s="19">
        <v>2008</v>
      </c>
      <c r="F1284" s="15" t="s">
        <v>22</v>
      </c>
      <c r="G1284" s="9" t="s">
        <v>6257</v>
      </c>
      <c r="H1284" s="9" t="s">
        <v>57</v>
      </c>
      <c r="I1284" s="17" t="s">
        <v>2222</v>
      </c>
      <c r="J1284" s="17" t="s">
        <v>2223</v>
      </c>
      <c r="K1284" s="23">
        <v>3</v>
      </c>
      <c r="L1284" s="234">
        <v>327000</v>
      </c>
      <c r="M1284" s="23">
        <v>177</v>
      </c>
      <c r="N1284" s="23" t="s">
        <v>95</v>
      </c>
      <c r="O1284" s="23">
        <v>0</v>
      </c>
      <c r="P1284" s="23">
        <v>0</v>
      </c>
      <c r="Q1284" s="92">
        <v>0</v>
      </c>
      <c r="R1284" s="93">
        <v>54.985498</v>
      </c>
      <c r="S1284" s="19" t="s">
        <v>115</v>
      </c>
      <c r="T1284" s="257">
        <f t="shared" si="47"/>
        <v>327003</v>
      </c>
      <c r="U1284" s="257">
        <f t="shared" si="48"/>
        <v>177</v>
      </c>
      <c r="V1284">
        <v>3</v>
      </c>
      <c r="W1284">
        <v>1</v>
      </c>
    </row>
    <row r="1285" spans="1:23" ht="57" x14ac:dyDescent="0.3">
      <c r="A1285" s="129">
        <v>39525</v>
      </c>
      <c r="B1285" s="129">
        <v>39525</v>
      </c>
      <c r="C1285" s="6">
        <v>3</v>
      </c>
      <c r="D1285" s="6">
        <v>1</v>
      </c>
      <c r="E1285" s="19">
        <v>2008</v>
      </c>
      <c r="F1285" s="15" t="s">
        <v>22</v>
      </c>
      <c r="G1285" s="9" t="s">
        <v>6257</v>
      </c>
      <c r="H1285" s="9" t="s">
        <v>70</v>
      </c>
      <c r="I1285" s="17" t="s">
        <v>2096</v>
      </c>
      <c r="J1285" s="17" t="s">
        <v>2224</v>
      </c>
      <c r="K1285" s="23">
        <v>0</v>
      </c>
      <c r="L1285" s="234">
        <v>11</v>
      </c>
      <c r="M1285" s="23">
        <v>0</v>
      </c>
      <c r="N1285" s="23">
        <v>0</v>
      </c>
      <c r="O1285" s="23">
        <v>0</v>
      </c>
      <c r="P1285" s="23">
        <v>0</v>
      </c>
      <c r="Q1285" s="92">
        <v>0</v>
      </c>
      <c r="R1285" s="93">
        <v>0</v>
      </c>
      <c r="S1285" s="19" t="s">
        <v>115</v>
      </c>
      <c r="T1285" s="257">
        <f t="shared" si="47"/>
        <v>11</v>
      </c>
      <c r="U1285" s="257">
        <f t="shared" si="48"/>
        <v>0</v>
      </c>
      <c r="V1285">
        <v>1</v>
      </c>
      <c r="W1285">
        <v>0</v>
      </c>
    </row>
    <row r="1286" spans="1:23" ht="102.6" x14ac:dyDescent="0.3">
      <c r="A1286" s="129">
        <v>39525</v>
      </c>
      <c r="B1286" s="129">
        <v>39525</v>
      </c>
      <c r="C1286" s="6">
        <v>3</v>
      </c>
      <c r="D1286" s="6">
        <v>1</v>
      </c>
      <c r="E1286" s="19">
        <v>2008</v>
      </c>
      <c r="F1286" s="15" t="s">
        <v>22</v>
      </c>
      <c r="G1286" s="9" t="s">
        <v>6257</v>
      </c>
      <c r="H1286" s="9" t="s">
        <v>174</v>
      </c>
      <c r="I1286" s="17" t="s">
        <v>2225</v>
      </c>
      <c r="J1286" s="17" t="s">
        <v>2226</v>
      </c>
      <c r="K1286" s="23">
        <v>0</v>
      </c>
      <c r="L1286" s="234">
        <v>6745</v>
      </c>
      <c r="M1286" s="23">
        <v>1349</v>
      </c>
      <c r="N1286" s="23">
        <v>0</v>
      </c>
      <c r="O1286" s="23">
        <v>0</v>
      </c>
      <c r="P1286" s="23">
        <v>0</v>
      </c>
      <c r="Q1286" s="92">
        <v>0</v>
      </c>
      <c r="R1286" s="93">
        <v>2.698</v>
      </c>
      <c r="S1286" s="19" t="s">
        <v>115</v>
      </c>
      <c r="T1286" s="257">
        <f t="shared" si="47"/>
        <v>6745</v>
      </c>
      <c r="U1286" s="257">
        <f t="shared" si="48"/>
        <v>1349</v>
      </c>
      <c r="V1286">
        <v>1</v>
      </c>
      <c r="W1286">
        <v>2</v>
      </c>
    </row>
    <row r="1287" spans="1:23" ht="34.200000000000003" x14ac:dyDescent="0.3">
      <c r="A1287" s="129">
        <v>39525</v>
      </c>
      <c r="B1287" s="129">
        <v>39525</v>
      </c>
      <c r="C1287" s="6">
        <v>3</v>
      </c>
      <c r="D1287" s="6">
        <v>1</v>
      </c>
      <c r="E1287" s="19">
        <v>2008</v>
      </c>
      <c r="F1287" s="15" t="s">
        <v>22</v>
      </c>
      <c r="G1287" s="9" t="s">
        <v>6257</v>
      </c>
      <c r="H1287" s="9" t="s">
        <v>88</v>
      </c>
      <c r="I1287" s="17" t="s">
        <v>88</v>
      </c>
      <c r="J1287" s="17" t="s">
        <v>2227</v>
      </c>
      <c r="K1287" s="23">
        <v>0</v>
      </c>
      <c r="L1287" s="234">
        <v>152</v>
      </c>
      <c r="M1287" s="23">
        <v>30</v>
      </c>
      <c r="N1287" s="23">
        <v>0</v>
      </c>
      <c r="O1287" s="23">
        <v>0</v>
      </c>
      <c r="P1287" s="23">
        <v>0</v>
      </c>
      <c r="Q1287" s="92">
        <v>0</v>
      </c>
      <c r="R1287" s="93">
        <v>0.34886400000000001</v>
      </c>
      <c r="S1287" s="19" t="s">
        <v>115</v>
      </c>
      <c r="T1287" s="257">
        <f t="shared" si="47"/>
        <v>152</v>
      </c>
      <c r="U1287" s="257">
        <f t="shared" si="48"/>
        <v>30</v>
      </c>
      <c r="V1287">
        <v>1</v>
      </c>
      <c r="W1287">
        <v>1</v>
      </c>
    </row>
    <row r="1288" spans="1:23" ht="45.6" x14ac:dyDescent="0.3">
      <c r="A1288" s="129">
        <v>39576</v>
      </c>
      <c r="B1288" s="129">
        <v>39576</v>
      </c>
      <c r="C1288" s="6">
        <v>5</v>
      </c>
      <c r="D1288" s="6">
        <v>1</v>
      </c>
      <c r="E1288" s="19">
        <v>2008</v>
      </c>
      <c r="F1288" s="15" t="s">
        <v>22</v>
      </c>
      <c r="G1288" s="16" t="s">
        <v>6256</v>
      </c>
      <c r="H1288" s="9" t="s">
        <v>64</v>
      </c>
      <c r="I1288" s="17" t="s">
        <v>2228</v>
      </c>
      <c r="J1288" s="17" t="s">
        <v>2229</v>
      </c>
      <c r="K1288" s="23">
        <v>0</v>
      </c>
      <c r="L1288" s="234">
        <v>50</v>
      </c>
      <c r="M1288" s="23">
        <v>10</v>
      </c>
      <c r="N1288" s="23">
        <v>0</v>
      </c>
      <c r="O1288" s="23">
        <v>0</v>
      </c>
      <c r="P1288" s="23">
        <v>0</v>
      </c>
      <c r="Q1288" s="92">
        <v>0</v>
      </c>
      <c r="R1288" s="93">
        <v>0.116288</v>
      </c>
      <c r="S1288" s="19" t="s">
        <v>115</v>
      </c>
      <c r="T1288" s="257">
        <f t="shared" si="47"/>
        <v>50</v>
      </c>
      <c r="U1288" s="257">
        <f t="shared" si="48"/>
        <v>10</v>
      </c>
      <c r="V1288">
        <v>1</v>
      </c>
      <c r="W1288">
        <v>1</v>
      </c>
    </row>
    <row r="1289" spans="1:23" ht="45.6" x14ac:dyDescent="0.3">
      <c r="A1289" s="129">
        <v>39579</v>
      </c>
      <c r="B1289" s="129">
        <v>39579</v>
      </c>
      <c r="C1289" s="6">
        <v>5</v>
      </c>
      <c r="D1289" s="6">
        <v>1</v>
      </c>
      <c r="E1289" s="19">
        <v>2008</v>
      </c>
      <c r="F1289" s="15" t="s">
        <v>22</v>
      </c>
      <c r="G1289" s="9" t="s">
        <v>6257</v>
      </c>
      <c r="H1289" s="9" t="s">
        <v>78</v>
      </c>
      <c r="I1289" s="17" t="s">
        <v>2230</v>
      </c>
      <c r="J1289" s="17" t="s">
        <v>2231</v>
      </c>
      <c r="K1289" s="23">
        <v>0</v>
      </c>
      <c r="L1289" s="234">
        <v>170</v>
      </c>
      <c r="M1289" s="23">
        <v>31</v>
      </c>
      <c r="N1289" s="23">
        <v>0</v>
      </c>
      <c r="O1289" s="23">
        <v>0</v>
      </c>
      <c r="P1289" s="23">
        <v>0</v>
      </c>
      <c r="Q1289" s="92">
        <v>0</v>
      </c>
      <c r="R1289" s="93">
        <v>0.78147500000000003</v>
      </c>
      <c r="S1289" s="19" t="s">
        <v>115</v>
      </c>
      <c r="T1289" s="257">
        <f t="shared" si="47"/>
        <v>170</v>
      </c>
      <c r="U1289" s="257">
        <f t="shared" si="48"/>
        <v>31</v>
      </c>
      <c r="V1289">
        <v>1</v>
      </c>
      <c r="W1289">
        <v>1</v>
      </c>
    </row>
    <row r="1290" spans="1:23" ht="22.8" x14ac:dyDescent="0.3">
      <c r="A1290" s="129">
        <v>39581</v>
      </c>
      <c r="B1290" s="129">
        <v>39581</v>
      </c>
      <c r="C1290" s="6">
        <v>5</v>
      </c>
      <c r="D1290" s="6">
        <v>1</v>
      </c>
      <c r="E1290" s="19">
        <v>2008</v>
      </c>
      <c r="F1290" s="15" t="s">
        <v>22</v>
      </c>
      <c r="G1290" s="9" t="s">
        <v>6257</v>
      </c>
      <c r="H1290" s="9" t="s">
        <v>74</v>
      </c>
      <c r="I1290" s="17" t="s">
        <v>1380</v>
      </c>
      <c r="J1290" s="17" t="s">
        <v>2232</v>
      </c>
      <c r="K1290" s="23">
        <v>0</v>
      </c>
      <c r="L1290" s="234">
        <v>25</v>
      </c>
      <c r="M1290" s="23">
        <v>5</v>
      </c>
      <c r="N1290" s="23">
        <v>0</v>
      </c>
      <c r="O1290" s="23">
        <v>0</v>
      </c>
      <c r="P1290" s="23">
        <v>0</v>
      </c>
      <c r="Q1290" s="92">
        <v>0</v>
      </c>
      <c r="R1290" s="93">
        <v>5.8144000000000001E-2</v>
      </c>
      <c r="S1290" s="19" t="s">
        <v>115</v>
      </c>
      <c r="T1290" s="257">
        <f t="shared" si="47"/>
        <v>25</v>
      </c>
      <c r="U1290" s="257">
        <f t="shared" si="48"/>
        <v>5</v>
      </c>
      <c r="V1290">
        <v>1</v>
      </c>
      <c r="W1290">
        <v>1</v>
      </c>
    </row>
    <row r="1291" spans="1:23" ht="34.200000000000003" x14ac:dyDescent="0.3">
      <c r="A1291" s="129">
        <v>39581</v>
      </c>
      <c r="B1291" s="129">
        <v>39581</v>
      </c>
      <c r="C1291" s="6">
        <v>5</v>
      </c>
      <c r="D1291" s="6">
        <v>1</v>
      </c>
      <c r="E1291" s="19">
        <v>2008</v>
      </c>
      <c r="F1291" s="15" t="s">
        <v>22</v>
      </c>
      <c r="G1291" s="16" t="s">
        <v>6256</v>
      </c>
      <c r="H1291" s="9" t="s">
        <v>121</v>
      </c>
      <c r="I1291" s="17" t="s">
        <v>2233</v>
      </c>
      <c r="J1291" s="17" t="s">
        <v>2234</v>
      </c>
      <c r="K1291" s="23">
        <v>2</v>
      </c>
      <c r="L1291" s="234">
        <v>1317</v>
      </c>
      <c r="M1291" s="23">
        <v>263</v>
      </c>
      <c r="N1291" s="23">
        <v>0</v>
      </c>
      <c r="O1291" s="23">
        <v>0</v>
      </c>
      <c r="P1291" s="23">
        <v>0</v>
      </c>
      <c r="Q1291" s="92">
        <v>0</v>
      </c>
      <c r="R1291" s="93">
        <v>3.0583740000000001</v>
      </c>
      <c r="S1291" s="19" t="s">
        <v>115</v>
      </c>
      <c r="T1291" s="257">
        <f t="shared" si="47"/>
        <v>1319</v>
      </c>
      <c r="U1291" s="257">
        <f t="shared" si="48"/>
        <v>263</v>
      </c>
      <c r="V1291">
        <v>1</v>
      </c>
      <c r="W1291">
        <v>1</v>
      </c>
    </row>
    <row r="1292" spans="1:23" ht="22.8" x14ac:dyDescent="0.3">
      <c r="A1292" s="129">
        <v>39583</v>
      </c>
      <c r="B1292" s="129">
        <v>39583</v>
      </c>
      <c r="C1292" s="6">
        <v>5</v>
      </c>
      <c r="D1292" s="6">
        <v>1</v>
      </c>
      <c r="E1292" s="19">
        <v>2008</v>
      </c>
      <c r="F1292" s="15" t="s">
        <v>22</v>
      </c>
      <c r="G1292" s="16" t="s">
        <v>6256</v>
      </c>
      <c r="H1292" s="9" t="s">
        <v>64</v>
      </c>
      <c r="I1292" s="17" t="s">
        <v>2235</v>
      </c>
      <c r="J1292" s="17" t="s">
        <v>2236</v>
      </c>
      <c r="K1292" s="23">
        <v>0</v>
      </c>
      <c r="L1292" s="234">
        <v>1500</v>
      </c>
      <c r="M1292" s="23">
        <v>300</v>
      </c>
      <c r="N1292" s="23">
        <v>0</v>
      </c>
      <c r="O1292" s="23">
        <v>0</v>
      </c>
      <c r="P1292" s="23">
        <v>0</v>
      </c>
      <c r="Q1292" s="92">
        <v>0</v>
      </c>
      <c r="R1292" s="93">
        <v>3.4886400000000002</v>
      </c>
      <c r="S1292" s="19" t="s">
        <v>115</v>
      </c>
      <c r="T1292" s="257">
        <f t="shared" si="47"/>
        <v>1500</v>
      </c>
      <c r="U1292" s="257">
        <f t="shared" si="48"/>
        <v>300</v>
      </c>
      <c r="V1292">
        <v>1</v>
      </c>
      <c r="W1292">
        <v>1</v>
      </c>
    </row>
    <row r="1293" spans="1:23" ht="45.6" x14ac:dyDescent="0.3">
      <c r="A1293" s="129">
        <v>39586</v>
      </c>
      <c r="B1293" s="129">
        <v>39586</v>
      </c>
      <c r="C1293" s="6">
        <v>5</v>
      </c>
      <c r="D1293" s="6">
        <v>1</v>
      </c>
      <c r="E1293" s="19">
        <v>2008</v>
      </c>
      <c r="F1293" s="15" t="s">
        <v>22</v>
      </c>
      <c r="G1293" s="16" t="s">
        <v>6256</v>
      </c>
      <c r="H1293" s="9" t="s">
        <v>174</v>
      </c>
      <c r="I1293" s="17" t="s">
        <v>1264</v>
      </c>
      <c r="J1293" s="17" t="s">
        <v>2237</v>
      </c>
      <c r="K1293" s="23">
        <v>1</v>
      </c>
      <c r="L1293" s="234">
        <v>3</v>
      </c>
      <c r="M1293" s="23">
        <v>0</v>
      </c>
      <c r="N1293" s="23">
        <v>0</v>
      </c>
      <c r="O1293" s="23">
        <v>0</v>
      </c>
      <c r="P1293" s="23">
        <v>0</v>
      </c>
      <c r="Q1293" s="92">
        <v>0</v>
      </c>
      <c r="R1293" s="93">
        <v>0</v>
      </c>
      <c r="S1293" s="19" t="s">
        <v>115</v>
      </c>
      <c r="T1293" s="257">
        <f t="shared" si="47"/>
        <v>4</v>
      </c>
      <c r="U1293" s="257">
        <f t="shared" si="48"/>
        <v>0</v>
      </c>
      <c r="V1293">
        <v>1</v>
      </c>
      <c r="W1293">
        <v>0</v>
      </c>
    </row>
    <row r="1294" spans="1:23" ht="22.8" x14ac:dyDescent="0.3">
      <c r="A1294" s="129">
        <v>39595</v>
      </c>
      <c r="B1294" s="129">
        <v>39595</v>
      </c>
      <c r="C1294" s="6">
        <v>5</v>
      </c>
      <c r="D1294" s="6">
        <v>1</v>
      </c>
      <c r="E1294" s="19">
        <v>2008</v>
      </c>
      <c r="F1294" s="15" t="s">
        <v>22</v>
      </c>
      <c r="G1294" s="16" t="s">
        <v>6256</v>
      </c>
      <c r="H1294" s="9" t="s">
        <v>174</v>
      </c>
      <c r="I1294" s="17" t="s">
        <v>2238</v>
      </c>
      <c r="J1294" s="17" t="s">
        <v>2239</v>
      </c>
      <c r="K1294" s="23">
        <v>0</v>
      </c>
      <c r="L1294" s="234">
        <v>100</v>
      </c>
      <c r="M1294" s="23">
        <v>20</v>
      </c>
      <c r="N1294" s="23">
        <v>0</v>
      </c>
      <c r="O1294" s="23">
        <v>0</v>
      </c>
      <c r="P1294" s="23">
        <v>0</v>
      </c>
      <c r="Q1294" s="92">
        <v>0</v>
      </c>
      <c r="R1294" s="93">
        <v>0.232576</v>
      </c>
      <c r="S1294" s="19" t="s">
        <v>115</v>
      </c>
      <c r="T1294" s="257">
        <f t="shared" si="47"/>
        <v>100</v>
      </c>
      <c r="U1294" s="257">
        <f t="shared" si="48"/>
        <v>20</v>
      </c>
      <c r="V1294">
        <v>1</v>
      </c>
      <c r="W1294">
        <v>1</v>
      </c>
    </row>
    <row r="1295" spans="1:23" ht="45.6" x14ac:dyDescent="0.3">
      <c r="A1295" s="129">
        <v>39595</v>
      </c>
      <c r="B1295" s="129">
        <v>39595</v>
      </c>
      <c r="C1295" s="6">
        <v>5</v>
      </c>
      <c r="D1295" s="6">
        <v>1</v>
      </c>
      <c r="E1295" s="19">
        <v>2008</v>
      </c>
      <c r="F1295" s="15" t="s">
        <v>22</v>
      </c>
      <c r="G1295" s="16" t="s">
        <v>6256</v>
      </c>
      <c r="H1295" s="9" t="s">
        <v>174</v>
      </c>
      <c r="I1295" s="17" t="s">
        <v>2240</v>
      </c>
      <c r="J1295" s="17" t="s">
        <v>2241</v>
      </c>
      <c r="K1295" s="23">
        <v>0</v>
      </c>
      <c r="L1295" s="234">
        <v>1100</v>
      </c>
      <c r="M1295" s="23">
        <v>220</v>
      </c>
      <c r="N1295" s="23">
        <v>0</v>
      </c>
      <c r="O1295" s="23">
        <v>0</v>
      </c>
      <c r="P1295" s="23">
        <v>0</v>
      </c>
      <c r="Q1295" s="92">
        <v>0</v>
      </c>
      <c r="R1295" s="93">
        <v>2.5583360000000002</v>
      </c>
      <c r="S1295" s="19" t="s">
        <v>115</v>
      </c>
      <c r="T1295" s="257">
        <f t="shared" si="47"/>
        <v>1100</v>
      </c>
      <c r="U1295" s="257">
        <f t="shared" si="48"/>
        <v>220</v>
      </c>
      <c r="V1295">
        <v>1</v>
      </c>
      <c r="W1295">
        <v>1</v>
      </c>
    </row>
    <row r="1296" spans="1:23" ht="22.8" x14ac:dyDescent="0.3">
      <c r="A1296" s="129">
        <v>39603</v>
      </c>
      <c r="B1296" s="129">
        <v>39603</v>
      </c>
      <c r="C1296" s="6">
        <v>6</v>
      </c>
      <c r="D1296" s="6">
        <v>1</v>
      </c>
      <c r="E1296" s="19">
        <v>2008</v>
      </c>
      <c r="F1296" s="15" t="s">
        <v>22</v>
      </c>
      <c r="G1296" s="9" t="s">
        <v>6258</v>
      </c>
      <c r="H1296" s="9" t="s">
        <v>70</v>
      </c>
      <c r="I1296" s="17" t="s">
        <v>2242</v>
      </c>
      <c r="J1296" s="17" t="s">
        <v>2243</v>
      </c>
      <c r="K1296" s="23">
        <v>1</v>
      </c>
      <c r="L1296" s="234">
        <v>1</v>
      </c>
      <c r="M1296" s="23">
        <v>0</v>
      </c>
      <c r="N1296" s="23">
        <v>0</v>
      </c>
      <c r="O1296" s="23">
        <v>0</v>
      </c>
      <c r="P1296" s="23">
        <v>0</v>
      </c>
      <c r="Q1296" s="92">
        <v>0</v>
      </c>
      <c r="R1296" s="93">
        <v>0</v>
      </c>
      <c r="S1296" s="19" t="s">
        <v>115</v>
      </c>
      <c r="T1296" s="257">
        <f t="shared" si="47"/>
        <v>2</v>
      </c>
      <c r="U1296" s="257">
        <f t="shared" si="48"/>
        <v>0</v>
      </c>
      <c r="V1296">
        <v>1</v>
      </c>
      <c r="W1296">
        <v>0</v>
      </c>
    </row>
    <row r="1297" spans="1:23" ht="22.8" x14ac:dyDescent="0.3">
      <c r="A1297" s="129">
        <v>39609</v>
      </c>
      <c r="B1297" s="129">
        <v>39609</v>
      </c>
      <c r="C1297" s="6">
        <v>6</v>
      </c>
      <c r="D1297" s="6">
        <v>1</v>
      </c>
      <c r="E1297" s="19">
        <v>2008</v>
      </c>
      <c r="F1297" s="15" t="s">
        <v>22</v>
      </c>
      <c r="G1297" s="9" t="s">
        <v>6257</v>
      </c>
      <c r="H1297" s="9" t="s">
        <v>34</v>
      </c>
      <c r="I1297" s="17" t="s">
        <v>2244</v>
      </c>
      <c r="J1297" s="17" t="s">
        <v>2245</v>
      </c>
      <c r="K1297" s="23">
        <v>0</v>
      </c>
      <c r="L1297" s="234">
        <v>10</v>
      </c>
      <c r="M1297" s="23">
        <v>2</v>
      </c>
      <c r="N1297" s="23">
        <v>0</v>
      </c>
      <c r="O1297" s="23">
        <v>0</v>
      </c>
      <c r="P1297" s="23">
        <v>0</v>
      </c>
      <c r="Q1297" s="92">
        <v>0</v>
      </c>
      <c r="R1297" s="93">
        <v>2.325E-2</v>
      </c>
      <c r="S1297" s="19" t="s">
        <v>115</v>
      </c>
      <c r="T1297" s="257">
        <f t="shared" si="47"/>
        <v>10</v>
      </c>
      <c r="U1297" s="257">
        <f t="shared" si="48"/>
        <v>2</v>
      </c>
      <c r="V1297">
        <v>1</v>
      </c>
      <c r="W1297">
        <v>1</v>
      </c>
    </row>
    <row r="1298" spans="1:23" ht="22.8" x14ac:dyDescent="0.3">
      <c r="A1298" s="129">
        <v>39623</v>
      </c>
      <c r="B1298" s="129">
        <v>39623</v>
      </c>
      <c r="C1298" s="6">
        <v>6</v>
      </c>
      <c r="D1298" s="6">
        <v>1</v>
      </c>
      <c r="E1298" s="19">
        <v>2008</v>
      </c>
      <c r="F1298" s="15" t="s">
        <v>22</v>
      </c>
      <c r="G1298" s="9" t="s">
        <v>6257</v>
      </c>
      <c r="H1298" s="9" t="s">
        <v>34</v>
      </c>
      <c r="I1298" s="17" t="s">
        <v>2246</v>
      </c>
      <c r="J1298" s="17" t="s">
        <v>2247</v>
      </c>
      <c r="K1298" s="23">
        <v>0</v>
      </c>
      <c r="L1298" s="234">
        <v>75</v>
      </c>
      <c r="M1298" s="23">
        <v>15</v>
      </c>
      <c r="N1298" s="23">
        <v>0</v>
      </c>
      <c r="O1298" s="23">
        <v>0</v>
      </c>
      <c r="P1298" s="23">
        <v>0</v>
      </c>
      <c r="Q1298" s="92">
        <v>0</v>
      </c>
      <c r="R1298" s="93">
        <v>0.174432</v>
      </c>
      <c r="S1298" s="19" t="s">
        <v>115</v>
      </c>
      <c r="T1298" s="257">
        <f t="shared" si="47"/>
        <v>75</v>
      </c>
      <c r="U1298" s="257">
        <f t="shared" si="48"/>
        <v>15</v>
      </c>
      <c r="V1298">
        <v>1</v>
      </c>
      <c r="W1298">
        <v>1</v>
      </c>
    </row>
    <row r="1299" spans="1:23" ht="34.200000000000003" x14ac:dyDescent="0.3">
      <c r="A1299" s="129">
        <v>39623</v>
      </c>
      <c r="B1299" s="129">
        <v>39623</v>
      </c>
      <c r="C1299" s="6">
        <v>6</v>
      </c>
      <c r="D1299" s="6">
        <v>1</v>
      </c>
      <c r="E1299" s="19">
        <v>2008</v>
      </c>
      <c r="F1299" s="15" t="s">
        <v>22</v>
      </c>
      <c r="G1299" s="9" t="s">
        <v>6257</v>
      </c>
      <c r="H1299" s="9" t="s">
        <v>52</v>
      </c>
      <c r="I1299" s="17" t="s">
        <v>1163</v>
      </c>
      <c r="J1299" s="17" t="s">
        <v>2248</v>
      </c>
      <c r="K1299" s="23">
        <v>0</v>
      </c>
      <c r="L1299" s="234">
        <v>0</v>
      </c>
      <c r="M1299" s="23">
        <v>0</v>
      </c>
      <c r="N1299" s="23">
        <v>2</v>
      </c>
      <c r="O1299" s="23">
        <v>0</v>
      </c>
      <c r="P1299" s="23">
        <v>0</v>
      </c>
      <c r="Q1299" s="92">
        <v>0</v>
      </c>
      <c r="R1299" s="93">
        <v>4.4400000000000002E-2</v>
      </c>
      <c r="S1299" s="19" t="s">
        <v>115</v>
      </c>
      <c r="T1299" s="257">
        <f t="shared" si="47"/>
        <v>0</v>
      </c>
      <c r="U1299" s="257">
        <f t="shared" si="48"/>
        <v>2</v>
      </c>
      <c r="V1299">
        <v>0</v>
      </c>
      <c r="W1299">
        <v>1</v>
      </c>
    </row>
    <row r="1300" spans="1:23" ht="22.8" x14ac:dyDescent="0.3">
      <c r="A1300" s="129">
        <v>39630</v>
      </c>
      <c r="B1300" s="129">
        <v>39630</v>
      </c>
      <c r="C1300" s="6">
        <v>7</v>
      </c>
      <c r="D1300" s="6">
        <v>1</v>
      </c>
      <c r="E1300" s="19">
        <v>2008</v>
      </c>
      <c r="F1300" s="15" t="s">
        <v>22</v>
      </c>
      <c r="G1300" s="16" t="s">
        <v>6256</v>
      </c>
      <c r="H1300" s="9" t="s">
        <v>46</v>
      </c>
      <c r="I1300" s="17" t="s">
        <v>46</v>
      </c>
      <c r="J1300" s="17" t="s">
        <v>2249</v>
      </c>
      <c r="K1300" s="23">
        <v>1</v>
      </c>
      <c r="L1300" s="234">
        <v>1</v>
      </c>
      <c r="M1300" s="23">
        <v>0</v>
      </c>
      <c r="N1300" s="23">
        <v>0</v>
      </c>
      <c r="O1300" s="23">
        <v>0</v>
      </c>
      <c r="P1300" s="23">
        <v>0</v>
      </c>
      <c r="Q1300" s="92">
        <v>0</v>
      </c>
      <c r="R1300" s="93">
        <v>0</v>
      </c>
      <c r="S1300" s="19" t="s">
        <v>115</v>
      </c>
      <c r="T1300" s="257">
        <f t="shared" si="47"/>
        <v>2</v>
      </c>
      <c r="U1300" s="257">
        <f t="shared" si="48"/>
        <v>0</v>
      </c>
      <c r="V1300">
        <v>1</v>
      </c>
      <c r="W1300">
        <v>0</v>
      </c>
    </row>
    <row r="1301" spans="1:23" ht="91.2" x14ac:dyDescent="0.3">
      <c r="A1301" s="129">
        <v>39657</v>
      </c>
      <c r="B1301" s="129">
        <v>39657</v>
      </c>
      <c r="C1301" s="6">
        <v>7</v>
      </c>
      <c r="D1301" s="6">
        <v>1</v>
      </c>
      <c r="E1301" s="19">
        <v>2008</v>
      </c>
      <c r="F1301" s="15" t="s">
        <v>22</v>
      </c>
      <c r="G1301" s="16" t="s">
        <v>6256</v>
      </c>
      <c r="H1301" s="9" t="s">
        <v>41</v>
      </c>
      <c r="I1301" s="17" t="s">
        <v>2250</v>
      </c>
      <c r="J1301" s="17" t="s">
        <v>2251</v>
      </c>
      <c r="K1301" s="23">
        <v>0</v>
      </c>
      <c r="L1301" s="234">
        <v>100</v>
      </c>
      <c r="M1301" s="23">
        <v>0</v>
      </c>
      <c r="N1301" s="23">
        <v>0</v>
      </c>
      <c r="O1301" s="23">
        <v>0</v>
      </c>
      <c r="P1301" s="23">
        <v>0</v>
      </c>
      <c r="Q1301" s="92">
        <v>739.5</v>
      </c>
      <c r="R1301" s="93">
        <v>0.36</v>
      </c>
      <c r="S1301" s="19" t="s">
        <v>2191</v>
      </c>
      <c r="T1301" s="257">
        <f t="shared" si="47"/>
        <v>100</v>
      </c>
      <c r="U1301" s="257">
        <f t="shared" si="48"/>
        <v>0</v>
      </c>
      <c r="V1301">
        <v>1</v>
      </c>
      <c r="W1301">
        <v>0</v>
      </c>
    </row>
    <row r="1302" spans="1:23" ht="46.8" x14ac:dyDescent="0.3">
      <c r="A1302" s="215">
        <v>37526</v>
      </c>
      <c r="B1302" s="215">
        <v>37526</v>
      </c>
      <c r="C1302" s="6">
        <v>9</v>
      </c>
      <c r="D1302" s="6">
        <v>1</v>
      </c>
      <c r="E1302" s="6">
        <v>2002</v>
      </c>
      <c r="F1302" s="7" t="s">
        <v>17</v>
      </c>
      <c r="G1302" s="16" t="s">
        <v>6260</v>
      </c>
      <c r="H1302" s="9" t="s">
        <v>48</v>
      </c>
      <c r="I1302" s="34" t="s">
        <v>2252</v>
      </c>
      <c r="J1302" s="39" t="s">
        <v>2253</v>
      </c>
      <c r="K1302" s="44">
        <v>0</v>
      </c>
      <c r="L1302" s="237">
        <v>600</v>
      </c>
      <c r="M1302" s="44">
        <v>120</v>
      </c>
      <c r="N1302" s="44">
        <v>0</v>
      </c>
      <c r="O1302" s="44">
        <v>0</v>
      </c>
      <c r="P1302" s="44">
        <v>0</v>
      </c>
      <c r="Q1302" s="44">
        <v>0</v>
      </c>
      <c r="R1302" s="45">
        <v>1.5</v>
      </c>
      <c r="S1302" s="7" t="s">
        <v>115</v>
      </c>
      <c r="T1302" s="257">
        <f t="shared" si="47"/>
        <v>600</v>
      </c>
      <c r="U1302" s="257">
        <f t="shared" si="48"/>
        <v>120</v>
      </c>
      <c r="V1302">
        <v>1</v>
      </c>
      <c r="W1302">
        <v>1</v>
      </c>
    </row>
    <row r="1303" spans="1:23" ht="79.8" x14ac:dyDescent="0.3">
      <c r="A1303" s="129">
        <v>39677</v>
      </c>
      <c r="B1303" s="129">
        <v>39677</v>
      </c>
      <c r="C1303" s="6">
        <v>8</v>
      </c>
      <c r="D1303" s="6">
        <v>1</v>
      </c>
      <c r="E1303" s="19">
        <v>2008</v>
      </c>
      <c r="F1303" s="15" t="s">
        <v>22</v>
      </c>
      <c r="G1303" s="16" t="s">
        <v>6256</v>
      </c>
      <c r="H1303" s="9" t="s">
        <v>34</v>
      </c>
      <c r="I1303" s="17" t="s">
        <v>2254</v>
      </c>
      <c r="J1303" s="17" t="s">
        <v>2255</v>
      </c>
      <c r="K1303" s="23">
        <v>0</v>
      </c>
      <c r="L1303" s="234">
        <v>132</v>
      </c>
      <c r="M1303" s="23">
        <v>0</v>
      </c>
      <c r="N1303" s="23">
        <v>0</v>
      </c>
      <c r="O1303" s="23">
        <v>0</v>
      </c>
      <c r="P1303" s="23">
        <v>0</v>
      </c>
      <c r="Q1303" s="92">
        <v>232.6</v>
      </c>
      <c r="R1303" s="93">
        <v>0.42330000000000001</v>
      </c>
      <c r="S1303" s="19" t="s">
        <v>1904</v>
      </c>
      <c r="T1303" s="257">
        <f t="shared" si="47"/>
        <v>132</v>
      </c>
      <c r="U1303" s="257">
        <f t="shared" si="48"/>
        <v>0</v>
      </c>
      <c r="V1303">
        <v>1</v>
      </c>
      <c r="W1303">
        <v>0</v>
      </c>
    </row>
    <row r="1304" spans="1:23" ht="79.8" x14ac:dyDescent="0.3">
      <c r="A1304" s="129">
        <v>39678</v>
      </c>
      <c r="B1304" s="129">
        <v>39678</v>
      </c>
      <c r="C1304" s="6">
        <v>8</v>
      </c>
      <c r="D1304" s="6">
        <v>1</v>
      </c>
      <c r="E1304" s="19">
        <v>2008</v>
      </c>
      <c r="F1304" s="15" t="s">
        <v>22</v>
      </c>
      <c r="G1304" s="16" t="s">
        <v>6256</v>
      </c>
      <c r="H1304" s="9" t="s">
        <v>52</v>
      </c>
      <c r="I1304" s="17" t="s">
        <v>2256</v>
      </c>
      <c r="J1304" s="17" t="s">
        <v>2257</v>
      </c>
      <c r="K1304" s="23">
        <v>0</v>
      </c>
      <c r="L1304" s="234">
        <v>231</v>
      </c>
      <c r="M1304" s="23">
        <v>0</v>
      </c>
      <c r="N1304" s="23">
        <v>0</v>
      </c>
      <c r="O1304" s="23">
        <v>0</v>
      </c>
      <c r="P1304" s="23">
        <v>0</v>
      </c>
      <c r="Q1304" s="92">
        <v>916.8</v>
      </c>
      <c r="R1304" s="93">
        <v>6.6369999999999996</v>
      </c>
      <c r="S1304" s="19" t="s">
        <v>1904</v>
      </c>
      <c r="T1304" s="257">
        <f t="shared" si="47"/>
        <v>231</v>
      </c>
      <c r="U1304" s="257">
        <f t="shared" si="48"/>
        <v>0</v>
      </c>
      <c r="V1304">
        <v>1</v>
      </c>
      <c r="W1304">
        <v>0</v>
      </c>
    </row>
    <row r="1305" spans="1:23" ht="22.8" x14ac:dyDescent="0.3">
      <c r="A1305" s="129">
        <v>39694</v>
      </c>
      <c r="B1305" s="129">
        <v>39694</v>
      </c>
      <c r="C1305" s="6">
        <v>9</v>
      </c>
      <c r="D1305" s="6">
        <v>1</v>
      </c>
      <c r="E1305" s="19">
        <v>2008</v>
      </c>
      <c r="F1305" s="15" t="s">
        <v>22</v>
      </c>
      <c r="G1305" s="16" t="s">
        <v>6256</v>
      </c>
      <c r="H1305" s="9" t="s">
        <v>43</v>
      </c>
      <c r="I1305" s="17" t="s">
        <v>1272</v>
      </c>
      <c r="J1305" s="17" t="s">
        <v>2258</v>
      </c>
      <c r="K1305" s="23">
        <v>2</v>
      </c>
      <c r="L1305" s="234">
        <v>2</v>
      </c>
      <c r="M1305" s="23">
        <v>0</v>
      </c>
      <c r="N1305" s="23">
        <v>0</v>
      </c>
      <c r="O1305" s="23">
        <v>0</v>
      </c>
      <c r="P1305" s="23">
        <v>0</v>
      </c>
      <c r="Q1305" s="92">
        <v>0</v>
      </c>
      <c r="R1305" s="93">
        <v>0</v>
      </c>
      <c r="S1305" s="19" t="s">
        <v>115</v>
      </c>
      <c r="T1305" s="257">
        <f t="shared" si="47"/>
        <v>4</v>
      </c>
      <c r="U1305" s="257">
        <f t="shared" si="48"/>
        <v>0</v>
      </c>
      <c r="V1305">
        <v>1</v>
      </c>
      <c r="W1305">
        <v>0</v>
      </c>
    </row>
    <row r="1306" spans="1:23" ht="22.8" x14ac:dyDescent="0.3">
      <c r="A1306" s="129">
        <v>39749</v>
      </c>
      <c r="B1306" s="129">
        <v>39749</v>
      </c>
      <c r="C1306" s="6">
        <v>10</v>
      </c>
      <c r="D1306" s="6">
        <v>1</v>
      </c>
      <c r="E1306" s="19">
        <v>2008</v>
      </c>
      <c r="F1306" s="15" t="s">
        <v>22</v>
      </c>
      <c r="G1306" s="9" t="s">
        <v>6257</v>
      </c>
      <c r="H1306" s="9" t="s">
        <v>46</v>
      </c>
      <c r="I1306" s="17" t="s">
        <v>46</v>
      </c>
      <c r="J1306" s="17" t="s">
        <v>2259</v>
      </c>
      <c r="K1306" s="23">
        <v>0</v>
      </c>
      <c r="L1306" s="234">
        <v>4</v>
      </c>
      <c r="M1306" s="23">
        <v>0</v>
      </c>
      <c r="N1306" s="23">
        <v>0</v>
      </c>
      <c r="O1306" s="23">
        <v>0</v>
      </c>
      <c r="P1306" s="23">
        <v>0</v>
      </c>
      <c r="Q1306" s="92">
        <v>0</v>
      </c>
      <c r="R1306" s="93">
        <v>0</v>
      </c>
      <c r="S1306" s="19" t="s">
        <v>115</v>
      </c>
      <c r="T1306" s="257">
        <f t="shared" si="47"/>
        <v>4</v>
      </c>
      <c r="U1306" s="257">
        <f t="shared" si="48"/>
        <v>0</v>
      </c>
      <c r="V1306">
        <v>1</v>
      </c>
      <c r="W1306">
        <v>0</v>
      </c>
    </row>
    <row r="1307" spans="1:23" ht="34.200000000000003" x14ac:dyDescent="0.3">
      <c r="A1307" s="129">
        <v>39750</v>
      </c>
      <c r="B1307" s="129">
        <v>39750</v>
      </c>
      <c r="C1307" s="6">
        <v>10</v>
      </c>
      <c r="D1307" s="6">
        <v>1</v>
      </c>
      <c r="E1307" s="19">
        <v>2008</v>
      </c>
      <c r="F1307" s="15" t="s">
        <v>22</v>
      </c>
      <c r="G1307" s="9" t="s">
        <v>6257</v>
      </c>
      <c r="H1307" s="9" t="s">
        <v>48</v>
      </c>
      <c r="I1307" s="17" t="s">
        <v>2260</v>
      </c>
      <c r="J1307" s="17" t="s">
        <v>2261</v>
      </c>
      <c r="K1307" s="23">
        <v>0</v>
      </c>
      <c r="L1307" s="234">
        <f>((M1307*5))*1</f>
        <v>1590</v>
      </c>
      <c r="M1307" s="23">
        <v>318</v>
      </c>
      <c r="N1307" s="23">
        <v>0</v>
      </c>
      <c r="O1307" s="23">
        <v>0</v>
      </c>
      <c r="P1307" s="23">
        <v>0</v>
      </c>
      <c r="Q1307" s="92">
        <v>0</v>
      </c>
      <c r="R1307" s="93">
        <v>1.4830000000000001</v>
      </c>
      <c r="S1307" s="19" t="s">
        <v>115</v>
      </c>
      <c r="T1307" s="257">
        <f t="shared" si="47"/>
        <v>1590</v>
      </c>
      <c r="U1307" s="257">
        <f t="shared" si="48"/>
        <v>318</v>
      </c>
      <c r="V1307">
        <v>1</v>
      </c>
      <c r="W1307">
        <v>1</v>
      </c>
    </row>
    <row r="1308" spans="1:23" ht="22.8" x14ac:dyDescent="0.3">
      <c r="A1308" s="129">
        <v>39792</v>
      </c>
      <c r="B1308" s="129">
        <v>39792</v>
      </c>
      <c r="C1308" s="6">
        <v>12</v>
      </c>
      <c r="D1308" s="6">
        <v>1</v>
      </c>
      <c r="E1308" s="19">
        <v>2008</v>
      </c>
      <c r="F1308" s="15" t="s">
        <v>22</v>
      </c>
      <c r="G1308" s="9" t="s">
        <v>6257</v>
      </c>
      <c r="H1308" s="9" t="s">
        <v>174</v>
      </c>
      <c r="I1308" s="17" t="s">
        <v>2262</v>
      </c>
      <c r="J1308" s="17" t="s">
        <v>2263</v>
      </c>
      <c r="K1308" s="23">
        <v>0</v>
      </c>
      <c r="L1308" s="234">
        <v>27</v>
      </c>
      <c r="M1308" s="23">
        <v>5</v>
      </c>
      <c r="N1308" s="23">
        <v>0</v>
      </c>
      <c r="O1308" s="23">
        <v>0</v>
      </c>
      <c r="P1308" s="23">
        <v>0</v>
      </c>
      <c r="Q1308" s="92">
        <v>0</v>
      </c>
      <c r="R1308" s="93">
        <v>2.3321999999999999E-2</v>
      </c>
      <c r="S1308" s="19" t="s">
        <v>115</v>
      </c>
      <c r="T1308" s="257">
        <f t="shared" si="47"/>
        <v>27</v>
      </c>
      <c r="U1308" s="257">
        <f t="shared" si="48"/>
        <v>5</v>
      </c>
      <c r="V1308">
        <v>1</v>
      </c>
      <c r="W1308">
        <v>1</v>
      </c>
    </row>
    <row r="1309" spans="1:23" ht="102.6" x14ac:dyDescent="0.3">
      <c r="A1309" s="129">
        <v>39490</v>
      </c>
      <c r="B1309" s="129">
        <v>39490</v>
      </c>
      <c r="C1309" s="6">
        <v>2</v>
      </c>
      <c r="D1309" s="6">
        <v>1</v>
      </c>
      <c r="E1309" s="19">
        <v>2008</v>
      </c>
      <c r="F1309" s="7" t="s">
        <v>17</v>
      </c>
      <c r="G1309" s="16" t="s">
        <v>6260</v>
      </c>
      <c r="H1309" s="9" t="s">
        <v>61</v>
      </c>
      <c r="I1309" s="17" t="s">
        <v>2264</v>
      </c>
      <c r="J1309" s="17" t="s">
        <v>2265</v>
      </c>
      <c r="K1309" s="23">
        <v>0</v>
      </c>
      <c r="L1309" s="234">
        <v>6970</v>
      </c>
      <c r="M1309" s="23">
        <v>1394</v>
      </c>
      <c r="N1309" s="23">
        <v>49</v>
      </c>
      <c r="O1309" s="23">
        <v>0</v>
      </c>
      <c r="P1309" s="23">
        <v>0</v>
      </c>
      <c r="Q1309" s="92">
        <v>0</v>
      </c>
      <c r="R1309" s="93">
        <v>10.65</v>
      </c>
      <c r="S1309" s="19" t="s">
        <v>111</v>
      </c>
      <c r="T1309" s="257">
        <f t="shared" si="47"/>
        <v>6970</v>
      </c>
      <c r="U1309" s="257">
        <f t="shared" si="48"/>
        <v>1443</v>
      </c>
      <c r="V1309">
        <v>1</v>
      </c>
      <c r="W1309">
        <v>2</v>
      </c>
    </row>
    <row r="1310" spans="1:23" ht="79.8" x14ac:dyDescent="0.3">
      <c r="A1310" s="211">
        <v>41228</v>
      </c>
      <c r="B1310" s="211">
        <v>41228</v>
      </c>
      <c r="C1310" s="6">
        <v>11</v>
      </c>
      <c r="D1310" s="6">
        <v>1</v>
      </c>
      <c r="E1310" s="19">
        <v>2012</v>
      </c>
      <c r="F1310" s="7" t="s">
        <v>17</v>
      </c>
      <c r="G1310" s="16" t="s">
        <v>6260</v>
      </c>
      <c r="H1310" s="9" t="s">
        <v>48</v>
      </c>
      <c r="I1310" s="20" t="s">
        <v>995</v>
      </c>
      <c r="J1310" s="21" t="s">
        <v>2266</v>
      </c>
      <c r="K1310" s="43">
        <v>0</v>
      </c>
      <c r="L1310" s="234">
        <v>250</v>
      </c>
      <c r="M1310" s="23">
        <v>50</v>
      </c>
      <c r="N1310" s="23">
        <v>10</v>
      </c>
      <c r="O1310" s="23">
        <v>0</v>
      </c>
      <c r="P1310" s="23">
        <v>0</v>
      </c>
      <c r="Q1310" s="23">
        <v>0</v>
      </c>
      <c r="R1310" s="24">
        <f>(M1310*28000)/1000000</f>
        <v>1.4</v>
      </c>
      <c r="S1310" s="6" t="s">
        <v>115</v>
      </c>
      <c r="T1310" s="257">
        <f t="shared" si="47"/>
        <v>250</v>
      </c>
      <c r="U1310" s="257">
        <f t="shared" si="48"/>
        <v>60</v>
      </c>
      <c r="V1310">
        <v>1</v>
      </c>
      <c r="W1310">
        <v>1</v>
      </c>
    </row>
    <row r="1311" spans="1:23" ht="34.200000000000003" x14ac:dyDescent="0.3">
      <c r="A1311" s="129">
        <v>39586</v>
      </c>
      <c r="B1311" s="129">
        <v>39586</v>
      </c>
      <c r="C1311" s="6">
        <v>5</v>
      </c>
      <c r="D1311" s="6">
        <v>1</v>
      </c>
      <c r="E1311" s="19">
        <v>2008</v>
      </c>
      <c r="F1311" s="7" t="s">
        <v>17</v>
      </c>
      <c r="G1311" s="28" t="s">
        <v>6261</v>
      </c>
      <c r="H1311" s="9" t="s">
        <v>31</v>
      </c>
      <c r="I1311" s="17" t="s">
        <v>2267</v>
      </c>
      <c r="J1311" s="17" t="s">
        <v>2268</v>
      </c>
      <c r="K1311" s="23">
        <v>2</v>
      </c>
      <c r="L1311" s="234">
        <v>2</v>
      </c>
      <c r="M1311" s="23">
        <v>1</v>
      </c>
      <c r="N1311" s="23">
        <v>0</v>
      </c>
      <c r="O1311" s="23">
        <v>0</v>
      </c>
      <c r="P1311" s="23">
        <v>0</v>
      </c>
      <c r="Q1311" s="92">
        <v>0</v>
      </c>
      <c r="R1311" s="93">
        <v>4.4458999999999999E-2</v>
      </c>
      <c r="S1311" s="19" t="s">
        <v>115</v>
      </c>
      <c r="T1311" s="257">
        <f t="shared" si="47"/>
        <v>4</v>
      </c>
      <c r="U1311" s="257">
        <f t="shared" si="48"/>
        <v>1</v>
      </c>
      <c r="V1311">
        <v>1</v>
      </c>
      <c r="W1311">
        <v>1</v>
      </c>
    </row>
    <row r="1312" spans="1:23" ht="34.200000000000003" x14ac:dyDescent="0.3">
      <c r="A1312" s="129">
        <v>39586</v>
      </c>
      <c r="B1312" s="129">
        <v>39586</v>
      </c>
      <c r="C1312" s="6">
        <v>5</v>
      </c>
      <c r="D1312" s="6">
        <v>1</v>
      </c>
      <c r="E1312" s="19">
        <v>2008</v>
      </c>
      <c r="F1312" s="7" t="s">
        <v>17</v>
      </c>
      <c r="G1312" s="28" t="s">
        <v>6261</v>
      </c>
      <c r="H1312" s="9" t="s">
        <v>64</v>
      </c>
      <c r="I1312" s="17" t="s">
        <v>2269</v>
      </c>
      <c r="J1312" s="17" t="s">
        <v>2270</v>
      </c>
      <c r="K1312" s="23">
        <v>1</v>
      </c>
      <c r="L1312" s="234">
        <v>2</v>
      </c>
      <c r="M1312" s="23">
        <v>1</v>
      </c>
      <c r="N1312" s="23">
        <v>0</v>
      </c>
      <c r="O1312" s="23">
        <v>0</v>
      </c>
      <c r="P1312" s="23">
        <v>0</v>
      </c>
      <c r="Q1312" s="92">
        <v>0</v>
      </c>
      <c r="R1312" s="93">
        <v>4.4458999999999999E-2</v>
      </c>
      <c r="S1312" s="19" t="s">
        <v>115</v>
      </c>
      <c r="T1312" s="257">
        <f t="shared" si="47"/>
        <v>3</v>
      </c>
      <c r="U1312" s="257">
        <f t="shared" si="48"/>
        <v>1</v>
      </c>
      <c r="V1312">
        <v>1</v>
      </c>
      <c r="W1312">
        <v>1</v>
      </c>
    </row>
    <row r="1313" spans="1:23" ht="34.200000000000003" x14ac:dyDescent="0.3">
      <c r="A1313" s="129">
        <v>39609</v>
      </c>
      <c r="B1313" s="129">
        <v>39609</v>
      </c>
      <c r="C1313" s="6">
        <v>6</v>
      </c>
      <c r="D1313" s="6">
        <v>1</v>
      </c>
      <c r="E1313" s="19">
        <v>2008</v>
      </c>
      <c r="F1313" s="7" t="s">
        <v>17</v>
      </c>
      <c r="G1313" s="28" t="s">
        <v>6261</v>
      </c>
      <c r="H1313" s="9" t="s">
        <v>121</v>
      </c>
      <c r="I1313" s="17" t="s">
        <v>2271</v>
      </c>
      <c r="J1313" s="17" t="s">
        <v>2272</v>
      </c>
      <c r="K1313" s="23">
        <v>0</v>
      </c>
      <c r="L1313" s="234">
        <v>0</v>
      </c>
      <c r="M1313" s="23">
        <v>0</v>
      </c>
      <c r="N1313" s="23">
        <v>0</v>
      </c>
      <c r="O1313" s="23">
        <v>0</v>
      </c>
      <c r="P1313" s="23">
        <v>0</v>
      </c>
      <c r="Q1313" s="92">
        <v>0</v>
      </c>
      <c r="R1313" s="93">
        <v>0</v>
      </c>
      <c r="S1313" s="19" t="s">
        <v>115</v>
      </c>
      <c r="T1313" s="257">
        <f t="shared" si="47"/>
        <v>0</v>
      </c>
      <c r="U1313" s="257">
        <f t="shared" si="48"/>
        <v>0</v>
      </c>
      <c r="V1313">
        <v>0</v>
      </c>
      <c r="W1313">
        <v>0</v>
      </c>
    </row>
    <row r="1314" spans="1:23" ht="34.200000000000003" x14ac:dyDescent="0.3">
      <c r="A1314" s="129">
        <v>37793</v>
      </c>
      <c r="B1314" s="129">
        <v>37793</v>
      </c>
      <c r="C1314" s="6">
        <v>6</v>
      </c>
      <c r="D1314" s="6">
        <v>1</v>
      </c>
      <c r="E1314" s="19">
        <v>2003</v>
      </c>
      <c r="F1314" s="15" t="s">
        <v>22</v>
      </c>
      <c r="G1314" s="18" t="s">
        <v>6256</v>
      </c>
      <c r="H1314" s="9" t="s">
        <v>48</v>
      </c>
      <c r="I1314" s="17" t="s">
        <v>2273</v>
      </c>
      <c r="J1314" s="17" t="s">
        <v>2274</v>
      </c>
      <c r="K1314" s="23">
        <v>0</v>
      </c>
      <c r="L1314" s="234">
        <v>2250</v>
      </c>
      <c r="M1314" s="23">
        <v>450</v>
      </c>
      <c r="N1314" s="23">
        <v>0</v>
      </c>
      <c r="O1314" s="37">
        <v>0</v>
      </c>
      <c r="P1314" s="37">
        <v>0</v>
      </c>
      <c r="Q1314" s="23">
        <v>0</v>
      </c>
      <c r="R1314" s="24">
        <v>1.2969999999999999</v>
      </c>
      <c r="S1314" s="7" t="s">
        <v>115</v>
      </c>
      <c r="T1314" s="257">
        <f t="shared" si="47"/>
        <v>2250</v>
      </c>
      <c r="U1314" s="257">
        <f t="shared" si="48"/>
        <v>450</v>
      </c>
      <c r="V1314">
        <v>1</v>
      </c>
      <c r="W1314">
        <v>1</v>
      </c>
    </row>
    <row r="1315" spans="1:23" ht="57" x14ac:dyDescent="0.3">
      <c r="A1315" s="129">
        <v>39661</v>
      </c>
      <c r="B1315" s="129">
        <v>39661</v>
      </c>
      <c r="C1315" s="6">
        <v>8</v>
      </c>
      <c r="D1315" s="6">
        <v>1</v>
      </c>
      <c r="E1315" s="19">
        <v>2008</v>
      </c>
      <c r="F1315" s="7" t="s">
        <v>17</v>
      </c>
      <c r="G1315" s="28" t="s">
        <v>6261</v>
      </c>
      <c r="H1315" s="9" t="s">
        <v>174</v>
      </c>
      <c r="I1315" s="17" t="s">
        <v>2275</v>
      </c>
      <c r="J1315" s="17" t="s">
        <v>2276</v>
      </c>
      <c r="K1315" s="23">
        <v>0</v>
      </c>
      <c r="L1315" s="234">
        <v>10</v>
      </c>
      <c r="M1315" s="23">
        <v>2</v>
      </c>
      <c r="N1315" s="23">
        <v>0</v>
      </c>
      <c r="O1315" s="23">
        <v>0</v>
      </c>
      <c r="P1315" s="23">
        <v>0</v>
      </c>
      <c r="Q1315" s="92">
        <v>0</v>
      </c>
      <c r="R1315" s="93">
        <v>8.8917999999999997E-2</v>
      </c>
      <c r="S1315" s="19" t="s">
        <v>115</v>
      </c>
      <c r="T1315" s="257">
        <f t="shared" si="47"/>
        <v>10</v>
      </c>
      <c r="U1315" s="257">
        <f t="shared" si="48"/>
        <v>2</v>
      </c>
      <c r="V1315">
        <v>1</v>
      </c>
      <c r="W1315">
        <v>1</v>
      </c>
    </row>
    <row r="1316" spans="1:23" ht="34.200000000000003" x14ac:dyDescent="0.3">
      <c r="A1316" s="129">
        <v>39665</v>
      </c>
      <c r="B1316" s="129">
        <v>39665</v>
      </c>
      <c r="C1316" s="6">
        <v>8</v>
      </c>
      <c r="D1316" s="6">
        <v>1</v>
      </c>
      <c r="E1316" s="19">
        <v>2008</v>
      </c>
      <c r="F1316" s="7" t="s">
        <v>17</v>
      </c>
      <c r="G1316" s="28" t="s">
        <v>6261</v>
      </c>
      <c r="H1316" s="9" t="s">
        <v>121</v>
      </c>
      <c r="I1316" s="17" t="s">
        <v>2277</v>
      </c>
      <c r="J1316" s="17" t="s">
        <v>2278</v>
      </c>
      <c r="K1316" s="23">
        <v>1</v>
      </c>
      <c r="L1316" s="234">
        <v>3</v>
      </c>
      <c r="M1316" s="23">
        <v>0</v>
      </c>
      <c r="N1316" s="23">
        <v>0</v>
      </c>
      <c r="O1316" s="23">
        <v>0</v>
      </c>
      <c r="P1316" s="23">
        <v>0</v>
      </c>
      <c r="Q1316" s="92">
        <v>0</v>
      </c>
      <c r="R1316" s="93">
        <v>0</v>
      </c>
      <c r="S1316" s="19" t="s">
        <v>115</v>
      </c>
      <c r="T1316" s="257">
        <f t="shared" si="47"/>
        <v>4</v>
      </c>
      <c r="U1316" s="257">
        <f t="shared" si="48"/>
        <v>0</v>
      </c>
      <c r="V1316">
        <v>1</v>
      </c>
      <c r="W1316">
        <v>0</v>
      </c>
    </row>
    <row r="1317" spans="1:23" ht="34.200000000000003" x14ac:dyDescent="0.3">
      <c r="A1317" s="129">
        <v>39694</v>
      </c>
      <c r="B1317" s="129">
        <v>39694</v>
      </c>
      <c r="C1317" s="6">
        <v>9</v>
      </c>
      <c r="D1317" s="6">
        <v>1</v>
      </c>
      <c r="E1317" s="19">
        <v>2008</v>
      </c>
      <c r="F1317" s="7" t="s">
        <v>17</v>
      </c>
      <c r="G1317" s="28" t="s">
        <v>6261</v>
      </c>
      <c r="H1317" s="9" t="s">
        <v>51</v>
      </c>
      <c r="I1317" s="17" t="s">
        <v>2119</v>
      </c>
      <c r="J1317" s="17" t="s">
        <v>2279</v>
      </c>
      <c r="K1317" s="23">
        <v>3</v>
      </c>
      <c r="L1317" s="234">
        <v>3</v>
      </c>
      <c r="M1317" s="23">
        <v>6</v>
      </c>
      <c r="N1317" s="23">
        <v>0</v>
      </c>
      <c r="O1317" s="23">
        <v>0</v>
      </c>
      <c r="P1317" s="23">
        <v>0</v>
      </c>
      <c r="Q1317" s="92">
        <v>0</v>
      </c>
      <c r="R1317" s="93">
        <v>0.26675399999999999</v>
      </c>
      <c r="S1317" s="19" t="s">
        <v>115</v>
      </c>
      <c r="T1317" s="257">
        <f t="shared" si="47"/>
        <v>6</v>
      </c>
      <c r="U1317" s="257">
        <f t="shared" si="48"/>
        <v>6</v>
      </c>
      <c r="V1317">
        <v>1</v>
      </c>
      <c r="W1317">
        <v>1</v>
      </c>
    </row>
    <row r="1318" spans="1:23" ht="22.8" x14ac:dyDescent="0.3">
      <c r="A1318" s="129">
        <v>39699</v>
      </c>
      <c r="B1318" s="129">
        <v>39699</v>
      </c>
      <c r="C1318" s="6">
        <v>9</v>
      </c>
      <c r="D1318" s="6">
        <v>1</v>
      </c>
      <c r="E1318" s="19">
        <v>2008</v>
      </c>
      <c r="F1318" s="7" t="s">
        <v>17</v>
      </c>
      <c r="G1318" s="28" t="s">
        <v>6261</v>
      </c>
      <c r="H1318" s="9" t="s">
        <v>174</v>
      </c>
      <c r="I1318" s="17">
        <v>1</v>
      </c>
      <c r="J1318" s="17" t="s">
        <v>2280</v>
      </c>
      <c r="K1318" s="23">
        <v>2</v>
      </c>
      <c r="L1318" s="234">
        <f>((M1318*5))*1</f>
        <v>1775</v>
      </c>
      <c r="M1318" s="23">
        <v>355</v>
      </c>
      <c r="N1318" s="23">
        <v>0</v>
      </c>
      <c r="O1318" s="23">
        <v>0</v>
      </c>
      <c r="P1318" s="23">
        <v>0</v>
      </c>
      <c r="Q1318" s="92">
        <v>0</v>
      </c>
      <c r="R1318" s="93">
        <v>66.700999999999993</v>
      </c>
      <c r="S1318" s="19" t="str">
        <f>+fo</f>
        <v>FONDEN</v>
      </c>
      <c r="T1318" s="257">
        <f t="shared" si="47"/>
        <v>1777</v>
      </c>
      <c r="U1318" s="257">
        <f t="shared" si="48"/>
        <v>355</v>
      </c>
      <c r="V1318">
        <v>1</v>
      </c>
      <c r="W1318">
        <v>1</v>
      </c>
    </row>
    <row r="1319" spans="1:23" ht="22.8" x14ac:dyDescent="0.3">
      <c r="A1319" s="129">
        <v>39708</v>
      </c>
      <c r="B1319" s="129">
        <v>39708</v>
      </c>
      <c r="C1319" s="6">
        <v>9</v>
      </c>
      <c r="D1319" s="6">
        <v>1</v>
      </c>
      <c r="E1319" s="19">
        <v>2008</v>
      </c>
      <c r="F1319" s="7" t="s">
        <v>17</v>
      </c>
      <c r="G1319" s="28" t="s">
        <v>6261</v>
      </c>
      <c r="H1319" s="9" t="s">
        <v>61</v>
      </c>
      <c r="I1319" s="17" t="s">
        <v>2281</v>
      </c>
      <c r="J1319" s="17" t="s">
        <v>2282</v>
      </c>
      <c r="K1319" s="23">
        <v>4</v>
      </c>
      <c r="L1319" s="234">
        <v>9</v>
      </c>
      <c r="M1319" s="23">
        <v>0</v>
      </c>
      <c r="N1319" s="23">
        <v>0</v>
      </c>
      <c r="O1319" s="23">
        <v>0</v>
      </c>
      <c r="P1319" s="23">
        <v>0</v>
      </c>
      <c r="Q1319" s="92">
        <v>0</v>
      </c>
      <c r="R1319" s="93">
        <v>0</v>
      </c>
      <c r="S1319" s="19" t="s">
        <v>115</v>
      </c>
      <c r="T1319" s="257">
        <f t="shared" si="47"/>
        <v>13</v>
      </c>
      <c r="U1319" s="257">
        <f t="shared" si="48"/>
        <v>0</v>
      </c>
      <c r="V1319">
        <v>1</v>
      </c>
      <c r="W1319">
        <v>0</v>
      </c>
    </row>
    <row r="1320" spans="1:23" ht="34.200000000000003" x14ac:dyDescent="0.3">
      <c r="A1320" s="129">
        <v>39834</v>
      </c>
      <c r="B1320" s="129">
        <v>39834</v>
      </c>
      <c r="C1320" s="6">
        <v>1</v>
      </c>
      <c r="D1320" s="6">
        <v>1</v>
      </c>
      <c r="E1320" s="19">
        <v>2009</v>
      </c>
      <c r="F1320" s="15" t="s">
        <v>22</v>
      </c>
      <c r="G1320" s="16" t="s">
        <v>6256</v>
      </c>
      <c r="H1320" s="9" t="s">
        <v>43</v>
      </c>
      <c r="I1320" s="17" t="s">
        <v>648</v>
      </c>
      <c r="J1320" s="17" t="s">
        <v>2298</v>
      </c>
      <c r="K1320" s="23">
        <v>0</v>
      </c>
      <c r="L1320" s="234">
        <v>250</v>
      </c>
      <c r="M1320" s="23">
        <v>50</v>
      </c>
      <c r="N1320" s="23">
        <v>0</v>
      </c>
      <c r="O1320" s="23">
        <v>0</v>
      </c>
      <c r="P1320" s="23">
        <v>0</v>
      </c>
      <c r="Q1320" s="92">
        <v>0</v>
      </c>
      <c r="R1320" s="93">
        <v>0.56000000000000005</v>
      </c>
      <c r="S1320" s="19" t="s">
        <v>115</v>
      </c>
      <c r="T1320" s="257">
        <f t="shared" si="47"/>
        <v>250</v>
      </c>
      <c r="U1320" s="257">
        <f t="shared" si="48"/>
        <v>50</v>
      </c>
      <c r="V1320">
        <v>1</v>
      </c>
      <c r="W1320">
        <v>1</v>
      </c>
    </row>
    <row r="1321" spans="1:23" ht="136.80000000000001" x14ac:dyDescent="0.3">
      <c r="A1321" s="129">
        <v>39853</v>
      </c>
      <c r="B1321" s="129">
        <v>39853</v>
      </c>
      <c r="C1321" s="6">
        <v>2</v>
      </c>
      <c r="D1321" s="6">
        <v>1</v>
      </c>
      <c r="E1321" s="19">
        <v>2009</v>
      </c>
      <c r="F1321" s="15" t="s">
        <v>22</v>
      </c>
      <c r="G1321" s="16" t="s">
        <v>6256</v>
      </c>
      <c r="H1321" s="9" t="s">
        <v>27</v>
      </c>
      <c r="I1321" s="17" t="s">
        <v>2299</v>
      </c>
      <c r="J1321" s="17" t="s">
        <v>2300</v>
      </c>
      <c r="K1321" s="23">
        <v>0</v>
      </c>
      <c r="L1321" s="234">
        <v>0</v>
      </c>
      <c r="M1321" s="23">
        <v>0</v>
      </c>
      <c r="N1321" s="23">
        <v>0</v>
      </c>
      <c r="O1321" s="23">
        <v>0</v>
      </c>
      <c r="P1321" s="23">
        <v>0</v>
      </c>
      <c r="Q1321" s="92">
        <v>0</v>
      </c>
      <c r="R1321" s="93">
        <v>0</v>
      </c>
      <c r="S1321" s="19" t="s">
        <v>115</v>
      </c>
      <c r="T1321" s="257">
        <f t="shared" si="47"/>
        <v>0</v>
      </c>
      <c r="U1321" s="257">
        <f t="shared" si="48"/>
        <v>0</v>
      </c>
      <c r="V1321">
        <v>0</v>
      </c>
      <c r="W1321">
        <v>0</v>
      </c>
    </row>
    <row r="1322" spans="1:23" ht="34.200000000000003" x14ac:dyDescent="0.3">
      <c r="A1322" s="129">
        <v>39919</v>
      </c>
      <c r="B1322" s="129">
        <v>39919</v>
      </c>
      <c r="C1322" s="6">
        <v>4</v>
      </c>
      <c r="D1322" s="6">
        <v>1</v>
      </c>
      <c r="E1322" s="19">
        <v>2009</v>
      </c>
      <c r="F1322" s="15" t="s">
        <v>22</v>
      </c>
      <c r="G1322" s="16" t="s">
        <v>6256</v>
      </c>
      <c r="H1322" s="9" t="s">
        <v>174</v>
      </c>
      <c r="I1322" s="17" t="s">
        <v>2301</v>
      </c>
      <c r="J1322" s="17" t="s">
        <v>2302</v>
      </c>
      <c r="K1322" s="23">
        <v>0</v>
      </c>
      <c r="L1322" s="234">
        <v>875</v>
      </c>
      <c r="M1322" s="23">
        <v>175</v>
      </c>
      <c r="N1322" s="23">
        <v>0</v>
      </c>
      <c r="O1322" s="23">
        <v>0</v>
      </c>
      <c r="P1322" s="23">
        <v>0</v>
      </c>
      <c r="Q1322" s="92">
        <v>0</v>
      </c>
      <c r="R1322" s="93">
        <v>0.9</v>
      </c>
      <c r="S1322" s="19" t="s">
        <v>115</v>
      </c>
      <c r="T1322" s="257">
        <f t="shared" si="47"/>
        <v>875</v>
      </c>
      <c r="U1322" s="257">
        <f t="shared" si="48"/>
        <v>175</v>
      </c>
      <c r="V1322">
        <v>1</v>
      </c>
      <c r="W1322">
        <v>1</v>
      </c>
    </row>
    <row r="1323" spans="1:23" ht="66" x14ac:dyDescent="0.3">
      <c r="A1323" s="219">
        <v>40422</v>
      </c>
      <c r="B1323" s="219">
        <v>40422</v>
      </c>
      <c r="C1323" s="6">
        <v>9</v>
      </c>
      <c r="D1323" s="6">
        <v>1</v>
      </c>
      <c r="E1323" s="73">
        <v>2010</v>
      </c>
      <c r="F1323" s="15" t="s">
        <v>22</v>
      </c>
      <c r="G1323" s="18" t="s">
        <v>6256</v>
      </c>
      <c r="H1323" s="9" t="s">
        <v>48</v>
      </c>
      <c r="I1323" s="74" t="s">
        <v>2303</v>
      </c>
      <c r="J1323" s="74" t="s">
        <v>2304</v>
      </c>
      <c r="K1323" s="75">
        <v>0</v>
      </c>
      <c r="L1323" s="241">
        <v>2193</v>
      </c>
      <c r="M1323" s="75">
        <v>215</v>
      </c>
      <c r="N1323" s="75">
        <v>0</v>
      </c>
      <c r="O1323" s="75">
        <v>0</v>
      </c>
      <c r="P1323" s="75">
        <v>0</v>
      </c>
      <c r="Q1323" s="75">
        <v>0</v>
      </c>
      <c r="R1323" s="61">
        <v>1.1008</v>
      </c>
      <c r="S1323" s="73" t="s">
        <v>115</v>
      </c>
      <c r="T1323" s="257">
        <f t="shared" si="47"/>
        <v>2193</v>
      </c>
      <c r="U1323" s="257">
        <f t="shared" si="48"/>
        <v>215</v>
      </c>
      <c r="V1323">
        <v>1</v>
      </c>
      <c r="W1323">
        <v>1</v>
      </c>
    </row>
    <row r="1324" spans="1:23" ht="136.80000000000001" x14ac:dyDescent="0.3">
      <c r="A1324" s="129">
        <v>39948</v>
      </c>
      <c r="B1324" s="129">
        <v>39948</v>
      </c>
      <c r="C1324" s="6">
        <v>5</v>
      </c>
      <c r="D1324" s="6">
        <v>1</v>
      </c>
      <c r="E1324" s="19">
        <v>2009</v>
      </c>
      <c r="F1324" s="15" t="s">
        <v>22</v>
      </c>
      <c r="G1324" s="16" t="s">
        <v>6256</v>
      </c>
      <c r="H1324" s="9" t="s">
        <v>46</v>
      </c>
      <c r="I1324" s="17" t="s">
        <v>182</v>
      </c>
      <c r="J1324" s="17" t="s">
        <v>2305</v>
      </c>
      <c r="K1324" s="23">
        <v>0</v>
      </c>
      <c r="L1324" s="234">
        <v>160</v>
      </c>
      <c r="M1324" s="23">
        <v>32</v>
      </c>
      <c r="N1324" s="23">
        <v>0</v>
      </c>
      <c r="O1324" s="23">
        <v>0</v>
      </c>
      <c r="P1324" s="23">
        <v>0</v>
      </c>
      <c r="Q1324" s="92">
        <v>0</v>
      </c>
      <c r="R1324" s="93">
        <v>0.17</v>
      </c>
      <c r="S1324" s="19" t="s">
        <v>115</v>
      </c>
      <c r="T1324" s="257">
        <f t="shared" si="47"/>
        <v>160</v>
      </c>
      <c r="U1324" s="257">
        <f t="shared" si="48"/>
        <v>32</v>
      </c>
      <c r="V1324">
        <v>1</v>
      </c>
      <c r="W1324">
        <v>1</v>
      </c>
    </row>
    <row r="1325" spans="1:23" ht="57" x14ac:dyDescent="0.3">
      <c r="A1325" s="129">
        <v>39950</v>
      </c>
      <c r="B1325" s="129">
        <v>39950</v>
      </c>
      <c r="C1325" s="6">
        <v>5</v>
      </c>
      <c r="D1325" s="6">
        <v>1</v>
      </c>
      <c r="E1325" s="19">
        <v>2009</v>
      </c>
      <c r="F1325" s="15" t="s">
        <v>22</v>
      </c>
      <c r="G1325" s="16" t="s">
        <v>6256</v>
      </c>
      <c r="H1325" s="9" t="s">
        <v>88</v>
      </c>
      <c r="I1325" s="17" t="s">
        <v>136</v>
      </c>
      <c r="J1325" s="17" t="s">
        <v>2306</v>
      </c>
      <c r="K1325" s="23">
        <v>0</v>
      </c>
      <c r="L1325" s="234">
        <v>200</v>
      </c>
      <c r="M1325" s="23">
        <v>40</v>
      </c>
      <c r="N1325" s="23">
        <v>0</v>
      </c>
      <c r="O1325" s="23">
        <v>0</v>
      </c>
      <c r="P1325" s="23">
        <v>0</v>
      </c>
      <c r="Q1325" s="92">
        <v>0</v>
      </c>
      <c r="R1325" s="93">
        <v>0.35</v>
      </c>
      <c r="S1325" s="19" t="s">
        <v>115</v>
      </c>
      <c r="T1325" s="257">
        <f t="shared" si="47"/>
        <v>200</v>
      </c>
      <c r="U1325" s="257">
        <f t="shared" si="48"/>
        <v>40</v>
      </c>
      <c r="V1325">
        <v>1</v>
      </c>
      <c r="W1325">
        <v>1</v>
      </c>
    </row>
    <row r="1326" spans="1:23" ht="206.4" x14ac:dyDescent="0.3">
      <c r="A1326" s="129">
        <v>39958</v>
      </c>
      <c r="B1326" s="129">
        <v>39958</v>
      </c>
      <c r="C1326" s="6">
        <v>5</v>
      </c>
      <c r="D1326" s="6">
        <v>1</v>
      </c>
      <c r="E1326" s="19">
        <v>2009</v>
      </c>
      <c r="F1326" s="15" t="s">
        <v>22</v>
      </c>
      <c r="G1326" s="16" t="s">
        <v>6256</v>
      </c>
      <c r="H1326" s="9" t="s">
        <v>37</v>
      </c>
      <c r="I1326" s="17" t="s">
        <v>2307</v>
      </c>
      <c r="J1326" s="17" t="s">
        <v>2308</v>
      </c>
      <c r="K1326" s="23">
        <v>0</v>
      </c>
      <c r="L1326" s="234">
        <v>15</v>
      </c>
      <c r="M1326" s="23">
        <v>3</v>
      </c>
      <c r="N1326" s="23">
        <v>0</v>
      </c>
      <c r="O1326" s="23">
        <v>0</v>
      </c>
      <c r="P1326" s="23">
        <v>0</v>
      </c>
      <c r="Q1326" s="92">
        <v>0</v>
      </c>
      <c r="R1326" s="93">
        <v>0.03</v>
      </c>
      <c r="S1326" s="19" t="s">
        <v>115</v>
      </c>
      <c r="T1326" s="257">
        <f t="shared" si="47"/>
        <v>15</v>
      </c>
      <c r="U1326" s="257">
        <f t="shared" si="48"/>
        <v>3</v>
      </c>
      <c r="V1326">
        <v>1</v>
      </c>
      <c r="W1326">
        <v>1</v>
      </c>
    </row>
    <row r="1327" spans="1:23" ht="68.400000000000006" x14ac:dyDescent="0.3">
      <c r="A1327" s="129">
        <v>39961</v>
      </c>
      <c r="B1327" s="129">
        <v>39961</v>
      </c>
      <c r="C1327" s="6">
        <v>5</v>
      </c>
      <c r="D1327" s="6">
        <v>1</v>
      </c>
      <c r="E1327" s="19">
        <v>2009</v>
      </c>
      <c r="F1327" s="15" t="s">
        <v>22</v>
      </c>
      <c r="G1327" s="16" t="s">
        <v>6256</v>
      </c>
      <c r="H1327" s="9" t="s">
        <v>174</v>
      </c>
      <c r="I1327" s="17" t="s">
        <v>2309</v>
      </c>
      <c r="J1327" s="17" t="s">
        <v>2310</v>
      </c>
      <c r="K1327" s="23">
        <v>0</v>
      </c>
      <c r="L1327" s="234">
        <f>((M1327*5))*1</f>
        <v>905</v>
      </c>
      <c r="M1327" s="23">
        <v>181</v>
      </c>
      <c r="N1327" s="23">
        <v>0</v>
      </c>
      <c r="O1327" s="23">
        <v>4</v>
      </c>
      <c r="P1327" s="23">
        <v>0</v>
      </c>
      <c r="Q1327" s="92">
        <v>0</v>
      </c>
      <c r="R1327" s="93">
        <v>145.32499999999999</v>
      </c>
      <c r="S1327" s="19" t="s">
        <v>149</v>
      </c>
      <c r="T1327" s="257">
        <f t="shared" si="47"/>
        <v>905</v>
      </c>
      <c r="U1327" s="257">
        <f t="shared" si="48"/>
        <v>185</v>
      </c>
      <c r="V1327">
        <v>1</v>
      </c>
      <c r="W1327">
        <v>1</v>
      </c>
    </row>
    <row r="1328" spans="1:23" ht="34.200000000000003" x14ac:dyDescent="0.3">
      <c r="A1328" s="129">
        <v>39961</v>
      </c>
      <c r="B1328" s="129">
        <v>39961</v>
      </c>
      <c r="C1328" s="6">
        <v>5</v>
      </c>
      <c r="D1328" s="6">
        <v>1</v>
      </c>
      <c r="E1328" s="19">
        <v>2009</v>
      </c>
      <c r="F1328" s="15" t="s">
        <v>22</v>
      </c>
      <c r="G1328" s="16" t="s">
        <v>6256</v>
      </c>
      <c r="H1328" s="9" t="s">
        <v>124</v>
      </c>
      <c r="I1328" s="17" t="s">
        <v>2283</v>
      </c>
      <c r="J1328" s="17" t="s">
        <v>2311</v>
      </c>
      <c r="K1328" s="23">
        <v>0</v>
      </c>
      <c r="L1328" s="234">
        <v>1</v>
      </c>
      <c r="M1328" s="23">
        <v>0</v>
      </c>
      <c r="N1328" s="23">
        <v>0</v>
      </c>
      <c r="O1328" s="23">
        <v>0</v>
      </c>
      <c r="P1328" s="23">
        <v>0</v>
      </c>
      <c r="Q1328" s="92">
        <v>0</v>
      </c>
      <c r="R1328" s="93">
        <v>0</v>
      </c>
      <c r="S1328" s="19" t="s">
        <v>115</v>
      </c>
      <c r="T1328" s="257">
        <f t="shared" si="47"/>
        <v>1</v>
      </c>
      <c r="U1328" s="257">
        <f t="shared" si="48"/>
        <v>0</v>
      </c>
      <c r="V1328">
        <v>1</v>
      </c>
      <c r="W1328">
        <v>0</v>
      </c>
    </row>
    <row r="1329" spans="1:23" ht="57" x14ac:dyDescent="0.3">
      <c r="A1329" s="129">
        <v>39962</v>
      </c>
      <c r="B1329" s="129">
        <v>39962</v>
      </c>
      <c r="C1329" s="6">
        <v>5</v>
      </c>
      <c r="D1329" s="6">
        <v>1</v>
      </c>
      <c r="E1329" s="19">
        <v>2009</v>
      </c>
      <c r="F1329" s="15" t="s">
        <v>22</v>
      </c>
      <c r="G1329" s="16" t="s">
        <v>6256</v>
      </c>
      <c r="H1329" s="9" t="s">
        <v>84</v>
      </c>
      <c r="I1329" s="17" t="s">
        <v>2312</v>
      </c>
      <c r="J1329" s="17" t="s">
        <v>2313</v>
      </c>
      <c r="K1329" s="23">
        <v>0</v>
      </c>
      <c r="L1329" s="234">
        <v>18000</v>
      </c>
      <c r="M1329" s="23">
        <v>3600</v>
      </c>
      <c r="N1329" s="23">
        <v>0</v>
      </c>
      <c r="O1329" s="23">
        <v>0</v>
      </c>
      <c r="P1329" s="23">
        <v>0</v>
      </c>
      <c r="Q1329" s="92">
        <v>0</v>
      </c>
      <c r="R1329" s="93">
        <f>(M1329*5120)/1000000</f>
        <v>18.431999999999999</v>
      </c>
      <c r="S1329" s="19" t="s">
        <v>115</v>
      </c>
      <c r="T1329" s="257">
        <f t="shared" si="47"/>
        <v>18000</v>
      </c>
      <c r="U1329" s="257">
        <f t="shared" si="48"/>
        <v>3600</v>
      </c>
      <c r="V1329">
        <v>2</v>
      </c>
      <c r="W1329">
        <v>2</v>
      </c>
    </row>
    <row r="1330" spans="1:23" ht="79.8" x14ac:dyDescent="0.3">
      <c r="A1330" s="129">
        <v>39963</v>
      </c>
      <c r="B1330" s="129">
        <v>39963</v>
      </c>
      <c r="C1330" s="6">
        <v>5</v>
      </c>
      <c r="D1330" s="6">
        <v>1</v>
      </c>
      <c r="E1330" s="19">
        <v>2009</v>
      </c>
      <c r="F1330" s="15" t="s">
        <v>22</v>
      </c>
      <c r="G1330" s="16" t="s">
        <v>6256</v>
      </c>
      <c r="H1330" s="9" t="s">
        <v>46</v>
      </c>
      <c r="I1330" s="17" t="s">
        <v>2314</v>
      </c>
      <c r="J1330" s="17" t="s">
        <v>2315</v>
      </c>
      <c r="K1330" s="23">
        <v>0</v>
      </c>
      <c r="L1330" s="234">
        <v>200</v>
      </c>
      <c r="M1330" s="23">
        <v>40</v>
      </c>
      <c r="N1330" s="23">
        <v>0</v>
      </c>
      <c r="O1330" s="23">
        <v>0</v>
      </c>
      <c r="P1330" s="23">
        <v>0</v>
      </c>
      <c r="Q1330" s="92">
        <v>0</v>
      </c>
      <c r="R1330" s="93">
        <f>(M1330*8738)/1000000</f>
        <v>0.34952</v>
      </c>
      <c r="S1330" s="19" t="s">
        <v>115</v>
      </c>
      <c r="T1330" s="257">
        <f t="shared" si="47"/>
        <v>200</v>
      </c>
      <c r="U1330" s="257">
        <f t="shared" si="48"/>
        <v>40</v>
      </c>
      <c r="V1330">
        <v>1</v>
      </c>
      <c r="W1330">
        <v>1</v>
      </c>
    </row>
    <row r="1331" spans="1:23" ht="45.6" x14ac:dyDescent="0.3">
      <c r="A1331" s="129">
        <v>39963</v>
      </c>
      <c r="B1331" s="129">
        <v>39963</v>
      </c>
      <c r="C1331" s="6">
        <v>5</v>
      </c>
      <c r="D1331" s="6">
        <v>1</v>
      </c>
      <c r="E1331" s="19">
        <v>2009</v>
      </c>
      <c r="F1331" s="15" t="s">
        <v>22</v>
      </c>
      <c r="G1331" s="16" t="s">
        <v>6256</v>
      </c>
      <c r="H1331" s="9" t="s">
        <v>174</v>
      </c>
      <c r="I1331" s="17" t="s">
        <v>2316</v>
      </c>
      <c r="J1331" s="17" t="s">
        <v>2317</v>
      </c>
      <c r="K1331" s="23">
        <v>0</v>
      </c>
      <c r="L1331" s="234">
        <v>1670</v>
      </c>
      <c r="M1331" s="23">
        <v>294</v>
      </c>
      <c r="N1331" s="23">
        <v>0</v>
      </c>
      <c r="O1331" s="23">
        <v>0</v>
      </c>
      <c r="P1331" s="23">
        <v>0</v>
      </c>
      <c r="Q1331" s="92">
        <v>0</v>
      </c>
      <c r="R1331" s="93">
        <f>(M1331*5120)/1000000</f>
        <v>1.50528</v>
      </c>
      <c r="S1331" s="19" t="s">
        <v>115</v>
      </c>
      <c r="T1331" s="257">
        <f t="shared" si="47"/>
        <v>1670</v>
      </c>
      <c r="U1331" s="257">
        <f t="shared" si="48"/>
        <v>294</v>
      </c>
      <c r="V1331">
        <v>1</v>
      </c>
      <c r="W1331">
        <v>1</v>
      </c>
    </row>
    <row r="1332" spans="1:23" ht="57" x14ac:dyDescent="0.3">
      <c r="A1332" s="129">
        <v>39965</v>
      </c>
      <c r="B1332" s="129">
        <v>39965</v>
      </c>
      <c r="C1332" s="6">
        <v>6</v>
      </c>
      <c r="D1332" s="6">
        <v>1</v>
      </c>
      <c r="E1332" s="19">
        <v>2009</v>
      </c>
      <c r="F1332" s="15" t="s">
        <v>22</v>
      </c>
      <c r="G1332" s="16" t="s">
        <v>6256</v>
      </c>
      <c r="H1332" s="9" t="s">
        <v>174</v>
      </c>
      <c r="I1332" s="17" t="s">
        <v>2318</v>
      </c>
      <c r="J1332" s="17" t="s">
        <v>2319</v>
      </c>
      <c r="K1332" s="23">
        <v>1</v>
      </c>
      <c r="L1332" s="234">
        <v>241</v>
      </c>
      <c r="M1332" s="23">
        <v>48</v>
      </c>
      <c r="N1332" s="23">
        <v>0</v>
      </c>
      <c r="O1332" s="23">
        <v>0</v>
      </c>
      <c r="P1332" s="23">
        <v>0</v>
      </c>
      <c r="Q1332" s="92">
        <v>0</v>
      </c>
      <c r="R1332" s="93">
        <f>(M1332*5120)/1000000</f>
        <v>0.24576000000000001</v>
      </c>
      <c r="S1332" s="19" t="s">
        <v>115</v>
      </c>
      <c r="T1332" s="257">
        <f t="shared" si="47"/>
        <v>242</v>
      </c>
      <c r="U1332" s="257">
        <f t="shared" si="48"/>
        <v>48</v>
      </c>
      <c r="V1332">
        <v>1</v>
      </c>
      <c r="W1332">
        <v>1</v>
      </c>
    </row>
    <row r="1333" spans="1:23" ht="22.8" x14ac:dyDescent="0.3">
      <c r="A1333" s="129">
        <v>39967</v>
      </c>
      <c r="B1333" s="129">
        <v>39967</v>
      </c>
      <c r="C1333" s="6">
        <v>6</v>
      </c>
      <c r="D1333" s="6">
        <v>1</v>
      </c>
      <c r="E1333" s="19">
        <v>2009</v>
      </c>
      <c r="F1333" s="15" t="s">
        <v>22</v>
      </c>
      <c r="G1333" s="16" t="s">
        <v>6256</v>
      </c>
      <c r="H1333" s="9" t="s">
        <v>52</v>
      </c>
      <c r="I1333" s="17" t="s">
        <v>2320</v>
      </c>
      <c r="J1333" s="17" t="s">
        <v>2321</v>
      </c>
      <c r="K1333" s="23">
        <v>0</v>
      </c>
      <c r="L1333" s="234">
        <v>300</v>
      </c>
      <c r="M1333" s="23">
        <v>60</v>
      </c>
      <c r="N1333" s="23">
        <v>0</v>
      </c>
      <c r="O1333" s="23">
        <v>0</v>
      </c>
      <c r="P1333" s="23">
        <v>0</v>
      </c>
      <c r="Q1333" s="92">
        <v>0</v>
      </c>
      <c r="R1333" s="93">
        <f>(M1333*8738)/1000000</f>
        <v>0.52427999999999997</v>
      </c>
      <c r="S1333" s="19" t="s">
        <v>115</v>
      </c>
      <c r="T1333" s="257">
        <f t="shared" si="47"/>
        <v>300</v>
      </c>
      <c r="U1333" s="257">
        <f t="shared" si="48"/>
        <v>60</v>
      </c>
      <c r="V1333">
        <v>1</v>
      </c>
      <c r="W1333">
        <v>1</v>
      </c>
    </row>
    <row r="1334" spans="1:23" ht="34.200000000000003" x14ac:dyDescent="0.3">
      <c r="A1334" s="129">
        <v>39968</v>
      </c>
      <c r="B1334" s="129">
        <v>39968</v>
      </c>
      <c r="C1334" s="6">
        <v>6</v>
      </c>
      <c r="D1334" s="6">
        <v>1</v>
      </c>
      <c r="E1334" s="19">
        <v>2009</v>
      </c>
      <c r="F1334" s="15" t="s">
        <v>22</v>
      </c>
      <c r="G1334" s="16" t="s">
        <v>6256</v>
      </c>
      <c r="H1334" s="9" t="s">
        <v>78</v>
      </c>
      <c r="I1334" s="17" t="s">
        <v>688</v>
      </c>
      <c r="J1334" s="17" t="s">
        <v>2322</v>
      </c>
      <c r="K1334" s="23">
        <v>0</v>
      </c>
      <c r="L1334" s="234">
        <v>55</v>
      </c>
      <c r="M1334" s="23">
        <v>11</v>
      </c>
      <c r="N1334" s="23">
        <v>0</v>
      </c>
      <c r="O1334" s="23">
        <v>0</v>
      </c>
      <c r="P1334" s="23">
        <v>0</v>
      </c>
      <c r="Q1334" s="92">
        <v>0</v>
      </c>
      <c r="R1334" s="93">
        <f>(M1334*8738)/1000000</f>
        <v>9.6117999999999995E-2</v>
      </c>
      <c r="S1334" s="19" t="s">
        <v>115</v>
      </c>
      <c r="T1334" s="257">
        <f t="shared" si="47"/>
        <v>55</v>
      </c>
      <c r="U1334" s="257">
        <f t="shared" si="48"/>
        <v>11</v>
      </c>
      <c r="V1334">
        <v>1</v>
      </c>
      <c r="W1334">
        <v>1</v>
      </c>
    </row>
    <row r="1335" spans="1:23" ht="102.6" x14ac:dyDescent="0.3">
      <c r="A1335" s="129">
        <v>39973</v>
      </c>
      <c r="B1335" s="129">
        <v>39973</v>
      </c>
      <c r="C1335" s="6">
        <v>6</v>
      </c>
      <c r="D1335" s="6">
        <v>1</v>
      </c>
      <c r="E1335" s="19">
        <v>2009</v>
      </c>
      <c r="F1335" s="15" t="s">
        <v>22</v>
      </c>
      <c r="G1335" s="16" t="s">
        <v>6256</v>
      </c>
      <c r="H1335" s="9" t="s">
        <v>64</v>
      </c>
      <c r="I1335" s="17" t="s">
        <v>2323</v>
      </c>
      <c r="J1335" s="10" t="s">
        <v>2324</v>
      </c>
      <c r="K1335" s="23">
        <v>0</v>
      </c>
      <c r="L1335" s="234">
        <v>380</v>
      </c>
      <c r="M1335" s="23">
        <v>76</v>
      </c>
      <c r="N1335" s="23">
        <v>0</v>
      </c>
      <c r="O1335" s="23">
        <v>0</v>
      </c>
      <c r="P1335" s="23">
        <v>0</v>
      </c>
      <c r="Q1335" s="23">
        <v>0</v>
      </c>
      <c r="R1335" s="93">
        <f>(M1335*8738)/1000000</f>
        <v>0.66408800000000001</v>
      </c>
      <c r="S1335" s="19" t="s">
        <v>115</v>
      </c>
      <c r="T1335" s="257">
        <f t="shared" si="47"/>
        <v>380</v>
      </c>
      <c r="U1335" s="257">
        <f t="shared" si="48"/>
        <v>76</v>
      </c>
      <c r="V1335">
        <v>1</v>
      </c>
      <c r="W1335">
        <v>1</v>
      </c>
    </row>
    <row r="1336" spans="1:23" ht="34.200000000000003" x14ac:dyDescent="0.3">
      <c r="A1336" s="129">
        <v>39972</v>
      </c>
      <c r="B1336" s="129">
        <v>39972</v>
      </c>
      <c r="C1336" s="6">
        <v>6</v>
      </c>
      <c r="D1336" s="6">
        <v>1</v>
      </c>
      <c r="E1336" s="19">
        <v>2009</v>
      </c>
      <c r="F1336" s="15" t="s">
        <v>22</v>
      </c>
      <c r="G1336" s="16" t="s">
        <v>6256</v>
      </c>
      <c r="H1336" s="9" t="s">
        <v>37</v>
      </c>
      <c r="I1336" s="17" t="s">
        <v>2220</v>
      </c>
      <c r="J1336" s="17" t="s">
        <v>2325</v>
      </c>
      <c r="K1336" s="23">
        <v>0</v>
      </c>
      <c r="L1336" s="234">
        <v>0</v>
      </c>
      <c r="M1336" s="23">
        <v>0</v>
      </c>
      <c r="N1336" s="23">
        <v>0</v>
      </c>
      <c r="O1336" s="23">
        <v>0</v>
      </c>
      <c r="P1336" s="23">
        <v>0</v>
      </c>
      <c r="Q1336" s="23">
        <v>0</v>
      </c>
      <c r="R1336" s="93" t="s">
        <v>95</v>
      </c>
      <c r="S1336" s="19" t="s">
        <v>115</v>
      </c>
      <c r="T1336" s="257">
        <f t="shared" si="47"/>
        <v>0</v>
      </c>
      <c r="U1336" s="257">
        <f t="shared" si="48"/>
        <v>0</v>
      </c>
      <c r="V1336">
        <v>0</v>
      </c>
      <c r="W1336">
        <v>0</v>
      </c>
    </row>
    <row r="1337" spans="1:23" ht="91.2" x14ac:dyDescent="0.3">
      <c r="A1337" s="129">
        <v>39981</v>
      </c>
      <c r="B1337" s="129">
        <v>39981</v>
      </c>
      <c r="C1337" s="6">
        <v>6</v>
      </c>
      <c r="D1337" s="6">
        <v>1</v>
      </c>
      <c r="E1337" s="19">
        <v>2009</v>
      </c>
      <c r="F1337" s="15" t="s">
        <v>22</v>
      </c>
      <c r="G1337" s="16" t="s">
        <v>6256</v>
      </c>
      <c r="H1337" s="9" t="s">
        <v>52</v>
      </c>
      <c r="I1337" s="17" t="s">
        <v>2326</v>
      </c>
      <c r="J1337" s="10" t="s">
        <v>2327</v>
      </c>
      <c r="K1337" s="23">
        <v>0</v>
      </c>
      <c r="L1337" s="234">
        <v>35</v>
      </c>
      <c r="M1337" s="23">
        <v>7</v>
      </c>
      <c r="N1337" s="23">
        <v>0</v>
      </c>
      <c r="O1337" s="23">
        <v>0</v>
      </c>
      <c r="P1337" s="23">
        <v>0</v>
      </c>
      <c r="Q1337" s="23">
        <v>0</v>
      </c>
      <c r="R1337" s="93">
        <f>((M1337*8738)+(M1337*7500))/1000000</f>
        <v>0.113666</v>
      </c>
      <c r="S1337" s="19" t="s">
        <v>115</v>
      </c>
      <c r="T1337" s="257">
        <f t="shared" si="47"/>
        <v>35</v>
      </c>
      <c r="U1337" s="257">
        <f t="shared" si="48"/>
        <v>7</v>
      </c>
      <c r="V1337">
        <v>1</v>
      </c>
      <c r="W1337">
        <v>1</v>
      </c>
    </row>
    <row r="1338" spans="1:23" ht="45.6" x14ac:dyDescent="0.3">
      <c r="A1338" s="129">
        <v>39981</v>
      </c>
      <c r="B1338" s="129">
        <v>39981</v>
      </c>
      <c r="C1338" s="6">
        <v>6</v>
      </c>
      <c r="D1338" s="6">
        <v>1</v>
      </c>
      <c r="E1338" s="19">
        <v>2009</v>
      </c>
      <c r="F1338" s="15" t="s">
        <v>22</v>
      </c>
      <c r="G1338" s="16" t="s">
        <v>6256</v>
      </c>
      <c r="H1338" s="9" t="s">
        <v>84</v>
      </c>
      <c r="I1338" s="17" t="s">
        <v>84</v>
      </c>
      <c r="J1338" s="17" t="s">
        <v>2328</v>
      </c>
      <c r="K1338" s="23">
        <v>0</v>
      </c>
      <c r="L1338" s="234">
        <v>175</v>
      </c>
      <c r="M1338" s="23">
        <v>35</v>
      </c>
      <c r="N1338" s="23">
        <v>0</v>
      </c>
      <c r="O1338" s="23">
        <v>0</v>
      </c>
      <c r="P1338" s="23">
        <v>0</v>
      </c>
      <c r="Q1338" s="23">
        <v>0</v>
      </c>
      <c r="R1338" s="93">
        <f>(M1338*5120)/1000000</f>
        <v>0.1792</v>
      </c>
      <c r="S1338" s="19" t="s">
        <v>115</v>
      </c>
      <c r="T1338" s="257">
        <f t="shared" si="47"/>
        <v>175</v>
      </c>
      <c r="U1338" s="257">
        <f t="shared" si="48"/>
        <v>35</v>
      </c>
      <c r="V1338">
        <v>1</v>
      </c>
      <c r="W1338">
        <v>1</v>
      </c>
    </row>
    <row r="1339" spans="1:23" ht="79.8" x14ac:dyDescent="0.3">
      <c r="A1339" s="129">
        <v>39982</v>
      </c>
      <c r="B1339" s="129">
        <v>39982</v>
      </c>
      <c r="C1339" s="6">
        <v>6</v>
      </c>
      <c r="D1339" s="6">
        <v>1</v>
      </c>
      <c r="E1339" s="19">
        <v>2009</v>
      </c>
      <c r="F1339" s="15" t="s">
        <v>22</v>
      </c>
      <c r="G1339" s="16" t="s">
        <v>6256</v>
      </c>
      <c r="H1339" s="9" t="s">
        <v>43</v>
      </c>
      <c r="I1339" s="17" t="s">
        <v>917</v>
      </c>
      <c r="J1339" s="10" t="s">
        <v>2329</v>
      </c>
      <c r="K1339" s="23">
        <v>0</v>
      </c>
      <c r="L1339" s="234">
        <v>0</v>
      </c>
      <c r="M1339" s="23" t="s">
        <v>95</v>
      </c>
      <c r="N1339" s="23">
        <v>0</v>
      </c>
      <c r="O1339" s="23">
        <v>0</v>
      </c>
      <c r="P1339" s="23">
        <v>0</v>
      </c>
      <c r="Q1339" s="23">
        <v>0</v>
      </c>
      <c r="R1339" s="93" t="s">
        <v>95</v>
      </c>
      <c r="S1339" s="19" t="s">
        <v>115</v>
      </c>
      <c r="T1339" s="257">
        <f t="shared" si="47"/>
        <v>0</v>
      </c>
      <c r="U1339" s="257">
        <f t="shared" si="48"/>
        <v>0</v>
      </c>
      <c r="V1339">
        <v>0</v>
      </c>
      <c r="W1339">
        <v>0</v>
      </c>
    </row>
    <row r="1340" spans="1:23" ht="79.8" x14ac:dyDescent="0.3">
      <c r="A1340" s="129">
        <v>39982</v>
      </c>
      <c r="B1340" s="129">
        <v>39982</v>
      </c>
      <c r="C1340" s="6">
        <v>6</v>
      </c>
      <c r="D1340" s="6">
        <v>1</v>
      </c>
      <c r="E1340" s="19">
        <v>2009</v>
      </c>
      <c r="F1340" s="15" t="s">
        <v>22</v>
      </c>
      <c r="G1340" s="16" t="s">
        <v>6256</v>
      </c>
      <c r="H1340" s="9" t="s">
        <v>118</v>
      </c>
      <c r="I1340" s="17" t="s">
        <v>2330</v>
      </c>
      <c r="J1340" s="10" t="s">
        <v>2331</v>
      </c>
      <c r="K1340" s="23">
        <v>0</v>
      </c>
      <c r="L1340" s="234">
        <v>0</v>
      </c>
      <c r="M1340" s="23">
        <v>0</v>
      </c>
      <c r="N1340" s="23">
        <v>0</v>
      </c>
      <c r="O1340" s="23">
        <v>0</v>
      </c>
      <c r="P1340" s="23">
        <v>0</v>
      </c>
      <c r="Q1340" s="23">
        <v>0</v>
      </c>
      <c r="R1340" s="93" t="s">
        <v>95</v>
      </c>
      <c r="S1340" s="19" t="s">
        <v>115</v>
      </c>
      <c r="T1340" s="257">
        <f t="shared" si="47"/>
        <v>0</v>
      </c>
      <c r="U1340" s="257">
        <f t="shared" si="48"/>
        <v>0</v>
      </c>
      <c r="V1340">
        <v>0</v>
      </c>
      <c r="W1340">
        <v>0</v>
      </c>
    </row>
    <row r="1341" spans="1:23" ht="57" x14ac:dyDescent="0.3">
      <c r="A1341" s="129">
        <v>39982</v>
      </c>
      <c r="B1341" s="129">
        <v>39982</v>
      </c>
      <c r="C1341" s="6">
        <v>6</v>
      </c>
      <c r="D1341" s="6">
        <v>1</v>
      </c>
      <c r="E1341" s="19">
        <v>2009</v>
      </c>
      <c r="F1341" s="15" t="s">
        <v>22</v>
      </c>
      <c r="G1341" s="16" t="s">
        <v>6256</v>
      </c>
      <c r="H1341" s="9" t="s">
        <v>64</v>
      </c>
      <c r="I1341" s="17" t="s">
        <v>64</v>
      </c>
      <c r="J1341" s="10" t="s">
        <v>2332</v>
      </c>
      <c r="K1341" s="23">
        <v>1</v>
      </c>
      <c r="L1341" s="234">
        <v>76</v>
      </c>
      <c r="M1341" s="23">
        <v>15</v>
      </c>
      <c r="N1341" s="23">
        <v>0</v>
      </c>
      <c r="O1341" s="23">
        <v>0</v>
      </c>
      <c r="P1341" s="23">
        <v>0</v>
      </c>
      <c r="Q1341" s="23">
        <v>0</v>
      </c>
      <c r="R1341" s="93">
        <f>(M1341*5120)/1000000</f>
        <v>7.6799999999999993E-2</v>
      </c>
      <c r="S1341" s="19" t="s">
        <v>115</v>
      </c>
      <c r="T1341" s="257">
        <f t="shared" si="47"/>
        <v>77</v>
      </c>
      <c r="U1341" s="257">
        <f t="shared" si="48"/>
        <v>15</v>
      </c>
      <c r="V1341">
        <v>1</v>
      </c>
      <c r="W1341">
        <v>1</v>
      </c>
    </row>
    <row r="1342" spans="1:23" ht="79.8" x14ac:dyDescent="0.3">
      <c r="A1342" s="129">
        <v>39983</v>
      </c>
      <c r="B1342" s="129">
        <v>39983</v>
      </c>
      <c r="C1342" s="6">
        <v>6</v>
      </c>
      <c r="D1342" s="6">
        <v>1</v>
      </c>
      <c r="E1342" s="19">
        <v>2009</v>
      </c>
      <c r="F1342" s="15" t="s">
        <v>22</v>
      </c>
      <c r="G1342" s="16" t="s">
        <v>6256</v>
      </c>
      <c r="H1342" s="9" t="s">
        <v>37</v>
      </c>
      <c r="I1342" s="17" t="s">
        <v>1374</v>
      </c>
      <c r="J1342" s="17" t="s">
        <v>2333</v>
      </c>
      <c r="K1342" s="23">
        <v>0</v>
      </c>
      <c r="L1342" s="234">
        <v>0</v>
      </c>
      <c r="M1342" s="23">
        <v>2</v>
      </c>
      <c r="N1342" s="23">
        <v>0</v>
      </c>
      <c r="O1342" s="23">
        <v>0</v>
      </c>
      <c r="P1342" s="23">
        <v>0</v>
      </c>
      <c r="Q1342" s="23">
        <v>0</v>
      </c>
      <c r="R1342" s="93">
        <f>(M1342*8738)/1000000</f>
        <v>1.7475999999999998E-2</v>
      </c>
      <c r="S1342" s="19" t="s">
        <v>115</v>
      </c>
      <c r="T1342" s="257">
        <f t="shared" si="47"/>
        <v>0</v>
      </c>
      <c r="U1342" s="257">
        <f t="shared" si="48"/>
        <v>2</v>
      </c>
      <c r="V1342">
        <v>0</v>
      </c>
      <c r="W1342">
        <v>1</v>
      </c>
    </row>
    <row r="1343" spans="1:23" ht="79.8" x14ac:dyDescent="0.3">
      <c r="A1343" s="129">
        <v>39984</v>
      </c>
      <c r="B1343" s="129">
        <v>39984</v>
      </c>
      <c r="C1343" s="6">
        <v>6</v>
      </c>
      <c r="D1343" s="6">
        <v>1</v>
      </c>
      <c r="E1343" s="19">
        <v>2009</v>
      </c>
      <c r="F1343" s="15" t="s">
        <v>22</v>
      </c>
      <c r="G1343" s="16" t="s">
        <v>6256</v>
      </c>
      <c r="H1343" s="9" t="s">
        <v>46</v>
      </c>
      <c r="I1343" s="17" t="s">
        <v>2334</v>
      </c>
      <c r="J1343" s="17" t="s">
        <v>2335</v>
      </c>
      <c r="K1343" s="23">
        <v>0</v>
      </c>
      <c r="L1343" s="234">
        <v>264</v>
      </c>
      <c r="M1343" s="23">
        <v>66</v>
      </c>
      <c r="N1343" s="23">
        <v>0</v>
      </c>
      <c r="O1343" s="23">
        <v>0</v>
      </c>
      <c r="P1343" s="23">
        <v>0</v>
      </c>
      <c r="Q1343" s="23">
        <v>0</v>
      </c>
      <c r="R1343" s="93">
        <f>(M1343*5120)/1000000</f>
        <v>0.33792</v>
      </c>
      <c r="S1343" s="19" t="s">
        <v>115</v>
      </c>
      <c r="T1343" s="257">
        <f t="shared" si="47"/>
        <v>264</v>
      </c>
      <c r="U1343" s="257">
        <f t="shared" si="48"/>
        <v>66</v>
      </c>
      <c r="V1343">
        <v>1</v>
      </c>
      <c r="W1343">
        <v>1</v>
      </c>
    </row>
    <row r="1344" spans="1:23" ht="57" x14ac:dyDescent="0.3">
      <c r="A1344" s="129">
        <v>39984</v>
      </c>
      <c r="B1344" s="129">
        <v>39984</v>
      </c>
      <c r="C1344" s="6">
        <v>6</v>
      </c>
      <c r="D1344" s="6">
        <v>1</v>
      </c>
      <c r="E1344" s="19">
        <v>2009</v>
      </c>
      <c r="F1344" s="15" t="s">
        <v>22</v>
      </c>
      <c r="G1344" s="16" t="s">
        <v>6256</v>
      </c>
      <c r="H1344" s="9" t="s">
        <v>118</v>
      </c>
      <c r="I1344" s="17" t="s">
        <v>669</v>
      </c>
      <c r="J1344" s="17" t="s">
        <v>2336</v>
      </c>
      <c r="K1344" s="23">
        <v>0</v>
      </c>
      <c r="L1344" s="234">
        <v>6</v>
      </c>
      <c r="M1344" s="23">
        <v>0</v>
      </c>
      <c r="N1344" s="23">
        <v>0</v>
      </c>
      <c r="O1344" s="23">
        <v>0</v>
      </c>
      <c r="P1344" s="23">
        <v>0</v>
      </c>
      <c r="Q1344" s="23">
        <v>0</v>
      </c>
      <c r="R1344" s="93">
        <v>0</v>
      </c>
      <c r="S1344" s="19" t="s">
        <v>115</v>
      </c>
      <c r="T1344" s="257">
        <f t="shared" si="47"/>
        <v>6</v>
      </c>
      <c r="U1344" s="257">
        <f t="shared" si="48"/>
        <v>0</v>
      </c>
      <c r="V1344">
        <v>1</v>
      </c>
      <c r="W1344">
        <v>0</v>
      </c>
    </row>
    <row r="1345" spans="1:23" ht="148.19999999999999" x14ac:dyDescent="0.3">
      <c r="A1345" s="129">
        <v>39985</v>
      </c>
      <c r="B1345" s="129">
        <v>39985</v>
      </c>
      <c r="C1345" s="6">
        <v>6</v>
      </c>
      <c r="D1345" s="6">
        <v>1</v>
      </c>
      <c r="E1345" s="19">
        <v>2009</v>
      </c>
      <c r="F1345" s="15" t="s">
        <v>22</v>
      </c>
      <c r="G1345" s="16" t="s">
        <v>6256</v>
      </c>
      <c r="H1345" s="9" t="s">
        <v>34</v>
      </c>
      <c r="I1345" s="17" t="s">
        <v>669</v>
      </c>
      <c r="J1345" s="17" t="s">
        <v>2337</v>
      </c>
      <c r="K1345" s="23">
        <v>9</v>
      </c>
      <c r="L1345" s="234">
        <v>309</v>
      </c>
      <c r="M1345" s="23">
        <v>60</v>
      </c>
      <c r="N1345" s="23">
        <v>0</v>
      </c>
      <c r="O1345" s="23">
        <v>0</v>
      </c>
      <c r="P1345" s="23">
        <v>0</v>
      </c>
      <c r="Q1345" s="23">
        <v>0</v>
      </c>
      <c r="R1345" s="93">
        <f>((50*5120)+(8*27687)+(2*95904))/1000000</f>
        <v>0.66930400000000001</v>
      </c>
      <c r="S1345" s="19" t="s">
        <v>115</v>
      </c>
      <c r="T1345" s="257">
        <f t="shared" si="47"/>
        <v>318</v>
      </c>
      <c r="U1345" s="257">
        <f t="shared" si="48"/>
        <v>60</v>
      </c>
      <c r="V1345">
        <v>1</v>
      </c>
      <c r="W1345">
        <v>1</v>
      </c>
    </row>
    <row r="1346" spans="1:23" ht="102.6" x14ac:dyDescent="0.3">
      <c r="A1346" s="129">
        <v>39986</v>
      </c>
      <c r="B1346" s="129">
        <v>39986</v>
      </c>
      <c r="C1346" s="6">
        <v>6</v>
      </c>
      <c r="D1346" s="6">
        <v>1</v>
      </c>
      <c r="E1346" s="19">
        <v>2009</v>
      </c>
      <c r="F1346" s="15" t="s">
        <v>22</v>
      </c>
      <c r="G1346" s="16" t="s">
        <v>6254</v>
      </c>
      <c r="H1346" s="9" t="s">
        <v>52</v>
      </c>
      <c r="I1346" s="17" t="s">
        <v>1723</v>
      </c>
      <c r="J1346" s="17" t="s">
        <v>2338</v>
      </c>
      <c r="K1346" s="23">
        <v>0</v>
      </c>
      <c r="L1346" s="234">
        <f>((M1346*5))*1</f>
        <v>550</v>
      </c>
      <c r="M1346" s="23">
        <v>110</v>
      </c>
      <c r="N1346" s="23">
        <v>0</v>
      </c>
      <c r="O1346" s="23">
        <v>0</v>
      </c>
      <c r="P1346" s="23">
        <v>0</v>
      </c>
      <c r="Q1346" s="23">
        <v>0</v>
      </c>
      <c r="R1346" s="93">
        <f>((M1346*5120)+(M1346*7500))/1000000</f>
        <v>1.3882000000000001</v>
      </c>
      <c r="S1346" s="19" t="s">
        <v>115</v>
      </c>
      <c r="T1346" s="257">
        <f t="shared" si="47"/>
        <v>550</v>
      </c>
      <c r="U1346" s="257">
        <f t="shared" si="48"/>
        <v>110</v>
      </c>
      <c r="V1346">
        <v>1</v>
      </c>
      <c r="W1346">
        <v>1</v>
      </c>
    </row>
    <row r="1347" spans="1:23" ht="22.8" x14ac:dyDescent="0.3">
      <c r="A1347" s="129">
        <v>39732</v>
      </c>
      <c r="B1347" s="129">
        <v>39732</v>
      </c>
      <c r="C1347" s="6">
        <v>10</v>
      </c>
      <c r="D1347" s="6">
        <v>1</v>
      </c>
      <c r="E1347" s="19">
        <v>2008</v>
      </c>
      <c r="F1347" s="15" t="s">
        <v>22</v>
      </c>
      <c r="G1347" s="16" t="s">
        <v>6256</v>
      </c>
      <c r="H1347" s="9" t="s">
        <v>48</v>
      </c>
      <c r="I1347" s="17" t="s">
        <v>2339</v>
      </c>
      <c r="J1347" s="17" t="s">
        <v>2163</v>
      </c>
      <c r="K1347" s="23">
        <v>0</v>
      </c>
      <c r="L1347" s="234">
        <f>((M1347*5))*1</f>
        <v>1160</v>
      </c>
      <c r="M1347" s="23">
        <v>232</v>
      </c>
      <c r="N1347" s="23">
        <v>0</v>
      </c>
      <c r="O1347" s="23">
        <v>0</v>
      </c>
      <c r="P1347" s="23">
        <v>0</v>
      </c>
      <c r="Q1347" s="92">
        <v>0</v>
      </c>
      <c r="R1347" s="93">
        <v>1.0821400000000001</v>
      </c>
      <c r="S1347" s="19" t="s">
        <v>115</v>
      </c>
      <c r="T1347" s="257">
        <f t="shared" ref="T1347:T1410" si="49">SUM(K1347:L1347)</f>
        <v>1160</v>
      </c>
      <c r="U1347" s="257">
        <f t="shared" ref="U1347:U1410" si="50">SUM(M1347:P1347)</f>
        <v>232</v>
      </c>
      <c r="V1347">
        <v>1</v>
      </c>
      <c r="W1347">
        <v>1</v>
      </c>
    </row>
    <row r="1348" spans="1:23" ht="114" x14ac:dyDescent="0.3">
      <c r="A1348" s="129">
        <v>39988</v>
      </c>
      <c r="B1348" s="129">
        <v>39988</v>
      </c>
      <c r="C1348" s="6">
        <v>6</v>
      </c>
      <c r="D1348" s="6">
        <v>1</v>
      </c>
      <c r="E1348" s="19">
        <v>2009</v>
      </c>
      <c r="F1348" s="15" t="s">
        <v>22</v>
      </c>
      <c r="G1348" s="16" t="s">
        <v>6256</v>
      </c>
      <c r="H1348" s="9" t="s">
        <v>31</v>
      </c>
      <c r="I1348" s="17" t="s">
        <v>527</v>
      </c>
      <c r="J1348" s="17" t="s">
        <v>2340</v>
      </c>
      <c r="K1348" s="23">
        <v>1</v>
      </c>
      <c r="L1348" s="234">
        <v>631</v>
      </c>
      <c r="M1348" s="23">
        <v>126</v>
      </c>
      <c r="N1348" s="23">
        <v>0</v>
      </c>
      <c r="O1348" s="23">
        <v>0</v>
      </c>
      <c r="P1348" s="23">
        <v>0</v>
      </c>
      <c r="Q1348" s="92">
        <v>0</v>
      </c>
      <c r="R1348" s="93">
        <f>(M1348*5120)/1000000</f>
        <v>0.64512000000000003</v>
      </c>
      <c r="S1348" s="19" t="s">
        <v>115</v>
      </c>
      <c r="T1348" s="257">
        <f t="shared" si="49"/>
        <v>632</v>
      </c>
      <c r="U1348" s="257">
        <f t="shared" si="50"/>
        <v>126</v>
      </c>
      <c r="V1348">
        <v>1</v>
      </c>
      <c r="W1348">
        <v>1</v>
      </c>
    </row>
    <row r="1349" spans="1:23" ht="216.6" x14ac:dyDescent="0.3">
      <c r="A1349" s="129">
        <v>39992</v>
      </c>
      <c r="B1349" s="129">
        <v>39992</v>
      </c>
      <c r="C1349" s="6">
        <v>6</v>
      </c>
      <c r="D1349" s="6">
        <v>1</v>
      </c>
      <c r="E1349" s="19">
        <v>2009</v>
      </c>
      <c r="F1349" s="15" t="s">
        <v>22</v>
      </c>
      <c r="G1349" s="16" t="s">
        <v>6256</v>
      </c>
      <c r="H1349" s="9" t="s">
        <v>46</v>
      </c>
      <c r="I1349" s="17" t="s">
        <v>2334</v>
      </c>
      <c r="J1349" s="17" t="s">
        <v>2341</v>
      </c>
      <c r="K1349" s="23">
        <v>4</v>
      </c>
      <c r="L1349" s="234">
        <v>6</v>
      </c>
      <c r="M1349" s="23">
        <v>0</v>
      </c>
      <c r="N1349" s="23">
        <v>0</v>
      </c>
      <c r="O1349" s="23">
        <v>0</v>
      </c>
      <c r="P1349" s="23">
        <v>0</v>
      </c>
      <c r="Q1349" s="92">
        <v>0</v>
      </c>
      <c r="R1349" s="93">
        <v>0</v>
      </c>
      <c r="S1349" s="19" t="s">
        <v>115</v>
      </c>
      <c r="T1349" s="257">
        <f t="shared" si="49"/>
        <v>10</v>
      </c>
      <c r="U1349" s="257">
        <f t="shared" si="50"/>
        <v>0</v>
      </c>
      <c r="V1349">
        <v>1</v>
      </c>
      <c r="W1349">
        <v>0</v>
      </c>
    </row>
    <row r="1350" spans="1:23" ht="68.400000000000006" x14ac:dyDescent="0.3">
      <c r="A1350" s="129">
        <v>39994</v>
      </c>
      <c r="B1350" s="129">
        <v>39994</v>
      </c>
      <c r="C1350" s="6">
        <v>6</v>
      </c>
      <c r="D1350" s="6">
        <v>1</v>
      </c>
      <c r="E1350" s="19">
        <v>2009</v>
      </c>
      <c r="F1350" s="15" t="s">
        <v>22</v>
      </c>
      <c r="G1350" s="16" t="s">
        <v>6256</v>
      </c>
      <c r="H1350" s="9" t="s">
        <v>43</v>
      </c>
      <c r="I1350" s="17" t="s">
        <v>2342</v>
      </c>
      <c r="J1350" s="17" t="s">
        <v>2343</v>
      </c>
      <c r="K1350" s="23">
        <v>0</v>
      </c>
      <c r="L1350" s="234">
        <v>0</v>
      </c>
      <c r="M1350" s="23" t="s">
        <v>95</v>
      </c>
      <c r="N1350" s="23">
        <v>0</v>
      </c>
      <c r="O1350" s="23">
        <v>0</v>
      </c>
      <c r="P1350" s="23">
        <v>0</v>
      </c>
      <c r="Q1350" s="92">
        <v>0</v>
      </c>
      <c r="R1350" s="93" t="s">
        <v>95</v>
      </c>
      <c r="S1350" s="19" t="s">
        <v>115</v>
      </c>
      <c r="T1350" s="257">
        <f t="shared" si="49"/>
        <v>0</v>
      </c>
      <c r="U1350" s="257">
        <f t="shared" si="50"/>
        <v>0</v>
      </c>
      <c r="V1350">
        <v>0</v>
      </c>
      <c r="W1350">
        <v>0</v>
      </c>
    </row>
    <row r="1351" spans="1:23" ht="22.8" x14ac:dyDescent="0.3">
      <c r="A1351" s="129">
        <v>39994</v>
      </c>
      <c r="B1351" s="129">
        <v>39994</v>
      </c>
      <c r="C1351" s="6">
        <v>6</v>
      </c>
      <c r="D1351" s="6">
        <v>1</v>
      </c>
      <c r="E1351" s="19">
        <v>2009</v>
      </c>
      <c r="F1351" s="15" t="s">
        <v>22</v>
      </c>
      <c r="G1351" s="16" t="s">
        <v>6256</v>
      </c>
      <c r="H1351" s="9" t="s">
        <v>174</v>
      </c>
      <c r="I1351" s="17" t="s">
        <v>2344</v>
      </c>
      <c r="J1351" s="17" t="s">
        <v>2345</v>
      </c>
      <c r="K1351" s="23">
        <v>0</v>
      </c>
      <c r="L1351" s="234">
        <v>160</v>
      </c>
      <c r="M1351" s="23">
        <v>32</v>
      </c>
      <c r="N1351" s="23">
        <v>0</v>
      </c>
      <c r="O1351" s="23">
        <v>0</v>
      </c>
      <c r="P1351" s="23">
        <v>0</v>
      </c>
      <c r="Q1351" s="92">
        <v>0</v>
      </c>
      <c r="R1351" s="93">
        <f>(M1351*5120)/1000000</f>
        <v>0.16384000000000001</v>
      </c>
      <c r="S1351" s="19" t="s">
        <v>115</v>
      </c>
      <c r="T1351" s="257">
        <f t="shared" si="49"/>
        <v>160</v>
      </c>
      <c r="U1351" s="257">
        <f t="shared" si="50"/>
        <v>32</v>
      </c>
      <c r="V1351">
        <v>1</v>
      </c>
      <c r="W1351">
        <v>1</v>
      </c>
    </row>
    <row r="1352" spans="1:23" ht="45.6" x14ac:dyDescent="0.3">
      <c r="A1352" s="129">
        <v>39993</v>
      </c>
      <c r="B1352" s="129">
        <v>39993</v>
      </c>
      <c r="C1352" s="6">
        <v>6</v>
      </c>
      <c r="D1352" s="6">
        <v>1</v>
      </c>
      <c r="E1352" s="19">
        <v>2009</v>
      </c>
      <c r="F1352" s="15" t="s">
        <v>22</v>
      </c>
      <c r="G1352" s="16" t="s">
        <v>6256</v>
      </c>
      <c r="H1352" s="9" t="s">
        <v>61</v>
      </c>
      <c r="I1352" s="17" t="s">
        <v>2346</v>
      </c>
      <c r="J1352" s="17" t="s">
        <v>2347</v>
      </c>
      <c r="K1352" s="23">
        <v>0</v>
      </c>
      <c r="L1352" s="234">
        <v>2200</v>
      </c>
      <c r="M1352" s="23">
        <v>0</v>
      </c>
      <c r="N1352" s="23">
        <v>0</v>
      </c>
      <c r="O1352" s="23">
        <v>0</v>
      </c>
      <c r="P1352" s="23">
        <v>0</v>
      </c>
      <c r="Q1352" s="92">
        <v>0</v>
      </c>
      <c r="R1352" s="93">
        <v>1.139</v>
      </c>
      <c r="S1352" s="19" t="s">
        <v>149</v>
      </c>
      <c r="T1352" s="257">
        <f t="shared" si="49"/>
        <v>2200</v>
      </c>
      <c r="U1352" s="257">
        <f t="shared" si="50"/>
        <v>0</v>
      </c>
      <c r="V1352">
        <v>1</v>
      </c>
      <c r="W1352">
        <v>0</v>
      </c>
    </row>
    <row r="1353" spans="1:23" ht="148.19999999999999" x14ac:dyDescent="0.3">
      <c r="A1353" s="129">
        <v>39994</v>
      </c>
      <c r="B1353" s="129">
        <v>39994</v>
      </c>
      <c r="C1353" s="6">
        <v>6</v>
      </c>
      <c r="D1353" s="6">
        <v>1</v>
      </c>
      <c r="E1353" s="19">
        <v>2009</v>
      </c>
      <c r="F1353" s="15" t="s">
        <v>22</v>
      </c>
      <c r="G1353" s="16" t="s">
        <v>6256</v>
      </c>
      <c r="H1353" s="9" t="s">
        <v>61</v>
      </c>
      <c r="I1353" s="17" t="s">
        <v>2348</v>
      </c>
      <c r="J1353" s="17" t="s">
        <v>2349</v>
      </c>
      <c r="K1353" s="23">
        <v>1</v>
      </c>
      <c r="L1353" s="234">
        <v>5</v>
      </c>
      <c r="M1353" s="23">
        <v>0</v>
      </c>
      <c r="N1353" s="23">
        <v>0</v>
      </c>
      <c r="O1353" s="23">
        <v>0</v>
      </c>
      <c r="P1353" s="23">
        <v>0</v>
      </c>
      <c r="Q1353" s="92">
        <v>0</v>
      </c>
      <c r="R1353" s="93" t="s">
        <v>1678</v>
      </c>
      <c r="S1353" s="19" t="s">
        <v>115</v>
      </c>
      <c r="T1353" s="257">
        <f t="shared" si="49"/>
        <v>6</v>
      </c>
      <c r="U1353" s="257">
        <f t="shared" si="50"/>
        <v>0</v>
      </c>
      <c r="V1353">
        <v>1</v>
      </c>
      <c r="W1353">
        <v>0</v>
      </c>
    </row>
    <row r="1354" spans="1:23" ht="45.6" x14ac:dyDescent="0.3">
      <c r="A1354" s="129">
        <v>39994</v>
      </c>
      <c r="B1354" s="129">
        <v>39994</v>
      </c>
      <c r="C1354" s="6">
        <v>6</v>
      </c>
      <c r="D1354" s="6">
        <v>1</v>
      </c>
      <c r="E1354" s="19">
        <v>2009</v>
      </c>
      <c r="F1354" s="15" t="s">
        <v>22</v>
      </c>
      <c r="G1354" s="16" t="s">
        <v>6256</v>
      </c>
      <c r="H1354" s="9" t="s">
        <v>84</v>
      </c>
      <c r="I1354" s="17" t="s">
        <v>2350</v>
      </c>
      <c r="J1354" s="17" t="s">
        <v>2351</v>
      </c>
      <c r="K1354" s="23">
        <v>0</v>
      </c>
      <c r="L1354" s="234">
        <v>1300</v>
      </c>
      <c r="M1354" s="23">
        <v>260</v>
      </c>
      <c r="N1354" s="23">
        <v>0</v>
      </c>
      <c r="O1354" s="23">
        <v>0</v>
      </c>
      <c r="P1354" s="23">
        <v>0</v>
      </c>
      <c r="Q1354" s="92">
        <v>0</v>
      </c>
      <c r="R1354" s="93">
        <f>(M1354*5120)/1000000</f>
        <v>1.3311999999999999</v>
      </c>
      <c r="S1354" s="19" t="s">
        <v>115</v>
      </c>
      <c r="T1354" s="257">
        <f t="shared" si="49"/>
        <v>1300</v>
      </c>
      <c r="U1354" s="257">
        <f t="shared" si="50"/>
        <v>260</v>
      </c>
      <c r="V1354">
        <v>1</v>
      </c>
      <c r="W1354">
        <v>1</v>
      </c>
    </row>
    <row r="1355" spans="1:23" ht="57" x14ac:dyDescent="0.3">
      <c r="A1355" s="129">
        <v>39994</v>
      </c>
      <c r="B1355" s="129">
        <v>39994</v>
      </c>
      <c r="C1355" s="6">
        <v>6</v>
      </c>
      <c r="D1355" s="6">
        <v>1</v>
      </c>
      <c r="E1355" s="19">
        <v>2009</v>
      </c>
      <c r="F1355" s="15" t="s">
        <v>22</v>
      </c>
      <c r="G1355" s="16" t="s">
        <v>6256</v>
      </c>
      <c r="H1355" s="9" t="s">
        <v>84</v>
      </c>
      <c r="I1355" s="17" t="s">
        <v>2352</v>
      </c>
      <c r="J1355" s="17" t="s">
        <v>2353</v>
      </c>
      <c r="K1355" s="23">
        <v>0</v>
      </c>
      <c r="L1355" s="234">
        <v>8400</v>
      </c>
      <c r="M1355" s="23">
        <v>350</v>
      </c>
      <c r="N1355" s="23">
        <v>0</v>
      </c>
      <c r="O1355" s="23">
        <v>0</v>
      </c>
      <c r="P1355" s="23">
        <v>0</v>
      </c>
      <c r="Q1355" s="92">
        <v>0</v>
      </c>
      <c r="R1355" s="93">
        <f>((M1355*5120)/(1000000))+(5.938)</f>
        <v>7.7299999999999995</v>
      </c>
      <c r="S1355" s="19" t="s">
        <v>149</v>
      </c>
      <c r="T1355" s="257">
        <f t="shared" si="49"/>
        <v>8400</v>
      </c>
      <c r="U1355" s="257">
        <f t="shared" si="50"/>
        <v>350</v>
      </c>
      <c r="V1355">
        <v>1</v>
      </c>
      <c r="W1355">
        <v>1</v>
      </c>
    </row>
    <row r="1356" spans="1:23" ht="34.200000000000003" x14ac:dyDescent="0.3">
      <c r="A1356" s="129">
        <v>39995</v>
      </c>
      <c r="B1356" s="129">
        <v>39995</v>
      </c>
      <c r="C1356" s="6">
        <v>7</v>
      </c>
      <c r="D1356" s="6">
        <v>1</v>
      </c>
      <c r="E1356" s="19">
        <v>2009</v>
      </c>
      <c r="F1356" s="15" t="s">
        <v>22</v>
      </c>
      <c r="G1356" s="16" t="s">
        <v>6256</v>
      </c>
      <c r="H1356" s="9" t="s">
        <v>51</v>
      </c>
      <c r="I1356" s="17" t="s">
        <v>2354</v>
      </c>
      <c r="J1356" s="17" t="s">
        <v>2355</v>
      </c>
      <c r="K1356" s="23">
        <v>0</v>
      </c>
      <c r="L1356" s="234">
        <v>30</v>
      </c>
      <c r="M1356" s="23">
        <v>6</v>
      </c>
      <c r="N1356" s="23">
        <v>0</v>
      </c>
      <c r="O1356" s="23">
        <v>0</v>
      </c>
      <c r="P1356" s="23">
        <v>0</v>
      </c>
      <c r="Q1356" s="92">
        <v>0</v>
      </c>
      <c r="R1356" s="93">
        <f>(M1356*5120)/1000000</f>
        <v>3.0720000000000001E-2</v>
      </c>
      <c r="S1356" s="19" t="s">
        <v>115</v>
      </c>
      <c r="T1356" s="257">
        <f t="shared" si="49"/>
        <v>30</v>
      </c>
      <c r="U1356" s="257">
        <f t="shared" si="50"/>
        <v>6</v>
      </c>
      <c r="V1356">
        <v>1</v>
      </c>
      <c r="W1356">
        <v>1</v>
      </c>
    </row>
    <row r="1357" spans="1:23" ht="81" x14ac:dyDescent="0.3">
      <c r="A1357" s="129">
        <v>39996</v>
      </c>
      <c r="B1357" s="129">
        <v>39996</v>
      </c>
      <c r="C1357" s="6">
        <v>7</v>
      </c>
      <c r="D1357" s="6">
        <v>1</v>
      </c>
      <c r="E1357" s="19">
        <v>2009</v>
      </c>
      <c r="F1357" s="15" t="s">
        <v>22</v>
      </c>
      <c r="G1357" s="16" t="s">
        <v>6256</v>
      </c>
      <c r="H1357" s="9" t="s">
        <v>43</v>
      </c>
      <c r="I1357" s="17" t="s">
        <v>2356</v>
      </c>
      <c r="J1357" s="65" t="s">
        <v>2357</v>
      </c>
      <c r="K1357" s="23">
        <v>0</v>
      </c>
      <c r="L1357" s="234">
        <v>14</v>
      </c>
      <c r="M1357" s="23">
        <v>0</v>
      </c>
      <c r="N1357" s="23">
        <v>0</v>
      </c>
      <c r="O1357" s="23">
        <v>0</v>
      </c>
      <c r="P1357" s="23">
        <v>0</v>
      </c>
      <c r="Q1357" s="92">
        <v>0</v>
      </c>
      <c r="R1357" s="93">
        <v>0</v>
      </c>
      <c r="S1357" s="19" t="s">
        <v>115</v>
      </c>
      <c r="T1357" s="257">
        <f t="shared" si="49"/>
        <v>14</v>
      </c>
      <c r="U1357" s="257">
        <f t="shared" si="50"/>
        <v>0</v>
      </c>
      <c r="V1357">
        <v>1</v>
      </c>
      <c r="W1357">
        <v>0</v>
      </c>
    </row>
    <row r="1358" spans="1:23" ht="91.2" x14ac:dyDescent="0.3">
      <c r="A1358" s="129">
        <v>39997</v>
      </c>
      <c r="B1358" s="129">
        <v>39997</v>
      </c>
      <c r="C1358" s="6">
        <v>7</v>
      </c>
      <c r="D1358" s="6">
        <v>1</v>
      </c>
      <c r="E1358" s="19">
        <v>2009</v>
      </c>
      <c r="F1358" s="15" t="s">
        <v>22</v>
      </c>
      <c r="G1358" s="16" t="s">
        <v>6256</v>
      </c>
      <c r="H1358" s="9" t="s">
        <v>51</v>
      </c>
      <c r="I1358" s="17" t="s">
        <v>2358</v>
      </c>
      <c r="J1358" s="17" t="s">
        <v>2359</v>
      </c>
      <c r="K1358" s="23">
        <v>0</v>
      </c>
      <c r="L1358" s="234">
        <v>0</v>
      </c>
      <c r="M1358" s="23">
        <v>0</v>
      </c>
      <c r="N1358" s="23">
        <v>0</v>
      </c>
      <c r="O1358" s="23">
        <v>0</v>
      </c>
      <c r="P1358" s="23">
        <v>0</v>
      </c>
      <c r="Q1358" s="92">
        <v>0</v>
      </c>
      <c r="R1358" s="93" t="s">
        <v>2360</v>
      </c>
      <c r="S1358" s="19" t="s">
        <v>115</v>
      </c>
      <c r="T1358" s="257">
        <f t="shared" si="49"/>
        <v>0</v>
      </c>
      <c r="U1358" s="257">
        <f t="shared" si="50"/>
        <v>0</v>
      </c>
      <c r="V1358">
        <v>0</v>
      </c>
      <c r="W1358">
        <v>0</v>
      </c>
    </row>
    <row r="1359" spans="1:23" ht="91.2" x14ac:dyDescent="0.3">
      <c r="A1359" s="129">
        <v>39999</v>
      </c>
      <c r="B1359" s="129">
        <v>39999</v>
      </c>
      <c r="C1359" s="6">
        <v>7</v>
      </c>
      <c r="D1359" s="6">
        <v>1</v>
      </c>
      <c r="E1359" s="19">
        <v>2009</v>
      </c>
      <c r="F1359" s="15" t="s">
        <v>22</v>
      </c>
      <c r="G1359" s="16" t="s">
        <v>6256</v>
      </c>
      <c r="H1359" s="9" t="s">
        <v>51</v>
      </c>
      <c r="I1359" s="17" t="s">
        <v>271</v>
      </c>
      <c r="J1359" s="17" t="s">
        <v>2361</v>
      </c>
      <c r="K1359" s="23">
        <v>0</v>
      </c>
      <c r="L1359" s="234">
        <v>0</v>
      </c>
      <c r="M1359" s="23">
        <v>200</v>
      </c>
      <c r="N1359" s="23">
        <v>0</v>
      </c>
      <c r="O1359" s="23">
        <v>0</v>
      </c>
      <c r="P1359" s="23">
        <v>0</v>
      </c>
      <c r="Q1359" s="92">
        <v>0</v>
      </c>
      <c r="R1359" s="93">
        <f>(M1359*8738)/1000000</f>
        <v>1.7476</v>
      </c>
      <c r="S1359" s="19" t="s">
        <v>115</v>
      </c>
      <c r="T1359" s="257">
        <f t="shared" si="49"/>
        <v>0</v>
      </c>
      <c r="U1359" s="257">
        <f t="shared" si="50"/>
        <v>200</v>
      </c>
      <c r="V1359">
        <v>0</v>
      </c>
      <c r="W1359">
        <v>1</v>
      </c>
    </row>
    <row r="1360" spans="1:23" ht="114" x14ac:dyDescent="0.3">
      <c r="A1360" s="129">
        <v>40003</v>
      </c>
      <c r="B1360" s="129">
        <v>40003</v>
      </c>
      <c r="C1360" s="6">
        <v>7</v>
      </c>
      <c r="D1360" s="6">
        <v>1</v>
      </c>
      <c r="E1360" s="19">
        <v>2009</v>
      </c>
      <c r="F1360" s="15" t="s">
        <v>22</v>
      </c>
      <c r="G1360" s="16" t="s">
        <v>6256</v>
      </c>
      <c r="H1360" s="9" t="s">
        <v>61</v>
      </c>
      <c r="I1360" s="17" t="s">
        <v>2362</v>
      </c>
      <c r="J1360" s="17" t="s">
        <v>2363</v>
      </c>
      <c r="K1360" s="23">
        <v>0</v>
      </c>
      <c r="L1360" s="234">
        <v>22600</v>
      </c>
      <c r="M1360" s="23">
        <v>675</v>
      </c>
      <c r="N1360" s="23">
        <v>8</v>
      </c>
      <c r="O1360" s="23">
        <v>0</v>
      </c>
      <c r="P1360" s="23">
        <v>0</v>
      </c>
      <c r="Q1360" s="92"/>
      <c r="R1360" s="93">
        <f>((M1360*5120)/1000000)+(14.819)</f>
        <v>18.275000000000002</v>
      </c>
      <c r="S1360" s="19" t="s">
        <v>149</v>
      </c>
      <c r="T1360" s="257">
        <f t="shared" si="49"/>
        <v>22600</v>
      </c>
      <c r="U1360" s="257">
        <f t="shared" si="50"/>
        <v>683</v>
      </c>
      <c r="V1360">
        <v>2</v>
      </c>
      <c r="W1360">
        <v>1</v>
      </c>
    </row>
    <row r="1361" spans="1:23" ht="22.8" x14ac:dyDescent="0.3">
      <c r="A1361" s="129">
        <v>40004</v>
      </c>
      <c r="B1361" s="129">
        <v>40004</v>
      </c>
      <c r="C1361" s="6">
        <v>7</v>
      </c>
      <c r="D1361" s="6">
        <v>1</v>
      </c>
      <c r="E1361" s="19">
        <v>2009</v>
      </c>
      <c r="F1361" s="15" t="s">
        <v>22</v>
      </c>
      <c r="G1361" s="16" t="s">
        <v>6256</v>
      </c>
      <c r="H1361" s="9" t="s">
        <v>61</v>
      </c>
      <c r="I1361" s="17" t="s">
        <v>2364</v>
      </c>
      <c r="J1361" s="17" t="s">
        <v>2365</v>
      </c>
      <c r="K1361" s="23">
        <v>0</v>
      </c>
      <c r="L1361" s="234">
        <v>300</v>
      </c>
      <c r="M1361" s="23">
        <v>60</v>
      </c>
      <c r="N1361" s="23">
        <v>0</v>
      </c>
      <c r="O1361" s="23">
        <v>0</v>
      </c>
      <c r="P1361" s="23">
        <v>0</v>
      </c>
      <c r="Q1361" s="92">
        <v>0</v>
      </c>
      <c r="R1361" s="93">
        <f>(M1361*95904)/1000000</f>
        <v>5.7542400000000002</v>
      </c>
      <c r="S1361" s="19" t="s">
        <v>115</v>
      </c>
      <c r="T1361" s="257">
        <f t="shared" si="49"/>
        <v>300</v>
      </c>
      <c r="U1361" s="257">
        <f t="shared" si="50"/>
        <v>60</v>
      </c>
      <c r="V1361">
        <v>1</v>
      </c>
      <c r="W1361">
        <v>1</v>
      </c>
    </row>
    <row r="1362" spans="1:23" ht="22.8" x14ac:dyDescent="0.3">
      <c r="A1362" s="129">
        <v>40005</v>
      </c>
      <c r="B1362" s="129">
        <v>40005</v>
      </c>
      <c r="C1362" s="6">
        <v>7</v>
      </c>
      <c r="D1362" s="6">
        <v>1</v>
      </c>
      <c r="E1362" s="19">
        <v>2009</v>
      </c>
      <c r="F1362" s="15" t="s">
        <v>22</v>
      </c>
      <c r="G1362" s="16" t="s">
        <v>6256</v>
      </c>
      <c r="H1362" s="9" t="s">
        <v>174</v>
      </c>
      <c r="I1362" s="17" t="s">
        <v>2366</v>
      </c>
      <c r="J1362" s="17" t="s">
        <v>2367</v>
      </c>
      <c r="K1362" s="23">
        <v>0</v>
      </c>
      <c r="L1362" s="234">
        <v>60</v>
      </c>
      <c r="M1362" s="23">
        <v>12</v>
      </c>
      <c r="N1362" s="23">
        <v>0</v>
      </c>
      <c r="O1362" s="23">
        <v>0</v>
      </c>
      <c r="P1362" s="23">
        <v>0</v>
      </c>
      <c r="Q1362" s="92">
        <v>0</v>
      </c>
      <c r="R1362" s="93">
        <f>(M1362*8738)/1000000</f>
        <v>0.104856</v>
      </c>
      <c r="S1362" s="19" t="s">
        <v>115</v>
      </c>
      <c r="T1362" s="257">
        <f t="shared" si="49"/>
        <v>60</v>
      </c>
      <c r="U1362" s="257">
        <f t="shared" si="50"/>
        <v>12</v>
      </c>
      <c r="V1362">
        <v>1</v>
      </c>
      <c r="W1362">
        <v>1</v>
      </c>
    </row>
    <row r="1363" spans="1:23" ht="91.2" x14ac:dyDescent="0.3">
      <c r="A1363" s="225">
        <v>42048</v>
      </c>
      <c r="B1363" s="225">
        <v>42048</v>
      </c>
      <c r="C1363" s="6">
        <v>2</v>
      </c>
      <c r="D1363" s="6">
        <v>1</v>
      </c>
      <c r="E1363" s="54">
        <v>2015</v>
      </c>
      <c r="F1363" s="15" t="s">
        <v>22</v>
      </c>
      <c r="G1363" s="82" t="s">
        <v>6256</v>
      </c>
      <c r="H1363" s="9" t="s">
        <v>48</v>
      </c>
      <c r="I1363" s="70" t="s">
        <v>2368</v>
      </c>
      <c r="J1363" s="127" t="s">
        <v>2369</v>
      </c>
      <c r="K1363" s="124">
        <v>0</v>
      </c>
      <c r="L1363" s="246">
        <v>90</v>
      </c>
      <c r="M1363" s="72">
        <v>20</v>
      </c>
      <c r="N1363" s="72">
        <v>0</v>
      </c>
      <c r="O1363" s="72">
        <v>0</v>
      </c>
      <c r="P1363" s="72">
        <v>0</v>
      </c>
      <c r="Q1363" s="72">
        <v>0</v>
      </c>
      <c r="R1363" s="128">
        <v>0.94699999999999995</v>
      </c>
      <c r="S1363" s="125" t="s">
        <v>115</v>
      </c>
      <c r="T1363" s="257">
        <f t="shared" si="49"/>
        <v>90</v>
      </c>
      <c r="U1363" s="257">
        <f t="shared" si="50"/>
        <v>20</v>
      </c>
      <c r="V1363">
        <v>1</v>
      </c>
      <c r="W1363">
        <v>1</v>
      </c>
    </row>
    <row r="1364" spans="1:23" ht="34.200000000000003" x14ac:dyDescent="0.3">
      <c r="A1364" s="129">
        <v>40012</v>
      </c>
      <c r="B1364" s="129">
        <v>40012</v>
      </c>
      <c r="C1364" s="6">
        <v>7</v>
      </c>
      <c r="D1364" s="6">
        <v>1</v>
      </c>
      <c r="E1364" s="19">
        <v>2009</v>
      </c>
      <c r="F1364" s="15" t="s">
        <v>22</v>
      </c>
      <c r="G1364" s="16" t="s">
        <v>6256</v>
      </c>
      <c r="H1364" s="9" t="s">
        <v>74</v>
      </c>
      <c r="I1364" s="17" t="s">
        <v>2370</v>
      </c>
      <c r="J1364" s="17" t="s">
        <v>2371</v>
      </c>
      <c r="K1364" s="23">
        <v>0</v>
      </c>
      <c r="L1364" s="234">
        <v>40</v>
      </c>
      <c r="M1364" s="23">
        <v>8</v>
      </c>
      <c r="N1364" s="23">
        <v>0</v>
      </c>
      <c r="O1364" s="23">
        <v>0</v>
      </c>
      <c r="P1364" s="23">
        <v>0</v>
      </c>
      <c r="Q1364" s="92">
        <v>0</v>
      </c>
      <c r="R1364" s="93">
        <f>(M1364*8738)/1000000</f>
        <v>6.9903999999999994E-2</v>
      </c>
      <c r="S1364" s="19" t="s">
        <v>115</v>
      </c>
      <c r="T1364" s="257">
        <f t="shared" si="49"/>
        <v>40</v>
      </c>
      <c r="U1364" s="257">
        <f t="shared" si="50"/>
        <v>8</v>
      </c>
      <c r="V1364">
        <v>1</v>
      </c>
      <c r="W1364">
        <v>1</v>
      </c>
    </row>
    <row r="1365" spans="1:23" ht="22.8" x14ac:dyDescent="0.3">
      <c r="A1365" s="129">
        <v>40014</v>
      </c>
      <c r="B1365" s="129">
        <v>40014</v>
      </c>
      <c r="C1365" s="6">
        <v>7</v>
      </c>
      <c r="D1365" s="6">
        <v>1</v>
      </c>
      <c r="E1365" s="19">
        <v>2009</v>
      </c>
      <c r="F1365" s="15" t="s">
        <v>22</v>
      </c>
      <c r="G1365" s="16" t="s">
        <v>6256</v>
      </c>
      <c r="H1365" s="9" t="s">
        <v>43</v>
      </c>
      <c r="I1365" s="17" t="s">
        <v>917</v>
      </c>
      <c r="J1365" s="17" t="s">
        <v>2372</v>
      </c>
      <c r="K1365" s="23">
        <v>0</v>
      </c>
      <c r="L1365" s="234">
        <v>0</v>
      </c>
      <c r="M1365" s="23">
        <v>0</v>
      </c>
      <c r="N1365" s="23">
        <v>0</v>
      </c>
      <c r="O1365" s="23">
        <v>0</v>
      </c>
      <c r="P1365" s="23">
        <v>0</v>
      </c>
      <c r="Q1365" s="92">
        <v>6</v>
      </c>
      <c r="R1365" s="93">
        <f>((Q1365*2.2)*1850)/1000000</f>
        <v>2.4420000000000004E-2</v>
      </c>
      <c r="S1365" s="19" t="s">
        <v>115</v>
      </c>
      <c r="T1365" s="257">
        <f t="shared" si="49"/>
        <v>0</v>
      </c>
      <c r="U1365" s="257">
        <f t="shared" si="50"/>
        <v>0</v>
      </c>
      <c r="V1365">
        <v>0</v>
      </c>
      <c r="W1365">
        <v>0</v>
      </c>
    </row>
    <row r="1366" spans="1:23" ht="34.200000000000003" x14ac:dyDescent="0.3">
      <c r="A1366" s="129">
        <v>40014</v>
      </c>
      <c r="B1366" s="129">
        <v>40014</v>
      </c>
      <c r="C1366" s="6">
        <v>7</v>
      </c>
      <c r="D1366" s="6">
        <v>1</v>
      </c>
      <c r="E1366" s="19">
        <v>2009</v>
      </c>
      <c r="F1366" s="15" t="s">
        <v>22</v>
      </c>
      <c r="G1366" s="16" t="s">
        <v>6256</v>
      </c>
      <c r="H1366" s="9" t="s">
        <v>74</v>
      </c>
      <c r="I1366" s="17" t="s">
        <v>350</v>
      </c>
      <c r="J1366" s="17" t="s">
        <v>2373</v>
      </c>
      <c r="K1366" s="23">
        <v>0</v>
      </c>
      <c r="L1366" s="234">
        <v>15</v>
      </c>
      <c r="M1366" s="23">
        <v>3</v>
      </c>
      <c r="N1366" s="23">
        <v>0</v>
      </c>
      <c r="O1366" s="23">
        <v>0</v>
      </c>
      <c r="P1366" s="23">
        <v>0</v>
      </c>
      <c r="Q1366" s="92">
        <v>0</v>
      </c>
      <c r="R1366" s="93">
        <f>(M1366*8738)/1000000</f>
        <v>2.6214000000000001E-2</v>
      </c>
      <c r="S1366" s="19" t="s">
        <v>115</v>
      </c>
      <c r="T1366" s="257">
        <f t="shared" si="49"/>
        <v>15</v>
      </c>
      <c r="U1366" s="257">
        <f t="shared" si="50"/>
        <v>3</v>
      </c>
      <c r="V1366">
        <v>1</v>
      </c>
      <c r="W1366">
        <v>1</v>
      </c>
    </row>
    <row r="1367" spans="1:23" ht="22.8" x14ac:dyDescent="0.3">
      <c r="A1367" s="129">
        <v>40015</v>
      </c>
      <c r="B1367" s="129">
        <v>40015</v>
      </c>
      <c r="C1367" s="6">
        <v>7</v>
      </c>
      <c r="D1367" s="6">
        <v>1</v>
      </c>
      <c r="E1367" s="19">
        <v>2009</v>
      </c>
      <c r="F1367" s="15" t="s">
        <v>22</v>
      </c>
      <c r="G1367" s="16" t="s">
        <v>6256</v>
      </c>
      <c r="H1367" s="9" t="s">
        <v>51</v>
      </c>
      <c r="I1367" s="17" t="s">
        <v>841</v>
      </c>
      <c r="J1367" s="17" t="s">
        <v>2374</v>
      </c>
      <c r="K1367" s="23">
        <v>0</v>
      </c>
      <c r="L1367" s="234">
        <v>200</v>
      </c>
      <c r="M1367" s="23">
        <v>40</v>
      </c>
      <c r="N1367" s="23">
        <v>0</v>
      </c>
      <c r="O1367" s="23">
        <v>0</v>
      </c>
      <c r="P1367" s="23">
        <v>0</v>
      </c>
      <c r="Q1367" s="92">
        <v>0</v>
      </c>
      <c r="R1367" s="93">
        <f>(M1367*5120)/1000000</f>
        <v>0.20480000000000001</v>
      </c>
      <c r="S1367" s="19" t="s">
        <v>115</v>
      </c>
      <c r="T1367" s="257">
        <f t="shared" si="49"/>
        <v>200</v>
      </c>
      <c r="U1367" s="257">
        <f t="shared" si="50"/>
        <v>40</v>
      </c>
      <c r="V1367">
        <v>1</v>
      </c>
      <c r="W1367">
        <v>1</v>
      </c>
    </row>
    <row r="1368" spans="1:23" ht="45.6" x14ac:dyDescent="0.3">
      <c r="A1368" s="129">
        <v>40023</v>
      </c>
      <c r="B1368" s="129">
        <v>40023</v>
      </c>
      <c r="C1368" s="6">
        <v>7</v>
      </c>
      <c r="D1368" s="6">
        <v>1</v>
      </c>
      <c r="E1368" s="19">
        <v>2009</v>
      </c>
      <c r="F1368" s="15" t="s">
        <v>22</v>
      </c>
      <c r="G1368" s="16" t="s">
        <v>6256</v>
      </c>
      <c r="H1368" s="9" t="s">
        <v>61</v>
      </c>
      <c r="I1368" s="17" t="s">
        <v>2375</v>
      </c>
      <c r="J1368" s="17" t="s">
        <v>2376</v>
      </c>
      <c r="K1368" s="23">
        <v>0</v>
      </c>
      <c r="L1368" s="234">
        <v>1375</v>
      </c>
      <c r="M1368" s="23">
        <v>275</v>
      </c>
      <c r="N1368" s="23">
        <v>0</v>
      </c>
      <c r="O1368" s="23">
        <v>0</v>
      </c>
      <c r="P1368" s="23">
        <v>0</v>
      </c>
      <c r="Q1368" s="92">
        <v>0</v>
      </c>
      <c r="R1368" s="93">
        <f>(M1368*5120)/1000000</f>
        <v>1.4079999999999999</v>
      </c>
      <c r="S1368" s="19" t="s">
        <v>115</v>
      </c>
      <c r="T1368" s="257">
        <f t="shared" si="49"/>
        <v>1375</v>
      </c>
      <c r="U1368" s="257">
        <f t="shared" si="50"/>
        <v>275</v>
      </c>
      <c r="V1368">
        <v>1</v>
      </c>
      <c r="W1368">
        <v>1</v>
      </c>
    </row>
    <row r="1369" spans="1:23" ht="34.200000000000003" x14ac:dyDescent="0.3">
      <c r="A1369" s="129">
        <v>40025</v>
      </c>
      <c r="B1369" s="129">
        <v>40025</v>
      </c>
      <c r="C1369" s="6">
        <v>7</v>
      </c>
      <c r="D1369" s="6">
        <v>1</v>
      </c>
      <c r="E1369" s="19">
        <v>2009</v>
      </c>
      <c r="F1369" s="15" t="s">
        <v>22</v>
      </c>
      <c r="G1369" s="16" t="s">
        <v>6256</v>
      </c>
      <c r="H1369" s="9" t="s">
        <v>51</v>
      </c>
      <c r="I1369" s="17" t="s">
        <v>2377</v>
      </c>
      <c r="J1369" s="17" t="s">
        <v>2378</v>
      </c>
      <c r="K1369" s="23">
        <v>0</v>
      </c>
      <c r="L1369" s="234">
        <v>156</v>
      </c>
      <c r="M1369" s="23">
        <v>31</v>
      </c>
      <c r="N1369" s="23">
        <v>0</v>
      </c>
      <c r="O1369" s="23">
        <v>0</v>
      </c>
      <c r="P1369" s="23">
        <v>0</v>
      </c>
      <c r="Q1369" s="92">
        <v>0</v>
      </c>
      <c r="R1369" s="93">
        <f>(M1369*8738)/1000000</f>
        <v>0.27087800000000001</v>
      </c>
      <c r="S1369" s="19" t="s">
        <v>115</v>
      </c>
      <c r="T1369" s="257">
        <f t="shared" si="49"/>
        <v>156</v>
      </c>
      <c r="U1369" s="257">
        <f t="shared" si="50"/>
        <v>31</v>
      </c>
      <c r="V1369">
        <v>1</v>
      </c>
      <c r="W1369">
        <v>1</v>
      </c>
    </row>
    <row r="1370" spans="1:23" ht="45.6" x14ac:dyDescent="0.3">
      <c r="A1370" s="129">
        <v>40030</v>
      </c>
      <c r="B1370" s="129">
        <v>40030</v>
      </c>
      <c r="C1370" s="6">
        <v>8</v>
      </c>
      <c r="D1370" s="6">
        <v>1</v>
      </c>
      <c r="E1370" s="19">
        <v>2009</v>
      </c>
      <c r="F1370" s="15" t="s">
        <v>22</v>
      </c>
      <c r="G1370" s="16" t="s">
        <v>6256</v>
      </c>
      <c r="H1370" s="9" t="s">
        <v>43</v>
      </c>
      <c r="I1370" s="17" t="s">
        <v>305</v>
      </c>
      <c r="J1370" s="17" t="s">
        <v>2379</v>
      </c>
      <c r="K1370" s="23">
        <v>0</v>
      </c>
      <c r="L1370" s="234">
        <v>500</v>
      </c>
      <c r="M1370" s="23">
        <v>100</v>
      </c>
      <c r="N1370" s="23">
        <v>0</v>
      </c>
      <c r="O1370" s="23">
        <v>0</v>
      </c>
      <c r="P1370" s="23">
        <v>0</v>
      </c>
      <c r="Q1370" s="92">
        <v>0</v>
      </c>
      <c r="R1370" s="93">
        <f>((M1370*5120)+(M1370*7500))/1000000</f>
        <v>1.262</v>
      </c>
      <c r="S1370" s="19" t="s">
        <v>115</v>
      </c>
      <c r="T1370" s="257">
        <f t="shared" si="49"/>
        <v>500</v>
      </c>
      <c r="U1370" s="257">
        <f t="shared" si="50"/>
        <v>100</v>
      </c>
      <c r="V1370">
        <v>1</v>
      </c>
      <c r="W1370">
        <v>1</v>
      </c>
    </row>
    <row r="1371" spans="1:23" ht="34.200000000000003" x14ac:dyDescent="0.3">
      <c r="A1371" s="129">
        <v>40030</v>
      </c>
      <c r="B1371" s="129">
        <v>40030</v>
      </c>
      <c r="C1371" s="6">
        <v>8</v>
      </c>
      <c r="D1371" s="6">
        <v>1</v>
      </c>
      <c r="E1371" s="19">
        <v>2009</v>
      </c>
      <c r="F1371" s="15" t="s">
        <v>22</v>
      </c>
      <c r="G1371" s="16" t="s">
        <v>6256</v>
      </c>
      <c r="H1371" s="9" t="s">
        <v>174</v>
      </c>
      <c r="I1371" s="17" t="s">
        <v>2380</v>
      </c>
      <c r="J1371" s="17" t="s">
        <v>2381</v>
      </c>
      <c r="K1371" s="23">
        <v>0</v>
      </c>
      <c r="L1371" s="234">
        <v>250</v>
      </c>
      <c r="M1371" s="23">
        <v>50</v>
      </c>
      <c r="N1371" s="23">
        <v>0</v>
      </c>
      <c r="O1371" s="23">
        <v>0</v>
      </c>
      <c r="P1371" s="23">
        <v>0</v>
      </c>
      <c r="Q1371" s="92">
        <v>0</v>
      </c>
      <c r="R1371" s="93">
        <f>(M1371*5120)/1000000</f>
        <v>0.25600000000000001</v>
      </c>
      <c r="S1371" s="19" t="s">
        <v>115</v>
      </c>
      <c r="T1371" s="257">
        <f t="shared" si="49"/>
        <v>250</v>
      </c>
      <c r="U1371" s="257">
        <f t="shared" si="50"/>
        <v>50</v>
      </c>
      <c r="V1371">
        <v>1</v>
      </c>
      <c r="W1371">
        <v>1</v>
      </c>
    </row>
    <row r="1372" spans="1:23" ht="57" x14ac:dyDescent="0.3">
      <c r="A1372" s="129">
        <v>40033</v>
      </c>
      <c r="B1372" s="129">
        <v>40033</v>
      </c>
      <c r="C1372" s="6">
        <v>8</v>
      </c>
      <c r="D1372" s="6">
        <v>1</v>
      </c>
      <c r="E1372" s="19">
        <v>2009</v>
      </c>
      <c r="F1372" s="15" t="s">
        <v>22</v>
      </c>
      <c r="G1372" s="16" t="s">
        <v>6256</v>
      </c>
      <c r="H1372" s="9" t="s">
        <v>51</v>
      </c>
      <c r="I1372" s="17" t="s">
        <v>2382</v>
      </c>
      <c r="J1372" s="17" t="s">
        <v>2383</v>
      </c>
      <c r="K1372" s="23">
        <v>1</v>
      </c>
      <c r="L1372" s="234">
        <v>366</v>
      </c>
      <c r="M1372" s="23">
        <v>75</v>
      </c>
      <c r="N1372" s="23">
        <v>0</v>
      </c>
      <c r="O1372" s="23">
        <v>0</v>
      </c>
      <c r="P1372" s="23">
        <v>0</v>
      </c>
      <c r="Q1372" s="92">
        <v>0</v>
      </c>
      <c r="R1372" s="93">
        <f>((M1372*5120)+(M1372*7500))/1000000</f>
        <v>0.94650000000000001</v>
      </c>
      <c r="S1372" s="19" t="s">
        <v>115</v>
      </c>
      <c r="T1372" s="257">
        <f t="shared" si="49"/>
        <v>367</v>
      </c>
      <c r="U1372" s="257">
        <f t="shared" si="50"/>
        <v>75</v>
      </c>
      <c r="V1372">
        <v>1</v>
      </c>
      <c r="W1372">
        <v>1</v>
      </c>
    </row>
    <row r="1373" spans="1:23" ht="22.8" x14ac:dyDescent="0.3">
      <c r="A1373" s="129">
        <v>40033</v>
      </c>
      <c r="B1373" s="129">
        <v>40033</v>
      </c>
      <c r="C1373" s="6">
        <v>8</v>
      </c>
      <c r="D1373" s="6">
        <v>1</v>
      </c>
      <c r="E1373" s="19">
        <v>2009</v>
      </c>
      <c r="F1373" s="15" t="s">
        <v>22</v>
      </c>
      <c r="G1373" s="16" t="s">
        <v>6256</v>
      </c>
      <c r="H1373" s="9" t="s">
        <v>52</v>
      </c>
      <c r="I1373" s="17" t="s">
        <v>2384</v>
      </c>
      <c r="J1373" s="17" t="s">
        <v>2385</v>
      </c>
      <c r="K1373" s="23">
        <v>0</v>
      </c>
      <c r="L1373" s="234">
        <v>175</v>
      </c>
      <c r="M1373" s="23">
        <v>35</v>
      </c>
      <c r="N1373" s="23">
        <v>0</v>
      </c>
      <c r="O1373" s="23">
        <v>0</v>
      </c>
      <c r="P1373" s="23">
        <v>0</v>
      </c>
      <c r="Q1373" s="92">
        <v>0</v>
      </c>
      <c r="R1373" s="93">
        <f>(M1373*5120)/1000000</f>
        <v>0.1792</v>
      </c>
      <c r="S1373" s="19" t="s">
        <v>115</v>
      </c>
      <c r="T1373" s="257">
        <f t="shared" si="49"/>
        <v>175</v>
      </c>
      <c r="U1373" s="257">
        <f t="shared" si="50"/>
        <v>35</v>
      </c>
      <c r="V1373">
        <v>1</v>
      </c>
      <c r="W1373">
        <v>1</v>
      </c>
    </row>
    <row r="1374" spans="1:23" ht="22.8" x14ac:dyDescent="0.3">
      <c r="A1374" s="129">
        <v>40042</v>
      </c>
      <c r="B1374" s="129">
        <v>40042</v>
      </c>
      <c r="C1374" s="6">
        <v>8</v>
      </c>
      <c r="D1374" s="6">
        <v>1</v>
      </c>
      <c r="E1374" s="19">
        <v>2009</v>
      </c>
      <c r="F1374" s="15" t="s">
        <v>22</v>
      </c>
      <c r="G1374" s="16" t="s">
        <v>6256</v>
      </c>
      <c r="H1374" s="9" t="s">
        <v>64</v>
      </c>
      <c r="I1374" s="17" t="s">
        <v>1391</v>
      </c>
      <c r="J1374" s="17" t="s">
        <v>2386</v>
      </c>
      <c r="K1374" s="23">
        <v>0</v>
      </c>
      <c r="L1374" s="234">
        <v>120</v>
      </c>
      <c r="M1374" s="23">
        <v>24</v>
      </c>
      <c r="N1374" s="23">
        <v>0</v>
      </c>
      <c r="O1374" s="23">
        <v>0</v>
      </c>
      <c r="P1374" s="23">
        <v>0</v>
      </c>
      <c r="Q1374" s="92">
        <v>0</v>
      </c>
      <c r="R1374" s="93">
        <f>(M1374*8738)/1000000</f>
        <v>0.20971200000000001</v>
      </c>
      <c r="S1374" s="19" t="s">
        <v>115</v>
      </c>
      <c r="T1374" s="257">
        <f t="shared" si="49"/>
        <v>120</v>
      </c>
      <c r="U1374" s="257">
        <f t="shared" si="50"/>
        <v>24</v>
      </c>
      <c r="V1374">
        <v>1</v>
      </c>
      <c r="W1374">
        <v>1</v>
      </c>
    </row>
    <row r="1375" spans="1:23" ht="45.6" x14ac:dyDescent="0.3">
      <c r="A1375" s="129">
        <v>40046</v>
      </c>
      <c r="B1375" s="129">
        <v>40046</v>
      </c>
      <c r="C1375" s="6">
        <v>8</v>
      </c>
      <c r="D1375" s="6">
        <v>1</v>
      </c>
      <c r="E1375" s="19">
        <v>2009</v>
      </c>
      <c r="F1375" s="15" t="s">
        <v>22</v>
      </c>
      <c r="G1375" s="16" t="s">
        <v>6256</v>
      </c>
      <c r="H1375" s="9" t="s">
        <v>24</v>
      </c>
      <c r="I1375" s="17" t="s">
        <v>24</v>
      </c>
      <c r="J1375" s="17" t="s">
        <v>2387</v>
      </c>
      <c r="K1375" s="23">
        <v>1</v>
      </c>
      <c r="L1375" s="234">
        <v>133</v>
      </c>
      <c r="M1375" s="23">
        <v>25</v>
      </c>
      <c r="N1375" s="23">
        <v>0</v>
      </c>
      <c r="O1375" s="23">
        <v>0</v>
      </c>
      <c r="P1375" s="23">
        <v>0</v>
      </c>
      <c r="Q1375" s="92">
        <v>0</v>
      </c>
      <c r="R1375" s="93">
        <f>(M1375*5120)/1000000</f>
        <v>0.128</v>
      </c>
      <c r="S1375" s="19" t="s">
        <v>115</v>
      </c>
      <c r="T1375" s="257">
        <f t="shared" si="49"/>
        <v>134</v>
      </c>
      <c r="U1375" s="257">
        <f t="shared" si="50"/>
        <v>25</v>
      </c>
      <c r="V1375">
        <v>1</v>
      </c>
      <c r="W1375">
        <v>1</v>
      </c>
    </row>
    <row r="1376" spans="1:23" ht="34.200000000000003" x14ac:dyDescent="0.3">
      <c r="A1376" s="129">
        <v>40048</v>
      </c>
      <c r="B1376" s="129">
        <v>40048</v>
      </c>
      <c r="C1376" s="6">
        <v>8</v>
      </c>
      <c r="D1376" s="6">
        <v>1</v>
      </c>
      <c r="E1376" s="19">
        <v>2009</v>
      </c>
      <c r="F1376" s="15" t="s">
        <v>22</v>
      </c>
      <c r="G1376" s="16" t="s">
        <v>6256</v>
      </c>
      <c r="H1376" s="9" t="s">
        <v>72</v>
      </c>
      <c r="I1376" s="17" t="s">
        <v>1143</v>
      </c>
      <c r="J1376" s="17" t="s">
        <v>2388</v>
      </c>
      <c r="K1376" s="23">
        <v>1</v>
      </c>
      <c r="L1376" s="234">
        <v>1</v>
      </c>
      <c r="M1376" s="23">
        <v>0</v>
      </c>
      <c r="N1376" s="23">
        <v>0</v>
      </c>
      <c r="O1376" s="23">
        <v>0</v>
      </c>
      <c r="P1376" s="23">
        <v>0</v>
      </c>
      <c r="Q1376" s="92">
        <v>0</v>
      </c>
      <c r="R1376" s="93">
        <v>0</v>
      </c>
      <c r="S1376" s="19" t="s">
        <v>115</v>
      </c>
      <c r="T1376" s="257">
        <f t="shared" si="49"/>
        <v>2</v>
      </c>
      <c r="U1376" s="257">
        <f t="shared" si="50"/>
        <v>0</v>
      </c>
      <c r="V1376">
        <v>1</v>
      </c>
      <c r="W1376">
        <v>0</v>
      </c>
    </row>
    <row r="1377" spans="1:23" ht="22.8" x14ac:dyDescent="0.3">
      <c r="A1377" s="129">
        <v>40048</v>
      </c>
      <c r="B1377" s="129">
        <v>40048</v>
      </c>
      <c r="C1377" s="6">
        <v>8</v>
      </c>
      <c r="D1377" s="6">
        <v>1</v>
      </c>
      <c r="E1377" s="19">
        <v>2009</v>
      </c>
      <c r="F1377" s="15" t="s">
        <v>22</v>
      </c>
      <c r="G1377" s="16" t="s">
        <v>6256</v>
      </c>
      <c r="H1377" s="9" t="s">
        <v>56</v>
      </c>
      <c r="I1377" s="17" t="s">
        <v>1385</v>
      </c>
      <c r="J1377" s="17" t="s">
        <v>2389</v>
      </c>
      <c r="K1377" s="23">
        <v>0</v>
      </c>
      <c r="L1377" s="234">
        <v>255</v>
      </c>
      <c r="M1377" s="23">
        <v>51</v>
      </c>
      <c r="N1377" s="23">
        <v>0</v>
      </c>
      <c r="O1377" s="23">
        <v>0</v>
      </c>
      <c r="P1377" s="23">
        <v>0</v>
      </c>
      <c r="Q1377" s="92">
        <v>0</v>
      </c>
      <c r="R1377" s="93">
        <f>(M1377*5120)/1000000</f>
        <v>0.26112000000000002</v>
      </c>
      <c r="S1377" s="19" t="s">
        <v>115</v>
      </c>
      <c r="T1377" s="257">
        <f t="shared" si="49"/>
        <v>255</v>
      </c>
      <c r="U1377" s="257">
        <f t="shared" si="50"/>
        <v>51</v>
      </c>
      <c r="V1377">
        <v>1</v>
      </c>
      <c r="W1377">
        <v>1</v>
      </c>
    </row>
    <row r="1378" spans="1:23" ht="22.8" x14ac:dyDescent="0.3">
      <c r="A1378" s="129">
        <v>40051</v>
      </c>
      <c r="B1378" s="129">
        <v>40051</v>
      </c>
      <c r="C1378" s="6">
        <v>8</v>
      </c>
      <c r="D1378" s="6">
        <v>1</v>
      </c>
      <c r="E1378" s="19">
        <v>2009</v>
      </c>
      <c r="F1378" s="15" t="s">
        <v>22</v>
      </c>
      <c r="G1378" s="16" t="s">
        <v>6256</v>
      </c>
      <c r="H1378" s="9" t="s">
        <v>118</v>
      </c>
      <c r="I1378" s="17" t="s">
        <v>2390</v>
      </c>
      <c r="J1378" s="17" t="s">
        <v>2391</v>
      </c>
      <c r="K1378" s="23">
        <v>0</v>
      </c>
      <c r="L1378" s="234">
        <v>50</v>
      </c>
      <c r="M1378" s="23">
        <v>10</v>
      </c>
      <c r="N1378" s="23">
        <v>0</v>
      </c>
      <c r="O1378" s="23">
        <v>0</v>
      </c>
      <c r="P1378" s="23">
        <v>0</v>
      </c>
      <c r="Q1378" s="92">
        <v>0</v>
      </c>
      <c r="R1378" s="93">
        <f>(M1378*5120)/1000000</f>
        <v>5.1200000000000002E-2</v>
      </c>
      <c r="S1378" s="19" t="s">
        <v>115</v>
      </c>
      <c r="T1378" s="257">
        <f t="shared" si="49"/>
        <v>50</v>
      </c>
      <c r="U1378" s="257">
        <f t="shared" si="50"/>
        <v>10</v>
      </c>
      <c r="V1378">
        <v>1</v>
      </c>
      <c r="W1378">
        <v>1</v>
      </c>
    </row>
    <row r="1379" spans="1:23" ht="22.8" x14ac:dyDescent="0.3">
      <c r="A1379" s="129">
        <v>40055</v>
      </c>
      <c r="B1379" s="129">
        <v>40055</v>
      </c>
      <c r="C1379" s="6">
        <v>8</v>
      </c>
      <c r="D1379" s="6">
        <v>1</v>
      </c>
      <c r="E1379" s="19">
        <v>2009</v>
      </c>
      <c r="F1379" s="15" t="s">
        <v>22</v>
      </c>
      <c r="G1379" s="16" t="s">
        <v>6256</v>
      </c>
      <c r="H1379" s="9" t="s">
        <v>174</v>
      </c>
      <c r="I1379" s="17" t="s">
        <v>2392</v>
      </c>
      <c r="J1379" s="17" t="s">
        <v>2393</v>
      </c>
      <c r="K1379" s="23">
        <v>0</v>
      </c>
      <c r="L1379" s="234">
        <v>110</v>
      </c>
      <c r="M1379" s="23">
        <v>22</v>
      </c>
      <c r="N1379" s="23">
        <v>0</v>
      </c>
      <c r="O1379" s="23">
        <v>0</v>
      </c>
      <c r="P1379" s="23">
        <v>0</v>
      </c>
      <c r="Q1379" s="92">
        <v>0</v>
      </c>
      <c r="R1379" s="93">
        <f>(M1379*5120)/1000000</f>
        <v>0.11264</v>
      </c>
      <c r="S1379" s="19" t="s">
        <v>115</v>
      </c>
      <c r="T1379" s="257">
        <f t="shared" si="49"/>
        <v>110</v>
      </c>
      <c r="U1379" s="257">
        <f t="shared" si="50"/>
        <v>22</v>
      </c>
      <c r="V1379">
        <v>1</v>
      </c>
      <c r="W1379">
        <v>1</v>
      </c>
    </row>
    <row r="1380" spans="1:23" ht="22.8" x14ac:dyDescent="0.3">
      <c r="A1380" s="129">
        <v>40056</v>
      </c>
      <c r="B1380" s="129">
        <v>40056</v>
      </c>
      <c r="C1380" s="6">
        <v>8</v>
      </c>
      <c r="D1380" s="6">
        <v>1</v>
      </c>
      <c r="E1380" s="19">
        <v>2009</v>
      </c>
      <c r="F1380" s="15" t="s">
        <v>22</v>
      </c>
      <c r="G1380" s="16" t="s">
        <v>6256</v>
      </c>
      <c r="H1380" s="9" t="s">
        <v>174</v>
      </c>
      <c r="I1380" s="17" t="s">
        <v>2394</v>
      </c>
      <c r="J1380" s="17" t="s">
        <v>2395</v>
      </c>
      <c r="K1380" s="23">
        <v>0</v>
      </c>
      <c r="L1380" s="234">
        <v>250</v>
      </c>
      <c r="M1380" s="23">
        <v>50</v>
      </c>
      <c r="N1380" s="23">
        <v>0</v>
      </c>
      <c r="O1380" s="23">
        <v>0</v>
      </c>
      <c r="P1380" s="23">
        <v>0</v>
      </c>
      <c r="Q1380" s="92">
        <v>0</v>
      </c>
      <c r="R1380" s="93">
        <f>(M1380*5120)/1000000</f>
        <v>0.25600000000000001</v>
      </c>
      <c r="S1380" s="19" t="s">
        <v>115</v>
      </c>
      <c r="T1380" s="257">
        <f t="shared" si="49"/>
        <v>250</v>
      </c>
      <c r="U1380" s="257">
        <f t="shared" si="50"/>
        <v>50</v>
      </c>
      <c r="V1380">
        <v>1</v>
      </c>
      <c r="W1380">
        <v>1</v>
      </c>
    </row>
    <row r="1381" spans="1:23" ht="45.6" x14ac:dyDescent="0.3">
      <c r="A1381" s="129">
        <v>40057</v>
      </c>
      <c r="B1381" s="129">
        <v>40057</v>
      </c>
      <c r="C1381" s="6">
        <v>9</v>
      </c>
      <c r="D1381" s="6">
        <v>1</v>
      </c>
      <c r="E1381" s="19">
        <v>2009</v>
      </c>
      <c r="F1381" s="15" t="s">
        <v>22</v>
      </c>
      <c r="G1381" s="16" t="s">
        <v>6254</v>
      </c>
      <c r="H1381" s="9" t="s">
        <v>28</v>
      </c>
      <c r="I1381" s="17" t="s">
        <v>2396</v>
      </c>
      <c r="J1381" s="17" t="s">
        <v>2397</v>
      </c>
      <c r="K1381" s="23">
        <v>1</v>
      </c>
      <c r="L1381" s="234">
        <v>17505</v>
      </c>
      <c r="M1381" s="23">
        <v>3501</v>
      </c>
      <c r="N1381" s="23">
        <v>153</v>
      </c>
      <c r="O1381" s="23">
        <v>7</v>
      </c>
      <c r="P1381" s="23">
        <v>833</v>
      </c>
      <c r="Q1381" s="13">
        <v>0</v>
      </c>
      <c r="R1381" s="93">
        <v>1333</v>
      </c>
      <c r="S1381" s="19" t="s">
        <v>21</v>
      </c>
      <c r="T1381" s="257">
        <f t="shared" si="49"/>
        <v>17506</v>
      </c>
      <c r="U1381" s="257">
        <f t="shared" si="50"/>
        <v>4494</v>
      </c>
      <c r="V1381">
        <v>2</v>
      </c>
      <c r="W1381">
        <v>2</v>
      </c>
    </row>
    <row r="1382" spans="1:23" ht="68.400000000000006" x14ac:dyDescent="0.3">
      <c r="A1382" s="129">
        <v>40059</v>
      </c>
      <c r="B1382" s="129">
        <v>40059</v>
      </c>
      <c r="C1382" s="6">
        <v>9</v>
      </c>
      <c r="D1382" s="6">
        <v>1</v>
      </c>
      <c r="E1382" s="19">
        <v>2009</v>
      </c>
      <c r="F1382" s="15" t="s">
        <v>22</v>
      </c>
      <c r="G1382" s="16" t="s">
        <v>6254</v>
      </c>
      <c r="H1382" s="9" t="s">
        <v>74</v>
      </c>
      <c r="I1382" s="17" t="s">
        <v>2398</v>
      </c>
      <c r="J1382" s="17" t="s">
        <v>2399</v>
      </c>
      <c r="K1382" s="23">
        <v>0</v>
      </c>
      <c r="L1382" s="234">
        <f>((M1382*5))*1</f>
        <v>17585</v>
      </c>
      <c r="M1382" s="23">
        <v>3517</v>
      </c>
      <c r="N1382" s="23">
        <v>36</v>
      </c>
      <c r="O1382" s="23">
        <v>0</v>
      </c>
      <c r="P1382" s="23">
        <v>86</v>
      </c>
      <c r="Q1382" s="92">
        <v>2042</v>
      </c>
      <c r="R1382" s="93">
        <v>979.2</v>
      </c>
      <c r="S1382" s="19" t="s">
        <v>21</v>
      </c>
      <c r="T1382" s="257">
        <f t="shared" si="49"/>
        <v>17585</v>
      </c>
      <c r="U1382" s="257">
        <f t="shared" si="50"/>
        <v>3639</v>
      </c>
      <c r="V1382">
        <v>2</v>
      </c>
      <c r="W1382">
        <v>2</v>
      </c>
    </row>
    <row r="1383" spans="1:23" ht="68.400000000000006" x14ac:dyDescent="0.3">
      <c r="A1383" s="129">
        <v>40062</v>
      </c>
      <c r="B1383" s="129">
        <v>40062</v>
      </c>
      <c r="C1383" s="6">
        <v>9</v>
      </c>
      <c r="D1383" s="6">
        <v>1</v>
      </c>
      <c r="E1383" s="19">
        <v>2009</v>
      </c>
      <c r="F1383" s="15" t="s">
        <v>22</v>
      </c>
      <c r="G1383" s="16" t="s">
        <v>6256</v>
      </c>
      <c r="H1383" s="9" t="s">
        <v>43</v>
      </c>
      <c r="I1383" s="17" t="s">
        <v>2400</v>
      </c>
      <c r="J1383" s="17" t="s">
        <v>2401</v>
      </c>
      <c r="K1383" s="23">
        <v>2</v>
      </c>
      <c r="L1383" s="234">
        <v>11825</v>
      </c>
      <c r="M1383" s="23">
        <v>2365</v>
      </c>
      <c r="N1383" s="23">
        <v>12</v>
      </c>
      <c r="O1383" s="23">
        <v>1</v>
      </c>
      <c r="P1383" s="23">
        <v>238</v>
      </c>
      <c r="Q1383" s="92">
        <v>0</v>
      </c>
      <c r="R1383" s="93">
        <v>396.78</v>
      </c>
      <c r="S1383" s="19" t="s">
        <v>21</v>
      </c>
      <c r="T1383" s="257">
        <f t="shared" si="49"/>
        <v>11827</v>
      </c>
      <c r="U1383" s="257">
        <f t="shared" si="50"/>
        <v>2616</v>
      </c>
      <c r="V1383">
        <v>2</v>
      </c>
      <c r="W1383">
        <v>2</v>
      </c>
    </row>
    <row r="1384" spans="1:23" ht="34.200000000000003" x14ac:dyDescent="0.3">
      <c r="A1384" s="129">
        <v>40062</v>
      </c>
      <c r="B1384" s="129">
        <v>40062</v>
      </c>
      <c r="C1384" s="6">
        <v>9</v>
      </c>
      <c r="D1384" s="6">
        <v>1</v>
      </c>
      <c r="E1384" s="19">
        <v>2009</v>
      </c>
      <c r="F1384" s="15" t="s">
        <v>22</v>
      </c>
      <c r="G1384" s="16" t="s">
        <v>6256</v>
      </c>
      <c r="H1384" s="9" t="s">
        <v>118</v>
      </c>
      <c r="I1384" s="17" t="s">
        <v>1293</v>
      </c>
      <c r="J1384" s="17" t="s">
        <v>2402</v>
      </c>
      <c r="K1384" s="23" t="s">
        <v>95</v>
      </c>
      <c r="L1384" s="234" t="s">
        <v>95</v>
      </c>
      <c r="M1384" s="23" t="s">
        <v>95</v>
      </c>
      <c r="N1384" s="23" t="s">
        <v>95</v>
      </c>
      <c r="O1384" s="23" t="s">
        <v>95</v>
      </c>
      <c r="P1384" s="23">
        <v>0</v>
      </c>
      <c r="Q1384" s="92"/>
      <c r="R1384" s="93" t="s">
        <v>95</v>
      </c>
      <c r="S1384" s="19" t="s">
        <v>115</v>
      </c>
      <c r="T1384" s="257">
        <f t="shared" si="49"/>
        <v>0</v>
      </c>
      <c r="U1384" s="257">
        <f t="shared" si="50"/>
        <v>0</v>
      </c>
      <c r="V1384">
        <v>0</v>
      </c>
      <c r="W1384">
        <v>0</v>
      </c>
    </row>
    <row r="1385" spans="1:23" ht="22.8" x14ac:dyDescent="0.3">
      <c r="A1385" s="129">
        <v>40062</v>
      </c>
      <c r="B1385" s="129">
        <v>40062</v>
      </c>
      <c r="C1385" s="6">
        <v>9</v>
      </c>
      <c r="D1385" s="6">
        <v>1</v>
      </c>
      <c r="E1385" s="19">
        <v>2009</v>
      </c>
      <c r="F1385" s="15" t="s">
        <v>22</v>
      </c>
      <c r="G1385" s="16" t="s">
        <v>6256</v>
      </c>
      <c r="H1385" s="9" t="s">
        <v>174</v>
      </c>
      <c r="I1385" s="17" t="s">
        <v>2403</v>
      </c>
      <c r="J1385" s="17" t="s">
        <v>2404</v>
      </c>
      <c r="K1385" s="23">
        <v>0</v>
      </c>
      <c r="L1385" s="234">
        <v>855</v>
      </c>
      <c r="M1385" s="23">
        <v>171</v>
      </c>
      <c r="N1385" s="23">
        <v>0</v>
      </c>
      <c r="O1385" s="23">
        <v>0</v>
      </c>
      <c r="P1385" s="23">
        <v>0</v>
      </c>
      <c r="Q1385" s="92">
        <v>0</v>
      </c>
      <c r="R1385" s="93">
        <f>(M1385*5120)/1000000</f>
        <v>0.87551999999999996</v>
      </c>
      <c r="S1385" s="19" t="s">
        <v>115</v>
      </c>
      <c r="T1385" s="257">
        <f t="shared" si="49"/>
        <v>855</v>
      </c>
      <c r="U1385" s="257">
        <f t="shared" si="50"/>
        <v>171</v>
      </c>
      <c r="V1385">
        <v>1</v>
      </c>
      <c r="W1385">
        <v>1</v>
      </c>
    </row>
    <row r="1386" spans="1:23" ht="114" x14ac:dyDescent="0.3">
      <c r="A1386" s="129">
        <v>40064</v>
      </c>
      <c r="B1386" s="129">
        <v>40064</v>
      </c>
      <c r="C1386" s="6">
        <v>9</v>
      </c>
      <c r="D1386" s="6">
        <v>1</v>
      </c>
      <c r="E1386" s="19">
        <v>2009</v>
      </c>
      <c r="F1386" s="15" t="s">
        <v>22</v>
      </c>
      <c r="G1386" s="16" t="s">
        <v>6256</v>
      </c>
      <c r="H1386" s="9" t="s">
        <v>174</v>
      </c>
      <c r="I1386" s="17" t="s">
        <v>2405</v>
      </c>
      <c r="J1386" s="17" t="s">
        <v>2406</v>
      </c>
      <c r="K1386" s="23">
        <v>2</v>
      </c>
      <c r="L1386" s="234">
        <f>((M1386*5))*1</f>
        <v>17385</v>
      </c>
      <c r="M1386" s="23">
        <v>3477</v>
      </c>
      <c r="N1386" s="23">
        <v>0</v>
      </c>
      <c r="O1386" s="23">
        <v>0</v>
      </c>
      <c r="P1386" s="23">
        <v>0</v>
      </c>
      <c r="Q1386" s="92">
        <v>0</v>
      </c>
      <c r="R1386" s="93">
        <f>592.083+7.583+6.169</f>
        <v>605.83499999999992</v>
      </c>
      <c r="S1386" s="19" t="s">
        <v>149</v>
      </c>
      <c r="T1386" s="257">
        <f t="shared" si="49"/>
        <v>17387</v>
      </c>
      <c r="U1386" s="257">
        <f t="shared" si="50"/>
        <v>3477</v>
      </c>
      <c r="V1386">
        <v>2</v>
      </c>
      <c r="W1386">
        <v>2</v>
      </c>
    </row>
    <row r="1387" spans="1:23" ht="45.6" x14ac:dyDescent="0.3">
      <c r="A1387" s="129">
        <v>40065</v>
      </c>
      <c r="B1387" s="129">
        <v>40065</v>
      </c>
      <c r="C1387" s="6">
        <v>9</v>
      </c>
      <c r="D1387" s="6">
        <v>1</v>
      </c>
      <c r="E1387" s="19">
        <v>2009</v>
      </c>
      <c r="F1387" s="15" t="s">
        <v>22</v>
      </c>
      <c r="G1387" s="16" t="s">
        <v>6256</v>
      </c>
      <c r="H1387" s="9" t="s">
        <v>174</v>
      </c>
      <c r="I1387" s="17" t="s">
        <v>2407</v>
      </c>
      <c r="J1387" s="17" t="s">
        <v>2408</v>
      </c>
      <c r="K1387" s="23">
        <v>0</v>
      </c>
      <c r="L1387" s="234">
        <v>0</v>
      </c>
      <c r="M1387" s="23">
        <v>0</v>
      </c>
      <c r="N1387" s="23">
        <v>0</v>
      </c>
      <c r="O1387" s="23">
        <v>0</v>
      </c>
      <c r="P1387" s="23">
        <v>0</v>
      </c>
      <c r="Q1387" s="92">
        <v>0</v>
      </c>
      <c r="R1387" s="93">
        <v>22.73</v>
      </c>
      <c r="S1387" s="19" t="s">
        <v>149</v>
      </c>
      <c r="T1387" s="257">
        <f t="shared" si="49"/>
        <v>0</v>
      </c>
      <c r="U1387" s="257">
        <f t="shared" si="50"/>
        <v>0</v>
      </c>
      <c r="V1387">
        <v>0</v>
      </c>
      <c r="W1387">
        <v>0</v>
      </c>
    </row>
    <row r="1388" spans="1:23" ht="22.8" x14ac:dyDescent="0.3">
      <c r="A1388" s="129">
        <v>40068</v>
      </c>
      <c r="B1388" s="129">
        <v>40068</v>
      </c>
      <c r="C1388" s="6">
        <v>9</v>
      </c>
      <c r="D1388" s="6">
        <v>1</v>
      </c>
      <c r="E1388" s="19">
        <v>2009</v>
      </c>
      <c r="F1388" s="15" t="s">
        <v>22</v>
      </c>
      <c r="G1388" s="16" t="s">
        <v>6256</v>
      </c>
      <c r="H1388" s="9" t="s">
        <v>55</v>
      </c>
      <c r="I1388" s="17" t="s">
        <v>2409</v>
      </c>
      <c r="J1388" s="17" t="s">
        <v>2410</v>
      </c>
      <c r="K1388" s="23">
        <v>0</v>
      </c>
      <c r="L1388" s="234">
        <v>200</v>
      </c>
      <c r="M1388" s="23">
        <v>40</v>
      </c>
      <c r="N1388" s="23">
        <v>0</v>
      </c>
      <c r="O1388" s="23">
        <v>0</v>
      </c>
      <c r="P1388" s="23">
        <v>0</v>
      </c>
      <c r="Q1388" s="92">
        <v>0</v>
      </c>
      <c r="R1388" s="93">
        <f>(M1388*5120)/1000000</f>
        <v>0.20480000000000001</v>
      </c>
      <c r="S1388" s="19" t="s">
        <v>115</v>
      </c>
      <c r="T1388" s="257">
        <f t="shared" si="49"/>
        <v>200</v>
      </c>
      <c r="U1388" s="257">
        <f t="shared" si="50"/>
        <v>40</v>
      </c>
      <c r="V1388">
        <v>1</v>
      </c>
      <c r="W1388">
        <v>1</v>
      </c>
    </row>
    <row r="1389" spans="1:23" ht="22.8" x14ac:dyDescent="0.3">
      <c r="A1389" s="129">
        <v>40068</v>
      </c>
      <c r="B1389" s="129">
        <v>40068</v>
      </c>
      <c r="C1389" s="6">
        <v>9</v>
      </c>
      <c r="D1389" s="6">
        <v>1</v>
      </c>
      <c r="E1389" s="19">
        <v>2009</v>
      </c>
      <c r="F1389" s="15" t="s">
        <v>22</v>
      </c>
      <c r="G1389" s="16" t="s">
        <v>6256</v>
      </c>
      <c r="H1389" s="9" t="s">
        <v>46</v>
      </c>
      <c r="I1389" s="17" t="s">
        <v>765</v>
      </c>
      <c r="J1389" s="17" t="s">
        <v>2411</v>
      </c>
      <c r="K1389" s="23">
        <v>0</v>
      </c>
      <c r="L1389" s="234">
        <v>290</v>
      </c>
      <c r="M1389" s="23">
        <v>58</v>
      </c>
      <c r="N1389" s="23">
        <v>0</v>
      </c>
      <c r="O1389" s="23">
        <v>0</v>
      </c>
      <c r="P1389" s="23">
        <v>0</v>
      </c>
      <c r="Q1389" s="92">
        <v>0</v>
      </c>
      <c r="R1389" s="93">
        <f>(M1389*5120)/1000000</f>
        <v>0.29696</v>
      </c>
      <c r="S1389" s="19" t="s">
        <v>115</v>
      </c>
      <c r="T1389" s="257">
        <f t="shared" si="49"/>
        <v>290</v>
      </c>
      <c r="U1389" s="257">
        <f t="shared" si="50"/>
        <v>58</v>
      </c>
      <c r="V1389">
        <v>1</v>
      </c>
      <c r="W1389">
        <v>1</v>
      </c>
    </row>
    <row r="1390" spans="1:23" ht="22.8" x14ac:dyDescent="0.3">
      <c r="A1390" s="129">
        <v>40068</v>
      </c>
      <c r="B1390" s="129">
        <v>40068</v>
      </c>
      <c r="C1390" s="6">
        <v>9</v>
      </c>
      <c r="D1390" s="6">
        <v>1</v>
      </c>
      <c r="E1390" s="19">
        <v>2009</v>
      </c>
      <c r="F1390" s="15" t="s">
        <v>22</v>
      </c>
      <c r="G1390" s="16" t="s">
        <v>6256</v>
      </c>
      <c r="H1390" s="9" t="s">
        <v>84</v>
      </c>
      <c r="I1390" s="17" t="s">
        <v>84</v>
      </c>
      <c r="J1390" s="17" t="s">
        <v>2412</v>
      </c>
      <c r="K1390" s="23">
        <v>0</v>
      </c>
      <c r="L1390" s="234">
        <v>150</v>
      </c>
      <c r="M1390" s="23">
        <v>30</v>
      </c>
      <c r="N1390" s="23">
        <v>0</v>
      </c>
      <c r="O1390" s="23">
        <v>0</v>
      </c>
      <c r="P1390" s="23">
        <v>0</v>
      </c>
      <c r="Q1390" s="92">
        <v>0</v>
      </c>
      <c r="R1390" s="93">
        <f>(M1390*5120)/1000000</f>
        <v>0.15359999999999999</v>
      </c>
      <c r="S1390" s="19" t="s">
        <v>115</v>
      </c>
      <c r="T1390" s="257">
        <f t="shared" si="49"/>
        <v>150</v>
      </c>
      <c r="U1390" s="257">
        <f t="shared" si="50"/>
        <v>30</v>
      </c>
      <c r="V1390">
        <v>1</v>
      </c>
      <c r="W1390">
        <v>1</v>
      </c>
    </row>
    <row r="1391" spans="1:23" ht="22.8" x14ac:dyDescent="0.3">
      <c r="A1391" s="129">
        <v>40069</v>
      </c>
      <c r="B1391" s="129">
        <v>40069</v>
      </c>
      <c r="C1391" s="6">
        <v>9</v>
      </c>
      <c r="D1391" s="6">
        <v>1</v>
      </c>
      <c r="E1391" s="19">
        <v>2009</v>
      </c>
      <c r="F1391" s="15" t="s">
        <v>22</v>
      </c>
      <c r="G1391" s="16" t="s">
        <v>6256</v>
      </c>
      <c r="H1391" s="9" t="s">
        <v>46</v>
      </c>
      <c r="I1391" s="17" t="s">
        <v>2413</v>
      </c>
      <c r="J1391" s="17" t="s">
        <v>2414</v>
      </c>
      <c r="K1391" s="23">
        <v>0</v>
      </c>
      <c r="L1391" s="234">
        <v>135</v>
      </c>
      <c r="M1391" s="23">
        <v>27</v>
      </c>
      <c r="N1391" s="23">
        <v>1</v>
      </c>
      <c r="O1391" s="23">
        <v>0</v>
      </c>
      <c r="P1391" s="23">
        <v>0</v>
      </c>
      <c r="Q1391" s="92">
        <v>0</v>
      </c>
      <c r="R1391" s="93">
        <f>(M1391*5120)/1000000</f>
        <v>0.13824</v>
      </c>
      <c r="S1391" s="19" t="s">
        <v>115</v>
      </c>
      <c r="T1391" s="257">
        <f t="shared" si="49"/>
        <v>135</v>
      </c>
      <c r="U1391" s="257">
        <f t="shared" si="50"/>
        <v>28</v>
      </c>
      <c r="V1391">
        <v>1</v>
      </c>
      <c r="W1391">
        <v>1</v>
      </c>
    </row>
    <row r="1392" spans="1:23" ht="34.200000000000003" x14ac:dyDescent="0.3">
      <c r="A1392" s="129">
        <v>40069</v>
      </c>
      <c r="B1392" s="129">
        <v>40069</v>
      </c>
      <c r="C1392" s="6">
        <v>9</v>
      </c>
      <c r="D1392" s="6">
        <v>1</v>
      </c>
      <c r="E1392" s="19">
        <v>2009</v>
      </c>
      <c r="F1392" s="15" t="s">
        <v>22</v>
      </c>
      <c r="G1392" s="16" t="s">
        <v>6256</v>
      </c>
      <c r="H1392" s="9" t="s">
        <v>121</v>
      </c>
      <c r="I1392" s="17" t="s">
        <v>304</v>
      </c>
      <c r="J1392" s="17" t="s">
        <v>2415</v>
      </c>
      <c r="K1392" s="23">
        <v>0</v>
      </c>
      <c r="L1392" s="234">
        <v>750</v>
      </c>
      <c r="M1392" s="23">
        <v>150</v>
      </c>
      <c r="N1392" s="23">
        <v>0</v>
      </c>
      <c r="O1392" s="23">
        <v>0</v>
      </c>
      <c r="P1392" s="23">
        <v>0</v>
      </c>
      <c r="Q1392" s="92">
        <v>0</v>
      </c>
      <c r="R1392" s="93">
        <f>(M1392*5120)/1000000</f>
        <v>0.76800000000000002</v>
      </c>
      <c r="S1392" s="19" t="s">
        <v>115</v>
      </c>
      <c r="T1392" s="257">
        <f t="shared" si="49"/>
        <v>750</v>
      </c>
      <c r="U1392" s="257">
        <f t="shared" si="50"/>
        <v>150</v>
      </c>
      <c r="V1392">
        <v>1</v>
      </c>
      <c r="W1392">
        <v>1</v>
      </c>
    </row>
    <row r="1393" spans="1:23" ht="45.6" x14ac:dyDescent="0.3">
      <c r="A1393" s="129">
        <v>40069</v>
      </c>
      <c r="B1393" s="129">
        <v>40069</v>
      </c>
      <c r="C1393" s="6">
        <v>9</v>
      </c>
      <c r="D1393" s="6">
        <v>1</v>
      </c>
      <c r="E1393" s="19">
        <v>2009</v>
      </c>
      <c r="F1393" s="15" t="s">
        <v>22</v>
      </c>
      <c r="G1393" s="16" t="s">
        <v>6256</v>
      </c>
      <c r="H1393" s="9" t="s">
        <v>64</v>
      </c>
      <c r="I1393" s="17" t="s">
        <v>2416</v>
      </c>
      <c r="J1393" s="17" t="s">
        <v>2417</v>
      </c>
      <c r="K1393" s="23">
        <v>6</v>
      </c>
      <c r="L1393" s="234">
        <v>6</v>
      </c>
      <c r="M1393" s="23">
        <v>0</v>
      </c>
      <c r="N1393" s="23">
        <v>0</v>
      </c>
      <c r="O1393" s="23">
        <v>0</v>
      </c>
      <c r="P1393" s="23">
        <v>0</v>
      </c>
      <c r="Q1393" s="92">
        <v>0</v>
      </c>
      <c r="R1393" s="93">
        <v>0</v>
      </c>
      <c r="S1393" s="19" t="s">
        <v>115</v>
      </c>
      <c r="T1393" s="257">
        <f t="shared" si="49"/>
        <v>12</v>
      </c>
      <c r="U1393" s="257">
        <f t="shared" si="50"/>
        <v>0</v>
      </c>
      <c r="V1393">
        <v>1</v>
      </c>
      <c r="W1393">
        <v>0</v>
      </c>
    </row>
    <row r="1394" spans="1:23" ht="34.200000000000003" x14ac:dyDescent="0.3">
      <c r="A1394" s="129">
        <v>40069</v>
      </c>
      <c r="B1394" s="129">
        <v>40069</v>
      </c>
      <c r="C1394" s="6">
        <v>9</v>
      </c>
      <c r="D1394" s="6">
        <v>1</v>
      </c>
      <c r="E1394" s="19">
        <v>2009</v>
      </c>
      <c r="F1394" s="15" t="s">
        <v>22</v>
      </c>
      <c r="G1394" s="16" t="s">
        <v>6256</v>
      </c>
      <c r="H1394" s="9" t="s">
        <v>84</v>
      </c>
      <c r="I1394" s="17" t="s">
        <v>2418</v>
      </c>
      <c r="J1394" s="17" t="s">
        <v>2419</v>
      </c>
      <c r="K1394" s="23">
        <v>0</v>
      </c>
      <c r="L1394" s="234">
        <v>300</v>
      </c>
      <c r="M1394" s="23">
        <v>60</v>
      </c>
      <c r="N1394" s="23">
        <v>0</v>
      </c>
      <c r="O1394" s="23">
        <v>0</v>
      </c>
      <c r="P1394" s="23">
        <v>0</v>
      </c>
      <c r="Q1394" s="92">
        <v>0</v>
      </c>
      <c r="R1394" s="93">
        <f>((M1394*5120)+(M1394*7500))/1000000</f>
        <v>0.75719999999999998</v>
      </c>
      <c r="S1394" s="19" t="s">
        <v>115</v>
      </c>
      <c r="T1394" s="257">
        <f t="shared" si="49"/>
        <v>300</v>
      </c>
      <c r="U1394" s="257">
        <f t="shared" si="50"/>
        <v>60</v>
      </c>
      <c r="V1394">
        <v>1</v>
      </c>
      <c r="W1394">
        <v>1</v>
      </c>
    </row>
    <row r="1395" spans="1:23" ht="22.8" x14ac:dyDescent="0.3">
      <c r="A1395" s="129">
        <v>40012</v>
      </c>
      <c r="B1395" s="129">
        <v>40012</v>
      </c>
      <c r="C1395" s="6">
        <v>7</v>
      </c>
      <c r="D1395" s="6">
        <v>1</v>
      </c>
      <c r="E1395" s="19">
        <v>2009</v>
      </c>
      <c r="F1395" s="15" t="s">
        <v>22</v>
      </c>
      <c r="G1395" s="16" t="s">
        <v>6256</v>
      </c>
      <c r="H1395" s="9" t="s">
        <v>48</v>
      </c>
      <c r="I1395" s="17" t="s">
        <v>2420</v>
      </c>
      <c r="J1395" s="17" t="s">
        <v>2421</v>
      </c>
      <c r="K1395" s="23">
        <v>0</v>
      </c>
      <c r="L1395" s="234">
        <v>480</v>
      </c>
      <c r="M1395" s="23">
        <v>96</v>
      </c>
      <c r="N1395" s="23">
        <v>0</v>
      </c>
      <c r="O1395" s="23">
        <v>0</v>
      </c>
      <c r="P1395" s="23">
        <v>0</v>
      </c>
      <c r="Q1395" s="92">
        <v>0</v>
      </c>
      <c r="R1395" s="93">
        <f>(M1395*8738)/1000000</f>
        <v>0.83884800000000004</v>
      </c>
      <c r="S1395" s="19" t="s">
        <v>115</v>
      </c>
      <c r="T1395" s="257">
        <f t="shared" si="49"/>
        <v>480</v>
      </c>
      <c r="U1395" s="257">
        <f t="shared" si="50"/>
        <v>96</v>
      </c>
      <c r="V1395">
        <v>1</v>
      </c>
      <c r="W1395">
        <v>1</v>
      </c>
    </row>
    <row r="1396" spans="1:23" ht="34.200000000000003" x14ac:dyDescent="0.3">
      <c r="A1396" s="129">
        <v>40070</v>
      </c>
      <c r="B1396" s="129">
        <v>40070</v>
      </c>
      <c r="C1396" s="6">
        <v>9</v>
      </c>
      <c r="D1396" s="6">
        <v>1</v>
      </c>
      <c r="E1396" s="19">
        <v>2009</v>
      </c>
      <c r="F1396" s="15" t="s">
        <v>22</v>
      </c>
      <c r="G1396" s="16" t="s">
        <v>6256</v>
      </c>
      <c r="H1396" s="9" t="s">
        <v>55</v>
      </c>
      <c r="I1396" s="17" t="s">
        <v>2422</v>
      </c>
      <c r="J1396" s="17" t="s">
        <v>2423</v>
      </c>
      <c r="K1396" s="23">
        <v>0</v>
      </c>
      <c r="L1396" s="234">
        <v>115</v>
      </c>
      <c r="M1396" s="23">
        <v>23</v>
      </c>
      <c r="N1396" s="23">
        <v>0</v>
      </c>
      <c r="O1396" s="23">
        <v>0</v>
      </c>
      <c r="P1396" s="23">
        <v>0</v>
      </c>
      <c r="Q1396" s="92">
        <v>0</v>
      </c>
      <c r="R1396" s="93">
        <f>(M1396*5120)/1000000</f>
        <v>0.11776</v>
      </c>
      <c r="S1396" s="19" t="s">
        <v>115</v>
      </c>
      <c r="T1396" s="257">
        <f t="shared" si="49"/>
        <v>115</v>
      </c>
      <c r="U1396" s="257">
        <f t="shared" si="50"/>
        <v>23</v>
      </c>
      <c r="V1396">
        <v>1</v>
      </c>
      <c r="W1396">
        <v>1</v>
      </c>
    </row>
    <row r="1397" spans="1:23" ht="45.6" x14ac:dyDescent="0.3">
      <c r="A1397" s="129">
        <v>40070</v>
      </c>
      <c r="B1397" s="129">
        <v>40070</v>
      </c>
      <c r="C1397" s="6">
        <v>9</v>
      </c>
      <c r="D1397" s="6">
        <v>1</v>
      </c>
      <c r="E1397" s="19">
        <v>2009</v>
      </c>
      <c r="F1397" s="15" t="s">
        <v>22</v>
      </c>
      <c r="G1397" s="16" t="s">
        <v>6256</v>
      </c>
      <c r="H1397" s="9" t="s">
        <v>46</v>
      </c>
      <c r="I1397" s="17" t="s">
        <v>2424</v>
      </c>
      <c r="J1397" s="17" t="s">
        <v>2425</v>
      </c>
      <c r="K1397" s="23">
        <v>0</v>
      </c>
      <c r="L1397" s="234">
        <v>150</v>
      </c>
      <c r="M1397" s="23">
        <v>30</v>
      </c>
      <c r="N1397" s="23">
        <v>0</v>
      </c>
      <c r="O1397" s="23">
        <v>0</v>
      </c>
      <c r="P1397" s="23">
        <v>0</v>
      </c>
      <c r="Q1397" s="92">
        <v>0</v>
      </c>
      <c r="R1397" s="93">
        <f>(M1397*5120)/1000000</f>
        <v>0.15359999999999999</v>
      </c>
      <c r="S1397" s="19" t="s">
        <v>115</v>
      </c>
      <c r="T1397" s="257">
        <f t="shared" si="49"/>
        <v>150</v>
      </c>
      <c r="U1397" s="257">
        <f t="shared" si="50"/>
        <v>30</v>
      </c>
      <c r="V1397">
        <v>1</v>
      </c>
      <c r="W1397">
        <v>1</v>
      </c>
    </row>
    <row r="1398" spans="1:23" ht="34.200000000000003" x14ac:dyDescent="0.3">
      <c r="A1398" s="129">
        <v>40070</v>
      </c>
      <c r="B1398" s="129">
        <v>40070</v>
      </c>
      <c r="C1398" s="6">
        <v>9</v>
      </c>
      <c r="D1398" s="6">
        <v>1</v>
      </c>
      <c r="E1398" s="19">
        <v>2009</v>
      </c>
      <c r="F1398" s="15" t="s">
        <v>22</v>
      </c>
      <c r="G1398" s="16" t="s">
        <v>6256</v>
      </c>
      <c r="H1398" s="9" t="s">
        <v>78</v>
      </c>
      <c r="I1398" s="17" t="s">
        <v>1031</v>
      </c>
      <c r="J1398" s="17" t="s">
        <v>2426</v>
      </c>
      <c r="K1398" s="23">
        <v>1</v>
      </c>
      <c r="L1398" s="234">
        <v>1</v>
      </c>
      <c r="M1398" s="23">
        <v>0</v>
      </c>
      <c r="N1398" s="23">
        <v>0</v>
      </c>
      <c r="O1398" s="23">
        <v>0</v>
      </c>
      <c r="P1398" s="23">
        <v>0</v>
      </c>
      <c r="Q1398" s="92">
        <v>0</v>
      </c>
      <c r="R1398" s="93">
        <v>0</v>
      </c>
      <c r="S1398" s="19" t="s">
        <v>115</v>
      </c>
      <c r="T1398" s="257">
        <f t="shared" si="49"/>
        <v>2</v>
      </c>
      <c r="U1398" s="257">
        <f t="shared" si="50"/>
        <v>0</v>
      </c>
      <c r="V1398">
        <v>1</v>
      </c>
      <c r="W1398">
        <v>0</v>
      </c>
    </row>
    <row r="1399" spans="1:23" ht="45.6" x14ac:dyDescent="0.3">
      <c r="A1399" s="129">
        <v>40071</v>
      </c>
      <c r="B1399" s="129">
        <v>40071</v>
      </c>
      <c r="C1399" s="6">
        <v>9</v>
      </c>
      <c r="D1399" s="6">
        <v>1</v>
      </c>
      <c r="E1399" s="19">
        <v>2009</v>
      </c>
      <c r="F1399" s="15" t="s">
        <v>22</v>
      </c>
      <c r="G1399" s="16" t="s">
        <v>6256</v>
      </c>
      <c r="H1399" s="9" t="s">
        <v>52</v>
      </c>
      <c r="I1399" s="17" t="s">
        <v>1279</v>
      </c>
      <c r="J1399" s="17" t="s">
        <v>2427</v>
      </c>
      <c r="K1399" s="23">
        <v>0</v>
      </c>
      <c r="L1399" s="234">
        <v>310</v>
      </c>
      <c r="M1399" s="23">
        <v>62</v>
      </c>
      <c r="N1399" s="23">
        <v>0</v>
      </c>
      <c r="O1399" s="23">
        <v>0</v>
      </c>
      <c r="P1399" s="23">
        <v>0</v>
      </c>
      <c r="Q1399" s="92">
        <v>0</v>
      </c>
      <c r="R1399" s="93">
        <f>((51*5120)+(9*95904)+(9*7500))/1000000</f>
        <v>1.191756</v>
      </c>
      <c r="S1399" s="19" t="s">
        <v>115</v>
      </c>
      <c r="T1399" s="257">
        <f t="shared" si="49"/>
        <v>310</v>
      </c>
      <c r="U1399" s="257">
        <f t="shared" si="50"/>
        <v>62</v>
      </c>
      <c r="V1399">
        <v>1</v>
      </c>
      <c r="W1399">
        <v>1</v>
      </c>
    </row>
    <row r="1400" spans="1:23" ht="34.200000000000003" x14ac:dyDescent="0.3">
      <c r="A1400" s="129">
        <v>40073</v>
      </c>
      <c r="B1400" s="129">
        <v>40073</v>
      </c>
      <c r="C1400" s="6">
        <v>9</v>
      </c>
      <c r="D1400" s="6">
        <v>1</v>
      </c>
      <c r="E1400" s="19">
        <v>2009</v>
      </c>
      <c r="F1400" s="15" t="s">
        <v>22</v>
      </c>
      <c r="G1400" s="16" t="s">
        <v>6256</v>
      </c>
      <c r="H1400" s="9" t="s">
        <v>64</v>
      </c>
      <c r="I1400" s="17" t="s">
        <v>1776</v>
      </c>
      <c r="J1400" s="17" t="s">
        <v>2428</v>
      </c>
      <c r="K1400" s="23">
        <v>2</v>
      </c>
      <c r="L1400" s="234">
        <v>2</v>
      </c>
      <c r="M1400" s="23">
        <v>0</v>
      </c>
      <c r="N1400" s="23">
        <v>0</v>
      </c>
      <c r="O1400" s="23">
        <v>0</v>
      </c>
      <c r="P1400" s="23">
        <v>0</v>
      </c>
      <c r="Q1400" s="92">
        <v>0</v>
      </c>
      <c r="R1400" s="93">
        <v>0</v>
      </c>
      <c r="S1400" s="19" t="s">
        <v>115</v>
      </c>
      <c r="T1400" s="257">
        <f t="shared" si="49"/>
        <v>4</v>
      </c>
      <c r="U1400" s="257">
        <f t="shared" si="50"/>
        <v>0</v>
      </c>
      <c r="V1400">
        <v>1</v>
      </c>
      <c r="W1400">
        <v>0</v>
      </c>
    </row>
    <row r="1401" spans="1:23" ht="45.6" x14ac:dyDescent="0.3">
      <c r="A1401" s="129">
        <v>40078</v>
      </c>
      <c r="B1401" s="129">
        <v>40078</v>
      </c>
      <c r="C1401" s="6">
        <v>9</v>
      </c>
      <c r="D1401" s="6">
        <v>1</v>
      </c>
      <c r="E1401" s="19">
        <v>2009</v>
      </c>
      <c r="F1401" s="15" t="s">
        <v>22</v>
      </c>
      <c r="G1401" s="16" t="s">
        <v>6256</v>
      </c>
      <c r="H1401" s="9" t="s">
        <v>118</v>
      </c>
      <c r="I1401" s="17" t="s">
        <v>2429</v>
      </c>
      <c r="J1401" s="17" t="s">
        <v>2430</v>
      </c>
      <c r="K1401" s="23">
        <v>0</v>
      </c>
      <c r="L1401" s="234">
        <v>5</v>
      </c>
      <c r="M1401" s="23">
        <v>1</v>
      </c>
      <c r="N1401" s="23">
        <v>0</v>
      </c>
      <c r="O1401" s="23">
        <v>0</v>
      </c>
      <c r="P1401" s="23">
        <v>0</v>
      </c>
      <c r="Q1401" s="92">
        <v>0</v>
      </c>
      <c r="R1401" s="93">
        <f>(M1401*95904)/1000000</f>
        <v>9.5904000000000003E-2</v>
      </c>
      <c r="S1401" s="19" t="s">
        <v>115</v>
      </c>
      <c r="T1401" s="257">
        <f t="shared" si="49"/>
        <v>5</v>
      </c>
      <c r="U1401" s="257">
        <f t="shared" si="50"/>
        <v>1</v>
      </c>
      <c r="V1401">
        <v>1</v>
      </c>
      <c r="W1401">
        <v>1</v>
      </c>
    </row>
    <row r="1402" spans="1:23" ht="159.6" x14ac:dyDescent="0.3">
      <c r="A1402" s="129">
        <v>40079</v>
      </c>
      <c r="B1402" s="129">
        <v>40079</v>
      </c>
      <c r="C1402" s="6">
        <v>9</v>
      </c>
      <c r="D1402" s="6">
        <v>1</v>
      </c>
      <c r="E1402" s="19">
        <v>2009</v>
      </c>
      <c r="F1402" s="15" t="s">
        <v>22</v>
      </c>
      <c r="G1402" s="16" t="s">
        <v>6256</v>
      </c>
      <c r="H1402" s="9" t="s">
        <v>174</v>
      </c>
      <c r="I1402" s="17" t="s">
        <v>2431</v>
      </c>
      <c r="J1402" s="17" t="s">
        <v>2432</v>
      </c>
      <c r="K1402" s="23">
        <v>0</v>
      </c>
      <c r="L1402" s="234">
        <v>64000</v>
      </c>
      <c r="M1402" s="23">
        <v>9635</v>
      </c>
      <c r="N1402" s="23">
        <v>0</v>
      </c>
      <c r="O1402" s="23">
        <v>0</v>
      </c>
      <c r="P1402" s="23">
        <v>0</v>
      </c>
      <c r="Q1402" s="92">
        <v>0</v>
      </c>
      <c r="R1402" s="93">
        <f>(1023.525+47.144)+(22.498)</f>
        <v>1093.1669999999999</v>
      </c>
      <c r="S1402" s="19" t="s">
        <v>149</v>
      </c>
      <c r="T1402" s="257">
        <f t="shared" si="49"/>
        <v>64000</v>
      </c>
      <c r="U1402" s="257">
        <f t="shared" si="50"/>
        <v>9635</v>
      </c>
      <c r="V1402">
        <v>2</v>
      </c>
      <c r="W1402">
        <v>2</v>
      </c>
    </row>
    <row r="1403" spans="1:23" ht="102.6" x14ac:dyDescent="0.3">
      <c r="A1403" s="129">
        <v>40079</v>
      </c>
      <c r="B1403" s="129">
        <v>40079</v>
      </c>
      <c r="C1403" s="6">
        <v>9</v>
      </c>
      <c r="D1403" s="6">
        <v>1</v>
      </c>
      <c r="E1403" s="19">
        <v>2009</v>
      </c>
      <c r="F1403" s="15" t="s">
        <v>22</v>
      </c>
      <c r="G1403" s="16" t="s">
        <v>6256</v>
      </c>
      <c r="H1403" s="9" t="s">
        <v>61</v>
      </c>
      <c r="I1403" s="17" t="s">
        <v>2433</v>
      </c>
      <c r="J1403" s="17" t="s">
        <v>2434</v>
      </c>
      <c r="K1403" s="23">
        <v>0</v>
      </c>
      <c r="L1403" s="234">
        <v>12750</v>
      </c>
      <c r="M1403" s="23">
        <v>2550</v>
      </c>
      <c r="N1403" s="23">
        <v>0</v>
      </c>
      <c r="O1403" s="23">
        <v>0</v>
      </c>
      <c r="P1403" s="23">
        <v>0</v>
      </c>
      <c r="Q1403" s="92">
        <v>0</v>
      </c>
      <c r="R1403" s="93">
        <f>(160.842+13.056)+(4.443)</f>
        <v>178.34100000000004</v>
      </c>
      <c r="S1403" s="19" t="s">
        <v>149</v>
      </c>
      <c r="T1403" s="257">
        <f t="shared" si="49"/>
        <v>12750</v>
      </c>
      <c r="U1403" s="257">
        <f t="shared" si="50"/>
        <v>2550</v>
      </c>
      <c r="V1403">
        <v>2</v>
      </c>
      <c r="W1403">
        <v>2</v>
      </c>
    </row>
    <row r="1404" spans="1:23" ht="22.8" x14ac:dyDescent="0.3">
      <c r="A1404" s="129">
        <v>40081</v>
      </c>
      <c r="B1404" s="129">
        <v>40081</v>
      </c>
      <c r="C1404" s="6">
        <v>9</v>
      </c>
      <c r="D1404" s="6">
        <v>1</v>
      </c>
      <c r="E1404" s="19">
        <v>2009</v>
      </c>
      <c r="F1404" s="15" t="s">
        <v>22</v>
      </c>
      <c r="G1404" s="16" t="s">
        <v>6256</v>
      </c>
      <c r="H1404" s="9" t="s">
        <v>64</v>
      </c>
      <c r="I1404" s="17" t="s">
        <v>2435</v>
      </c>
      <c r="J1404" s="17" t="s">
        <v>2436</v>
      </c>
      <c r="K1404" s="23">
        <v>0</v>
      </c>
      <c r="L1404" s="234">
        <v>450</v>
      </c>
      <c r="M1404" s="23">
        <v>90</v>
      </c>
      <c r="N1404" s="23">
        <v>0</v>
      </c>
      <c r="O1404" s="23">
        <v>0</v>
      </c>
      <c r="P1404" s="23">
        <v>0</v>
      </c>
      <c r="Q1404" s="92">
        <v>0</v>
      </c>
      <c r="R1404" s="93">
        <f>(M1404*5120)/1000000</f>
        <v>0.46079999999999999</v>
      </c>
      <c r="S1404" s="19" t="s">
        <v>115</v>
      </c>
      <c r="T1404" s="257">
        <f t="shared" si="49"/>
        <v>450</v>
      </c>
      <c r="U1404" s="257">
        <f t="shared" si="50"/>
        <v>90</v>
      </c>
      <c r="V1404">
        <v>1</v>
      </c>
      <c r="W1404">
        <v>1</v>
      </c>
    </row>
    <row r="1405" spans="1:23" ht="34.200000000000003" x14ac:dyDescent="0.3">
      <c r="A1405" s="129">
        <v>40081</v>
      </c>
      <c r="B1405" s="129">
        <v>40081</v>
      </c>
      <c r="C1405" s="6">
        <v>9</v>
      </c>
      <c r="D1405" s="6">
        <v>1</v>
      </c>
      <c r="E1405" s="19">
        <v>2009</v>
      </c>
      <c r="F1405" s="15" t="s">
        <v>22</v>
      </c>
      <c r="G1405" s="16" t="s">
        <v>6256</v>
      </c>
      <c r="H1405" s="17" t="s">
        <v>565</v>
      </c>
      <c r="I1405" s="17" t="s">
        <v>1403</v>
      </c>
      <c r="J1405" s="17" t="s">
        <v>2437</v>
      </c>
      <c r="K1405" s="23">
        <v>0</v>
      </c>
      <c r="L1405" s="234">
        <v>115</v>
      </c>
      <c r="M1405" s="23">
        <v>23</v>
      </c>
      <c r="N1405" s="23">
        <v>0</v>
      </c>
      <c r="O1405" s="23">
        <v>0</v>
      </c>
      <c r="P1405" s="23">
        <v>0</v>
      </c>
      <c r="Q1405" s="92">
        <v>0</v>
      </c>
      <c r="R1405" s="93">
        <f>(M1405*5120)/1000000</f>
        <v>0.11776</v>
      </c>
      <c r="S1405" s="19" t="s">
        <v>115</v>
      </c>
      <c r="T1405" s="257">
        <f t="shared" si="49"/>
        <v>115</v>
      </c>
      <c r="U1405" s="257">
        <f t="shared" si="50"/>
        <v>23</v>
      </c>
      <c r="V1405">
        <v>1</v>
      </c>
      <c r="W1405">
        <v>1</v>
      </c>
    </row>
    <row r="1406" spans="1:23" ht="45.6" x14ac:dyDescent="0.3">
      <c r="A1406" s="129">
        <v>40083</v>
      </c>
      <c r="B1406" s="129">
        <v>40083</v>
      </c>
      <c r="C1406" s="6">
        <v>9</v>
      </c>
      <c r="D1406" s="6">
        <v>1</v>
      </c>
      <c r="E1406" s="19">
        <v>2009</v>
      </c>
      <c r="F1406" s="15" t="s">
        <v>22</v>
      </c>
      <c r="G1406" s="16" t="s">
        <v>6256</v>
      </c>
      <c r="H1406" s="9" t="s">
        <v>121</v>
      </c>
      <c r="I1406" s="17" t="s">
        <v>2438</v>
      </c>
      <c r="J1406" s="17" t="s">
        <v>2439</v>
      </c>
      <c r="K1406" s="23">
        <v>0</v>
      </c>
      <c r="L1406" s="234">
        <v>0</v>
      </c>
      <c r="M1406" s="23">
        <v>0</v>
      </c>
      <c r="N1406" s="23">
        <v>0</v>
      </c>
      <c r="O1406" s="23">
        <v>0</v>
      </c>
      <c r="P1406" s="23">
        <v>0</v>
      </c>
      <c r="Q1406" s="92">
        <v>0</v>
      </c>
      <c r="R1406" s="93">
        <v>40</v>
      </c>
      <c r="S1406" s="19" t="s">
        <v>149</v>
      </c>
      <c r="T1406" s="257">
        <f t="shared" si="49"/>
        <v>0</v>
      </c>
      <c r="U1406" s="257">
        <f t="shared" si="50"/>
        <v>0</v>
      </c>
      <c r="V1406">
        <v>0</v>
      </c>
      <c r="W1406">
        <v>0</v>
      </c>
    </row>
    <row r="1407" spans="1:23" ht="57" x14ac:dyDescent="0.3">
      <c r="A1407" s="129">
        <v>40082</v>
      </c>
      <c r="B1407" s="129">
        <v>40082</v>
      </c>
      <c r="C1407" s="6">
        <v>9</v>
      </c>
      <c r="D1407" s="6">
        <v>1</v>
      </c>
      <c r="E1407" s="19">
        <v>2009</v>
      </c>
      <c r="F1407" s="15" t="s">
        <v>22</v>
      </c>
      <c r="G1407" s="16" t="s">
        <v>6256</v>
      </c>
      <c r="H1407" s="9" t="s">
        <v>121</v>
      </c>
      <c r="I1407" s="17" t="s">
        <v>2440</v>
      </c>
      <c r="J1407" s="17" t="s">
        <v>2441</v>
      </c>
      <c r="K1407" s="23">
        <v>0</v>
      </c>
      <c r="L1407" s="234">
        <v>0</v>
      </c>
      <c r="M1407" s="23">
        <v>0</v>
      </c>
      <c r="N1407" s="23">
        <v>0</v>
      </c>
      <c r="O1407" s="23">
        <v>0</v>
      </c>
      <c r="P1407" s="23">
        <v>0</v>
      </c>
      <c r="Q1407" s="92">
        <v>0</v>
      </c>
      <c r="R1407" s="93">
        <v>667.65</v>
      </c>
      <c r="S1407" s="19" t="s">
        <v>149</v>
      </c>
      <c r="T1407" s="257">
        <f t="shared" si="49"/>
        <v>0</v>
      </c>
      <c r="U1407" s="257">
        <f t="shared" si="50"/>
        <v>0</v>
      </c>
      <c r="V1407">
        <v>0</v>
      </c>
      <c r="W1407">
        <v>0</v>
      </c>
    </row>
    <row r="1408" spans="1:23" ht="57" x14ac:dyDescent="0.3">
      <c r="A1408" s="129">
        <v>40098</v>
      </c>
      <c r="B1408" s="129">
        <v>40098</v>
      </c>
      <c r="C1408" s="6">
        <v>10</v>
      </c>
      <c r="D1408" s="6">
        <v>1</v>
      </c>
      <c r="E1408" s="19">
        <v>2009</v>
      </c>
      <c r="F1408" s="15" t="s">
        <v>22</v>
      </c>
      <c r="G1408" s="16" t="s">
        <v>6254</v>
      </c>
      <c r="H1408" s="9" t="s">
        <v>74</v>
      </c>
      <c r="I1408" s="17" t="s">
        <v>2442</v>
      </c>
      <c r="J1408" s="17" t="s">
        <v>2443</v>
      </c>
      <c r="K1408" s="23">
        <v>0</v>
      </c>
      <c r="L1408" s="234">
        <v>8000</v>
      </c>
      <c r="M1408" s="23">
        <v>0</v>
      </c>
      <c r="N1408" s="23">
        <v>0</v>
      </c>
      <c r="O1408" s="23">
        <v>0</v>
      </c>
      <c r="P1408" s="23">
        <v>0</v>
      </c>
      <c r="Q1408" s="92">
        <v>0</v>
      </c>
      <c r="R1408" s="93">
        <v>2.242</v>
      </c>
      <c r="S1408" s="19" t="s">
        <v>149</v>
      </c>
      <c r="T1408" s="257">
        <f t="shared" si="49"/>
        <v>8000</v>
      </c>
      <c r="U1408" s="257">
        <f t="shared" si="50"/>
        <v>0</v>
      </c>
      <c r="V1408">
        <v>1</v>
      </c>
      <c r="W1408">
        <v>0</v>
      </c>
    </row>
    <row r="1409" spans="1:23" ht="68.400000000000006" x14ac:dyDescent="0.3">
      <c r="A1409" s="129">
        <v>40098</v>
      </c>
      <c r="B1409" s="129">
        <v>40098</v>
      </c>
      <c r="C1409" s="6">
        <v>10</v>
      </c>
      <c r="D1409" s="6">
        <v>1</v>
      </c>
      <c r="E1409" s="19">
        <v>2009</v>
      </c>
      <c r="F1409" s="15" t="s">
        <v>22</v>
      </c>
      <c r="G1409" s="16" t="s">
        <v>6254</v>
      </c>
      <c r="H1409" s="9" t="s">
        <v>72</v>
      </c>
      <c r="I1409" s="17" t="s">
        <v>2140</v>
      </c>
      <c r="J1409" s="17" t="s">
        <v>2444</v>
      </c>
      <c r="K1409" s="23">
        <v>0</v>
      </c>
      <c r="L1409" s="234">
        <v>4200</v>
      </c>
      <c r="M1409" s="23">
        <v>300</v>
      </c>
      <c r="N1409" s="23">
        <v>0</v>
      </c>
      <c r="O1409" s="23">
        <v>0</v>
      </c>
      <c r="P1409" s="23">
        <v>0</v>
      </c>
      <c r="Q1409" s="92">
        <v>0</v>
      </c>
      <c r="R1409" s="93">
        <f>((M1409*8738)/1000000)+(1.884)</f>
        <v>4.5053999999999998</v>
      </c>
      <c r="S1409" s="19" t="s">
        <v>115</v>
      </c>
      <c r="T1409" s="257">
        <f t="shared" si="49"/>
        <v>4200</v>
      </c>
      <c r="U1409" s="257">
        <f t="shared" si="50"/>
        <v>300</v>
      </c>
      <c r="V1409">
        <v>1</v>
      </c>
      <c r="W1409">
        <v>1</v>
      </c>
    </row>
    <row r="1410" spans="1:23" ht="91.2" x14ac:dyDescent="0.3">
      <c r="A1410" s="129">
        <v>40103</v>
      </c>
      <c r="B1410" s="129">
        <v>40103</v>
      </c>
      <c r="C1410" s="6">
        <v>10</v>
      </c>
      <c r="D1410" s="6">
        <v>1</v>
      </c>
      <c r="E1410" s="19">
        <v>2009</v>
      </c>
      <c r="F1410" s="15" t="s">
        <v>22</v>
      </c>
      <c r="G1410" s="16" t="s">
        <v>6256</v>
      </c>
      <c r="H1410" s="9" t="s">
        <v>174</v>
      </c>
      <c r="I1410" s="17" t="s">
        <v>2445</v>
      </c>
      <c r="J1410" s="17" t="s">
        <v>2446</v>
      </c>
      <c r="K1410" s="23">
        <v>0</v>
      </c>
      <c r="L1410" s="234">
        <v>16000</v>
      </c>
      <c r="M1410" s="23">
        <v>205</v>
      </c>
      <c r="N1410" s="23">
        <v>0</v>
      </c>
      <c r="O1410" s="23">
        <v>0</v>
      </c>
      <c r="P1410" s="23">
        <v>0</v>
      </c>
      <c r="Q1410" s="92">
        <v>0</v>
      </c>
      <c r="R1410" s="93">
        <f>(625.14+11.996)</f>
        <v>637.13599999999997</v>
      </c>
      <c r="S1410" s="19" t="s">
        <v>149</v>
      </c>
      <c r="T1410" s="257">
        <f t="shared" si="49"/>
        <v>16000</v>
      </c>
      <c r="U1410" s="257">
        <f t="shared" si="50"/>
        <v>205</v>
      </c>
      <c r="V1410">
        <v>2</v>
      </c>
      <c r="W1410">
        <v>1</v>
      </c>
    </row>
    <row r="1411" spans="1:23" ht="45.6" x14ac:dyDescent="0.3">
      <c r="A1411" s="129">
        <v>40107</v>
      </c>
      <c r="B1411" s="129">
        <v>40107</v>
      </c>
      <c r="C1411" s="6">
        <v>10</v>
      </c>
      <c r="D1411" s="6">
        <v>1</v>
      </c>
      <c r="E1411" s="19">
        <v>2009</v>
      </c>
      <c r="F1411" s="15" t="s">
        <v>22</v>
      </c>
      <c r="G1411" s="16" t="s">
        <v>6254</v>
      </c>
      <c r="H1411" s="9" t="s">
        <v>39</v>
      </c>
      <c r="I1411" s="17" t="s">
        <v>1379</v>
      </c>
      <c r="J1411" s="17" t="s">
        <v>2447</v>
      </c>
      <c r="K1411" s="23">
        <v>0</v>
      </c>
      <c r="L1411" s="234">
        <v>1500</v>
      </c>
      <c r="M1411" s="23">
        <v>0</v>
      </c>
      <c r="N1411" s="23">
        <v>0</v>
      </c>
      <c r="O1411" s="23">
        <v>0</v>
      </c>
      <c r="P1411" s="23">
        <v>0</v>
      </c>
      <c r="Q1411" s="92">
        <v>0</v>
      </c>
      <c r="R1411" s="93">
        <v>1.4E-2</v>
      </c>
      <c r="S1411" s="19" t="s">
        <v>149</v>
      </c>
      <c r="T1411" s="257">
        <f t="shared" ref="T1411:T1474" si="51">SUM(K1411:L1411)</f>
        <v>1500</v>
      </c>
      <c r="U1411" s="257">
        <f t="shared" ref="U1411:U1474" si="52">SUM(M1411:P1411)</f>
        <v>0</v>
      </c>
      <c r="V1411">
        <v>1</v>
      </c>
      <c r="W1411">
        <v>0</v>
      </c>
    </row>
    <row r="1412" spans="1:23" ht="45.6" x14ac:dyDescent="0.3">
      <c r="A1412" s="129">
        <v>40107</v>
      </c>
      <c r="B1412" s="129">
        <v>40107</v>
      </c>
      <c r="C1412" s="6">
        <v>10</v>
      </c>
      <c r="D1412" s="6">
        <v>1</v>
      </c>
      <c r="E1412" s="19">
        <v>2009</v>
      </c>
      <c r="F1412" s="15" t="s">
        <v>22</v>
      </c>
      <c r="G1412" s="16" t="s">
        <v>6254</v>
      </c>
      <c r="H1412" s="9" t="s">
        <v>28</v>
      </c>
      <c r="I1412" s="17" t="s">
        <v>1497</v>
      </c>
      <c r="J1412" s="17" t="s">
        <v>2448</v>
      </c>
      <c r="K1412" s="23">
        <v>0</v>
      </c>
      <c r="L1412" s="234">
        <v>6000</v>
      </c>
      <c r="M1412" s="23">
        <v>0</v>
      </c>
      <c r="N1412" s="23">
        <v>0</v>
      </c>
      <c r="O1412" s="23">
        <v>0</v>
      </c>
      <c r="P1412" s="23">
        <v>0</v>
      </c>
      <c r="Q1412" s="92">
        <v>0</v>
      </c>
      <c r="R1412" s="93">
        <v>0.47</v>
      </c>
      <c r="S1412" s="19" t="s">
        <v>149</v>
      </c>
      <c r="T1412" s="257">
        <f t="shared" si="51"/>
        <v>6000</v>
      </c>
      <c r="U1412" s="257">
        <f t="shared" si="52"/>
        <v>0</v>
      </c>
      <c r="V1412">
        <v>1</v>
      </c>
      <c r="W1412">
        <v>0</v>
      </c>
    </row>
    <row r="1413" spans="1:23" ht="68.400000000000006" x14ac:dyDescent="0.3">
      <c r="A1413" s="129">
        <v>40107</v>
      </c>
      <c r="B1413" s="129">
        <v>40107</v>
      </c>
      <c r="C1413" s="6">
        <v>10</v>
      </c>
      <c r="D1413" s="6">
        <v>1</v>
      </c>
      <c r="E1413" s="19">
        <v>2009</v>
      </c>
      <c r="F1413" s="15" t="s">
        <v>22</v>
      </c>
      <c r="G1413" s="16" t="s">
        <v>6254</v>
      </c>
      <c r="H1413" s="9" t="s">
        <v>72</v>
      </c>
      <c r="I1413" s="17" t="s">
        <v>2449</v>
      </c>
      <c r="J1413" s="17" t="s">
        <v>2450</v>
      </c>
      <c r="K1413" s="23">
        <v>0</v>
      </c>
      <c r="L1413" s="234">
        <v>10000</v>
      </c>
      <c r="M1413" s="23">
        <v>714</v>
      </c>
      <c r="N1413" s="23">
        <v>0</v>
      </c>
      <c r="O1413" s="23">
        <v>0</v>
      </c>
      <c r="P1413" s="23">
        <v>0</v>
      </c>
      <c r="Q1413" s="92">
        <v>0</v>
      </c>
      <c r="R1413" s="93">
        <f>(209.745+4.31)</f>
        <v>214.05500000000001</v>
      </c>
      <c r="S1413" s="19" t="s">
        <v>149</v>
      </c>
      <c r="T1413" s="257">
        <f t="shared" si="51"/>
        <v>10000</v>
      </c>
      <c r="U1413" s="257">
        <f t="shared" si="52"/>
        <v>714</v>
      </c>
      <c r="V1413">
        <v>1</v>
      </c>
      <c r="W1413">
        <v>1</v>
      </c>
    </row>
    <row r="1414" spans="1:23" ht="22.8" x14ac:dyDescent="0.3">
      <c r="A1414" s="129">
        <v>40116</v>
      </c>
      <c r="B1414" s="129">
        <v>40116</v>
      </c>
      <c r="C1414" s="6">
        <v>10</v>
      </c>
      <c r="D1414" s="6">
        <v>1</v>
      </c>
      <c r="E1414" s="19">
        <v>2009</v>
      </c>
      <c r="F1414" s="15" t="s">
        <v>22</v>
      </c>
      <c r="G1414" s="16" t="s">
        <v>6256</v>
      </c>
      <c r="H1414" s="9" t="s">
        <v>118</v>
      </c>
      <c r="I1414" s="17" t="s">
        <v>2451</v>
      </c>
      <c r="J1414" s="17" t="s">
        <v>2452</v>
      </c>
      <c r="K1414" s="23">
        <v>0</v>
      </c>
      <c r="L1414" s="234">
        <v>300</v>
      </c>
      <c r="M1414" s="23">
        <v>60</v>
      </c>
      <c r="N1414" s="23">
        <v>2</v>
      </c>
      <c r="O1414" s="23">
        <v>1</v>
      </c>
      <c r="P1414" s="23">
        <v>0</v>
      </c>
      <c r="Q1414" s="92">
        <v>0</v>
      </c>
      <c r="R1414" s="93">
        <f>((M1414*8738)+(M1414*7500))/1000000</f>
        <v>0.97428000000000003</v>
      </c>
      <c r="S1414" s="19" t="s">
        <v>115</v>
      </c>
      <c r="T1414" s="257">
        <f t="shared" si="51"/>
        <v>300</v>
      </c>
      <c r="U1414" s="257">
        <f t="shared" si="52"/>
        <v>63</v>
      </c>
      <c r="V1414">
        <v>1</v>
      </c>
      <c r="W1414">
        <v>1</v>
      </c>
    </row>
    <row r="1415" spans="1:23" ht="136.80000000000001" x14ac:dyDescent="0.3">
      <c r="A1415" s="129">
        <v>40116</v>
      </c>
      <c r="B1415" s="129">
        <v>40116</v>
      </c>
      <c r="C1415" s="6">
        <v>10</v>
      </c>
      <c r="D1415" s="6">
        <v>1</v>
      </c>
      <c r="E1415" s="19">
        <v>2009</v>
      </c>
      <c r="F1415" s="15" t="s">
        <v>22</v>
      </c>
      <c r="G1415" s="16" t="s">
        <v>6256</v>
      </c>
      <c r="H1415" s="9" t="s">
        <v>43</v>
      </c>
      <c r="I1415" s="17" t="s">
        <v>2453</v>
      </c>
      <c r="J1415" s="17" t="s">
        <v>2454</v>
      </c>
      <c r="K1415" s="23">
        <v>5</v>
      </c>
      <c r="L1415" s="234">
        <f>((M1415*5))*1</f>
        <v>2600</v>
      </c>
      <c r="M1415" s="23">
        <v>520</v>
      </c>
      <c r="N1415" s="23">
        <v>0</v>
      </c>
      <c r="O1415" s="23">
        <v>0</v>
      </c>
      <c r="P1415" s="23">
        <v>0</v>
      </c>
      <c r="Q1415" s="92">
        <v>0</v>
      </c>
      <c r="R1415" s="93">
        <f>83.685+2.585+1.438</f>
        <v>87.707999999999998</v>
      </c>
      <c r="S1415" s="19" t="s">
        <v>149</v>
      </c>
      <c r="T1415" s="257">
        <f t="shared" si="51"/>
        <v>2605</v>
      </c>
      <c r="U1415" s="257">
        <f t="shared" si="52"/>
        <v>520</v>
      </c>
      <c r="V1415">
        <v>1</v>
      </c>
      <c r="W1415">
        <v>1</v>
      </c>
    </row>
    <row r="1416" spans="1:23" ht="136.80000000000001" x14ac:dyDescent="0.3">
      <c r="A1416" s="129">
        <v>40116</v>
      </c>
      <c r="B1416" s="129">
        <v>40116</v>
      </c>
      <c r="C1416" s="6">
        <v>10</v>
      </c>
      <c r="D1416" s="6">
        <v>1</v>
      </c>
      <c r="E1416" s="19">
        <v>2009</v>
      </c>
      <c r="F1416" s="15" t="s">
        <v>22</v>
      </c>
      <c r="G1416" s="16" t="s">
        <v>6256</v>
      </c>
      <c r="H1416" s="17" t="s">
        <v>565</v>
      </c>
      <c r="I1416" s="17" t="s">
        <v>2455</v>
      </c>
      <c r="J1416" s="17" t="s">
        <v>2456</v>
      </c>
      <c r="K1416" s="23">
        <v>2</v>
      </c>
      <c r="L1416" s="234">
        <v>65800</v>
      </c>
      <c r="M1416" s="23">
        <v>2369</v>
      </c>
      <c r="N1416" s="23">
        <v>421</v>
      </c>
      <c r="O1416" s="23">
        <v>11</v>
      </c>
      <c r="P1416" s="23">
        <v>730</v>
      </c>
      <c r="Q1416" s="92">
        <v>22021.5</v>
      </c>
      <c r="R1416" s="93">
        <v>2465.2350000000001</v>
      </c>
      <c r="S1416" s="19" t="s">
        <v>21</v>
      </c>
      <c r="T1416" s="257">
        <f t="shared" si="51"/>
        <v>65802</v>
      </c>
      <c r="U1416" s="257">
        <f t="shared" si="52"/>
        <v>3531</v>
      </c>
      <c r="V1416">
        <v>2</v>
      </c>
      <c r="W1416">
        <v>2</v>
      </c>
    </row>
    <row r="1417" spans="1:23" ht="34.200000000000003" x14ac:dyDescent="0.3">
      <c r="A1417" s="129">
        <v>40119</v>
      </c>
      <c r="B1417" s="129">
        <v>40119</v>
      </c>
      <c r="C1417" s="6">
        <v>11</v>
      </c>
      <c r="D1417" s="6">
        <v>1</v>
      </c>
      <c r="E1417" s="19">
        <v>2009</v>
      </c>
      <c r="F1417" s="15" t="s">
        <v>22</v>
      </c>
      <c r="G1417" s="16" t="s">
        <v>6256</v>
      </c>
      <c r="H1417" s="9" t="s">
        <v>31</v>
      </c>
      <c r="I1417" s="17" t="s">
        <v>2457</v>
      </c>
      <c r="J1417" s="17" t="s">
        <v>2458</v>
      </c>
      <c r="K1417" s="23">
        <v>0</v>
      </c>
      <c r="L1417" s="234">
        <v>270</v>
      </c>
      <c r="M1417" s="23">
        <v>54</v>
      </c>
      <c r="N1417" s="23">
        <v>0</v>
      </c>
      <c r="O1417" s="23">
        <v>0</v>
      </c>
      <c r="P1417" s="23">
        <v>0</v>
      </c>
      <c r="Q1417" s="92">
        <v>0</v>
      </c>
      <c r="R1417" s="93">
        <v>0</v>
      </c>
      <c r="S1417" s="19" t="s">
        <v>115</v>
      </c>
      <c r="T1417" s="257">
        <f t="shared" si="51"/>
        <v>270</v>
      </c>
      <c r="U1417" s="257">
        <f t="shared" si="52"/>
        <v>54</v>
      </c>
      <c r="V1417">
        <v>1</v>
      </c>
      <c r="W1417">
        <v>1</v>
      </c>
    </row>
    <row r="1418" spans="1:23" ht="148.19999999999999" x14ac:dyDescent="0.3">
      <c r="A1418" s="129">
        <v>40119</v>
      </c>
      <c r="B1418" s="129">
        <v>40119</v>
      </c>
      <c r="C1418" s="6">
        <v>11</v>
      </c>
      <c r="D1418" s="6">
        <v>1</v>
      </c>
      <c r="E1418" s="19">
        <v>2009</v>
      </c>
      <c r="F1418" s="15" t="s">
        <v>22</v>
      </c>
      <c r="G1418" s="16" t="s">
        <v>6256</v>
      </c>
      <c r="H1418" s="9" t="s">
        <v>174</v>
      </c>
      <c r="I1418" s="17" t="s">
        <v>2459</v>
      </c>
      <c r="J1418" s="17" t="s">
        <v>2460</v>
      </c>
      <c r="K1418" s="23">
        <v>0</v>
      </c>
      <c r="L1418" s="234">
        <f>((M1418*5))*1</f>
        <v>45780</v>
      </c>
      <c r="M1418" s="23">
        <v>9156</v>
      </c>
      <c r="N1418" s="23">
        <v>235</v>
      </c>
      <c r="O1418" s="23">
        <v>65</v>
      </c>
      <c r="P1418" s="23">
        <v>0</v>
      </c>
      <c r="Q1418" s="92">
        <v>6500</v>
      </c>
      <c r="R1418" s="93">
        <v>1912.32</v>
      </c>
      <c r="S1418" s="19" t="s">
        <v>21</v>
      </c>
      <c r="T1418" s="257">
        <f t="shared" si="51"/>
        <v>45780</v>
      </c>
      <c r="U1418" s="257">
        <f t="shared" si="52"/>
        <v>9456</v>
      </c>
      <c r="V1418">
        <v>2</v>
      </c>
      <c r="W1418">
        <v>2</v>
      </c>
    </row>
    <row r="1419" spans="1:23" ht="91.2" x14ac:dyDescent="0.3">
      <c r="A1419" s="129">
        <v>40152</v>
      </c>
      <c r="B1419" s="129">
        <v>40152</v>
      </c>
      <c r="C1419" s="6">
        <v>12</v>
      </c>
      <c r="D1419" s="6">
        <v>1</v>
      </c>
      <c r="E1419" s="19">
        <v>2009</v>
      </c>
      <c r="F1419" s="15" t="s">
        <v>22</v>
      </c>
      <c r="G1419" s="16" t="s">
        <v>6256</v>
      </c>
      <c r="H1419" s="9" t="s">
        <v>56</v>
      </c>
      <c r="I1419" s="17" t="s">
        <v>2461</v>
      </c>
      <c r="J1419" s="17" t="s">
        <v>2462</v>
      </c>
      <c r="K1419" s="23">
        <v>0</v>
      </c>
      <c r="L1419" s="234">
        <v>1658</v>
      </c>
      <c r="M1419" s="23">
        <v>0</v>
      </c>
      <c r="N1419" s="23">
        <v>0</v>
      </c>
      <c r="O1419" s="23">
        <v>0</v>
      </c>
      <c r="P1419" s="23">
        <v>0</v>
      </c>
      <c r="Q1419" s="92">
        <v>5182</v>
      </c>
      <c r="R1419" s="93">
        <v>70.349999999999994</v>
      </c>
      <c r="S1419" s="19" t="s">
        <v>2191</v>
      </c>
      <c r="T1419" s="257">
        <f t="shared" si="51"/>
        <v>1658</v>
      </c>
      <c r="U1419" s="257">
        <f t="shared" si="52"/>
        <v>0</v>
      </c>
      <c r="V1419">
        <v>1</v>
      </c>
      <c r="W1419">
        <v>0</v>
      </c>
    </row>
    <row r="1420" spans="1:23" ht="91.2" x14ac:dyDescent="0.3">
      <c r="A1420" s="129">
        <v>39995</v>
      </c>
      <c r="B1420" s="129">
        <v>39995</v>
      </c>
      <c r="C1420" s="6">
        <v>7</v>
      </c>
      <c r="D1420" s="6">
        <v>1</v>
      </c>
      <c r="E1420" s="19">
        <v>2009</v>
      </c>
      <c r="F1420" s="15" t="s">
        <v>22</v>
      </c>
      <c r="G1420" s="16" t="s">
        <v>23</v>
      </c>
      <c r="H1420" s="9" t="s">
        <v>88</v>
      </c>
      <c r="I1420" s="17" t="s">
        <v>2463</v>
      </c>
      <c r="J1420" s="17" t="s">
        <v>2464</v>
      </c>
      <c r="K1420" s="23">
        <v>0</v>
      </c>
      <c r="L1420" s="234">
        <v>9975</v>
      </c>
      <c r="M1420" s="23">
        <v>0</v>
      </c>
      <c r="N1420" s="23">
        <v>0</v>
      </c>
      <c r="O1420" s="23">
        <v>0</v>
      </c>
      <c r="P1420" s="23">
        <v>0</v>
      </c>
      <c r="Q1420" s="92">
        <v>40345.360000000001</v>
      </c>
      <c r="R1420" s="93">
        <f>(Q1420*1.63*2801.29)/1000000</f>
        <v>184.22105722847201</v>
      </c>
      <c r="S1420" s="19" t="s">
        <v>327</v>
      </c>
      <c r="T1420" s="257">
        <f t="shared" si="51"/>
        <v>9975</v>
      </c>
      <c r="U1420" s="257">
        <f t="shared" si="52"/>
        <v>0</v>
      </c>
      <c r="V1420">
        <v>1</v>
      </c>
      <c r="W1420">
        <v>0</v>
      </c>
    </row>
    <row r="1421" spans="1:23" ht="159.6" x14ac:dyDescent="0.3">
      <c r="A1421" s="129">
        <v>39995</v>
      </c>
      <c r="B1421" s="129">
        <v>39995</v>
      </c>
      <c r="C1421" s="6">
        <v>7</v>
      </c>
      <c r="D1421" s="6">
        <v>1</v>
      </c>
      <c r="E1421" s="19">
        <v>2009</v>
      </c>
      <c r="F1421" s="15" t="s">
        <v>22</v>
      </c>
      <c r="G1421" s="16" t="s">
        <v>23</v>
      </c>
      <c r="H1421" s="9" t="s">
        <v>88</v>
      </c>
      <c r="I1421" s="17" t="s">
        <v>2465</v>
      </c>
      <c r="J1421" s="17" t="s">
        <v>2466</v>
      </c>
      <c r="K1421" s="23">
        <v>0</v>
      </c>
      <c r="L1421" s="234">
        <v>1629</v>
      </c>
      <c r="M1421" s="23">
        <v>0</v>
      </c>
      <c r="N1421" s="23">
        <v>0</v>
      </c>
      <c r="O1421" s="23">
        <v>0</v>
      </c>
      <c r="P1421" s="23">
        <v>0</v>
      </c>
      <c r="Q1421" s="92"/>
      <c r="R1421" s="93">
        <f>(23522.43*4692.5)/1000000</f>
        <v>110.379002775</v>
      </c>
      <c r="S1421" s="19" t="s">
        <v>327</v>
      </c>
      <c r="T1421" s="257">
        <f t="shared" si="51"/>
        <v>1629</v>
      </c>
      <c r="U1421" s="257">
        <f t="shared" si="52"/>
        <v>0</v>
      </c>
      <c r="V1421">
        <v>1</v>
      </c>
      <c r="W1421">
        <v>0</v>
      </c>
    </row>
    <row r="1422" spans="1:23" ht="148.19999999999999" x14ac:dyDescent="0.3">
      <c r="A1422" s="129">
        <v>39995</v>
      </c>
      <c r="B1422" s="129">
        <v>39995</v>
      </c>
      <c r="C1422" s="6">
        <v>7</v>
      </c>
      <c r="D1422" s="6">
        <v>1</v>
      </c>
      <c r="E1422" s="19">
        <v>2009</v>
      </c>
      <c r="F1422" s="15" t="s">
        <v>22</v>
      </c>
      <c r="G1422" s="16" t="s">
        <v>23</v>
      </c>
      <c r="H1422" s="9" t="s">
        <v>52</v>
      </c>
      <c r="I1422" s="17" t="s">
        <v>2467</v>
      </c>
      <c r="J1422" s="17" t="s">
        <v>2468</v>
      </c>
      <c r="K1422" s="23">
        <v>0</v>
      </c>
      <c r="L1422" s="234">
        <v>12772</v>
      </c>
      <c r="M1422" s="23">
        <v>0</v>
      </c>
      <c r="N1422" s="23">
        <v>0</v>
      </c>
      <c r="O1422" s="23">
        <v>0</v>
      </c>
      <c r="P1422" s="23">
        <v>0</v>
      </c>
      <c r="Q1422" s="92">
        <v>40622.22</v>
      </c>
      <c r="R1422" s="93">
        <f>(Q1422*3.51*2632.78)/1000000</f>
        <v>375.39228298431607</v>
      </c>
      <c r="S1422" s="19" t="s">
        <v>327</v>
      </c>
      <c r="T1422" s="257">
        <f t="shared" si="51"/>
        <v>12772</v>
      </c>
      <c r="U1422" s="257">
        <f t="shared" si="52"/>
        <v>0</v>
      </c>
      <c r="V1422">
        <v>2</v>
      </c>
      <c r="W1422">
        <v>0</v>
      </c>
    </row>
    <row r="1423" spans="1:23" ht="45.6" x14ac:dyDescent="0.3">
      <c r="A1423" s="129">
        <v>39965</v>
      </c>
      <c r="B1423" s="129">
        <v>39965</v>
      </c>
      <c r="C1423" s="6">
        <v>6</v>
      </c>
      <c r="D1423" s="6">
        <v>1</v>
      </c>
      <c r="E1423" s="19">
        <v>2009</v>
      </c>
      <c r="F1423" s="15" t="s">
        <v>22</v>
      </c>
      <c r="G1423" s="16" t="s">
        <v>23</v>
      </c>
      <c r="H1423" s="9" t="s">
        <v>52</v>
      </c>
      <c r="I1423" s="17" t="s">
        <v>2469</v>
      </c>
      <c r="J1423" s="17" t="s">
        <v>2470</v>
      </c>
      <c r="K1423" s="23">
        <v>0</v>
      </c>
      <c r="L1423" s="234">
        <v>4695</v>
      </c>
      <c r="M1423" s="23">
        <v>0</v>
      </c>
      <c r="N1423" s="23">
        <v>0</v>
      </c>
      <c r="O1423" s="23">
        <v>0</v>
      </c>
      <c r="P1423" s="23">
        <v>0</v>
      </c>
      <c r="Q1423" s="92">
        <v>17149.009999999998</v>
      </c>
      <c r="R1423" s="93">
        <f>(Q1423*3.51*2632.78)/1000000</f>
        <v>158.47499262277799</v>
      </c>
      <c r="S1423" s="19" t="s">
        <v>327</v>
      </c>
      <c r="T1423" s="257">
        <f t="shared" si="51"/>
        <v>4695</v>
      </c>
      <c r="U1423" s="257">
        <f t="shared" si="52"/>
        <v>0</v>
      </c>
      <c r="V1423">
        <v>1</v>
      </c>
      <c r="W1423">
        <v>0</v>
      </c>
    </row>
    <row r="1424" spans="1:23" ht="45.6" x14ac:dyDescent="0.3">
      <c r="A1424" s="129">
        <v>39995</v>
      </c>
      <c r="B1424" s="129">
        <v>39995</v>
      </c>
      <c r="C1424" s="6">
        <v>7</v>
      </c>
      <c r="D1424" s="6">
        <v>1</v>
      </c>
      <c r="E1424" s="19">
        <v>2009</v>
      </c>
      <c r="F1424" s="15" t="s">
        <v>22</v>
      </c>
      <c r="G1424" s="16" t="s">
        <v>23</v>
      </c>
      <c r="H1424" s="9" t="s">
        <v>56</v>
      </c>
      <c r="I1424" s="17" t="s">
        <v>2471</v>
      </c>
      <c r="J1424" s="17" t="s">
        <v>2472</v>
      </c>
      <c r="K1424" s="23">
        <v>0</v>
      </c>
      <c r="L1424" s="234">
        <v>3642</v>
      </c>
      <c r="M1424" s="23">
        <v>0</v>
      </c>
      <c r="N1424" s="23">
        <v>0</v>
      </c>
      <c r="O1424" s="23">
        <v>0</v>
      </c>
      <c r="P1424" s="23">
        <v>0</v>
      </c>
      <c r="Q1424" s="92">
        <v>6700.5</v>
      </c>
      <c r="R1424" s="93">
        <f>(Q1424*4.1*2803.33)/1000000</f>
        <v>77.013221926499995</v>
      </c>
      <c r="S1424" s="19" t="s">
        <v>327</v>
      </c>
      <c r="T1424" s="257">
        <f t="shared" si="51"/>
        <v>3642</v>
      </c>
      <c r="U1424" s="257">
        <f t="shared" si="52"/>
        <v>0</v>
      </c>
      <c r="V1424">
        <v>1</v>
      </c>
      <c r="W1424">
        <v>0</v>
      </c>
    </row>
    <row r="1425" spans="1:23" ht="45.6" x14ac:dyDescent="0.3">
      <c r="A1425" s="129">
        <v>39965</v>
      </c>
      <c r="B1425" s="129">
        <v>39965</v>
      </c>
      <c r="C1425" s="6">
        <v>6</v>
      </c>
      <c r="D1425" s="6">
        <v>1</v>
      </c>
      <c r="E1425" s="19">
        <v>2009</v>
      </c>
      <c r="F1425" s="15" t="s">
        <v>22</v>
      </c>
      <c r="G1425" s="16" t="s">
        <v>23</v>
      </c>
      <c r="H1425" s="9" t="s">
        <v>66</v>
      </c>
      <c r="I1425" s="17" t="s">
        <v>2473</v>
      </c>
      <c r="J1425" s="17" t="s">
        <v>2474</v>
      </c>
      <c r="K1425" s="23">
        <v>0</v>
      </c>
      <c r="L1425" s="234">
        <v>6168</v>
      </c>
      <c r="M1425" s="23">
        <v>0</v>
      </c>
      <c r="N1425" s="23">
        <v>0</v>
      </c>
      <c r="O1425" s="23">
        <v>0</v>
      </c>
      <c r="P1425" s="23">
        <v>0</v>
      </c>
      <c r="Q1425" s="92">
        <v>17529.88</v>
      </c>
      <c r="R1425" s="93">
        <f>(Q1425*2.79*2414.89)/1000000</f>
        <v>118.108322037828</v>
      </c>
      <c r="S1425" s="19" t="s">
        <v>327</v>
      </c>
      <c r="T1425" s="257">
        <f t="shared" si="51"/>
        <v>6168</v>
      </c>
      <c r="U1425" s="257">
        <f t="shared" si="52"/>
        <v>0</v>
      </c>
      <c r="V1425">
        <v>1</v>
      </c>
      <c r="W1425">
        <v>0</v>
      </c>
    </row>
    <row r="1426" spans="1:23" ht="45.6" x14ac:dyDescent="0.3">
      <c r="A1426" s="129">
        <v>39995</v>
      </c>
      <c r="B1426" s="129">
        <v>39995</v>
      </c>
      <c r="C1426" s="6">
        <v>7</v>
      </c>
      <c r="D1426" s="6">
        <v>1</v>
      </c>
      <c r="E1426" s="19">
        <v>2009</v>
      </c>
      <c r="F1426" s="15" t="s">
        <v>22</v>
      </c>
      <c r="G1426" s="16" t="s">
        <v>23</v>
      </c>
      <c r="H1426" s="9" t="s">
        <v>66</v>
      </c>
      <c r="I1426" s="17" t="s">
        <v>2475</v>
      </c>
      <c r="J1426" s="17" t="s">
        <v>2476</v>
      </c>
      <c r="K1426" s="23">
        <v>0</v>
      </c>
      <c r="L1426" s="234">
        <v>4481</v>
      </c>
      <c r="M1426" s="23">
        <v>0</v>
      </c>
      <c r="N1426" s="23">
        <v>0</v>
      </c>
      <c r="O1426" s="23">
        <v>0</v>
      </c>
      <c r="P1426" s="23">
        <v>0</v>
      </c>
      <c r="Q1426" s="92">
        <v>12991.43</v>
      </c>
      <c r="R1426" s="93">
        <f>(Q1426*0.89*6424.19)/1000000</f>
        <v>74.278879075612991</v>
      </c>
      <c r="S1426" s="19" t="s">
        <v>327</v>
      </c>
      <c r="T1426" s="257">
        <f t="shared" si="51"/>
        <v>4481</v>
      </c>
      <c r="U1426" s="257">
        <f t="shared" si="52"/>
        <v>0</v>
      </c>
      <c r="V1426">
        <v>1</v>
      </c>
      <c r="W1426">
        <v>0</v>
      </c>
    </row>
    <row r="1427" spans="1:23" ht="102.6" x14ac:dyDescent="0.3">
      <c r="A1427" s="129">
        <v>39995</v>
      </c>
      <c r="B1427" s="129">
        <v>39995</v>
      </c>
      <c r="C1427" s="6">
        <v>7</v>
      </c>
      <c r="D1427" s="6">
        <v>1</v>
      </c>
      <c r="E1427" s="19">
        <v>2009</v>
      </c>
      <c r="F1427" s="15" t="s">
        <v>22</v>
      </c>
      <c r="G1427" s="16" t="s">
        <v>23</v>
      </c>
      <c r="H1427" s="9" t="s">
        <v>46</v>
      </c>
      <c r="I1427" s="17" t="s">
        <v>2477</v>
      </c>
      <c r="J1427" s="17" t="s">
        <v>2478</v>
      </c>
      <c r="K1427" s="23">
        <v>0</v>
      </c>
      <c r="L1427" s="234">
        <v>8756</v>
      </c>
      <c r="M1427" s="23">
        <v>0</v>
      </c>
      <c r="N1427" s="23">
        <v>0</v>
      </c>
      <c r="O1427" s="23">
        <v>0</v>
      </c>
      <c r="P1427" s="23">
        <v>0</v>
      </c>
      <c r="Q1427" s="92">
        <v>32779.32</v>
      </c>
      <c r="R1427" s="93">
        <f>(Q1427*4.22*2575.67)/1000000</f>
        <v>356.28916102936796</v>
      </c>
      <c r="S1427" s="19" t="s">
        <v>327</v>
      </c>
      <c r="T1427" s="257">
        <f t="shared" si="51"/>
        <v>8756</v>
      </c>
      <c r="U1427" s="257">
        <f t="shared" si="52"/>
        <v>0</v>
      </c>
      <c r="V1427">
        <v>1</v>
      </c>
      <c r="W1427">
        <v>0</v>
      </c>
    </row>
    <row r="1428" spans="1:23" ht="45.6" x14ac:dyDescent="0.3">
      <c r="A1428" s="129">
        <v>39965</v>
      </c>
      <c r="B1428" s="129">
        <v>39965</v>
      </c>
      <c r="C1428" s="6">
        <v>6</v>
      </c>
      <c r="D1428" s="6">
        <v>1</v>
      </c>
      <c r="E1428" s="19">
        <v>2009</v>
      </c>
      <c r="F1428" s="15" t="s">
        <v>22</v>
      </c>
      <c r="G1428" s="16" t="s">
        <v>23</v>
      </c>
      <c r="H1428" s="9" t="s">
        <v>70</v>
      </c>
      <c r="I1428" s="17" t="s">
        <v>2479</v>
      </c>
      <c r="J1428" s="17" t="s">
        <v>2480</v>
      </c>
      <c r="K1428" s="23">
        <v>0</v>
      </c>
      <c r="L1428" s="234">
        <v>2737</v>
      </c>
      <c r="M1428" s="23">
        <v>0</v>
      </c>
      <c r="N1428" s="23">
        <v>0</v>
      </c>
      <c r="O1428" s="23">
        <v>0</v>
      </c>
      <c r="P1428" s="23">
        <v>0</v>
      </c>
      <c r="Q1428" s="92">
        <v>6843</v>
      </c>
      <c r="R1428" s="93">
        <f>(Q1428*10.5*3053.49)/1000000</f>
        <v>219.397836735</v>
      </c>
      <c r="S1428" s="19" t="s">
        <v>327</v>
      </c>
      <c r="T1428" s="257">
        <f t="shared" si="51"/>
        <v>2737</v>
      </c>
      <c r="U1428" s="257">
        <f t="shared" si="52"/>
        <v>0</v>
      </c>
      <c r="V1428">
        <v>1</v>
      </c>
      <c r="W1428">
        <v>0</v>
      </c>
    </row>
    <row r="1429" spans="1:23" ht="262.2" x14ac:dyDescent="0.3">
      <c r="A1429" s="129">
        <v>39965</v>
      </c>
      <c r="B1429" s="129">
        <v>39965</v>
      </c>
      <c r="C1429" s="6">
        <v>6</v>
      </c>
      <c r="D1429" s="6">
        <v>1</v>
      </c>
      <c r="E1429" s="19">
        <v>2009</v>
      </c>
      <c r="F1429" s="15" t="s">
        <v>22</v>
      </c>
      <c r="G1429" s="16" t="s">
        <v>23</v>
      </c>
      <c r="H1429" s="9" t="s">
        <v>64</v>
      </c>
      <c r="I1429" s="17" t="s">
        <v>2481</v>
      </c>
      <c r="J1429" s="17" t="s">
        <v>2482</v>
      </c>
      <c r="K1429" s="92">
        <v>0</v>
      </c>
      <c r="L1429" s="234">
        <v>13816</v>
      </c>
      <c r="M1429" s="23">
        <v>0</v>
      </c>
      <c r="N1429" s="23">
        <v>0</v>
      </c>
      <c r="O1429" s="23">
        <v>0</v>
      </c>
      <c r="P1429" s="23">
        <v>0</v>
      </c>
      <c r="Q1429" s="92">
        <v>38675.870000000003</v>
      </c>
      <c r="R1429" s="93">
        <f>(Q1429*1.86*2846.2)/1000000</f>
        <v>204.74742582084002</v>
      </c>
      <c r="S1429" s="19" t="s">
        <v>327</v>
      </c>
      <c r="T1429" s="257">
        <f t="shared" si="51"/>
        <v>13816</v>
      </c>
      <c r="U1429" s="257">
        <f t="shared" si="52"/>
        <v>0</v>
      </c>
      <c r="V1429">
        <v>2</v>
      </c>
      <c r="W1429">
        <v>0</v>
      </c>
    </row>
    <row r="1430" spans="1:23" ht="193.8" x14ac:dyDescent="0.3">
      <c r="A1430" s="129">
        <v>39934</v>
      </c>
      <c r="B1430" s="129">
        <v>39934</v>
      </c>
      <c r="C1430" s="6">
        <v>5</v>
      </c>
      <c r="D1430" s="6">
        <v>1</v>
      </c>
      <c r="E1430" s="19">
        <v>2009</v>
      </c>
      <c r="F1430" s="15" t="s">
        <v>22</v>
      </c>
      <c r="G1430" s="16" t="s">
        <v>23</v>
      </c>
      <c r="H1430" s="9" t="s">
        <v>124</v>
      </c>
      <c r="I1430" s="17" t="s">
        <v>2483</v>
      </c>
      <c r="J1430" s="17" t="s">
        <v>2484</v>
      </c>
      <c r="K1430" s="23">
        <v>0</v>
      </c>
      <c r="L1430" s="234">
        <v>943</v>
      </c>
      <c r="M1430" s="23">
        <v>0</v>
      </c>
      <c r="N1430" s="23">
        <v>0</v>
      </c>
      <c r="O1430" s="23">
        <v>0</v>
      </c>
      <c r="P1430" s="23">
        <v>0</v>
      </c>
      <c r="Q1430" s="92"/>
      <c r="R1430" s="93">
        <f>(4692.5*9666.2)/1000000</f>
        <v>45.358643499999999</v>
      </c>
      <c r="S1430" s="19" t="s">
        <v>327</v>
      </c>
      <c r="T1430" s="257">
        <f t="shared" si="51"/>
        <v>943</v>
      </c>
      <c r="U1430" s="257">
        <f t="shared" si="52"/>
        <v>0</v>
      </c>
      <c r="V1430">
        <v>1</v>
      </c>
      <c r="W1430">
        <v>0</v>
      </c>
    </row>
    <row r="1431" spans="1:23" ht="34.200000000000003" x14ac:dyDescent="0.3">
      <c r="A1431" s="129">
        <v>39995</v>
      </c>
      <c r="B1431" s="129">
        <v>39995</v>
      </c>
      <c r="C1431" s="6">
        <v>7</v>
      </c>
      <c r="D1431" s="6">
        <v>1</v>
      </c>
      <c r="E1431" s="19">
        <v>2009</v>
      </c>
      <c r="F1431" s="15" t="s">
        <v>22</v>
      </c>
      <c r="G1431" s="16" t="s">
        <v>23</v>
      </c>
      <c r="H1431" s="9" t="s">
        <v>61</v>
      </c>
      <c r="I1431" s="17" t="s">
        <v>2485</v>
      </c>
      <c r="J1431" s="17" t="s">
        <v>2486</v>
      </c>
      <c r="K1431" s="23"/>
      <c r="L1431" s="234">
        <v>47814</v>
      </c>
      <c r="M1431" s="23"/>
      <c r="N1431" s="23"/>
      <c r="O1431" s="23"/>
      <c r="P1431" s="23">
        <v>0</v>
      </c>
      <c r="Q1431" s="92">
        <v>62745.5</v>
      </c>
      <c r="R1431" s="93">
        <f>(Q1431*1.32*3458.55)/1000000</f>
        <v>286.451152713</v>
      </c>
      <c r="S1431" s="19" t="s">
        <v>327</v>
      </c>
      <c r="T1431" s="257">
        <f t="shared" si="51"/>
        <v>47814</v>
      </c>
      <c r="U1431" s="257">
        <f t="shared" si="52"/>
        <v>0</v>
      </c>
      <c r="V1431">
        <v>2</v>
      </c>
      <c r="W1431">
        <v>0</v>
      </c>
    </row>
    <row r="1432" spans="1:23" ht="45.6" x14ac:dyDescent="0.3">
      <c r="A1432" s="129">
        <v>39995</v>
      </c>
      <c r="B1432" s="129">
        <v>39995</v>
      </c>
      <c r="C1432" s="6">
        <v>7</v>
      </c>
      <c r="D1432" s="6">
        <v>1</v>
      </c>
      <c r="E1432" s="19">
        <v>2009</v>
      </c>
      <c r="F1432" s="15" t="s">
        <v>22</v>
      </c>
      <c r="G1432" s="16" t="s">
        <v>23</v>
      </c>
      <c r="H1432" s="9" t="s">
        <v>52</v>
      </c>
      <c r="I1432" s="17" t="s">
        <v>2487</v>
      </c>
      <c r="J1432" s="17" t="s">
        <v>2488</v>
      </c>
      <c r="K1432" s="23">
        <v>0</v>
      </c>
      <c r="L1432" s="234">
        <v>2906</v>
      </c>
      <c r="M1432" s="23">
        <v>0</v>
      </c>
      <c r="N1432" s="23">
        <v>0</v>
      </c>
      <c r="O1432" s="23">
        <v>0</v>
      </c>
      <c r="P1432" s="23">
        <v>0</v>
      </c>
      <c r="Q1432" s="92">
        <v>10040.540000000001</v>
      </c>
      <c r="R1432" s="93">
        <f>(Q1432*3.51*2632.78)/1000000</f>
        <v>92.785210483212012</v>
      </c>
      <c r="S1432" s="19" t="s">
        <v>327</v>
      </c>
      <c r="T1432" s="257">
        <f t="shared" si="51"/>
        <v>2906</v>
      </c>
      <c r="U1432" s="257">
        <f t="shared" si="52"/>
        <v>0</v>
      </c>
      <c r="V1432">
        <v>1</v>
      </c>
      <c r="W1432">
        <v>0</v>
      </c>
    </row>
    <row r="1433" spans="1:23" ht="45.6" x14ac:dyDescent="0.3">
      <c r="A1433" s="129">
        <v>39995</v>
      </c>
      <c r="B1433" s="129">
        <v>39995</v>
      </c>
      <c r="C1433" s="6">
        <v>7</v>
      </c>
      <c r="D1433" s="6">
        <v>1</v>
      </c>
      <c r="E1433" s="19">
        <v>2009</v>
      </c>
      <c r="F1433" s="15" t="s">
        <v>22</v>
      </c>
      <c r="G1433" s="16" t="s">
        <v>23</v>
      </c>
      <c r="H1433" s="9" t="s">
        <v>41</v>
      </c>
      <c r="I1433" s="17" t="s">
        <v>2489</v>
      </c>
      <c r="J1433" s="17" t="s">
        <v>2490</v>
      </c>
      <c r="K1433" s="23">
        <v>0</v>
      </c>
      <c r="L1433" s="234">
        <v>460</v>
      </c>
      <c r="M1433" s="23">
        <v>0</v>
      </c>
      <c r="N1433" s="23">
        <v>0</v>
      </c>
      <c r="O1433" s="23">
        <v>0</v>
      </c>
      <c r="P1433" s="23">
        <v>0</v>
      </c>
      <c r="Q1433" s="13">
        <v>0</v>
      </c>
      <c r="R1433" s="93">
        <f>(12075*4692.5)/1000000</f>
        <v>56.661937500000001</v>
      </c>
      <c r="S1433" s="19" t="s">
        <v>327</v>
      </c>
      <c r="T1433" s="257">
        <f t="shared" si="51"/>
        <v>460</v>
      </c>
      <c r="U1433" s="257">
        <f t="shared" si="52"/>
        <v>0</v>
      </c>
      <c r="V1433">
        <v>1</v>
      </c>
      <c r="W1433">
        <v>0</v>
      </c>
    </row>
    <row r="1434" spans="1:23" ht="45.6" x14ac:dyDescent="0.3">
      <c r="A1434" s="129">
        <v>39995</v>
      </c>
      <c r="B1434" s="129">
        <v>39995</v>
      </c>
      <c r="C1434" s="6">
        <v>7</v>
      </c>
      <c r="D1434" s="6">
        <v>1</v>
      </c>
      <c r="E1434" s="19">
        <v>2009</v>
      </c>
      <c r="F1434" s="15" t="s">
        <v>22</v>
      </c>
      <c r="G1434" s="16" t="s">
        <v>23</v>
      </c>
      <c r="H1434" s="9" t="s">
        <v>46</v>
      </c>
      <c r="I1434" s="17" t="s">
        <v>2491</v>
      </c>
      <c r="J1434" s="17" t="s">
        <v>2492</v>
      </c>
      <c r="K1434" s="23">
        <v>0</v>
      </c>
      <c r="L1434" s="234">
        <v>529</v>
      </c>
      <c r="M1434" s="23">
        <v>0</v>
      </c>
      <c r="N1434" s="23">
        <v>0</v>
      </c>
      <c r="O1434" s="23">
        <v>0</v>
      </c>
      <c r="P1434" s="23">
        <v>0</v>
      </c>
      <c r="Q1434" s="92">
        <v>1002.07</v>
      </c>
      <c r="R1434" s="93">
        <f>(Q1434*4.22*2575.67)/1000000</f>
        <v>10.891826907717999</v>
      </c>
      <c r="S1434" s="19" t="s">
        <v>327</v>
      </c>
      <c r="T1434" s="257">
        <f t="shared" si="51"/>
        <v>529</v>
      </c>
      <c r="U1434" s="257">
        <f t="shared" si="52"/>
        <v>0</v>
      </c>
      <c r="V1434">
        <v>1</v>
      </c>
      <c r="W1434">
        <v>0</v>
      </c>
    </row>
    <row r="1435" spans="1:23" ht="79.8" x14ac:dyDescent="0.3">
      <c r="A1435" s="129">
        <v>39995</v>
      </c>
      <c r="B1435" s="129">
        <v>39995</v>
      </c>
      <c r="C1435" s="6">
        <v>7</v>
      </c>
      <c r="D1435" s="6">
        <v>1</v>
      </c>
      <c r="E1435" s="19">
        <v>2009</v>
      </c>
      <c r="F1435" s="15" t="s">
        <v>22</v>
      </c>
      <c r="G1435" s="16" t="s">
        <v>23</v>
      </c>
      <c r="H1435" s="9" t="s">
        <v>88</v>
      </c>
      <c r="I1435" s="17" t="s">
        <v>2493</v>
      </c>
      <c r="J1435" s="17" t="s">
        <v>2494</v>
      </c>
      <c r="K1435" s="23">
        <v>0</v>
      </c>
      <c r="L1435" s="234">
        <v>11603</v>
      </c>
      <c r="M1435" s="23">
        <v>0</v>
      </c>
      <c r="N1435" s="23">
        <v>0</v>
      </c>
      <c r="O1435" s="23">
        <v>0</v>
      </c>
      <c r="P1435" s="23">
        <v>0</v>
      </c>
      <c r="Q1435" s="92">
        <v>40345.360000000001</v>
      </c>
      <c r="R1435" s="93">
        <f>((Q1435*1.63*2801.29)+23522.43*4692.5)/1000000</f>
        <v>294.60006000347198</v>
      </c>
      <c r="S1435" s="19" t="s">
        <v>327</v>
      </c>
      <c r="T1435" s="257">
        <f t="shared" si="51"/>
        <v>11603</v>
      </c>
      <c r="U1435" s="257">
        <f t="shared" si="52"/>
        <v>0</v>
      </c>
      <c r="V1435">
        <v>2</v>
      </c>
      <c r="W1435">
        <v>0</v>
      </c>
    </row>
    <row r="1436" spans="1:23" ht="45.6" x14ac:dyDescent="0.3">
      <c r="A1436" s="129">
        <v>40026</v>
      </c>
      <c r="B1436" s="129">
        <v>40026</v>
      </c>
      <c r="C1436" s="6">
        <v>8</v>
      </c>
      <c r="D1436" s="6">
        <v>1</v>
      </c>
      <c r="E1436" s="19">
        <v>2009</v>
      </c>
      <c r="F1436" s="15" t="s">
        <v>22</v>
      </c>
      <c r="G1436" s="16" t="s">
        <v>23</v>
      </c>
      <c r="H1436" s="9" t="s">
        <v>64</v>
      </c>
      <c r="I1436" s="17" t="s">
        <v>2495</v>
      </c>
      <c r="J1436" s="17" t="s">
        <v>2496</v>
      </c>
      <c r="K1436" s="23">
        <v>0</v>
      </c>
      <c r="L1436" s="234">
        <v>526</v>
      </c>
      <c r="M1436" s="23">
        <v>0</v>
      </c>
      <c r="N1436" s="23">
        <v>0</v>
      </c>
      <c r="O1436" s="23">
        <v>0</v>
      </c>
      <c r="P1436" s="23">
        <v>0</v>
      </c>
      <c r="Q1436" s="92">
        <v>1165.18</v>
      </c>
      <c r="R1436" s="93">
        <f>(Q1436*1.86*2846.2)/1000000</f>
        <v>6.1683836877600005</v>
      </c>
      <c r="S1436" s="19" t="s">
        <v>327</v>
      </c>
      <c r="T1436" s="257">
        <f t="shared" si="51"/>
        <v>526</v>
      </c>
      <c r="U1436" s="257">
        <f t="shared" si="52"/>
        <v>0</v>
      </c>
      <c r="V1436">
        <v>1</v>
      </c>
      <c r="W1436">
        <v>0</v>
      </c>
    </row>
    <row r="1437" spans="1:23" ht="239.4" x14ac:dyDescent="0.3">
      <c r="A1437" s="129">
        <v>39965</v>
      </c>
      <c r="B1437" s="129">
        <v>39965</v>
      </c>
      <c r="C1437" s="6">
        <v>6</v>
      </c>
      <c r="D1437" s="6">
        <v>1</v>
      </c>
      <c r="E1437" s="19">
        <v>2009</v>
      </c>
      <c r="F1437" s="15" t="s">
        <v>22</v>
      </c>
      <c r="G1437" s="16" t="s">
        <v>23</v>
      </c>
      <c r="H1437" s="9" t="s">
        <v>64</v>
      </c>
      <c r="I1437" s="17" t="s">
        <v>2497</v>
      </c>
      <c r="J1437" s="17" t="s">
        <v>2498</v>
      </c>
      <c r="K1437" s="23">
        <v>0</v>
      </c>
      <c r="L1437" s="234">
        <v>13326</v>
      </c>
      <c r="M1437" s="23">
        <v>0</v>
      </c>
      <c r="N1437" s="23">
        <v>0</v>
      </c>
      <c r="O1437" s="23">
        <v>0</v>
      </c>
      <c r="P1437" s="23">
        <v>0</v>
      </c>
      <c r="Q1437" s="92">
        <v>37510.69</v>
      </c>
      <c r="R1437" s="93">
        <f>((Q1437*1.86*2846.2)+726*4692.5)/1000000</f>
        <v>201.98579713308001</v>
      </c>
      <c r="S1437" s="19" t="s">
        <v>327</v>
      </c>
      <c r="T1437" s="257">
        <f t="shared" si="51"/>
        <v>13326</v>
      </c>
      <c r="U1437" s="257">
        <f t="shared" si="52"/>
        <v>0</v>
      </c>
      <c r="V1437">
        <v>2</v>
      </c>
      <c r="W1437">
        <v>0</v>
      </c>
    </row>
    <row r="1438" spans="1:23" ht="45.6" x14ac:dyDescent="0.3">
      <c r="A1438" s="129">
        <v>39995</v>
      </c>
      <c r="B1438" s="129">
        <v>39995</v>
      </c>
      <c r="C1438" s="6">
        <v>7</v>
      </c>
      <c r="D1438" s="6">
        <v>1</v>
      </c>
      <c r="E1438" s="19">
        <v>2009</v>
      </c>
      <c r="F1438" s="15" t="s">
        <v>22</v>
      </c>
      <c r="G1438" s="16" t="s">
        <v>23</v>
      </c>
      <c r="H1438" s="9" t="s">
        <v>52</v>
      </c>
      <c r="I1438" s="17" t="s">
        <v>2499</v>
      </c>
      <c r="J1438" s="17" t="s">
        <v>2500</v>
      </c>
      <c r="K1438" s="23">
        <v>0</v>
      </c>
      <c r="L1438" s="234">
        <v>4695</v>
      </c>
      <c r="M1438" s="23">
        <v>0</v>
      </c>
      <c r="N1438" s="23">
        <v>0</v>
      </c>
      <c r="O1438" s="23">
        <v>0</v>
      </c>
      <c r="P1438" s="23">
        <v>0</v>
      </c>
      <c r="Q1438" s="92">
        <v>17149.009999999998</v>
      </c>
      <c r="R1438" s="93">
        <f>(Q1438*3.51*2632.78)/1000000</f>
        <v>158.47499262277799</v>
      </c>
      <c r="S1438" s="19" t="s">
        <v>327</v>
      </c>
      <c r="T1438" s="257">
        <f t="shared" si="51"/>
        <v>4695</v>
      </c>
      <c r="U1438" s="257">
        <f t="shared" si="52"/>
        <v>0</v>
      </c>
      <c r="V1438">
        <v>1</v>
      </c>
      <c r="W1438">
        <v>0</v>
      </c>
    </row>
    <row r="1439" spans="1:23" ht="91.2" x14ac:dyDescent="0.3">
      <c r="A1439" s="129">
        <v>39965</v>
      </c>
      <c r="B1439" s="129">
        <v>39965</v>
      </c>
      <c r="C1439" s="6">
        <v>6</v>
      </c>
      <c r="D1439" s="6">
        <v>1</v>
      </c>
      <c r="E1439" s="19">
        <v>2009</v>
      </c>
      <c r="F1439" s="15" t="s">
        <v>22</v>
      </c>
      <c r="G1439" s="16" t="s">
        <v>23</v>
      </c>
      <c r="H1439" s="9" t="s">
        <v>124</v>
      </c>
      <c r="I1439" s="17" t="s">
        <v>2501</v>
      </c>
      <c r="J1439" s="17" t="s">
        <v>2502</v>
      </c>
      <c r="K1439" s="23">
        <v>0</v>
      </c>
      <c r="L1439" s="234">
        <v>539</v>
      </c>
      <c r="M1439" s="23">
        <v>0</v>
      </c>
      <c r="N1439" s="23">
        <v>0</v>
      </c>
      <c r="O1439" s="23">
        <v>0</v>
      </c>
      <c r="P1439" s="23">
        <v>0</v>
      </c>
      <c r="Q1439" s="92">
        <v>0</v>
      </c>
      <c r="R1439" s="93">
        <f>(8730*4692.5)/1000000</f>
        <v>40.965525</v>
      </c>
      <c r="S1439" s="19" t="s">
        <v>327</v>
      </c>
      <c r="T1439" s="257">
        <f t="shared" si="51"/>
        <v>539</v>
      </c>
      <c r="U1439" s="257">
        <f t="shared" si="52"/>
        <v>0</v>
      </c>
      <c r="V1439">
        <v>1</v>
      </c>
      <c r="W1439">
        <v>0</v>
      </c>
    </row>
    <row r="1440" spans="1:23" ht="34.200000000000003" x14ac:dyDescent="0.3">
      <c r="A1440" s="129">
        <v>39995</v>
      </c>
      <c r="B1440" s="129">
        <v>39995</v>
      </c>
      <c r="C1440" s="6">
        <v>7</v>
      </c>
      <c r="D1440" s="6">
        <v>1</v>
      </c>
      <c r="E1440" s="19">
        <v>2009</v>
      </c>
      <c r="F1440" s="15" t="s">
        <v>22</v>
      </c>
      <c r="G1440" s="16" t="s">
        <v>23</v>
      </c>
      <c r="H1440" s="9" t="s">
        <v>52</v>
      </c>
      <c r="I1440" s="17" t="s">
        <v>2503</v>
      </c>
      <c r="J1440" s="17" t="s">
        <v>2504</v>
      </c>
      <c r="K1440" s="23">
        <v>0</v>
      </c>
      <c r="L1440" s="234">
        <v>321</v>
      </c>
      <c r="M1440" s="23">
        <v>0</v>
      </c>
      <c r="N1440" s="23">
        <v>0</v>
      </c>
      <c r="O1440" s="23">
        <v>0</v>
      </c>
      <c r="P1440" s="23">
        <v>0</v>
      </c>
      <c r="Q1440" s="92">
        <v>945.63</v>
      </c>
      <c r="R1440" s="93">
        <f>(Q1440*3.51*2632.78)/1000000</f>
        <v>8.7386214874140009</v>
      </c>
      <c r="S1440" s="19" t="s">
        <v>327</v>
      </c>
      <c r="T1440" s="257">
        <f t="shared" si="51"/>
        <v>321</v>
      </c>
      <c r="U1440" s="257">
        <f t="shared" si="52"/>
        <v>0</v>
      </c>
      <c r="V1440">
        <v>1</v>
      </c>
      <c r="W1440">
        <v>0</v>
      </c>
    </row>
    <row r="1441" spans="1:23" ht="34.200000000000003" x14ac:dyDescent="0.3">
      <c r="A1441" s="129">
        <v>39814</v>
      </c>
      <c r="B1441" s="129">
        <v>40178</v>
      </c>
      <c r="C1441" s="6">
        <v>1</v>
      </c>
      <c r="D1441" s="6">
        <v>365</v>
      </c>
      <c r="E1441" s="19">
        <v>2009</v>
      </c>
      <c r="F1441" s="15" t="s">
        <v>22</v>
      </c>
      <c r="G1441" s="18" t="s">
        <v>6255</v>
      </c>
      <c r="H1441" s="9" t="s">
        <v>34</v>
      </c>
      <c r="I1441" s="53"/>
      <c r="J1441" s="53" t="s">
        <v>2505</v>
      </c>
      <c r="K1441" s="23">
        <v>13</v>
      </c>
      <c r="L1441" s="234">
        <v>0</v>
      </c>
      <c r="M1441" s="23">
        <v>0</v>
      </c>
      <c r="N1441" s="23">
        <v>0</v>
      </c>
      <c r="O1441" s="23">
        <v>0</v>
      </c>
      <c r="P1441" s="23">
        <v>0</v>
      </c>
      <c r="Q1441" s="23">
        <v>0</v>
      </c>
      <c r="R1441" s="93">
        <v>0</v>
      </c>
      <c r="S1441" s="19" t="s">
        <v>1219</v>
      </c>
      <c r="T1441" s="257">
        <f t="shared" si="51"/>
        <v>13</v>
      </c>
      <c r="U1441" s="257">
        <f t="shared" si="52"/>
        <v>0</v>
      </c>
      <c r="V1441">
        <v>1</v>
      </c>
      <c r="W1441">
        <v>0</v>
      </c>
    </row>
    <row r="1442" spans="1:23" ht="22.8" x14ac:dyDescent="0.3">
      <c r="A1442" s="129">
        <v>39814</v>
      </c>
      <c r="B1442" s="129">
        <v>40178</v>
      </c>
      <c r="C1442" s="6">
        <v>1</v>
      </c>
      <c r="D1442" s="6">
        <v>365</v>
      </c>
      <c r="E1442" s="19">
        <v>2009</v>
      </c>
      <c r="F1442" s="15" t="s">
        <v>22</v>
      </c>
      <c r="G1442" s="18" t="s">
        <v>6255</v>
      </c>
      <c r="H1442" s="9" t="s">
        <v>41</v>
      </c>
      <c r="I1442" s="53"/>
      <c r="J1442" s="53" t="s">
        <v>2506</v>
      </c>
      <c r="K1442" s="23">
        <v>1</v>
      </c>
      <c r="L1442" s="234">
        <v>0</v>
      </c>
      <c r="M1442" s="23">
        <v>0</v>
      </c>
      <c r="N1442" s="23">
        <v>0</v>
      </c>
      <c r="O1442" s="23">
        <v>0</v>
      </c>
      <c r="P1442" s="23">
        <v>0</v>
      </c>
      <c r="Q1442" s="23">
        <v>0</v>
      </c>
      <c r="R1442" s="93">
        <v>0</v>
      </c>
      <c r="S1442" s="19" t="s">
        <v>1219</v>
      </c>
      <c r="T1442" s="257">
        <f t="shared" si="51"/>
        <v>1</v>
      </c>
      <c r="U1442" s="257">
        <f t="shared" si="52"/>
        <v>0</v>
      </c>
      <c r="V1442">
        <v>1</v>
      </c>
      <c r="W1442">
        <v>0</v>
      </c>
    </row>
    <row r="1443" spans="1:23" ht="22.8" x14ac:dyDescent="0.3">
      <c r="A1443" s="129">
        <v>39814</v>
      </c>
      <c r="B1443" s="129">
        <v>40178</v>
      </c>
      <c r="C1443" s="6">
        <v>1</v>
      </c>
      <c r="D1443" s="6">
        <v>365</v>
      </c>
      <c r="E1443" s="19">
        <v>2009</v>
      </c>
      <c r="F1443" s="15" t="s">
        <v>22</v>
      </c>
      <c r="G1443" s="18" t="s">
        <v>6255</v>
      </c>
      <c r="H1443" s="9" t="s">
        <v>64</v>
      </c>
      <c r="I1443" s="53"/>
      <c r="J1443" s="53" t="s">
        <v>2507</v>
      </c>
      <c r="K1443" s="23">
        <v>2</v>
      </c>
      <c r="L1443" s="234">
        <v>0</v>
      </c>
      <c r="M1443" s="23">
        <v>0</v>
      </c>
      <c r="N1443" s="23">
        <v>0</v>
      </c>
      <c r="O1443" s="23">
        <v>0</v>
      </c>
      <c r="P1443" s="23">
        <v>0</v>
      </c>
      <c r="Q1443" s="23">
        <v>0</v>
      </c>
      <c r="R1443" s="93">
        <v>0</v>
      </c>
      <c r="S1443" s="19" t="s">
        <v>1219</v>
      </c>
      <c r="T1443" s="257">
        <f t="shared" si="51"/>
        <v>2</v>
      </c>
      <c r="U1443" s="257">
        <f t="shared" si="52"/>
        <v>0</v>
      </c>
      <c r="V1443">
        <v>1</v>
      </c>
      <c r="W1443">
        <v>0</v>
      </c>
    </row>
    <row r="1444" spans="1:23" ht="34.200000000000003" x14ac:dyDescent="0.3">
      <c r="A1444" s="129">
        <v>39814</v>
      </c>
      <c r="B1444" s="129">
        <v>40178</v>
      </c>
      <c r="C1444" s="6">
        <v>1</v>
      </c>
      <c r="D1444" s="6">
        <v>365</v>
      </c>
      <c r="E1444" s="19">
        <v>2009</v>
      </c>
      <c r="F1444" s="15" t="s">
        <v>22</v>
      </c>
      <c r="G1444" s="18" t="s">
        <v>6255</v>
      </c>
      <c r="H1444" s="9" t="s">
        <v>27</v>
      </c>
      <c r="I1444" s="53"/>
      <c r="J1444" s="53" t="s">
        <v>2508</v>
      </c>
      <c r="K1444" s="23">
        <v>3</v>
      </c>
      <c r="L1444" s="234">
        <v>0</v>
      </c>
      <c r="M1444" s="23">
        <v>0</v>
      </c>
      <c r="N1444" s="23">
        <v>0</v>
      </c>
      <c r="O1444" s="23">
        <v>0</v>
      </c>
      <c r="P1444" s="23">
        <v>0</v>
      </c>
      <c r="Q1444" s="23">
        <v>0</v>
      </c>
      <c r="R1444" s="93">
        <v>0</v>
      </c>
      <c r="S1444" s="19" t="s">
        <v>1219</v>
      </c>
      <c r="T1444" s="257">
        <f t="shared" si="51"/>
        <v>3</v>
      </c>
      <c r="U1444" s="257">
        <f t="shared" si="52"/>
        <v>0</v>
      </c>
      <c r="V1444">
        <v>1</v>
      </c>
      <c r="W1444">
        <v>0</v>
      </c>
    </row>
    <row r="1445" spans="1:23" ht="34.200000000000003" x14ac:dyDescent="0.3">
      <c r="A1445" s="129">
        <v>39814</v>
      </c>
      <c r="B1445" s="129">
        <v>40178</v>
      </c>
      <c r="C1445" s="6">
        <v>1</v>
      </c>
      <c r="D1445" s="6">
        <v>365</v>
      </c>
      <c r="E1445" s="19">
        <v>2009</v>
      </c>
      <c r="F1445" s="15" t="s">
        <v>22</v>
      </c>
      <c r="G1445" s="18" t="s">
        <v>6255</v>
      </c>
      <c r="H1445" s="9" t="s">
        <v>121</v>
      </c>
      <c r="I1445" s="53"/>
      <c r="J1445" s="53" t="s">
        <v>2509</v>
      </c>
      <c r="K1445" s="23">
        <v>2</v>
      </c>
      <c r="L1445" s="234">
        <v>0</v>
      </c>
      <c r="M1445" s="23">
        <v>0</v>
      </c>
      <c r="N1445" s="23">
        <v>0</v>
      </c>
      <c r="O1445" s="23">
        <v>0</v>
      </c>
      <c r="P1445" s="23">
        <v>0</v>
      </c>
      <c r="Q1445" s="23">
        <v>0</v>
      </c>
      <c r="R1445" s="93">
        <v>0</v>
      </c>
      <c r="S1445" s="19" t="s">
        <v>1219</v>
      </c>
      <c r="T1445" s="257">
        <f t="shared" si="51"/>
        <v>2</v>
      </c>
      <c r="U1445" s="257">
        <f t="shared" si="52"/>
        <v>0</v>
      </c>
      <c r="V1445">
        <v>1</v>
      </c>
      <c r="W1445">
        <v>0</v>
      </c>
    </row>
    <row r="1446" spans="1:23" ht="34.200000000000003" x14ac:dyDescent="0.3">
      <c r="A1446" s="129">
        <v>39814</v>
      </c>
      <c r="B1446" s="129">
        <v>40178</v>
      </c>
      <c r="C1446" s="6">
        <v>1</v>
      </c>
      <c r="D1446" s="6">
        <v>365</v>
      </c>
      <c r="E1446" s="19">
        <v>2009</v>
      </c>
      <c r="F1446" s="15" t="s">
        <v>22</v>
      </c>
      <c r="G1446" s="18" t="s">
        <v>6255</v>
      </c>
      <c r="H1446" s="9" t="s">
        <v>52</v>
      </c>
      <c r="I1446" s="53"/>
      <c r="J1446" s="53" t="s">
        <v>2510</v>
      </c>
      <c r="K1446" s="23">
        <v>6</v>
      </c>
      <c r="L1446" s="234">
        <v>0</v>
      </c>
      <c r="M1446" s="23">
        <v>0</v>
      </c>
      <c r="N1446" s="23">
        <v>0</v>
      </c>
      <c r="O1446" s="23">
        <v>0</v>
      </c>
      <c r="P1446" s="23">
        <v>0</v>
      </c>
      <c r="Q1446" s="23">
        <v>0</v>
      </c>
      <c r="R1446" s="93">
        <v>0</v>
      </c>
      <c r="S1446" s="19" t="s">
        <v>1219</v>
      </c>
      <c r="T1446" s="257">
        <f t="shared" si="51"/>
        <v>6</v>
      </c>
      <c r="U1446" s="257">
        <f t="shared" si="52"/>
        <v>0</v>
      </c>
      <c r="V1446">
        <v>1</v>
      </c>
      <c r="W1446">
        <v>0</v>
      </c>
    </row>
    <row r="1447" spans="1:23" ht="34.200000000000003" x14ac:dyDescent="0.3">
      <c r="A1447" s="129">
        <v>39814</v>
      </c>
      <c r="B1447" s="129">
        <v>40178</v>
      </c>
      <c r="C1447" s="6">
        <v>1</v>
      </c>
      <c r="D1447" s="6">
        <v>365</v>
      </c>
      <c r="E1447" s="19">
        <v>2009</v>
      </c>
      <c r="F1447" s="15" t="s">
        <v>22</v>
      </c>
      <c r="G1447" s="18" t="s">
        <v>6255</v>
      </c>
      <c r="H1447" s="9" t="s">
        <v>57</v>
      </c>
      <c r="I1447" s="53"/>
      <c r="J1447" s="53" t="s">
        <v>2511</v>
      </c>
      <c r="K1447" s="23">
        <v>2</v>
      </c>
      <c r="L1447" s="234">
        <v>0</v>
      </c>
      <c r="M1447" s="23">
        <v>0</v>
      </c>
      <c r="N1447" s="23">
        <v>0</v>
      </c>
      <c r="O1447" s="23">
        <v>0</v>
      </c>
      <c r="P1447" s="23">
        <v>0</v>
      </c>
      <c r="Q1447" s="23">
        <v>0</v>
      </c>
      <c r="R1447" s="93">
        <v>0</v>
      </c>
      <c r="S1447" s="19" t="s">
        <v>1219</v>
      </c>
      <c r="T1447" s="257">
        <f t="shared" si="51"/>
        <v>2</v>
      </c>
      <c r="U1447" s="257">
        <f t="shared" si="52"/>
        <v>0</v>
      </c>
      <c r="V1447">
        <v>1</v>
      </c>
      <c r="W1447">
        <v>0</v>
      </c>
    </row>
    <row r="1448" spans="1:23" ht="34.200000000000003" x14ac:dyDescent="0.3">
      <c r="A1448" s="129">
        <v>39814</v>
      </c>
      <c r="B1448" s="129">
        <v>40178</v>
      </c>
      <c r="C1448" s="6">
        <v>1</v>
      </c>
      <c r="D1448" s="6">
        <v>365</v>
      </c>
      <c r="E1448" s="19">
        <v>2009</v>
      </c>
      <c r="F1448" s="15" t="s">
        <v>22</v>
      </c>
      <c r="G1448" s="18" t="s">
        <v>6255</v>
      </c>
      <c r="H1448" s="9" t="s">
        <v>74</v>
      </c>
      <c r="I1448" s="53"/>
      <c r="J1448" s="53" t="s">
        <v>2512</v>
      </c>
      <c r="K1448" s="23">
        <v>9</v>
      </c>
      <c r="L1448" s="234">
        <v>0</v>
      </c>
      <c r="M1448" s="23">
        <v>0</v>
      </c>
      <c r="N1448" s="23">
        <v>0</v>
      </c>
      <c r="O1448" s="23">
        <v>0</v>
      </c>
      <c r="P1448" s="23">
        <v>0</v>
      </c>
      <c r="Q1448" s="23">
        <v>0</v>
      </c>
      <c r="R1448" s="93">
        <v>0</v>
      </c>
      <c r="S1448" s="19" t="s">
        <v>1219</v>
      </c>
      <c r="T1448" s="257">
        <f t="shared" si="51"/>
        <v>9</v>
      </c>
      <c r="U1448" s="257">
        <f t="shared" si="52"/>
        <v>0</v>
      </c>
      <c r="V1448">
        <v>1</v>
      </c>
      <c r="W1448">
        <v>0</v>
      </c>
    </row>
    <row r="1449" spans="1:23" ht="68.400000000000006" x14ac:dyDescent="0.3">
      <c r="A1449" s="129">
        <v>39844</v>
      </c>
      <c r="B1449" s="129">
        <v>39844</v>
      </c>
      <c r="C1449" s="6">
        <v>1</v>
      </c>
      <c r="D1449" s="6">
        <v>1</v>
      </c>
      <c r="E1449" s="19">
        <v>2009</v>
      </c>
      <c r="F1449" s="15" t="s">
        <v>22</v>
      </c>
      <c r="G1449" s="9" t="s">
        <v>6257</v>
      </c>
      <c r="H1449" s="9" t="s">
        <v>61</v>
      </c>
      <c r="I1449" s="17" t="s">
        <v>2513</v>
      </c>
      <c r="J1449" s="17" t="s">
        <v>2514</v>
      </c>
      <c r="K1449" s="23">
        <v>0</v>
      </c>
      <c r="L1449" s="234">
        <v>0</v>
      </c>
      <c r="M1449" s="23">
        <v>0</v>
      </c>
      <c r="N1449" s="23">
        <v>0</v>
      </c>
      <c r="O1449" s="23">
        <v>0</v>
      </c>
      <c r="P1449" s="23">
        <v>0</v>
      </c>
      <c r="Q1449" s="23">
        <v>0</v>
      </c>
      <c r="R1449" s="93">
        <f>(450000*3)/1000000</f>
        <v>1.35</v>
      </c>
      <c r="S1449" s="19" t="s">
        <v>115</v>
      </c>
      <c r="T1449" s="257">
        <f t="shared" si="51"/>
        <v>0</v>
      </c>
      <c r="U1449" s="257">
        <f t="shared" si="52"/>
        <v>0</v>
      </c>
      <c r="V1449">
        <v>0</v>
      </c>
      <c r="W1449">
        <v>0</v>
      </c>
    </row>
    <row r="1450" spans="1:23" ht="45.6" x14ac:dyDescent="0.3">
      <c r="A1450" s="129">
        <v>39846</v>
      </c>
      <c r="B1450" s="129">
        <v>39846</v>
      </c>
      <c r="C1450" s="6">
        <v>2</v>
      </c>
      <c r="D1450" s="6">
        <v>1</v>
      </c>
      <c r="E1450" s="19">
        <v>2009</v>
      </c>
      <c r="F1450" s="15" t="s">
        <v>22</v>
      </c>
      <c r="G1450" s="16" t="s">
        <v>6255</v>
      </c>
      <c r="H1450" s="9" t="s">
        <v>84</v>
      </c>
      <c r="I1450" s="17" t="s">
        <v>1387</v>
      </c>
      <c r="J1450" s="17" t="s">
        <v>2515</v>
      </c>
      <c r="K1450" s="23">
        <v>0</v>
      </c>
      <c r="L1450" s="234">
        <v>2000</v>
      </c>
      <c r="M1450" s="23">
        <v>0</v>
      </c>
      <c r="N1450" s="23">
        <v>0</v>
      </c>
      <c r="O1450" s="23">
        <v>0</v>
      </c>
      <c r="P1450" s="23">
        <v>0</v>
      </c>
      <c r="Q1450" s="23">
        <v>0</v>
      </c>
      <c r="R1450" s="93">
        <v>1.8280000000000001</v>
      </c>
      <c r="S1450" s="19" t="s">
        <v>149</v>
      </c>
      <c r="T1450" s="257">
        <f t="shared" si="51"/>
        <v>2000</v>
      </c>
      <c r="U1450" s="257">
        <f t="shared" si="52"/>
        <v>0</v>
      </c>
      <c r="V1450">
        <v>1</v>
      </c>
      <c r="W1450">
        <v>0</v>
      </c>
    </row>
    <row r="1451" spans="1:23" ht="159.6" x14ac:dyDescent="0.3">
      <c r="A1451" s="129">
        <v>39864</v>
      </c>
      <c r="B1451" s="129">
        <v>39864</v>
      </c>
      <c r="C1451" s="6">
        <v>2</v>
      </c>
      <c r="D1451" s="6">
        <v>1</v>
      </c>
      <c r="E1451" s="19">
        <v>2009</v>
      </c>
      <c r="F1451" s="15" t="s">
        <v>22</v>
      </c>
      <c r="G1451" s="9" t="s">
        <v>6257</v>
      </c>
      <c r="H1451" s="9" t="s">
        <v>112</v>
      </c>
      <c r="I1451" s="17" t="s">
        <v>892</v>
      </c>
      <c r="J1451" s="17" t="s">
        <v>2516</v>
      </c>
      <c r="K1451" s="23">
        <v>1</v>
      </c>
      <c r="L1451" s="234">
        <v>4</v>
      </c>
      <c r="M1451" s="23">
        <v>0</v>
      </c>
      <c r="N1451" s="23">
        <v>0</v>
      </c>
      <c r="O1451" s="23">
        <v>0</v>
      </c>
      <c r="P1451" s="23">
        <v>0</v>
      </c>
      <c r="Q1451" s="92">
        <v>0</v>
      </c>
      <c r="R1451" s="93">
        <v>0</v>
      </c>
      <c r="S1451" s="19" t="s">
        <v>115</v>
      </c>
      <c r="T1451" s="257">
        <f t="shared" si="51"/>
        <v>5</v>
      </c>
      <c r="U1451" s="257">
        <f t="shared" si="52"/>
        <v>0</v>
      </c>
      <c r="V1451">
        <v>1</v>
      </c>
      <c r="W1451">
        <v>0</v>
      </c>
    </row>
    <row r="1452" spans="1:23" ht="68.400000000000006" x14ac:dyDescent="0.3">
      <c r="A1452" s="129">
        <v>39865</v>
      </c>
      <c r="B1452" s="129">
        <v>39865</v>
      </c>
      <c r="C1452" s="6">
        <v>2</v>
      </c>
      <c r="D1452" s="6">
        <v>1</v>
      </c>
      <c r="E1452" s="19">
        <v>2009</v>
      </c>
      <c r="F1452" s="15" t="s">
        <v>22</v>
      </c>
      <c r="G1452" s="16" t="s">
        <v>6256</v>
      </c>
      <c r="H1452" s="9" t="s">
        <v>52</v>
      </c>
      <c r="I1452" s="17" t="s">
        <v>126</v>
      </c>
      <c r="J1452" s="17" t="s">
        <v>2517</v>
      </c>
      <c r="K1452" s="23">
        <v>0</v>
      </c>
      <c r="L1452" s="234">
        <v>30</v>
      </c>
      <c r="M1452" s="23">
        <v>6</v>
      </c>
      <c r="N1452" s="23">
        <v>0</v>
      </c>
      <c r="O1452" s="23">
        <v>0</v>
      </c>
      <c r="P1452" s="23">
        <v>0</v>
      </c>
      <c r="Q1452" s="92">
        <v>0</v>
      </c>
      <c r="R1452" s="93">
        <f>(M1452*8738)/1000000</f>
        <v>5.2428000000000002E-2</v>
      </c>
      <c r="S1452" s="19" t="s">
        <v>115</v>
      </c>
      <c r="T1452" s="257">
        <f t="shared" si="51"/>
        <v>30</v>
      </c>
      <c r="U1452" s="257">
        <f t="shared" si="52"/>
        <v>6</v>
      </c>
      <c r="V1452">
        <v>1</v>
      </c>
      <c r="W1452">
        <v>1</v>
      </c>
    </row>
    <row r="1453" spans="1:23" ht="68.400000000000006" x14ac:dyDescent="0.3">
      <c r="A1453" s="129">
        <v>39872</v>
      </c>
      <c r="B1453" s="129">
        <v>39872</v>
      </c>
      <c r="C1453" s="6">
        <v>2</v>
      </c>
      <c r="D1453" s="6">
        <v>1</v>
      </c>
      <c r="E1453" s="19">
        <v>2009</v>
      </c>
      <c r="F1453" s="15" t="s">
        <v>22</v>
      </c>
      <c r="G1453" s="9" t="s">
        <v>6257</v>
      </c>
      <c r="H1453" s="9" t="s">
        <v>174</v>
      </c>
      <c r="I1453" s="17" t="s">
        <v>2518</v>
      </c>
      <c r="J1453" s="17" t="s">
        <v>2519</v>
      </c>
      <c r="K1453" s="23">
        <v>0</v>
      </c>
      <c r="L1453" s="234">
        <v>250</v>
      </c>
      <c r="M1453" s="23">
        <v>50</v>
      </c>
      <c r="N1453" s="23">
        <v>0</v>
      </c>
      <c r="O1453" s="23">
        <v>0</v>
      </c>
      <c r="P1453" s="23">
        <v>0</v>
      </c>
      <c r="Q1453" s="92">
        <v>0</v>
      </c>
      <c r="R1453" s="93">
        <f>(M1453*5120)/1000000</f>
        <v>0.25600000000000001</v>
      </c>
      <c r="S1453" s="19" t="s">
        <v>115</v>
      </c>
      <c r="T1453" s="257">
        <f t="shared" si="51"/>
        <v>250</v>
      </c>
      <c r="U1453" s="257">
        <f t="shared" si="52"/>
        <v>50</v>
      </c>
      <c r="V1453">
        <v>1</v>
      </c>
      <c r="W1453">
        <v>1</v>
      </c>
    </row>
    <row r="1454" spans="1:23" ht="45.6" x14ac:dyDescent="0.3">
      <c r="A1454" s="129">
        <v>39874</v>
      </c>
      <c r="B1454" s="129">
        <v>39874</v>
      </c>
      <c r="C1454" s="6">
        <v>3</v>
      </c>
      <c r="D1454" s="6">
        <v>1</v>
      </c>
      <c r="E1454" s="19">
        <v>2009</v>
      </c>
      <c r="F1454" s="15" t="s">
        <v>22</v>
      </c>
      <c r="G1454" s="16" t="s">
        <v>6255</v>
      </c>
      <c r="H1454" s="9" t="s">
        <v>174</v>
      </c>
      <c r="I1454" s="17" t="s">
        <v>2520</v>
      </c>
      <c r="J1454" s="17" t="s">
        <v>2521</v>
      </c>
      <c r="K1454" s="23">
        <v>0</v>
      </c>
      <c r="L1454" s="234">
        <v>6400</v>
      </c>
      <c r="M1454" s="23">
        <v>0</v>
      </c>
      <c r="N1454" s="23">
        <v>0</v>
      </c>
      <c r="O1454" s="23">
        <v>0</v>
      </c>
      <c r="P1454" s="23">
        <v>0</v>
      </c>
      <c r="Q1454" s="92">
        <v>0</v>
      </c>
      <c r="R1454" s="93">
        <v>2.1240000000000001</v>
      </c>
      <c r="S1454" s="19" t="s">
        <v>149</v>
      </c>
      <c r="T1454" s="257">
        <f t="shared" si="51"/>
        <v>6400</v>
      </c>
      <c r="U1454" s="257">
        <f t="shared" si="52"/>
        <v>0</v>
      </c>
      <c r="V1454">
        <v>1</v>
      </c>
      <c r="W1454">
        <v>0</v>
      </c>
    </row>
    <row r="1455" spans="1:23" ht="22.8" x14ac:dyDescent="0.3">
      <c r="A1455" s="129">
        <v>39884</v>
      </c>
      <c r="B1455" s="129">
        <v>39884</v>
      </c>
      <c r="C1455" s="6">
        <v>3</v>
      </c>
      <c r="D1455" s="6">
        <v>1</v>
      </c>
      <c r="E1455" s="19">
        <v>2009</v>
      </c>
      <c r="F1455" s="15" t="s">
        <v>22</v>
      </c>
      <c r="G1455" s="16" t="s">
        <v>6256</v>
      </c>
      <c r="H1455" s="9" t="s">
        <v>84</v>
      </c>
      <c r="I1455" s="17" t="s">
        <v>2522</v>
      </c>
      <c r="J1455" s="17" t="s">
        <v>2523</v>
      </c>
      <c r="K1455" s="23">
        <v>0</v>
      </c>
      <c r="L1455" s="234">
        <v>20</v>
      </c>
      <c r="M1455" s="23">
        <v>4</v>
      </c>
      <c r="N1455" s="23">
        <v>0</v>
      </c>
      <c r="O1455" s="23">
        <v>0</v>
      </c>
      <c r="P1455" s="23">
        <v>0</v>
      </c>
      <c r="Q1455" s="92">
        <v>0</v>
      </c>
      <c r="R1455" s="93">
        <f>(M1455*8738)/1000000</f>
        <v>3.4951999999999997E-2</v>
      </c>
      <c r="S1455" s="19" t="s">
        <v>115</v>
      </c>
      <c r="T1455" s="257">
        <f t="shared" si="51"/>
        <v>20</v>
      </c>
      <c r="U1455" s="257">
        <f t="shared" si="52"/>
        <v>4</v>
      </c>
      <c r="V1455">
        <v>1</v>
      </c>
      <c r="W1455">
        <v>1</v>
      </c>
    </row>
    <row r="1456" spans="1:23" ht="114" x14ac:dyDescent="0.3">
      <c r="A1456" s="129">
        <v>39897</v>
      </c>
      <c r="B1456" s="129">
        <v>39897</v>
      </c>
      <c r="C1456" s="6">
        <v>3</v>
      </c>
      <c r="D1456" s="6">
        <v>1</v>
      </c>
      <c r="E1456" s="19">
        <v>2009</v>
      </c>
      <c r="F1456" s="15" t="s">
        <v>22</v>
      </c>
      <c r="G1456" s="16" t="s">
        <v>6256</v>
      </c>
      <c r="H1456" s="9" t="s">
        <v>37</v>
      </c>
      <c r="I1456" s="17" t="s">
        <v>2524</v>
      </c>
      <c r="J1456" s="17" t="s">
        <v>2525</v>
      </c>
      <c r="K1456" s="23">
        <v>0</v>
      </c>
      <c r="L1456" s="234">
        <v>2</v>
      </c>
      <c r="M1456" s="23">
        <v>150</v>
      </c>
      <c r="N1456" s="23">
        <v>0</v>
      </c>
      <c r="O1456" s="23">
        <v>0</v>
      </c>
      <c r="P1456" s="23">
        <v>0</v>
      </c>
      <c r="Q1456" s="92">
        <v>0</v>
      </c>
      <c r="R1456" s="93">
        <f>(M1456*8738)/1000000</f>
        <v>1.3107</v>
      </c>
      <c r="S1456" s="19" t="s">
        <v>115</v>
      </c>
      <c r="T1456" s="257">
        <f t="shared" si="51"/>
        <v>2</v>
      </c>
      <c r="U1456" s="257">
        <f t="shared" si="52"/>
        <v>150</v>
      </c>
      <c r="V1456">
        <v>1</v>
      </c>
      <c r="W1456">
        <v>1</v>
      </c>
    </row>
    <row r="1457" spans="1:23" ht="136.80000000000001" x14ac:dyDescent="0.3">
      <c r="A1457" s="129">
        <v>39899</v>
      </c>
      <c r="B1457" s="129">
        <v>39899</v>
      </c>
      <c r="C1457" s="6">
        <v>3</v>
      </c>
      <c r="D1457" s="6">
        <v>1</v>
      </c>
      <c r="E1457" s="19">
        <v>2009</v>
      </c>
      <c r="F1457" s="15" t="s">
        <v>22</v>
      </c>
      <c r="G1457" s="9" t="s">
        <v>6257</v>
      </c>
      <c r="H1457" s="9" t="s">
        <v>31</v>
      </c>
      <c r="I1457" s="17" t="s">
        <v>2526</v>
      </c>
      <c r="J1457" s="17" t="s">
        <v>2527</v>
      </c>
      <c r="K1457" s="23">
        <v>0</v>
      </c>
      <c r="L1457" s="234">
        <v>82</v>
      </c>
      <c r="M1457" s="23">
        <v>12</v>
      </c>
      <c r="N1457" s="23">
        <v>3</v>
      </c>
      <c r="O1457" s="23">
        <v>0</v>
      </c>
      <c r="P1457" s="23">
        <v>0</v>
      </c>
      <c r="Q1457" s="92">
        <v>0</v>
      </c>
      <c r="R1457" s="93">
        <f>(822500+104856)/1000000</f>
        <v>0.92735599999999996</v>
      </c>
      <c r="S1457" s="19" t="s">
        <v>115</v>
      </c>
      <c r="T1457" s="257">
        <f t="shared" si="51"/>
        <v>82</v>
      </c>
      <c r="U1457" s="257">
        <f t="shared" si="52"/>
        <v>15</v>
      </c>
      <c r="V1457">
        <v>1</v>
      </c>
      <c r="W1457">
        <v>1</v>
      </c>
    </row>
    <row r="1458" spans="1:23" ht="81" x14ac:dyDescent="0.3">
      <c r="A1458" s="129">
        <v>39904</v>
      </c>
      <c r="B1458" s="129">
        <v>39904</v>
      </c>
      <c r="C1458" s="6">
        <v>4</v>
      </c>
      <c r="D1458" s="6">
        <v>1</v>
      </c>
      <c r="E1458" s="19">
        <v>2009</v>
      </c>
      <c r="F1458" s="15" t="s">
        <v>22</v>
      </c>
      <c r="G1458" s="9" t="s">
        <v>6257</v>
      </c>
      <c r="H1458" s="9" t="s">
        <v>64</v>
      </c>
      <c r="I1458" s="17" t="s">
        <v>2528</v>
      </c>
      <c r="J1458" s="65" t="s">
        <v>2529</v>
      </c>
      <c r="K1458" s="23">
        <v>0</v>
      </c>
      <c r="L1458" s="234">
        <v>0</v>
      </c>
      <c r="M1458" s="23">
        <v>32</v>
      </c>
      <c r="N1458" s="23">
        <v>0</v>
      </c>
      <c r="O1458" s="23">
        <v>0</v>
      </c>
      <c r="P1458" s="23">
        <v>0</v>
      </c>
      <c r="Q1458" s="92">
        <v>0</v>
      </c>
      <c r="R1458" s="93">
        <f>(M1458*8738)/1000000</f>
        <v>0.27961599999999998</v>
      </c>
      <c r="S1458" s="19" t="s">
        <v>115</v>
      </c>
      <c r="T1458" s="257">
        <f t="shared" si="51"/>
        <v>0</v>
      </c>
      <c r="U1458" s="257">
        <f t="shared" si="52"/>
        <v>32</v>
      </c>
      <c r="V1458">
        <v>0</v>
      </c>
      <c r="W1458">
        <v>1</v>
      </c>
    </row>
    <row r="1459" spans="1:23" ht="35.4" x14ac:dyDescent="0.3">
      <c r="A1459" s="129">
        <v>39907</v>
      </c>
      <c r="B1459" s="129">
        <v>39907</v>
      </c>
      <c r="C1459" s="6">
        <v>4</v>
      </c>
      <c r="D1459" s="6">
        <v>1</v>
      </c>
      <c r="E1459" s="19">
        <v>2009</v>
      </c>
      <c r="F1459" s="15" t="s">
        <v>22</v>
      </c>
      <c r="G1459" s="16" t="s">
        <v>6256</v>
      </c>
      <c r="H1459" s="9" t="s">
        <v>174</v>
      </c>
      <c r="I1459" s="17" t="s">
        <v>2530</v>
      </c>
      <c r="J1459" s="65" t="s">
        <v>2531</v>
      </c>
      <c r="K1459" s="23">
        <v>0</v>
      </c>
      <c r="L1459" s="234">
        <v>2280</v>
      </c>
      <c r="M1459" s="23">
        <v>456</v>
      </c>
      <c r="N1459" s="23">
        <v>0</v>
      </c>
      <c r="O1459" s="23">
        <v>0</v>
      </c>
      <c r="P1459" s="23">
        <v>0</v>
      </c>
      <c r="Q1459" s="92">
        <v>0</v>
      </c>
      <c r="R1459" s="93">
        <f>(M1459*8738)/1000000</f>
        <v>3.9845280000000001</v>
      </c>
      <c r="S1459" s="19" t="s">
        <v>115</v>
      </c>
      <c r="T1459" s="257">
        <f t="shared" si="51"/>
        <v>2280</v>
      </c>
      <c r="U1459" s="257">
        <f t="shared" si="52"/>
        <v>456</v>
      </c>
      <c r="V1459">
        <v>1</v>
      </c>
      <c r="W1459">
        <v>1</v>
      </c>
    </row>
    <row r="1460" spans="1:23" ht="68.400000000000006" x14ac:dyDescent="0.3">
      <c r="A1460" s="129">
        <v>39943</v>
      </c>
      <c r="B1460" s="129">
        <v>39943</v>
      </c>
      <c r="C1460" s="6">
        <v>5</v>
      </c>
      <c r="D1460" s="6">
        <v>1</v>
      </c>
      <c r="E1460" s="19">
        <v>2009</v>
      </c>
      <c r="F1460" s="15" t="s">
        <v>22</v>
      </c>
      <c r="G1460" s="9" t="s">
        <v>6257</v>
      </c>
      <c r="H1460" s="9" t="s">
        <v>31</v>
      </c>
      <c r="I1460" s="17" t="s">
        <v>2532</v>
      </c>
      <c r="J1460" s="17" t="s">
        <v>2533</v>
      </c>
      <c r="K1460" s="23">
        <v>0</v>
      </c>
      <c r="L1460" s="234" t="s">
        <v>95</v>
      </c>
      <c r="M1460" s="23" t="s">
        <v>95</v>
      </c>
      <c r="N1460" s="23">
        <v>0</v>
      </c>
      <c r="O1460" s="23">
        <v>0</v>
      </c>
      <c r="P1460" s="23">
        <v>0</v>
      </c>
      <c r="Q1460" s="92">
        <v>0</v>
      </c>
      <c r="R1460" s="93" t="s">
        <v>95</v>
      </c>
      <c r="S1460" s="19" t="s">
        <v>115</v>
      </c>
      <c r="T1460" s="257">
        <f t="shared" si="51"/>
        <v>0</v>
      </c>
      <c r="U1460" s="257">
        <f t="shared" si="52"/>
        <v>0</v>
      </c>
      <c r="V1460">
        <v>0</v>
      </c>
      <c r="W1460">
        <v>0</v>
      </c>
    </row>
    <row r="1461" spans="1:23" ht="45.6" x14ac:dyDescent="0.3">
      <c r="A1461" s="129">
        <v>39958</v>
      </c>
      <c r="B1461" s="129">
        <v>39958</v>
      </c>
      <c r="C1461" s="6">
        <v>5</v>
      </c>
      <c r="D1461" s="6">
        <v>1</v>
      </c>
      <c r="E1461" s="19">
        <v>2009</v>
      </c>
      <c r="F1461" s="15" t="s">
        <v>22</v>
      </c>
      <c r="G1461" s="16" t="s">
        <v>6256</v>
      </c>
      <c r="H1461" s="9" t="s">
        <v>174</v>
      </c>
      <c r="I1461" s="17" t="s">
        <v>2534</v>
      </c>
      <c r="J1461" s="17" t="s">
        <v>2535</v>
      </c>
      <c r="K1461" s="23">
        <v>0</v>
      </c>
      <c r="L1461" s="234">
        <v>3325</v>
      </c>
      <c r="M1461" s="23">
        <v>665</v>
      </c>
      <c r="N1461" s="23">
        <v>0</v>
      </c>
      <c r="O1461" s="23">
        <v>0</v>
      </c>
      <c r="P1461" s="23">
        <v>0</v>
      </c>
      <c r="Q1461" s="92">
        <v>0</v>
      </c>
      <c r="R1461" s="93">
        <f>(M1461*8738)/1000000</f>
        <v>5.8107699999999998</v>
      </c>
      <c r="S1461" s="19" t="s">
        <v>115</v>
      </c>
      <c r="T1461" s="257">
        <f t="shared" si="51"/>
        <v>3325</v>
      </c>
      <c r="U1461" s="257">
        <f t="shared" si="52"/>
        <v>665</v>
      </c>
      <c r="V1461">
        <v>1</v>
      </c>
      <c r="W1461">
        <v>1</v>
      </c>
    </row>
    <row r="1462" spans="1:23" ht="79.2" x14ac:dyDescent="0.3">
      <c r="A1462" s="219">
        <v>40401</v>
      </c>
      <c r="B1462" s="219">
        <v>40401</v>
      </c>
      <c r="C1462" s="6">
        <v>8</v>
      </c>
      <c r="D1462" s="6">
        <v>1</v>
      </c>
      <c r="E1462" s="73">
        <v>2010</v>
      </c>
      <c r="F1462" s="15" t="s">
        <v>22</v>
      </c>
      <c r="G1462" s="18" t="s">
        <v>6256</v>
      </c>
      <c r="H1462" s="9" t="s">
        <v>48</v>
      </c>
      <c r="I1462" s="74" t="s">
        <v>2536</v>
      </c>
      <c r="J1462" s="74" t="s">
        <v>2537</v>
      </c>
      <c r="K1462" s="75">
        <v>0</v>
      </c>
      <c r="L1462" s="241">
        <v>210</v>
      </c>
      <c r="M1462" s="75">
        <v>42</v>
      </c>
      <c r="N1462" s="75">
        <v>0</v>
      </c>
      <c r="O1462" s="75">
        <v>0</v>
      </c>
      <c r="P1462" s="75">
        <v>0</v>
      </c>
      <c r="Q1462" s="75">
        <v>0</v>
      </c>
      <c r="R1462" s="61">
        <v>0.78699600000000003</v>
      </c>
      <c r="S1462" s="73" t="s">
        <v>115</v>
      </c>
      <c r="T1462" s="257">
        <f t="shared" si="51"/>
        <v>210</v>
      </c>
      <c r="U1462" s="257">
        <f t="shared" si="52"/>
        <v>42</v>
      </c>
      <c r="V1462">
        <v>1</v>
      </c>
      <c r="W1462">
        <v>1</v>
      </c>
    </row>
    <row r="1463" spans="1:23" ht="68.400000000000006" x14ac:dyDescent="0.3">
      <c r="A1463" s="129">
        <v>39993</v>
      </c>
      <c r="B1463" s="129">
        <v>39993</v>
      </c>
      <c r="C1463" s="6">
        <v>6</v>
      </c>
      <c r="D1463" s="6">
        <v>1</v>
      </c>
      <c r="E1463" s="19">
        <v>2009</v>
      </c>
      <c r="F1463" s="15" t="s">
        <v>22</v>
      </c>
      <c r="G1463" s="16" t="s">
        <v>6256</v>
      </c>
      <c r="H1463" s="9" t="s">
        <v>51</v>
      </c>
      <c r="I1463" s="17" t="s">
        <v>1285</v>
      </c>
      <c r="J1463" s="17" t="s">
        <v>2538</v>
      </c>
      <c r="K1463" s="23">
        <v>1</v>
      </c>
      <c r="L1463" s="234">
        <v>1</v>
      </c>
      <c r="M1463" s="23">
        <v>0</v>
      </c>
      <c r="N1463" s="23">
        <v>0</v>
      </c>
      <c r="O1463" s="23">
        <v>0</v>
      </c>
      <c r="P1463" s="23">
        <v>0</v>
      </c>
      <c r="Q1463" s="92">
        <v>0</v>
      </c>
      <c r="R1463" s="93">
        <v>0</v>
      </c>
      <c r="S1463" s="19" t="s">
        <v>115</v>
      </c>
      <c r="T1463" s="257">
        <f t="shared" si="51"/>
        <v>2</v>
      </c>
      <c r="U1463" s="257">
        <f t="shared" si="52"/>
        <v>0</v>
      </c>
      <c r="V1463">
        <v>1</v>
      </c>
      <c r="W1463">
        <v>0</v>
      </c>
    </row>
    <row r="1464" spans="1:23" ht="79.8" x14ac:dyDescent="0.3">
      <c r="A1464" s="129">
        <v>39995</v>
      </c>
      <c r="B1464" s="129">
        <v>39995</v>
      </c>
      <c r="C1464" s="6">
        <v>7</v>
      </c>
      <c r="D1464" s="6">
        <v>1</v>
      </c>
      <c r="E1464" s="19">
        <v>2009</v>
      </c>
      <c r="F1464" s="15" t="s">
        <v>22</v>
      </c>
      <c r="G1464" s="16" t="s">
        <v>6256</v>
      </c>
      <c r="H1464" s="9" t="s">
        <v>51</v>
      </c>
      <c r="I1464" s="17" t="s">
        <v>1011</v>
      </c>
      <c r="J1464" s="17" t="s">
        <v>2539</v>
      </c>
      <c r="K1464" s="23">
        <v>0</v>
      </c>
      <c r="L1464" s="234">
        <v>24</v>
      </c>
      <c r="M1464" s="23">
        <v>6</v>
      </c>
      <c r="N1464" s="23">
        <v>0</v>
      </c>
      <c r="O1464" s="23">
        <v>0</v>
      </c>
      <c r="P1464" s="23">
        <v>0</v>
      </c>
      <c r="Q1464" s="92">
        <v>0</v>
      </c>
      <c r="R1464" s="93">
        <f>(M1464*8738)/1000000</f>
        <v>5.2428000000000002E-2</v>
      </c>
      <c r="S1464" s="19" t="s">
        <v>115</v>
      </c>
      <c r="T1464" s="257">
        <f t="shared" si="51"/>
        <v>24</v>
      </c>
      <c r="U1464" s="257">
        <f t="shared" si="52"/>
        <v>6</v>
      </c>
      <c r="V1464">
        <v>1</v>
      </c>
      <c r="W1464">
        <v>1</v>
      </c>
    </row>
    <row r="1465" spans="1:23" ht="68.400000000000006" x14ac:dyDescent="0.3">
      <c r="A1465" s="129">
        <v>39996</v>
      </c>
      <c r="B1465" s="129">
        <v>39996</v>
      </c>
      <c r="C1465" s="6">
        <v>7</v>
      </c>
      <c r="D1465" s="6">
        <v>1</v>
      </c>
      <c r="E1465" s="19">
        <v>2009</v>
      </c>
      <c r="F1465" s="15" t="s">
        <v>22</v>
      </c>
      <c r="G1465" s="16" t="s">
        <v>6256</v>
      </c>
      <c r="H1465" s="9" t="s">
        <v>43</v>
      </c>
      <c r="I1465" s="17" t="s">
        <v>2356</v>
      </c>
      <c r="J1465" s="17" t="s">
        <v>2540</v>
      </c>
      <c r="K1465" s="23">
        <v>0</v>
      </c>
      <c r="L1465" s="234">
        <v>0</v>
      </c>
      <c r="M1465" s="23">
        <v>0</v>
      </c>
      <c r="N1465" s="23">
        <v>0</v>
      </c>
      <c r="O1465" s="23">
        <v>0</v>
      </c>
      <c r="P1465" s="23">
        <v>0</v>
      </c>
      <c r="Q1465" s="92">
        <v>0</v>
      </c>
      <c r="R1465" s="93">
        <v>0</v>
      </c>
      <c r="S1465" s="19" t="s">
        <v>115</v>
      </c>
      <c r="T1465" s="257">
        <f t="shared" si="51"/>
        <v>0</v>
      </c>
      <c r="U1465" s="257">
        <f t="shared" si="52"/>
        <v>0</v>
      </c>
      <c r="V1465">
        <v>0</v>
      </c>
      <c r="W1465">
        <v>0</v>
      </c>
    </row>
    <row r="1466" spans="1:23" x14ac:dyDescent="0.3">
      <c r="A1466" s="129">
        <v>40000</v>
      </c>
      <c r="B1466" s="129">
        <v>40000</v>
      </c>
      <c r="C1466" s="6">
        <v>7</v>
      </c>
      <c r="D1466" s="6">
        <v>1</v>
      </c>
      <c r="E1466" s="19">
        <v>2009</v>
      </c>
      <c r="F1466" s="15" t="s">
        <v>22</v>
      </c>
      <c r="G1466" s="9" t="s">
        <v>6258</v>
      </c>
      <c r="H1466" s="9" t="s">
        <v>27</v>
      </c>
      <c r="I1466" s="17" t="s">
        <v>2541</v>
      </c>
      <c r="J1466" s="17" t="s">
        <v>2542</v>
      </c>
      <c r="K1466" s="23">
        <v>2</v>
      </c>
      <c r="L1466" s="234">
        <v>2</v>
      </c>
      <c r="M1466" s="23">
        <v>0</v>
      </c>
      <c r="N1466" s="23">
        <v>0</v>
      </c>
      <c r="O1466" s="23">
        <v>0</v>
      </c>
      <c r="P1466" s="23">
        <v>0</v>
      </c>
      <c r="Q1466" s="92">
        <v>0</v>
      </c>
      <c r="R1466" s="93">
        <v>0</v>
      </c>
      <c r="S1466" s="19" t="s">
        <v>115</v>
      </c>
      <c r="T1466" s="257">
        <f t="shared" si="51"/>
        <v>4</v>
      </c>
      <c r="U1466" s="257">
        <f t="shared" si="52"/>
        <v>0</v>
      </c>
      <c r="V1466">
        <v>1</v>
      </c>
      <c r="W1466">
        <v>0</v>
      </c>
    </row>
    <row r="1467" spans="1:23" ht="22.8" x14ac:dyDescent="0.3">
      <c r="A1467" s="129">
        <v>40004</v>
      </c>
      <c r="B1467" s="129">
        <v>40004</v>
      </c>
      <c r="C1467" s="6">
        <v>7</v>
      </c>
      <c r="D1467" s="6">
        <v>1</v>
      </c>
      <c r="E1467" s="19">
        <v>2009</v>
      </c>
      <c r="F1467" s="15" t="s">
        <v>22</v>
      </c>
      <c r="G1467" s="9" t="s">
        <v>6258</v>
      </c>
      <c r="H1467" s="9" t="s">
        <v>37</v>
      </c>
      <c r="I1467" s="17" t="s">
        <v>2543</v>
      </c>
      <c r="J1467" s="17" t="s">
        <v>2544</v>
      </c>
      <c r="K1467" s="23">
        <v>2</v>
      </c>
      <c r="L1467" s="234">
        <v>2</v>
      </c>
      <c r="M1467" s="23">
        <v>0</v>
      </c>
      <c r="N1467" s="23">
        <v>0</v>
      </c>
      <c r="O1467" s="23">
        <v>0</v>
      </c>
      <c r="P1467" s="23">
        <v>0</v>
      </c>
      <c r="Q1467" s="92">
        <v>0</v>
      </c>
      <c r="R1467" s="93">
        <v>0</v>
      </c>
      <c r="S1467" s="19" t="s">
        <v>115</v>
      </c>
      <c r="T1467" s="257">
        <f t="shared" si="51"/>
        <v>4</v>
      </c>
      <c r="U1467" s="257">
        <f t="shared" si="52"/>
        <v>0</v>
      </c>
      <c r="V1467">
        <v>1</v>
      </c>
      <c r="W1467">
        <v>0</v>
      </c>
    </row>
    <row r="1468" spans="1:23" ht="22.8" x14ac:dyDescent="0.3">
      <c r="A1468" s="129">
        <v>39996</v>
      </c>
      <c r="B1468" s="129">
        <v>39996</v>
      </c>
      <c r="C1468" s="6">
        <v>7</v>
      </c>
      <c r="D1468" s="6">
        <v>1</v>
      </c>
      <c r="E1468" s="19">
        <v>2009</v>
      </c>
      <c r="F1468" s="15" t="s">
        <v>22</v>
      </c>
      <c r="G1468" s="9" t="s">
        <v>6258</v>
      </c>
      <c r="H1468" s="9" t="s">
        <v>78</v>
      </c>
      <c r="I1468" s="17" t="s">
        <v>2545</v>
      </c>
      <c r="J1468" s="17" t="s">
        <v>2546</v>
      </c>
      <c r="K1468" s="23">
        <v>1</v>
      </c>
      <c r="L1468" s="234">
        <v>1</v>
      </c>
      <c r="M1468" s="23">
        <v>0</v>
      </c>
      <c r="N1468" s="23">
        <v>0</v>
      </c>
      <c r="O1468" s="23">
        <v>0</v>
      </c>
      <c r="P1468" s="23">
        <v>0</v>
      </c>
      <c r="Q1468" s="92">
        <v>0</v>
      </c>
      <c r="R1468" s="93">
        <v>0</v>
      </c>
      <c r="S1468" s="19" t="s">
        <v>115</v>
      </c>
      <c r="T1468" s="257">
        <f t="shared" si="51"/>
        <v>2</v>
      </c>
      <c r="U1468" s="257">
        <f t="shared" si="52"/>
        <v>0</v>
      </c>
      <c r="V1468">
        <v>1</v>
      </c>
      <c r="W1468">
        <v>0</v>
      </c>
    </row>
    <row r="1469" spans="1:23" x14ac:dyDescent="0.3">
      <c r="A1469" s="129">
        <v>40004</v>
      </c>
      <c r="B1469" s="129">
        <v>40004</v>
      </c>
      <c r="C1469" s="6">
        <v>7</v>
      </c>
      <c r="D1469" s="6">
        <v>1</v>
      </c>
      <c r="E1469" s="19">
        <v>2009</v>
      </c>
      <c r="F1469" s="15" t="s">
        <v>22</v>
      </c>
      <c r="G1469" s="9" t="s">
        <v>6258</v>
      </c>
      <c r="H1469" s="9" t="s">
        <v>74</v>
      </c>
      <c r="I1469" s="17" t="s">
        <v>1168</v>
      </c>
      <c r="J1469" s="17" t="s">
        <v>2547</v>
      </c>
      <c r="K1469" s="23">
        <v>1</v>
      </c>
      <c r="L1469" s="234">
        <v>1</v>
      </c>
      <c r="M1469" s="23">
        <v>0</v>
      </c>
      <c r="N1469" s="23">
        <v>0</v>
      </c>
      <c r="O1469" s="23">
        <v>0</v>
      </c>
      <c r="P1469" s="23">
        <v>0</v>
      </c>
      <c r="Q1469" s="92">
        <v>0</v>
      </c>
      <c r="R1469" s="93">
        <v>0</v>
      </c>
      <c r="S1469" s="19" t="s">
        <v>115</v>
      </c>
      <c r="T1469" s="257">
        <f t="shared" si="51"/>
        <v>2</v>
      </c>
      <c r="U1469" s="257">
        <f t="shared" si="52"/>
        <v>0</v>
      </c>
      <c r="V1469">
        <v>1</v>
      </c>
      <c r="W1469">
        <v>0</v>
      </c>
    </row>
    <row r="1470" spans="1:23" x14ac:dyDescent="0.3">
      <c r="A1470" s="129">
        <v>40010</v>
      </c>
      <c r="B1470" s="129">
        <v>40010</v>
      </c>
      <c r="C1470" s="6">
        <v>7</v>
      </c>
      <c r="D1470" s="6">
        <v>1</v>
      </c>
      <c r="E1470" s="19">
        <v>2009</v>
      </c>
      <c r="F1470" s="15" t="s">
        <v>22</v>
      </c>
      <c r="G1470" s="9" t="s">
        <v>6258</v>
      </c>
      <c r="H1470" s="9" t="s">
        <v>74</v>
      </c>
      <c r="I1470" s="17" t="s">
        <v>2548</v>
      </c>
      <c r="J1470" s="17" t="s">
        <v>2547</v>
      </c>
      <c r="K1470" s="23">
        <v>1</v>
      </c>
      <c r="L1470" s="234">
        <v>1</v>
      </c>
      <c r="M1470" s="23">
        <v>0</v>
      </c>
      <c r="N1470" s="23">
        <v>0</v>
      </c>
      <c r="O1470" s="23">
        <v>0</v>
      </c>
      <c r="P1470" s="23">
        <v>0</v>
      </c>
      <c r="Q1470" s="92">
        <v>0</v>
      </c>
      <c r="R1470" s="93">
        <v>0</v>
      </c>
      <c r="S1470" s="19" t="s">
        <v>115</v>
      </c>
      <c r="T1470" s="257">
        <f t="shared" si="51"/>
        <v>2</v>
      </c>
      <c r="U1470" s="257">
        <f t="shared" si="52"/>
        <v>0</v>
      </c>
      <c r="V1470">
        <v>1</v>
      </c>
      <c r="W1470">
        <v>0</v>
      </c>
    </row>
    <row r="1471" spans="1:23" x14ac:dyDescent="0.3">
      <c r="A1471" s="129">
        <v>40012</v>
      </c>
      <c r="B1471" s="129">
        <v>40012</v>
      </c>
      <c r="C1471" s="6">
        <v>7</v>
      </c>
      <c r="D1471" s="6">
        <v>1</v>
      </c>
      <c r="E1471" s="19">
        <v>2009</v>
      </c>
      <c r="F1471" s="15" t="s">
        <v>22</v>
      </c>
      <c r="G1471" s="9" t="s">
        <v>6258</v>
      </c>
      <c r="H1471" s="9" t="s">
        <v>78</v>
      </c>
      <c r="I1471" s="17" t="s">
        <v>1725</v>
      </c>
      <c r="J1471" s="17" t="s">
        <v>2549</v>
      </c>
      <c r="K1471" s="23">
        <v>1</v>
      </c>
      <c r="L1471" s="234">
        <v>1</v>
      </c>
      <c r="M1471" s="23">
        <v>0</v>
      </c>
      <c r="N1471" s="23">
        <v>0</v>
      </c>
      <c r="O1471" s="23">
        <v>0</v>
      </c>
      <c r="P1471" s="23">
        <v>0</v>
      </c>
      <c r="Q1471" s="92">
        <v>0</v>
      </c>
      <c r="R1471" s="93">
        <v>0</v>
      </c>
      <c r="S1471" s="19" t="s">
        <v>115</v>
      </c>
      <c r="T1471" s="257">
        <f t="shared" si="51"/>
        <v>2</v>
      </c>
      <c r="U1471" s="257">
        <f t="shared" si="52"/>
        <v>0</v>
      </c>
      <c r="V1471">
        <v>1</v>
      </c>
      <c r="W1471">
        <v>0</v>
      </c>
    </row>
    <row r="1472" spans="1:23" ht="45.6" x14ac:dyDescent="0.3">
      <c r="A1472" s="129">
        <v>40022</v>
      </c>
      <c r="B1472" s="129">
        <v>40022</v>
      </c>
      <c r="C1472" s="6">
        <v>7</v>
      </c>
      <c r="D1472" s="6">
        <v>1</v>
      </c>
      <c r="E1472" s="19">
        <v>2009</v>
      </c>
      <c r="F1472" s="15" t="s">
        <v>22</v>
      </c>
      <c r="G1472" s="9" t="s">
        <v>6257</v>
      </c>
      <c r="H1472" s="9" t="s">
        <v>34</v>
      </c>
      <c r="I1472" s="17" t="s">
        <v>2550</v>
      </c>
      <c r="J1472" s="17" t="s">
        <v>2551</v>
      </c>
      <c r="K1472" s="23">
        <v>0</v>
      </c>
      <c r="L1472" s="234">
        <v>400</v>
      </c>
      <c r="M1472" s="23">
        <v>80</v>
      </c>
      <c r="N1472" s="23">
        <v>0</v>
      </c>
      <c r="O1472" s="23">
        <v>0</v>
      </c>
      <c r="P1472" s="23">
        <v>0</v>
      </c>
      <c r="Q1472" s="92">
        <v>0</v>
      </c>
      <c r="R1472" s="93">
        <f>(M1472*8738)/1000000</f>
        <v>0.69903999999999999</v>
      </c>
      <c r="S1472" s="19" t="s">
        <v>115</v>
      </c>
      <c r="T1472" s="257">
        <f t="shared" si="51"/>
        <v>400</v>
      </c>
      <c r="U1472" s="257">
        <f t="shared" si="52"/>
        <v>80</v>
      </c>
      <c r="V1472">
        <v>1</v>
      </c>
      <c r="W1472">
        <v>1</v>
      </c>
    </row>
    <row r="1473" spans="1:23" ht="34.200000000000003" x14ac:dyDescent="0.3">
      <c r="A1473" s="129">
        <v>40024</v>
      </c>
      <c r="B1473" s="129">
        <v>40024</v>
      </c>
      <c r="C1473" s="6">
        <v>7</v>
      </c>
      <c r="D1473" s="6">
        <v>1</v>
      </c>
      <c r="E1473" s="19">
        <v>2009</v>
      </c>
      <c r="F1473" s="15" t="s">
        <v>22</v>
      </c>
      <c r="G1473" s="9" t="s">
        <v>6257</v>
      </c>
      <c r="H1473" s="9" t="s">
        <v>74</v>
      </c>
      <c r="I1473" s="17" t="s">
        <v>2552</v>
      </c>
      <c r="J1473" s="17" t="s">
        <v>2553</v>
      </c>
      <c r="K1473" s="23">
        <v>2</v>
      </c>
      <c r="L1473" s="234">
        <v>6</v>
      </c>
      <c r="M1473" s="23">
        <v>0</v>
      </c>
      <c r="N1473" s="23">
        <v>0</v>
      </c>
      <c r="O1473" s="23">
        <v>0</v>
      </c>
      <c r="P1473" s="23">
        <v>0</v>
      </c>
      <c r="Q1473" s="92">
        <v>0</v>
      </c>
      <c r="R1473" s="93">
        <v>0</v>
      </c>
      <c r="S1473" s="19" t="s">
        <v>115</v>
      </c>
      <c r="T1473" s="257">
        <f t="shared" si="51"/>
        <v>8</v>
      </c>
      <c r="U1473" s="257">
        <f t="shared" si="52"/>
        <v>0</v>
      </c>
      <c r="V1473">
        <v>1</v>
      </c>
      <c r="W1473">
        <v>0</v>
      </c>
    </row>
    <row r="1474" spans="1:23" x14ac:dyDescent="0.3">
      <c r="A1474" s="129">
        <v>40033</v>
      </c>
      <c r="B1474" s="129">
        <v>40033</v>
      </c>
      <c r="C1474" s="6">
        <v>8</v>
      </c>
      <c r="D1474" s="6">
        <v>1</v>
      </c>
      <c r="E1474" s="19">
        <v>2009</v>
      </c>
      <c r="F1474" s="15" t="s">
        <v>22</v>
      </c>
      <c r="G1474" s="9" t="s">
        <v>6258</v>
      </c>
      <c r="H1474" s="9" t="s">
        <v>28</v>
      </c>
      <c r="I1474" s="17" t="s">
        <v>211</v>
      </c>
      <c r="J1474" s="17" t="s">
        <v>2554</v>
      </c>
      <c r="K1474" s="23">
        <v>1</v>
      </c>
      <c r="L1474" s="234">
        <v>1</v>
      </c>
      <c r="M1474" s="23">
        <v>0</v>
      </c>
      <c r="N1474" s="23">
        <v>0</v>
      </c>
      <c r="O1474" s="23">
        <v>0</v>
      </c>
      <c r="P1474" s="23">
        <v>0</v>
      </c>
      <c r="Q1474" s="92">
        <v>0</v>
      </c>
      <c r="R1474" s="93">
        <v>0</v>
      </c>
      <c r="S1474" s="19" t="s">
        <v>115</v>
      </c>
      <c r="T1474" s="257">
        <f t="shared" si="51"/>
        <v>2</v>
      </c>
      <c r="U1474" s="257">
        <f t="shared" si="52"/>
        <v>0</v>
      </c>
      <c r="V1474">
        <v>1</v>
      </c>
      <c r="W1474">
        <v>0</v>
      </c>
    </row>
    <row r="1475" spans="1:23" ht="34.200000000000003" x14ac:dyDescent="0.3">
      <c r="A1475" s="129">
        <v>40040</v>
      </c>
      <c r="B1475" s="129">
        <v>40040</v>
      </c>
      <c r="C1475" s="6">
        <v>8</v>
      </c>
      <c r="D1475" s="6">
        <v>1</v>
      </c>
      <c r="E1475" s="19">
        <v>2009</v>
      </c>
      <c r="F1475" s="15" t="s">
        <v>22</v>
      </c>
      <c r="G1475" s="16" t="s">
        <v>6256</v>
      </c>
      <c r="H1475" s="9" t="s">
        <v>31</v>
      </c>
      <c r="I1475" s="17" t="s">
        <v>1900</v>
      </c>
      <c r="J1475" s="17" t="s">
        <v>2555</v>
      </c>
      <c r="K1475" s="23">
        <v>2</v>
      </c>
      <c r="L1475" s="234">
        <v>5</v>
      </c>
      <c r="M1475" s="23">
        <v>0</v>
      </c>
      <c r="N1475" s="23">
        <v>0</v>
      </c>
      <c r="O1475" s="23">
        <v>0</v>
      </c>
      <c r="P1475" s="23">
        <v>0</v>
      </c>
      <c r="Q1475" s="92">
        <v>0</v>
      </c>
      <c r="R1475" s="93">
        <v>0</v>
      </c>
      <c r="S1475" s="19" t="s">
        <v>115</v>
      </c>
      <c r="T1475" s="257">
        <f t="shared" ref="T1475:T1538" si="53">SUM(K1475:L1475)</f>
        <v>7</v>
      </c>
      <c r="U1475" s="257">
        <f t="shared" ref="U1475:U1538" si="54">SUM(M1475:P1475)</f>
        <v>0</v>
      </c>
      <c r="V1475">
        <v>1</v>
      </c>
      <c r="W1475">
        <v>0</v>
      </c>
    </row>
    <row r="1476" spans="1:23" ht="22.8" x14ac:dyDescent="0.3">
      <c r="A1476" s="212">
        <v>39349</v>
      </c>
      <c r="B1476" s="212">
        <v>39350</v>
      </c>
      <c r="C1476" s="6">
        <v>9</v>
      </c>
      <c r="D1476" s="6">
        <v>2</v>
      </c>
      <c r="E1476" s="6">
        <v>2007</v>
      </c>
      <c r="F1476" s="15" t="s">
        <v>22</v>
      </c>
      <c r="G1476" s="18" t="s">
        <v>6256</v>
      </c>
      <c r="H1476" s="9" t="s">
        <v>48</v>
      </c>
      <c r="I1476" s="17" t="s">
        <v>2556</v>
      </c>
      <c r="J1476" s="17" t="s">
        <v>2557</v>
      </c>
      <c r="K1476" s="13">
        <v>0</v>
      </c>
      <c r="L1476" s="233">
        <v>1930</v>
      </c>
      <c r="M1476" s="13">
        <v>386</v>
      </c>
      <c r="N1476" s="13">
        <v>0</v>
      </c>
      <c r="O1476" s="13">
        <v>0</v>
      </c>
      <c r="P1476" s="13">
        <v>0</v>
      </c>
      <c r="Q1476" s="60">
        <v>0</v>
      </c>
      <c r="R1476" s="61">
        <v>0.77</v>
      </c>
      <c r="S1476" s="7" t="s">
        <v>115</v>
      </c>
      <c r="T1476" s="257">
        <f t="shared" si="53"/>
        <v>1930</v>
      </c>
      <c r="U1476" s="257">
        <f t="shared" si="54"/>
        <v>386</v>
      </c>
      <c r="V1476">
        <v>1</v>
      </c>
      <c r="W1476">
        <v>1</v>
      </c>
    </row>
    <row r="1477" spans="1:23" ht="22.8" x14ac:dyDescent="0.3">
      <c r="A1477" s="129">
        <v>40042</v>
      </c>
      <c r="B1477" s="129">
        <v>40042</v>
      </c>
      <c r="C1477" s="6">
        <v>8</v>
      </c>
      <c r="D1477" s="6">
        <v>1</v>
      </c>
      <c r="E1477" s="19">
        <v>2009</v>
      </c>
      <c r="F1477" s="15" t="s">
        <v>22</v>
      </c>
      <c r="G1477" s="9" t="s">
        <v>6257</v>
      </c>
      <c r="H1477" s="9" t="s">
        <v>174</v>
      </c>
      <c r="I1477" s="17" t="s">
        <v>2558</v>
      </c>
      <c r="J1477" s="17" t="s">
        <v>2559</v>
      </c>
      <c r="K1477" s="23">
        <v>0</v>
      </c>
      <c r="L1477" s="234">
        <v>590</v>
      </c>
      <c r="M1477" s="23">
        <v>118</v>
      </c>
      <c r="N1477" s="23">
        <v>0</v>
      </c>
      <c r="O1477" s="23">
        <v>0</v>
      </c>
      <c r="P1477" s="23">
        <v>0</v>
      </c>
      <c r="Q1477" s="92">
        <v>0</v>
      </c>
      <c r="R1477" s="93">
        <f>(M1477*8738)/1000000</f>
        <v>1.0310839999999999</v>
      </c>
      <c r="S1477" s="19" t="s">
        <v>115</v>
      </c>
      <c r="T1477" s="257">
        <f t="shared" si="53"/>
        <v>590</v>
      </c>
      <c r="U1477" s="257">
        <f t="shared" si="54"/>
        <v>118</v>
      </c>
      <c r="V1477">
        <v>1</v>
      </c>
      <c r="W1477">
        <v>1</v>
      </c>
    </row>
    <row r="1478" spans="1:23" ht="34.200000000000003" x14ac:dyDescent="0.3">
      <c r="A1478" s="129">
        <v>40046</v>
      </c>
      <c r="B1478" s="129">
        <v>40046</v>
      </c>
      <c r="C1478" s="6">
        <v>8</v>
      </c>
      <c r="D1478" s="6">
        <v>1</v>
      </c>
      <c r="E1478" s="19">
        <v>2009</v>
      </c>
      <c r="F1478" s="15" t="s">
        <v>22</v>
      </c>
      <c r="G1478" s="16" t="s">
        <v>6256</v>
      </c>
      <c r="H1478" s="9" t="s">
        <v>46</v>
      </c>
      <c r="I1478" s="17" t="s">
        <v>1365</v>
      </c>
      <c r="J1478" s="17" t="s">
        <v>2560</v>
      </c>
      <c r="K1478" s="23">
        <v>1</v>
      </c>
      <c r="L1478" s="234">
        <v>4</v>
      </c>
      <c r="M1478" s="23">
        <v>0</v>
      </c>
      <c r="N1478" s="23">
        <v>0</v>
      </c>
      <c r="O1478" s="23">
        <v>0</v>
      </c>
      <c r="P1478" s="23">
        <v>0</v>
      </c>
      <c r="Q1478" s="92">
        <v>0</v>
      </c>
      <c r="R1478" s="93">
        <v>0</v>
      </c>
      <c r="S1478" s="19" t="s">
        <v>115</v>
      </c>
      <c r="T1478" s="257">
        <f t="shared" si="53"/>
        <v>5</v>
      </c>
      <c r="U1478" s="257">
        <f t="shared" si="54"/>
        <v>0</v>
      </c>
      <c r="V1478">
        <v>1</v>
      </c>
      <c r="W1478">
        <v>0</v>
      </c>
    </row>
    <row r="1479" spans="1:23" ht="34.200000000000003" x14ac:dyDescent="0.3">
      <c r="A1479" s="129">
        <v>40051</v>
      </c>
      <c r="B1479" s="129">
        <v>40051</v>
      </c>
      <c r="C1479" s="6">
        <v>8</v>
      </c>
      <c r="D1479" s="6">
        <v>1</v>
      </c>
      <c r="E1479" s="19">
        <v>2009</v>
      </c>
      <c r="F1479" s="15" t="s">
        <v>22</v>
      </c>
      <c r="G1479" s="9" t="s">
        <v>6257</v>
      </c>
      <c r="H1479" s="9" t="s">
        <v>39</v>
      </c>
      <c r="I1479" s="17" t="s">
        <v>2561</v>
      </c>
      <c r="J1479" s="17" t="s">
        <v>2562</v>
      </c>
      <c r="K1479" s="23">
        <v>1</v>
      </c>
      <c r="L1479" s="234">
        <v>1</v>
      </c>
      <c r="M1479" s="23">
        <v>0</v>
      </c>
      <c r="N1479" s="23">
        <v>0</v>
      </c>
      <c r="O1479" s="23">
        <v>0</v>
      </c>
      <c r="P1479" s="23">
        <v>0</v>
      </c>
      <c r="Q1479" s="92">
        <v>0</v>
      </c>
      <c r="R1479" s="93">
        <v>0</v>
      </c>
      <c r="S1479" s="19" t="s">
        <v>115</v>
      </c>
      <c r="T1479" s="257">
        <f t="shared" si="53"/>
        <v>2</v>
      </c>
      <c r="U1479" s="257">
        <f t="shared" si="54"/>
        <v>0</v>
      </c>
      <c r="V1479">
        <v>1</v>
      </c>
      <c r="W1479">
        <v>0</v>
      </c>
    </row>
    <row r="1480" spans="1:23" ht="22.8" x14ac:dyDescent="0.3">
      <c r="A1480" s="129">
        <v>40060</v>
      </c>
      <c r="B1480" s="129">
        <v>40060</v>
      </c>
      <c r="C1480" s="6">
        <v>9</v>
      </c>
      <c r="D1480" s="6">
        <v>1</v>
      </c>
      <c r="E1480" s="19">
        <v>2009</v>
      </c>
      <c r="F1480" s="15" t="s">
        <v>22</v>
      </c>
      <c r="G1480" s="16" t="s">
        <v>6256</v>
      </c>
      <c r="H1480" s="9" t="s">
        <v>118</v>
      </c>
      <c r="I1480" s="17" t="s">
        <v>499</v>
      </c>
      <c r="J1480" s="17" t="s">
        <v>2563</v>
      </c>
      <c r="K1480" s="23">
        <v>0</v>
      </c>
      <c r="L1480" s="234">
        <v>4</v>
      </c>
      <c r="M1480" s="23">
        <v>0</v>
      </c>
      <c r="N1480" s="23">
        <v>0</v>
      </c>
      <c r="O1480" s="23">
        <v>0</v>
      </c>
      <c r="P1480" s="23">
        <v>0</v>
      </c>
      <c r="Q1480" s="92">
        <v>0</v>
      </c>
      <c r="R1480" s="93">
        <v>0</v>
      </c>
      <c r="S1480" s="19" t="s">
        <v>115</v>
      </c>
      <c r="T1480" s="257">
        <f t="shared" si="53"/>
        <v>4</v>
      </c>
      <c r="U1480" s="257">
        <f t="shared" si="54"/>
        <v>0</v>
      </c>
      <c r="V1480">
        <v>1</v>
      </c>
      <c r="W1480">
        <v>0</v>
      </c>
    </row>
    <row r="1481" spans="1:23" ht="22.8" x14ac:dyDescent="0.3">
      <c r="A1481" s="129">
        <v>40063</v>
      </c>
      <c r="B1481" s="129">
        <v>40063</v>
      </c>
      <c r="C1481" s="6">
        <v>9</v>
      </c>
      <c r="D1481" s="6">
        <v>1</v>
      </c>
      <c r="E1481" s="19">
        <v>2009</v>
      </c>
      <c r="F1481" s="15" t="s">
        <v>22</v>
      </c>
      <c r="G1481" s="16" t="s">
        <v>6256</v>
      </c>
      <c r="H1481" s="9" t="s">
        <v>70</v>
      </c>
      <c r="I1481" s="17" t="s">
        <v>1920</v>
      </c>
      <c r="J1481" s="17" t="s">
        <v>2564</v>
      </c>
      <c r="K1481" s="23">
        <v>1</v>
      </c>
      <c r="L1481" s="234">
        <v>1</v>
      </c>
      <c r="M1481" s="23">
        <v>0</v>
      </c>
      <c r="N1481" s="23">
        <v>0</v>
      </c>
      <c r="O1481" s="23">
        <v>0</v>
      </c>
      <c r="P1481" s="23">
        <v>0</v>
      </c>
      <c r="Q1481" s="92">
        <v>0</v>
      </c>
      <c r="R1481" s="93">
        <v>0</v>
      </c>
      <c r="S1481" s="19" t="s">
        <v>115</v>
      </c>
      <c r="T1481" s="257">
        <f t="shared" si="53"/>
        <v>2</v>
      </c>
      <c r="U1481" s="257">
        <f t="shared" si="54"/>
        <v>0</v>
      </c>
      <c r="V1481">
        <v>1</v>
      </c>
      <c r="W1481">
        <v>0</v>
      </c>
    </row>
    <row r="1482" spans="1:23" ht="22.8" x14ac:dyDescent="0.3">
      <c r="A1482" s="129">
        <v>40065</v>
      </c>
      <c r="B1482" s="129">
        <v>40065</v>
      </c>
      <c r="C1482" s="6">
        <v>9</v>
      </c>
      <c r="D1482" s="6">
        <v>1</v>
      </c>
      <c r="E1482" s="19">
        <v>2009</v>
      </c>
      <c r="F1482" s="15" t="s">
        <v>22</v>
      </c>
      <c r="G1482" s="16" t="s">
        <v>6256</v>
      </c>
      <c r="H1482" s="9" t="s">
        <v>46</v>
      </c>
      <c r="I1482" s="17" t="s">
        <v>299</v>
      </c>
      <c r="J1482" s="17" t="s">
        <v>2565</v>
      </c>
      <c r="K1482" s="23">
        <v>1</v>
      </c>
      <c r="L1482" s="234">
        <v>2</v>
      </c>
      <c r="M1482" s="23">
        <v>0</v>
      </c>
      <c r="N1482" s="23">
        <v>0</v>
      </c>
      <c r="O1482" s="23">
        <v>0</v>
      </c>
      <c r="P1482" s="23">
        <v>0</v>
      </c>
      <c r="Q1482" s="92">
        <v>0</v>
      </c>
      <c r="R1482" s="93">
        <v>0</v>
      </c>
      <c r="S1482" s="19" t="s">
        <v>115</v>
      </c>
      <c r="T1482" s="257">
        <f t="shared" si="53"/>
        <v>3</v>
      </c>
      <c r="U1482" s="257">
        <f t="shared" si="54"/>
        <v>0</v>
      </c>
      <c r="V1482">
        <v>1</v>
      </c>
      <c r="W1482">
        <v>0</v>
      </c>
    </row>
    <row r="1483" spans="1:23" x14ac:dyDescent="0.3">
      <c r="A1483" s="129">
        <v>40090</v>
      </c>
      <c r="B1483" s="129">
        <v>40090</v>
      </c>
      <c r="C1483" s="6">
        <v>10</v>
      </c>
      <c r="D1483" s="6">
        <v>1</v>
      </c>
      <c r="E1483" s="19">
        <v>2009</v>
      </c>
      <c r="F1483" s="15" t="s">
        <v>22</v>
      </c>
      <c r="G1483" s="16" t="s">
        <v>6256</v>
      </c>
      <c r="H1483" s="9" t="s">
        <v>88</v>
      </c>
      <c r="I1483" s="17" t="s">
        <v>1278</v>
      </c>
      <c r="J1483" s="17" t="s">
        <v>2566</v>
      </c>
      <c r="K1483" s="23">
        <v>1</v>
      </c>
      <c r="L1483" s="234">
        <v>1</v>
      </c>
      <c r="M1483" s="23">
        <v>0</v>
      </c>
      <c r="N1483" s="23">
        <v>0</v>
      </c>
      <c r="O1483" s="23">
        <v>0</v>
      </c>
      <c r="P1483" s="23">
        <v>0</v>
      </c>
      <c r="Q1483" s="92">
        <v>0</v>
      </c>
      <c r="R1483" s="93">
        <v>0</v>
      </c>
      <c r="S1483" s="19" t="s">
        <v>115</v>
      </c>
      <c r="T1483" s="257">
        <f t="shared" si="53"/>
        <v>2</v>
      </c>
      <c r="U1483" s="257">
        <f t="shared" si="54"/>
        <v>0</v>
      </c>
      <c r="V1483">
        <v>1</v>
      </c>
      <c r="W1483">
        <v>0</v>
      </c>
    </row>
    <row r="1484" spans="1:23" ht="45.6" x14ac:dyDescent="0.3">
      <c r="A1484" s="129">
        <v>40148</v>
      </c>
      <c r="B1484" s="129">
        <v>40148</v>
      </c>
      <c r="C1484" s="6">
        <v>12</v>
      </c>
      <c r="D1484" s="6">
        <v>1</v>
      </c>
      <c r="E1484" s="19">
        <v>2009</v>
      </c>
      <c r="F1484" s="15" t="s">
        <v>22</v>
      </c>
      <c r="G1484" s="9" t="s">
        <v>6257</v>
      </c>
      <c r="H1484" s="9" t="s">
        <v>88</v>
      </c>
      <c r="I1484" s="17" t="s">
        <v>2567</v>
      </c>
      <c r="J1484" s="17" t="s">
        <v>2568</v>
      </c>
      <c r="K1484" s="23">
        <v>0</v>
      </c>
      <c r="L1484" s="234">
        <v>81</v>
      </c>
      <c r="M1484" s="23">
        <v>15</v>
      </c>
      <c r="N1484" s="23">
        <v>0</v>
      </c>
      <c r="O1484" s="23">
        <v>0</v>
      </c>
      <c r="P1484" s="23">
        <v>0</v>
      </c>
      <c r="Q1484" s="92">
        <v>0</v>
      </c>
      <c r="R1484" s="93">
        <f>(M1484*8738)/1000000</f>
        <v>0.13106999999999999</v>
      </c>
      <c r="S1484" s="19" t="s">
        <v>115</v>
      </c>
      <c r="T1484" s="257">
        <f t="shared" si="53"/>
        <v>81</v>
      </c>
      <c r="U1484" s="257">
        <f t="shared" si="54"/>
        <v>15</v>
      </c>
      <c r="V1484">
        <v>1</v>
      </c>
      <c r="W1484">
        <v>1</v>
      </c>
    </row>
    <row r="1485" spans="1:23" ht="45.6" x14ac:dyDescent="0.3">
      <c r="A1485" s="129">
        <v>40167</v>
      </c>
      <c r="B1485" s="129">
        <v>40167</v>
      </c>
      <c r="C1485" s="6">
        <v>12</v>
      </c>
      <c r="D1485" s="6">
        <v>1</v>
      </c>
      <c r="E1485" s="19">
        <v>2009</v>
      </c>
      <c r="F1485" s="15" t="s">
        <v>22</v>
      </c>
      <c r="G1485" s="16" t="s">
        <v>6255</v>
      </c>
      <c r="H1485" s="9" t="s">
        <v>88</v>
      </c>
      <c r="I1485" s="17" t="s">
        <v>2569</v>
      </c>
      <c r="J1485" s="17" t="s">
        <v>2570</v>
      </c>
      <c r="K1485" s="23">
        <v>0</v>
      </c>
      <c r="L1485" s="234">
        <v>11050</v>
      </c>
      <c r="M1485" s="23">
        <v>0</v>
      </c>
      <c r="N1485" s="23">
        <v>0</v>
      </c>
      <c r="O1485" s="23">
        <v>0</v>
      </c>
      <c r="P1485" s="23">
        <v>0</v>
      </c>
      <c r="Q1485" s="92">
        <v>0</v>
      </c>
      <c r="R1485" s="93">
        <v>5.4580000000000002</v>
      </c>
      <c r="S1485" s="19" t="s">
        <v>149</v>
      </c>
      <c r="T1485" s="257">
        <f t="shared" si="53"/>
        <v>11050</v>
      </c>
      <c r="U1485" s="257">
        <f t="shared" si="54"/>
        <v>0</v>
      </c>
      <c r="V1485">
        <v>2</v>
      </c>
      <c r="W1485">
        <v>0</v>
      </c>
    </row>
    <row r="1486" spans="1:23" ht="45.6" x14ac:dyDescent="0.3">
      <c r="A1486" s="129">
        <v>40175</v>
      </c>
      <c r="B1486" s="129">
        <v>40175</v>
      </c>
      <c r="C1486" s="6">
        <v>12</v>
      </c>
      <c r="D1486" s="6">
        <v>1</v>
      </c>
      <c r="E1486" s="19">
        <v>2009</v>
      </c>
      <c r="F1486" s="15" t="s">
        <v>22</v>
      </c>
      <c r="G1486" s="16" t="s">
        <v>6255</v>
      </c>
      <c r="H1486" s="9" t="s">
        <v>41</v>
      </c>
      <c r="I1486" s="17" t="s">
        <v>2571</v>
      </c>
      <c r="J1486" s="17" t="s">
        <v>2572</v>
      </c>
      <c r="K1486" s="23">
        <v>0</v>
      </c>
      <c r="L1486" s="234">
        <v>2768</v>
      </c>
      <c r="M1486" s="23">
        <v>0</v>
      </c>
      <c r="N1486" s="23">
        <v>0</v>
      </c>
      <c r="O1486" s="23">
        <v>0</v>
      </c>
      <c r="P1486" s="23">
        <v>0</v>
      </c>
      <c r="Q1486" s="92">
        <v>0</v>
      </c>
      <c r="R1486" s="93">
        <v>1.5049999999999999</v>
      </c>
      <c r="S1486" s="19" t="s">
        <v>149</v>
      </c>
      <c r="T1486" s="257">
        <f t="shared" si="53"/>
        <v>2768</v>
      </c>
      <c r="U1486" s="257">
        <f t="shared" si="54"/>
        <v>0</v>
      </c>
      <c r="V1486">
        <v>1</v>
      </c>
      <c r="W1486">
        <v>0</v>
      </c>
    </row>
    <row r="1487" spans="1:23" ht="136.80000000000001" x14ac:dyDescent="0.3">
      <c r="A1487" s="129">
        <v>39835</v>
      </c>
      <c r="B1487" s="129">
        <v>39835</v>
      </c>
      <c r="C1487" s="6">
        <v>1</v>
      </c>
      <c r="D1487" s="6">
        <v>1</v>
      </c>
      <c r="E1487" s="19">
        <v>2009</v>
      </c>
      <c r="F1487" s="7" t="s">
        <v>17</v>
      </c>
      <c r="G1487" s="28" t="s">
        <v>6261</v>
      </c>
      <c r="H1487" s="9" t="s">
        <v>118</v>
      </c>
      <c r="I1487" s="17" t="s">
        <v>170</v>
      </c>
      <c r="J1487" s="17" t="s">
        <v>2573</v>
      </c>
      <c r="K1487" s="23">
        <v>2</v>
      </c>
      <c r="L1487" s="234">
        <v>302</v>
      </c>
      <c r="M1487" s="23">
        <v>60</v>
      </c>
      <c r="N1487" s="23">
        <v>0</v>
      </c>
      <c r="O1487" s="23">
        <v>0</v>
      </c>
      <c r="P1487" s="23">
        <v>0</v>
      </c>
      <c r="Q1487" s="92">
        <v>0</v>
      </c>
      <c r="R1487" s="93">
        <f>((54*27687)+(6*95904))/1000000</f>
        <v>2.070522</v>
      </c>
      <c r="S1487" s="19" t="s">
        <v>115</v>
      </c>
      <c r="T1487" s="257">
        <f t="shared" si="53"/>
        <v>304</v>
      </c>
      <c r="U1487" s="257">
        <f t="shared" si="54"/>
        <v>60</v>
      </c>
      <c r="V1487">
        <v>1</v>
      </c>
      <c r="W1487">
        <v>1</v>
      </c>
    </row>
    <row r="1488" spans="1:23" ht="34.200000000000003" x14ac:dyDescent="0.3">
      <c r="A1488" s="129">
        <v>39837</v>
      </c>
      <c r="B1488" s="129">
        <v>39837</v>
      </c>
      <c r="C1488" s="6">
        <v>1</v>
      </c>
      <c r="D1488" s="6">
        <v>1</v>
      </c>
      <c r="E1488" s="19">
        <v>2009</v>
      </c>
      <c r="F1488" s="7" t="s">
        <v>17</v>
      </c>
      <c r="G1488" s="8" t="s">
        <v>6261</v>
      </c>
      <c r="H1488" s="9" t="s">
        <v>174</v>
      </c>
      <c r="I1488" s="17" t="s">
        <v>1039</v>
      </c>
      <c r="J1488" s="17" t="s">
        <v>2574</v>
      </c>
      <c r="K1488" s="23">
        <v>0</v>
      </c>
      <c r="L1488" s="234">
        <v>1</v>
      </c>
      <c r="M1488" s="23">
        <v>0</v>
      </c>
      <c r="N1488" s="23">
        <v>0</v>
      </c>
      <c r="O1488" s="23">
        <v>0</v>
      </c>
      <c r="P1488" s="23">
        <v>0</v>
      </c>
      <c r="Q1488" s="92">
        <v>0</v>
      </c>
      <c r="R1488" s="93">
        <v>0</v>
      </c>
      <c r="S1488" s="19" t="s">
        <v>115</v>
      </c>
      <c r="T1488" s="257">
        <f t="shared" si="53"/>
        <v>1</v>
      </c>
      <c r="U1488" s="257">
        <f t="shared" si="54"/>
        <v>0</v>
      </c>
      <c r="V1488">
        <v>1</v>
      </c>
      <c r="W1488">
        <v>0</v>
      </c>
    </row>
    <row r="1489" spans="1:23" ht="102.6" x14ac:dyDescent="0.3">
      <c r="A1489" s="129">
        <v>39843</v>
      </c>
      <c r="B1489" s="129">
        <v>39843</v>
      </c>
      <c r="C1489" s="6">
        <v>1</v>
      </c>
      <c r="D1489" s="6">
        <v>1</v>
      </c>
      <c r="E1489" s="19">
        <v>2009</v>
      </c>
      <c r="F1489" s="7" t="s">
        <v>17</v>
      </c>
      <c r="G1489" s="28" t="s">
        <v>6261</v>
      </c>
      <c r="H1489" s="9" t="s">
        <v>55</v>
      </c>
      <c r="I1489" s="17" t="s">
        <v>1389</v>
      </c>
      <c r="J1489" s="17" t="s">
        <v>2575</v>
      </c>
      <c r="K1489" s="23">
        <v>0</v>
      </c>
      <c r="L1489" s="234">
        <v>0</v>
      </c>
      <c r="M1489" s="23">
        <v>0</v>
      </c>
      <c r="N1489" s="23">
        <v>0</v>
      </c>
      <c r="O1489" s="23">
        <v>0</v>
      </c>
      <c r="P1489" s="23">
        <v>0</v>
      </c>
      <c r="Q1489" s="92">
        <v>0</v>
      </c>
      <c r="R1489" s="93">
        <v>0</v>
      </c>
      <c r="S1489" s="19" t="s">
        <v>115</v>
      </c>
      <c r="T1489" s="257">
        <f t="shared" si="53"/>
        <v>0</v>
      </c>
      <c r="U1489" s="257">
        <f t="shared" si="54"/>
        <v>0</v>
      </c>
      <c r="V1489">
        <v>0</v>
      </c>
      <c r="W1489">
        <v>0</v>
      </c>
    </row>
    <row r="1490" spans="1:23" ht="68.400000000000006" x14ac:dyDescent="0.3">
      <c r="A1490" s="129">
        <v>39844</v>
      </c>
      <c r="B1490" s="129">
        <v>39844</v>
      </c>
      <c r="C1490" s="6">
        <v>1</v>
      </c>
      <c r="D1490" s="6">
        <v>1</v>
      </c>
      <c r="E1490" s="19">
        <v>2009</v>
      </c>
      <c r="F1490" s="7" t="s">
        <v>17</v>
      </c>
      <c r="G1490" s="8" t="s">
        <v>6261</v>
      </c>
      <c r="H1490" s="9" t="s">
        <v>57</v>
      </c>
      <c r="I1490" s="17" t="s">
        <v>1364</v>
      </c>
      <c r="J1490" s="17" t="s">
        <v>2576</v>
      </c>
      <c r="K1490" s="23">
        <v>2</v>
      </c>
      <c r="L1490" s="234">
        <v>4</v>
      </c>
      <c r="M1490" s="23">
        <v>0</v>
      </c>
      <c r="N1490" s="23">
        <v>0</v>
      </c>
      <c r="O1490" s="23">
        <v>0</v>
      </c>
      <c r="P1490" s="23">
        <v>0</v>
      </c>
      <c r="Q1490" s="92">
        <v>0</v>
      </c>
      <c r="R1490" s="93">
        <v>0</v>
      </c>
      <c r="S1490" s="19" t="s">
        <v>115</v>
      </c>
      <c r="T1490" s="257">
        <f t="shared" si="53"/>
        <v>6</v>
      </c>
      <c r="U1490" s="257">
        <f t="shared" si="54"/>
        <v>0</v>
      </c>
      <c r="V1490">
        <v>1</v>
      </c>
      <c r="W1490">
        <v>0</v>
      </c>
    </row>
    <row r="1491" spans="1:23" ht="22.8" x14ac:dyDescent="0.3">
      <c r="A1491" s="129">
        <v>39884</v>
      </c>
      <c r="B1491" s="129">
        <v>39884</v>
      </c>
      <c r="C1491" s="6">
        <v>3</v>
      </c>
      <c r="D1491" s="6">
        <v>1</v>
      </c>
      <c r="E1491" s="19">
        <v>2009</v>
      </c>
      <c r="F1491" s="7" t="s">
        <v>17</v>
      </c>
      <c r="G1491" s="28" t="s">
        <v>6261</v>
      </c>
      <c r="H1491" s="9" t="s">
        <v>174</v>
      </c>
      <c r="I1491" s="17" t="s">
        <v>2577</v>
      </c>
      <c r="J1491" s="17" t="s">
        <v>2578</v>
      </c>
      <c r="K1491" s="23">
        <v>1</v>
      </c>
      <c r="L1491" s="234">
        <v>4</v>
      </c>
      <c r="M1491" s="23">
        <v>0</v>
      </c>
      <c r="N1491" s="23">
        <v>0</v>
      </c>
      <c r="O1491" s="23">
        <v>0</v>
      </c>
      <c r="P1491" s="23">
        <v>0</v>
      </c>
      <c r="Q1491" s="92">
        <v>0</v>
      </c>
      <c r="R1491" s="93">
        <v>0</v>
      </c>
      <c r="S1491" s="19" t="s">
        <v>115</v>
      </c>
      <c r="T1491" s="257">
        <f t="shared" si="53"/>
        <v>5</v>
      </c>
      <c r="U1491" s="257">
        <f t="shared" si="54"/>
        <v>0</v>
      </c>
      <c r="V1491">
        <v>1</v>
      </c>
      <c r="W1491">
        <v>0</v>
      </c>
    </row>
    <row r="1492" spans="1:23" ht="39.6" x14ac:dyDescent="0.3">
      <c r="A1492" s="219">
        <v>40407</v>
      </c>
      <c r="B1492" s="219">
        <v>40407</v>
      </c>
      <c r="C1492" s="6">
        <v>8</v>
      </c>
      <c r="D1492" s="6">
        <v>1</v>
      </c>
      <c r="E1492" s="73">
        <v>2010</v>
      </c>
      <c r="F1492" s="15" t="s">
        <v>22</v>
      </c>
      <c r="G1492" s="18" t="s">
        <v>6256</v>
      </c>
      <c r="H1492" s="9" t="s">
        <v>48</v>
      </c>
      <c r="I1492" s="74" t="s">
        <v>2579</v>
      </c>
      <c r="J1492" s="74" t="s">
        <v>2580</v>
      </c>
      <c r="K1492" s="75">
        <v>0</v>
      </c>
      <c r="L1492" s="241">
        <v>205</v>
      </c>
      <c r="M1492" s="75">
        <v>41</v>
      </c>
      <c r="N1492" s="75">
        <v>0</v>
      </c>
      <c r="O1492" s="75">
        <v>0</v>
      </c>
      <c r="P1492" s="75">
        <v>0</v>
      </c>
      <c r="Q1492" s="75">
        <v>0</v>
      </c>
      <c r="R1492" s="61">
        <v>0.768258</v>
      </c>
      <c r="S1492" s="73" t="s">
        <v>115</v>
      </c>
      <c r="T1492" s="257">
        <f t="shared" si="53"/>
        <v>205</v>
      </c>
      <c r="U1492" s="257">
        <f t="shared" si="54"/>
        <v>41</v>
      </c>
      <c r="V1492">
        <v>1</v>
      </c>
      <c r="W1492">
        <v>1</v>
      </c>
    </row>
    <row r="1493" spans="1:23" ht="34.200000000000003" x14ac:dyDescent="0.3">
      <c r="A1493" s="129">
        <v>40005</v>
      </c>
      <c r="B1493" s="129">
        <v>40005</v>
      </c>
      <c r="C1493" s="6">
        <v>7</v>
      </c>
      <c r="D1493" s="6">
        <v>1</v>
      </c>
      <c r="E1493" s="19">
        <v>2009</v>
      </c>
      <c r="F1493" s="7" t="s">
        <v>17</v>
      </c>
      <c r="G1493" s="16" t="s">
        <v>6260</v>
      </c>
      <c r="H1493" s="9" t="s">
        <v>41</v>
      </c>
      <c r="I1493" s="17" t="s">
        <v>2581</v>
      </c>
      <c r="J1493" s="17" t="s">
        <v>2582</v>
      </c>
      <c r="K1493" s="23">
        <v>0</v>
      </c>
      <c r="L1493" s="234">
        <v>80</v>
      </c>
      <c r="M1493" s="23">
        <v>0</v>
      </c>
      <c r="N1493" s="23">
        <v>0</v>
      </c>
      <c r="O1493" s="23">
        <v>0</v>
      </c>
      <c r="P1493" s="23">
        <v>0</v>
      </c>
      <c r="Q1493" s="92">
        <v>0</v>
      </c>
      <c r="R1493" s="93">
        <v>0</v>
      </c>
      <c r="S1493" s="19" t="s">
        <v>115</v>
      </c>
      <c r="T1493" s="257">
        <f t="shared" si="53"/>
        <v>80</v>
      </c>
      <c r="U1493" s="257">
        <f t="shared" si="54"/>
        <v>0</v>
      </c>
      <c r="V1493">
        <v>1</v>
      </c>
      <c r="W1493">
        <v>0</v>
      </c>
    </row>
    <row r="1494" spans="1:23" ht="34.200000000000003" x14ac:dyDescent="0.3">
      <c r="A1494" s="129">
        <v>40055</v>
      </c>
      <c r="B1494" s="129">
        <v>40055</v>
      </c>
      <c r="C1494" s="6">
        <v>8</v>
      </c>
      <c r="D1494" s="6">
        <v>1</v>
      </c>
      <c r="E1494" s="19">
        <v>2009</v>
      </c>
      <c r="F1494" s="7" t="s">
        <v>17</v>
      </c>
      <c r="G1494" s="28" t="s">
        <v>6261</v>
      </c>
      <c r="H1494" s="9" t="s">
        <v>118</v>
      </c>
      <c r="I1494" s="17" t="s">
        <v>1273</v>
      </c>
      <c r="J1494" s="17" t="s">
        <v>2583</v>
      </c>
      <c r="K1494" s="23">
        <v>1</v>
      </c>
      <c r="L1494" s="234">
        <v>6</v>
      </c>
      <c r="M1494" s="23">
        <v>1</v>
      </c>
      <c r="N1494" s="23">
        <v>0</v>
      </c>
      <c r="O1494" s="23">
        <v>0</v>
      </c>
      <c r="P1494" s="23">
        <v>0</v>
      </c>
      <c r="Q1494" s="92">
        <v>0</v>
      </c>
      <c r="R1494" s="93">
        <v>0.95904</v>
      </c>
      <c r="S1494" s="19" t="s">
        <v>115</v>
      </c>
      <c r="T1494" s="257">
        <f t="shared" si="53"/>
        <v>7</v>
      </c>
      <c r="U1494" s="257">
        <f t="shared" si="54"/>
        <v>1</v>
      </c>
      <c r="V1494">
        <v>1</v>
      </c>
      <c r="W1494">
        <v>1</v>
      </c>
    </row>
    <row r="1495" spans="1:23" ht="34.200000000000003" x14ac:dyDescent="0.3">
      <c r="A1495" s="129">
        <v>40057</v>
      </c>
      <c r="B1495" s="129">
        <v>40057</v>
      </c>
      <c r="C1495" s="6">
        <v>9</v>
      </c>
      <c r="D1495" s="6">
        <v>1</v>
      </c>
      <c r="E1495" s="19">
        <v>2009</v>
      </c>
      <c r="F1495" s="7" t="s">
        <v>17</v>
      </c>
      <c r="G1495" s="28" t="s">
        <v>6261</v>
      </c>
      <c r="H1495" s="9" t="s">
        <v>64</v>
      </c>
      <c r="I1495" s="17" t="s">
        <v>2584</v>
      </c>
      <c r="J1495" s="17" t="s">
        <v>2585</v>
      </c>
      <c r="K1495" s="23">
        <v>3</v>
      </c>
      <c r="L1495" s="234">
        <v>5</v>
      </c>
      <c r="M1495" s="23">
        <v>1</v>
      </c>
      <c r="N1495" s="23">
        <v>0</v>
      </c>
      <c r="O1495" s="23">
        <v>0</v>
      </c>
      <c r="P1495" s="23">
        <v>0</v>
      </c>
      <c r="Q1495" s="92">
        <v>0</v>
      </c>
      <c r="R1495" s="93">
        <v>0.95904</v>
      </c>
      <c r="S1495" s="19" t="s">
        <v>115</v>
      </c>
      <c r="T1495" s="257">
        <f t="shared" si="53"/>
        <v>8</v>
      </c>
      <c r="U1495" s="257">
        <f t="shared" si="54"/>
        <v>1</v>
      </c>
      <c r="V1495">
        <v>1</v>
      </c>
      <c r="W1495">
        <v>1</v>
      </c>
    </row>
    <row r="1496" spans="1:23" ht="34.200000000000003" x14ac:dyDescent="0.3">
      <c r="A1496" s="129">
        <v>40071</v>
      </c>
      <c r="B1496" s="129">
        <v>40071</v>
      </c>
      <c r="C1496" s="6">
        <v>9</v>
      </c>
      <c r="D1496" s="6">
        <v>1</v>
      </c>
      <c r="E1496" s="19">
        <v>2009</v>
      </c>
      <c r="F1496" s="7" t="s">
        <v>17</v>
      </c>
      <c r="G1496" s="28" t="s">
        <v>6261</v>
      </c>
      <c r="H1496" s="9" t="s">
        <v>118</v>
      </c>
      <c r="I1496" s="17" t="s">
        <v>1273</v>
      </c>
      <c r="J1496" s="17" t="s">
        <v>2586</v>
      </c>
      <c r="K1496" s="23">
        <v>3</v>
      </c>
      <c r="L1496" s="234">
        <v>4</v>
      </c>
      <c r="M1496" s="23">
        <v>0</v>
      </c>
      <c r="N1496" s="23">
        <v>0</v>
      </c>
      <c r="O1496" s="23">
        <v>0</v>
      </c>
      <c r="P1496" s="23">
        <v>0</v>
      </c>
      <c r="Q1496" s="92">
        <v>0</v>
      </c>
      <c r="R1496" s="93">
        <v>0</v>
      </c>
      <c r="S1496" s="19" t="s">
        <v>115</v>
      </c>
      <c r="T1496" s="257">
        <f t="shared" si="53"/>
        <v>7</v>
      </c>
      <c r="U1496" s="257">
        <f t="shared" si="54"/>
        <v>0</v>
      </c>
      <c r="V1496">
        <v>1</v>
      </c>
      <c r="W1496">
        <v>0</v>
      </c>
    </row>
    <row r="1497" spans="1:23" ht="34.200000000000003" x14ac:dyDescent="0.3">
      <c r="A1497" s="129">
        <v>40073</v>
      </c>
      <c r="B1497" s="129">
        <v>40073</v>
      </c>
      <c r="C1497" s="6">
        <v>9</v>
      </c>
      <c r="D1497" s="6">
        <v>1</v>
      </c>
      <c r="E1497" s="19">
        <v>2009</v>
      </c>
      <c r="F1497" s="7" t="s">
        <v>17</v>
      </c>
      <c r="G1497" s="28" t="s">
        <v>6261</v>
      </c>
      <c r="H1497" s="9" t="s">
        <v>174</v>
      </c>
      <c r="I1497" s="17" t="s">
        <v>650</v>
      </c>
      <c r="J1497" s="17" t="s">
        <v>2587</v>
      </c>
      <c r="K1497" s="23">
        <v>1</v>
      </c>
      <c r="L1497" s="234">
        <v>5</v>
      </c>
      <c r="M1497" s="23">
        <v>1</v>
      </c>
      <c r="N1497" s="23">
        <v>0</v>
      </c>
      <c r="O1497" s="23">
        <v>0</v>
      </c>
      <c r="P1497" s="23">
        <v>0</v>
      </c>
      <c r="Q1497" s="92">
        <v>0</v>
      </c>
      <c r="R1497" s="93">
        <v>0.95904</v>
      </c>
      <c r="S1497" s="19" t="s">
        <v>115</v>
      </c>
      <c r="T1497" s="257">
        <f t="shared" si="53"/>
        <v>6</v>
      </c>
      <c r="U1497" s="257">
        <f t="shared" si="54"/>
        <v>1</v>
      </c>
      <c r="V1497">
        <v>1</v>
      </c>
      <c r="W1497">
        <v>1</v>
      </c>
    </row>
    <row r="1498" spans="1:23" ht="34.200000000000003" x14ac:dyDescent="0.3">
      <c r="A1498" s="129">
        <v>40104</v>
      </c>
      <c r="B1498" s="129">
        <v>40104</v>
      </c>
      <c r="C1498" s="6">
        <v>10</v>
      </c>
      <c r="D1498" s="6">
        <v>1</v>
      </c>
      <c r="E1498" s="19">
        <v>2009</v>
      </c>
      <c r="F1498" s="7" t="s">
        <v>17</v>
      </c>
      <c r="G1498" s="28" t="s">
        <v>6261</v>
      </c>
      <c r="H1498" s="9" t="s">
        <v>64</v>
      </c>
      <c r="I1498" s="17" t="s">
        <v>2588</v>
      </c>
      <c r="J1498" s="17" t="s">
        <v>2589</v>
      </c>
      <c r="K1498" s="23">
        <v>0</v>
      </c>
      <c r="L1498" s="234">
        <v>1</v>
      </c>
      <c r="M1498" s="23">
        <v>0</v>
      </c>
      <c r="N1498" s="23">
        <v>0</v>
      </c>
      <c r="O1498" s="23">
        <v>0</v>
      </c>
      <c r="P1498" s="23">
        <v>0</v>
      </c>
      <c r="Q1498" s="92">
        <v>0</v>
      </c>
      <c r="R1498" s="93">
        <v>0.4</v>
      </c>
      <c r="S1498" s="19" t="s">
        <v>115</v>
      </c>
      <c r="T1498" s="257">
        <f t="shared" si="53"/>
        <v>1</v>
      </c>
      <c r="U1498" s="257">
        <f t="shared" si="54"/>
        <v>0</v>
      </c>
      <c r="V1498">
        <v>1</v>
      </c>
      <c r="W1498">
        <v>0</v>
      </c>
    </row>
    <row r="1499" spans="1:23" ht="45.6" x14ac:dyDescent="0.3">
      <c r="A1499" s="129">
        <v>40115</v>
      </c>
      <c r="B1499" s="129">
        <v>40115</v>
      </c>
      <c r="C1499" s="6">
        <v>10</v>
      </c>
      <c r="D1499" s="6">
        <v>1</v>
      </c>
      <c r="E1499" s="19">
        <v>2009</v>
      </c>
      <c r="F1499" s="7" t="s">
        <v>17</v>
      </c>
      <c r="G1499" s="16" t="s">
        <v>6260</v>
      </c>
      <c r="H1499" s="9" t="s">
        <v>174</v>
      </c>
      <c r="I1499" s="17" t="s">
        <v>2590</v>
      </c>
      <c r="J1499" s="17" t="s">
        <v>2591</v>
      </c>
      <c r="K1499" s="23">
        <v>0</v>
      </c>
      <c r="L1499" s="234">
        <f>((M1499*5))*1</f>
        <v>70</v>
      </c>
      <c r="M1499" s="23">
        <v>14</v>
      </c>
      <c r="N1499" s="23">
        <v>7</v>
      </c>
      <c r="O1499" s="23">
        <v>0</v>
      </c>
      <c r="P1499" s="23">
        <v>0</v>
      </c>
      <c r="Q1499" s="92">
        <v>0</v>
      </c>
      <c r="R1499" s="93">
        <f>38.362+0.122</f>
        <v>38.484000000000002</v>
      </c>
      <c r="S1499" s="19" t="s">
        <v>149</v>
      </c>
      <c r="T1499" s="257">
        <f t="shared" si="53"/>
        <v>70</v>
      </c>
      <c r="U1499" s="257">
        <f t="shared" si="54"/>
        <v>21</v>
      </c>
      <c r="V1499">
        <v>1</v>
      </c>
      <c r="W1499">
        <v>1</v>
      </c>
    </row>
    <row r="1500" spans="1:23" ht="211.2" x14ac:dyDescent="0.3">
      <c r="A1500" s="219">
        <v>40197</v>
      </c>
      <c r="B1500" s="219">
        <v>40197</v>
      </c>
      <c r="C1500" s="6">
        <v>1</v>
      </c>
      <c r="D1500" s="6">
        <v>1</v>
      </c>
      <c r="E1500" s="73">
        <v>2010</v>
      </c>
      <c r="F1500" s="15" t="s">
        <v>22</v>
      </c>
      <c r="G1500" s="18" t="s">
        <v>6256</v>
      </c>
      <c r="H1500" s="9" t="s">
        <v>27</v>
      </c>
      <c r="I1500" s="74" t="s">
        <v>2607</v>
      </c>
      <c r="J1500" s="74" t="s">
        <v>2608</v>
      </c>
      <c r="K1500" s="75">
        <v>3</v>
      </c>
      <c r="L1500" s="241">
        <v>890</v>
      </c>
      <c r="M1500" s="75">
        <v>178</v>
      </c>
      <c r="N1500" s="75">
        <v>0</v>
      </c>
      <c r="O1500" s="75">
        <v>0</v>
      </c>
      <c r="P1500" s="75">
        <v>0</v>
      </c>
      <c r="Q1500" s="75">
        <v>0</v>
      </c>
      <c r="R1500" s="61">
        <v>938.95699999999999</v>
      </c>
      <c r="S1500" s="73" t="s">
        <v>2609</v>
      </c>
      <c r="T1500" s="257">
        <f t="shared" si="53"/>
        <v>893</v>
      </c>
      <c r="U1500" s="257">
        <f t="shared" si="54"/>
        <v>178</v>
      </c>
      <c r="V1500">
        <v>1</v>
      </c>
      <c r="W1500">
        <v>1</v>
      </c>
    </row>
    <row r="1501" spans="1:23" ht="52.8" x14ac:dyDescent="0.3">
      <c r="A1501" s="219">
        <v>40187</v>
      </c>
      <c r="B1501" s="219">
        <v>40187</v>
      </c>
      <c r="C1501" s="6">
        <v>1</v>
      </c>
      <c r="D1501" s="6">
        <v>1</v>
      </c>
      <c r="E1501" s="73">
        <v>2010</v>
      </c>
      <c r="F1501" s="15" t="s">
        <v>22</v>
      </c>
      <c r="G1501" s="18" t="s">
        <v>6256</v>
      </c>
      <c r="H1501" s="9" t="s">
        <v>174</v>
      </c>
      <c r="I1501" s="74" t="s">
        <v>2610</v>
      </c>
      <c r="J1501" s="74" t="s">
        <v>2611</v>
      </c>
      <c r="K1501" s="75">
        <v>0</v>
      </c>
      <c r="L1501" s="241">
        <v>30700</v>
      </c>
      <c r="M1501" s="75">
        <v>0</v>
      </c>
      <c r="N1501" s="75">
        <v>0</v>
      </c>
      <c r="O1501" s="75">
        <v>0</v>
      </c>
      <c r="P1501" s="75">
        <v>0</v>
      </c>
      <c r="Q1501" s="75">
        <v>0</v>
      </c>
      <c r="R1501" s="61">
        <v>12.01</v>
      </c>
      <c r="S1501" s="73" t="s">
        <v>115</v>
      </c>
      <c r="T1501" s="257">
        <f t="shared" si="53"/>
        <v>30700</v>
      </c>
      <c r="U1501" s="257">
        <f t="shared" si="54"/>
        <v>0</v>
      </c>
      <c r="V1501">
        <v>2</v>
      </c>
      <c r="W1501">
        <v>0</v>
      </c>
    </row>
    <row r="1502" spans="1:23" ht="118.8" x14ac:dyDescent="0.3">
      <c r="A1502" s="219">
        <v>40233</v>
      </c>
      <c r="B1502" s="219">
        <v>40233</v>
      </c>
      <c r="C1502" s="6">
        <v>2</v>
      </c>
      <c r="D1502" s="6">
        <v>1</v>
      </c>
      <c r="E1502" s="73">
        <v>2010</v>
      </c>
      <c r="F1502" s="15" t="s">
        <v>22</v>
      </c>
      <c r="G1502" s="18" t="s">
        <v>6256</v>
      </c>
      <c r="H1502" s="9" t="s">
        <v>112</v>
      </c>
      <c r="I1502" s="74" t="s">
        <v>2612</v>
      </c>
      <c r="J1502" s="74" t="s">
        <v>2613</v>
      </c>
      <c r="K1502" s="75">
        <v>0</v>
      </c>
      <c r="L1502" s="241">
        <v>52</v>
      </c>
      <c r="M1502" s="75">
        <v>5</v>
      </c>
      <c r="N1502" s="75">
        <v>0</v>
      </c>
      <c r="O1502" s="75">
        <v>0</v>
      </c>
      <c r="P1502" s="75">
        <v>0</v>
      </c>
      <c r="Q1502" s="75">
        <v>0</v>
      </c>
      <c r="R1502" s="61">
        <v>0.43694</v>
      </c>
      <c r="S1502" s="73" t="s">
        <v>115</v>
      </c>
      <c r="T1502" s="257">
        <f t="shared" si="53"/>
        <v>52</v>
      </c>
      <c r="U1502" s="257">
        <f t="shared" si="54"/>
        <v>5</v>
      </c>
      <c r="V1502">
        <v>1</v>
      </c>
      <c r="W1502">
        <v>1</v>
      </c>
    </row>
    <row r="1503" spans="1:23" ht="240" x14ac:dyDescent="0.3">
      <c r="A1503" s="114">
        <v>44778</v>
      </c>
      <c r="B1503" s="114">
        <v>44779</v>
      </c>
      <c r="C1503" s="6">
        <v>8</v>
      </c>
      <c r="D1503" s="6">
        <v>2</v>
      </c>
      <c r="E1503" s="115">
        <v>2022</v>
      </c>
      <c r="F1503" s="15" t="s">
        <v>22</v>
      </c>
      <c r="G1503" s="116" t="s">
        <v>6256</v>
      </c>
      <c r="H1503" s="9" t="s">
        <v>48</v>
      </c>
      <c r="I1503" s="117" t="s">
        <v>2614</v>
      </c>
      <c r="J1503" s="118" t="s">
        <v>2615</v>
      </c>
      <c r="K1503" s="117"/>
      <c r="L1503" s="245">
        <v>7</v>
      </c>
      <c r="M1503" s="119">
        <v>0</v>
      </c>
      <c r="N1503" s="119">
        <v>0</v>
      </c>
      <c r="O1503" s="119">
        <v>0</v>
      </c>
      <c r="P1503" s="119">
        <v>0</v>
      </c>
      <c r="Q1503" s="119">
        <v>0</v>
      </c>
      <c r="R1503" s="120">
        <v>0.74536000000000002</v>
      </c>
      <c r="S1503" s="119" t="s">
        <v>115</v>
      </c>
      <c r="T1503" s="257">
        <f t="shared" si="53"/>
        <v>7</v>
      </c>
      <c r="U1503" s="257">
        <f t="shared" si="54"/>
        <v>0</v>
      </c>
      <c r="V1503">
        <v>1</v>
      </c>
      <c r="W1503">
        <v>0</v>
      </c>
    </row>
    <row r="1504" spans="1:23" ht="114" x14ac:dyDescent="0.3">
      <c r="A1504" s="212">
        <v>40707</v>
      </c>
      <c r="B1504" s="212">
        <v>40707</v>
      </c>
      <c r="C1504" s="6">
        <v>6</v>
      </c>
      <c r="D1504" s="6">
        <v>1</v>
      </c>
      <c r="E1504" s="6">
        <v>2011</v>
      </c>
      <c r="F1504" s="15" t="s">
        <v>22</v>
      </c>
      <c r="G1504" s="18" t="s">
        <v>6256</v>
      </c>
      <c r="H1504" s="9" t="s">
        <v>48</v>
      </c>
      <c r="I1504" s="53" t="s">
        <v>2616</v>
      </c>
      <c r="J1504" s="53" t="s">
        <v>2617</v>
      </c>
      <c r="K1504" s="13">
        <v>3</v>
      </c>
      <c r="L1504" s="233">
        <v>1085</v>
      </c>
      <c r="M1504" s="13">
        <v>217</v>
      </c>
      <c r="N1504" s="13">
        <v>0</v>
      </c>
      <c r="O1504" s="13">
        <v>0</v>
      </c>
      <c r="P1504" s="13">
        <v>0</v>
      </c>
      <c r="Q1504" s="13">
        <v>0</v>
      </c>
      <c r="R1504" s="26">
        <v>0.69369999999999998</v>
      </c>
      <c r="S1504" s="19" t="s">
        <v>115</v>
      </c>
      <c r="T1504" s="257">
        <f t="shared" si="53"/>
        <v>1088</v>
      </c>
      <c r="U1504" s="257">
        <f t="shared" si="54"/>
        <v>217</v>
      </c>
      <c r="V1504">
        <v>1</v>
      </c>
      <c r="W1504">
        <v>1</v>
      </c>
    </row>
    <row r="1505" spans="1:23" ht="237.6" x14ac:dyDescent="0.3">
      <c r="A1505" s="219">
        <v>40214</v>
      </c>
      <c r="B1505" s="219">
        <v>40214</v>
      </c>
      <c r="C1505" s="6">
        <v>2</v>
      </c>
      <c r="D1505" s="6">
        <v>1</v>
      </c>
      <c r="E1505" s="73">
        <v>2010</v>
      </c>
      <c r="F1505" s="15" t="s">
        <v>22</v>
      </c>
      <c r="G1505" s="18" t="s">
        <v>6256</v>
      </c>
      <c r="H1505" s="9" t="s">
        <v>46</v>
      </c>
      <c r="I1505" s="74" t="s">
        <v>2618</v>
      </c>
      <c r="J1505" s="74" t="s">
        <v>2619</v>
      </c>
      <c r="K1505" s="75">
        <v>0</v>
      </c>
      <c r="L1505" s="241">
        <v>47</v>
      </c>
      <c r="M1505" s="75">
        <v>6</v>
      </c>
      <c r="N1505" s="75">
        <v>0</v>
      </c>
      <c r="O1505" s="75">
        <v>0</v>
      </c>
      <c r="P1505" s="75">
        <v>0</v>
      </c>
      <c r="Q1505" s="75">
        <v>350</v>
      </c>
      <c r="R1505" s="61">
        <v>2.6067</v>
      </c>
      <c r="S1505" s="73" t="s">
        <v>115</v>
      </c>
      <c r="T1505" s="257">
        <f t="shared" si="53"/>
        <v>47</v>
      </c>
      <c r="U1505" s="257">
        <f t="shared" si="54"/>
        <v>6</v>
      </c>
      <c r="V1505">
        <v>1</v>
      </c>
      <c r="W1505">
        <v>1</v>
      </c>
    </row>
    <row r="1506" spans="1:23" ht="118.8" x14ac:dyDescent="0.3">
      <c r="A1506" s="219">
        <v>40214</v>
      </c>
      <c r="B1506" s="219">
        <v>40214</v>
      </c>
      <c r="C1506" s="6">
        <v>2</v>
      </c>
      <c r="D1506" s="6">
        <v>1</v>
      </c>
      <c r="E1506" s="73">
        <v>2010</v>
      </c>
      <c r="F1506" s="15" t="s">
        <v>22</v>
      </c>
      <c r="G1506" s="18" t="s">
        <v>6256</v>
      </c>
      <c r="H1506" s="9" t="s">
        <v>52</v>
      </c>
      <c r="I1506" s="74" t="s">
        <v>2620</v>
      </c>
      <c r="J1506" s="74" t="s">
        <v>2621</v>
      </c>
      <c r="K1506" s="75">
        <v>19</v>
      </c>
      <c r="L1506" s="241">
        <v>23000</v>
      </c>
      <c r="M1506" s="75">
        <v>1645</v>
      </c>
      <c r="N1506" s="75">
        <v>108</v>
      </c>
      <c r="O1506" s="75">
        <v>0</v>
      </c>
      <c r="P1506" s="75">
        <v>367</v>
      </c>
      <c r="Q1506" s="75">
        <v>3354.6</v>
      </c>
      <c r="R1506" s="61">
        <v>1611.2560000000001</v>
      </c>
      <c r="S1506" s="73" t="s">
        <v>21</v>
      </c>
      <c r="T1506" s="257">
        <f t="shared" si="53"/>
        <v>23019</v>
      </c>
      <c r="U1506" s="257">
        <f t="shared" si="54"/>
        <v>2120</v>
      </c>
      <c r="V1506">
        <v>2</v>
      </c>
      <c r="W1506">
        <v>2</v>
      </c>
    </row>
    <row r="1507" spans="1:23" ht="66" x14ac:dyDescent="0.3">
      <c r="A1507" s="219">
        <v>40213</v>
      </c>
      <c r="B1507" s="219">
        <v>40213</v>
      </c>
      <c r="C1507" s="6">
        <v>2</v>
      </c>
      <c r="D1507" s="6">
        <v>1</v>
      </c>
      <c r="E1507" s="73">
        <v>2010</v>
      </c>
      <c r="F1507" s="15" t="s">
        <v>22</v>
      </c>
      <c r="G1507" s="18" t="s">
        <v>6256</v>
      </c>
      <c r="H1507" s="9" t="s">
        <v>118</v>
      </c>
      <c r="I1507" s="74" t="s">
        <v>2622</v>
      </c>
      <c r="J1507" s="74" t="s">
        <v>2623</v>
      </c>
      <c r="K1507" s="75">
        <v>0</v>
      </c>
      <c r="L1507" s="241">
        <v>42670</v>
      </c>
      <c r="M1507" s="75">
        <v>8534</v>
      </c>
      <c r="N1507" s="75">
        <v>154</v>
      </c>
      <c r="O1507" s="75">
        <v>0</v>
      </c>
      <c r="P1507" s="75">
        <v>0</v>
      </c>
      <c r="Q1507" s="75">
        <v>0</v>
      </c>
      <c r="R1507" s="61">
        <v>345.86099999999999</v>
      </c>
      <c r="S1507" s="73" t="s">
        <v>21</v>
      </c>
      <c r="T1507" s="257">
        <f t="shared" si="53"/>
        <v>42670</v>
      </c>
      <c r="U1507" s="257">
        <f t="shared" si="54"/>
        <v>8688</v>
      </c>
      <c r="V1507">
        <v>2</v>
      </c>
      <c r="W1507">
        <v>2</v>
      </c>
    </row>
    <row r="1508" spans="1:23" ht="66" x14ac:dyDescent="0.3">
      <c r="A1508" s="219">
        <v>40213</v>
      </c>
      <c r="B1508" s="219">
        <v>40213</v>
      </c>
      <c r="C1508" s="6">
        <v>2</v>
      </c>
      <c r="D1508" s="6">
        <v>1</v>
      </c>
      <c r="E1508" s="73">
        <v>2010</v>
      </c>
      <c r="F1508" s="15" t="s">
        <v>22</v>
      </c>
      <c r="G1508" s="18" t="s">
        <v>6256</v>
      </c>
      <c r="H1508" s="9" t="s">
        <v>43</v>
      </c>
      <c r="I1508" s="74" t="s">
        <v>2624</v>
      </c>
      <c r="J1508" s="74" t="s">
        <v>2625</v>
      </c>
      <c r="K1508" s="75">
        <v>0</v>
      </c>
      <c r="L1508" s="241">
        <v>40170</v>
      </c>
      <c r="M1508" s="75">
        <v>8034</v>
      </c>
      <c r="N1508" s="75">
        <v>0</v>
      </c>
      <c r="O1508" s="75">
        <v>2</v>
      </c>
      <c r="P1508" s="75">
        <v>1641</v>
      </c>
      <c r="Q1508" s="75">
        <v>0</v>
      </c>
      <c r="R1508" s="61">
        <v>735.53</v>
      </c>
      <c r="S1508" s="73" t="s">
        <v>21</v>
      </c>
      <c r="T1508" s="257">
        <f t="shared" si="53"/>
        <v>40170</v>
      </c>
      <c r="U1508" s="257">
        <f t="shared" si="54"/>
        <v>9677</v>
      </c>
      <c r="V1508">
        <v>2</v>
      </c>
      <c r="W1508">
        <v>2</v>
      </c>
    </row>
    <row r="1509" spans="1:23" ht="79.2" x14ac:dyDescent="0.3">
      <c r="A1509" s="219">
        <v>40279</v>
      </c>
      <c r="B1509" s="219">
        <v>40279</v>
      </c>
      <c r="C1509" s="6">
        <v>4</v>
      </c>
      <c r="D1509" s="6">
        <v>1</v>
      </c>
      <c r="E1509" s="73">
        <v>2010</v>
      </c>
      <c r="F1509" s="15" t="s">
        <v>22</v>
      </c>
      <c r="G1509" s="18" t="s">
        <v>6256</v>
      </c>
      <c r="H1509" s="9" t="s">
        <v>57</v>
      </c>
      <c r="I1509" s="74" t="s">
        <v>2626</v>
      </c>
      <c r="J1509" s="74" t="s">
        <v>2627</v>
      </c>
      <c r="K1509" s="75">
        <v>0</v>
      </c>
      <c r="L1509" s="241">
        <v>200</v>
      </c>
      <c r="M1509" s="75">
        <v>40</v>
      </c>
      <c r="N1509" s="75">
        <v>0</v>
      </c>
      <c r="O1509" s="75">
        <v>0</v>
      </c>
      <c r="P1509" s="75">
        <v>0</v>
      </c>
      <c r="Q1509" s="75">
        <v>0</v>
      </c>
      <c r="R1509" s="61">
        <v>578.78099999999995</v>
      </c>
      <c r="S1509" s="73" t="s">
        <v>149</v>
      </c>
      <c r="T1509" s="257">
        <f t="shared" si="53"/>
        <v>200</v>
      </c>
      <c r="U1509" s="257">
        <f t="shared" si="54"/>
        <v>40</v>
      </c>
      <c r="V1509">
        <v>1</v>
      </c>
      <c r="W1509">
        <v>1</v>
      </c>
    </row>
    <row r="1510" spans="1:23" ht="79.2" x14ac:dyDescent="0.3">
      <c r="A1510" s="219">
        <v>40282</v>
      </c>
      <c r="B1510" s="219">
        <v>40282</v>
      </c>
      <c r="C1510" s="6">
        <v>4</v>
      </c>
      <c r="D1510" s="6">
        <v>1</v>
      </c>
      <c r="E1510" s="73">
        <v>2010</v>
      </c>
      <c r="F1510" s="15" t="s">
        <v>22</v>
      </c>
      <c r="G1510" s="18" t="s">
        <v>6256</v>
      </c>
      <c r="H1510" s="9" t="s">
        <v>37</v>
      </c>
      <c r="I1510" s="74" t="s">
        <v>2628</v>
      </c>
      <c r="J1510" s="74" t="s">
        <v>2629</v>
      </c>
      <c r="K1510" s="75">
        <v>0</v>
      </c>
      <c r="L1510" s="241">
        <v>0</v>
      </c>
      <c r="M1510" s="75">
        <v>0</v>
      </c>
      <c r="N1510" s="75">
        <v>0</v>
      </c>
      <c r="O1510" s="75">
        <v>0</v>
      </c>
      <c r="P1510" s="75">
        <v>0</v>
      </c>
      <c r="Q1510" s="75">
        <v>0</v>
      </c>
      <c r="R1510" s="61">
        <v>122.09699999999999</v>
      </c>
      <c r="S1510" s="73" t="s">
        <v>149</v>
      </c>
      <c r="T1510" s="257">
        <f t="shared" si="53"/>
        <v>0</v>
      </c>
      <c r="U1510" s="257">
        <f t="shared" si="54"/>
        <v>0</v>
      </c>
      <c r="V1510">
        <v>0</v>
      </c>
      <c r="W1510">
        <v>0</v>
      </c>
    </row>
    <row r="1511" spans="1:23" ht="250.8" x14ac:dyDescent="0.3">
      <c r="A1511" s="223">
        <v>40327</v>
      </c>
      <c r="B1511" s="223">
        <v>40327</v>
      </c>
      <c r="C1511" s="6">
        <v>5</v>
      </c>
      <c r="D1511" s="6">
        <v>1</v>
      </c>
      <c r="E1511" s="73">
        <v>2010</v>
      </c>
      <c r="F1511" s="15" t="s">
        <v>22</v>
      </c>
      <c r="G1511" s="16" t="s">
        <v>6254</v>
      </c>
      <c r="H1511" s="9" t="s">
        <v>31</v>
      </c>
      <c r="I1511" s="74" t="s">
        <v>2630</v>
      </c>
      <c r="J1511" s="74" t="s">
        <v>2631</v>
      </c>
      <c r="K1511" s="75">
        <v>3</v>
      </c>
      <c r="L1511" s="241">
        <v>437</v>
      </c>
      <c r="M1511" s="75">
        <v>86</v>
      </c>
      <c r="N1511" s="75">
        <v>0</v>
      </c>
      <c r="O1511" s="75">
        <v>0</v>
      </c>
      <c r="P1511" s="75">
        <v>0</v>
      </c>
      <c r="Q1511" s="75">
        <v>0</v>
      </c>
      <c r="R1511" s="61">
        <v>0.75146800000000002</v>
      </c>
      <c r="S1511" s="73" t="s">
        <v>115</v>
      </c>
      <c r="T1511" s="257">
        <f t="shared" si="53"/>
        <v>440</v>
      </c>
      <c r="U1511" s="257">
        <f t="shared" si="54"/>
        <v>86</v>
      </c>
      <c r="V1511">
        <v>1</v>
      </c>
      <c r="W1511">
        <v>1</v>
      </c>
    </row>
    <row r="1512" spans="1:23" ht="66" x14ac:dyDescent="0.3">
      <c r="A1512" s="219">
        <v>40356</v>
      </c>
      <c r="B1512" s="219">
        <v>40356</v>
      </c>
      <c r="C1512" s="6">
        <v>6</v>
      </c>
      <c r="D1512" s="6">
        <v>1</v>
      </c>
      <c r="E1512" s="73">
        <v>2010</v>
      </c>
      <c r="F1512" s="15" t="s">
        <v>22</v>
      </c>
      <c r="G1512" s="18" t="s">
        <v>6256</v>
      </c>
      <c r="H1512" s="9" t="s">
        <v>31</v>
      </c>
      <c r="I1512" s="74" t="s">
        <v>2632</v>
      </c>
      <c r="J1512" s="74" t="s">
        <v>2633</v>
      </c>
      <c r="K1512" s="75">
        <v>0</v>
      </c>
      <c r="L1512" s="241">
        <v>270</v>
      </c>
      <c r="M1512" s="75">
        <v>54</v>
      </c>
      <c r="N1512" s="75">
        <v>0</v>
      </c>
      <c r="O1512" s="75">
        <v>0</v>
      </c>
      <c r="P1512" s="75">
        <v>0</v>
      </c>
      <c r="Q1512" s="75">
        <v>0</v>
      </c>
      <c r="R1512" s="61">
        <v>69.554000000000002</v>
      </c>
      <c r="S1512" s="73" t="s">
        <v>149</v>
      </c>
      <c r="T1512" s="257">
        <f t="shared" si="53"/>
        <v>270</v>
      </c>
      <c r="U1512" s="257">
        <f t="shared" si="54"/>
        <v>54</v>
      </c>
      <c r="V1512">
        <v>1</v>
      </c>
      <c r="W1512">
        <v>1</v>
      </c>
    </row>
    <row r="1513" spans="1:23" ht="105.6" x14ac:dyDescent="0.3">
      <c r="A1513" s="223">
        <v>40359</v>
      </c>
      <c r="B1513" s="223">
        <v>40359</v>
      </c>
      <c r="C1513" s="6">
        <v>6</v>
      </c>
      <c r="D1513" s="6">
        <v>1</v>
      </c>
      <c r="E1513" s="73">
        <v>2010</v>
      </c>
      <c r="F1513" s="15" t="s">
        <v>22</v>
      </c>
      <c r="G1513" s="16" t="s">
        <v>6254</v>
      </c>
      <c r="H1513" s="9" t="s">
        <v>78</v>
      </c>
      <c r="I1513" s="74" t="s">
        <v>2634</v>
      </c>
      <c r="J1513" s="74" t="s">
        <v>2635</v>
      </c>
      <c r="K1513" s="75">
        <v>6</v>
      </c>
      <c r="L1513" s="241">
        <v>58063</v>
      </c>
      <c r="M1513" s="75">
        <v>3141</v>
      </c>
      <c r="N1513" s="75">
        <v>230</v>
      </c>
      <c r="O1513" s="75">
        <v>8</v>
      </c>
      <c r="P1513" s="75">
        <v>336</v>
      </c>
      <c r="Q1513" s="75">
        <v>158178</v>
      </c>
      <c r="R1513" s="61">
        <v>2101.6390000000001</v>
      </c>
      <c r="S1513" s="73" t="s">
        <v>21</v>
      </c>
      <c r="T1513" s="257">
        <f t="shared" si="53"/>
        <v>58069</v>
      </c>
      <c r="U1513" s="257">
        <f t="shared" si="54"/>
        <v>3715</v>
      </c>
      <c r="V1513">
        <v>2</v>
      </c>
      <c r="W1513">
        <v>2</v>
      </c>
    </row>
    <row r="1514" spans="1:23" ht="68.400000000000006" x14ac:dyDescent="0.3">
      <c r="A1514" s="217">
        <v>41896</v>
      </c>
      <c r="B1514" s="217">
        <v>41897</v>
      </c>
      <c r="C1514" s="6">
        <v>9</v>
      </c>
      <c r="D1514" s="6">
        <v>2</v>
      </c>
      <c r="E1514" s="33">
        <v>2014</v>
      </c>
      <c r="F1514" s="15" t="s">
        <v>22</v>
      </c>
      <c r="G1514" s="16" t="s">
        <v>6254</v>
      </c>
      <c r="H1514" s="9" t="s">
        <v>28</v>
      </c>
      <c r="I1514" s="47" t="s">
        <v>2636</v>
      </c>
      <c r="J1514" s="48" t="s">
        <v>2637</v>
      </c>
      <c r="K1514" s="49">
        <v>6</v>
      </c>
      <c r="L1514" s="236">
        <v>635341</v>
      </c>
      <c r="M1514" s="35">
        <v>5046</v>
      </c>
      <c r="N1514" s="35">
        <v>923</v>
      </c>
      <c r="O1514" s="35">
        <v>14</v>
      </c>
      <c r="P1514" s="35">
        <v>5928</v>
      </c>
      <c r="Q1514" s="35">
        <v>11681</v>
      </c>
      <c r="R1514" s="131">
        <v>24133.167000000001</v>
      </c>
      <c r="S1514" s="50" t="s">
        <v>21</v>
      </c>
      <c r="T1514" s="257">
        <f t="shared" si="53"/>
        <v>635347</v>
      </c>
      <c r="U1514" s="257">
        <f t="shared" si="54"/>
        <v>11911</v>
      </c>
      <c r="V1514">
        <v>4</v>
      </c>
      <c r="W1514">
        <v>3</v>
      </c>
    </row>
    <row r="1515" spans="1:23" ht="79.2" x14ac:dyDescent="0.3">
      <c r="A1515" s="223">
        <v>40359</v>
      </c>
      <c r="B1515" s="223">
        <v>40359</v>
      </c>
      <c r="C1515" s="6">
        <v>6</v>
      </c>
      <c r="D1515" s="6">
        <v>1</v>
      </c>
      <c r="E1515" s="73">
        <v>2010</v>
      </c>
      <c r="F1515" s="15" t="s">
        <v>22</v>
      </c>
      <c r="G1515" s="16" t="s">
        <v>6254</v>
      </c>
      <c r="H1515" s="9" t="s">
        <v>37</v>
      </c>
      <c r="I1515" s="74" t="s">
        <v>2638</v>
      </c>
      <c r="J1515" s="74" t="s">
        <v>2639</v>
      </c>
      <c r="K1515" s="75">
        <v>14</v>
      </c>
      <c r="L1515" s="241">
        <v>494542</v>
      </c>
      <c r="M1515" s="75">
        <v>16549</v>
      </c>
      <c r="N1515" s="75">
        <v>37</v>
      </c>
      <c r="O1515" s="75">
        <v>0</v>
      </c>
      <c r="P1515" s="75">
        <v>629</v>
      </c>
      <c r="Q1515" s="75">
        <v>2867.8</v>
      </c>
      <c r="R1515" s="61">
        <v>1430.3</v>
      </c>
      <c r="S1515" s="73" t="s">
        <v>21</v>
      </c>
      <c r="T1515" s="257">
        <f t="shared" si="53"/>
        <v>494556</v>
      </c>
      <c r="U1515" s="257">
        <f t="shared" si="54"/>
        <v>17215</v>
      </c>
      <c r="V1515">
        <v>3</v>
      </c>
      <c r="W1515">
        <v>3</v>
      </c>
    </row>
    <row r="1516" spans="1:23" ht="277.2" x14ac:dyDescent="0.3">
      <c r="A1516" s="219">
        <v>40358</v>
      </c>
      <c r="B1516" s="219">
        <v>40358</v>
      </c>
      <c r="C1516" s="6">
        <v>6</v>
      </c>
      <c r="D1516" s="6">
        <v>1</v>
      </c>
      <c r="E1516" s="73">
        <v>2010</v>
      </c>
      <c r="F1516" s="15" t="s">
        <v>22</v>
      </c>
      <c r="G1516" s="18" t="s">
        <v>6256</v>
      </c>
      <c r="H1516" s="9" t="s">
        <v>112</v>
      </c>
      <c r="I1516" s="74" t="s">
        <v>2640</v>
      </c>
      <c r="J1516" s="74" t="s">
        <v>2641</v>
      </c>
      <c r="K1516" s="75">
        <v>0</v>
      </c>
      <c r="L1516" s="241">
        <v>5215</v>
      </c>
      <c r="M1516" s="75">
        <v>1043</v>
      </c>
      <c r="N1516" s="75">
        <v>0</v>
      </c>
      <c r="O1516" s="75">
        <v>0</v>
      </c>
      <c r="P1516" s="75">
        <v>0</v>
      </c>
      <c r="Q1516" s="75">
        <v>0</v>
      </c>
      <c r="R1516" s="61">
        <v>24.140291000000001</v>
      </c>
      <c r="S1516" s="73" t="s">
        <v>115</v>
      </c>
      <c r="T1516" s="257">
        <f t="shared" si="53"/>
        <v>5215</v>
      </c>
      <c r="U1516" s="257">
        <f t="shared" si="54"/>
        <v>1043</v>
      </c>
      <c r="V1516">
        <v>1</v>
      </c>
      <c r="W1516">
        <v>2</v>
      </c>
    </row>
    <row r="1517" spans="1:23" ht="118.8" x14ac:dyDescent="0.3">
      <c r="A1517" s="219">
        <v>40356</v>
      </c>
      <c r="B1517" s="219">
        <v>40356</v>
      </c>
      <c r="C1517" s="6">
        <v>6</v>
      </c>
      <c r="D1517" s="6">
        <v>1</v>
      </c>
      <c r="E1517" s="73">
        <v>2010</v>
      </c>
      <c r="F1517" s="15" t="s">
        <v>22</v>
      </c>
      <c r="G1517" s="18" t="s">
        <v>6256</v>
      </c>
      <c r="H1517" s="9" t="s">
        <v>31</v>
      </c>
      <c r="I1517" s="74" t="s">
        <v>2632</v>
      </c>
      <c r="J1517" s="74" t="s">
        <v>2642</v>
      </c>
      <c r="K1517" s="75">
        <v>0</v>
      </c>
      <c r="L1517" s="241">
        <v>497</v>
      </c>
      <c r="M1517" s="75">
        <v>60</v>
      </c>
      <c r="N1517" s="75">
        <v>0</v>
      </c>
      <c r="O1517" s="75">
        <v>0</v>
      </c>
      <c r="P1517" s="75">
        <v>0</v>
      </c>
      <c r="Q1517" s="75">
        <v>0</v>
      </c>
      <c r="R1517" s="61">
        <v>0.52427999999999997</v>
      </c>
      <c r="S1517" s="73" t="s">
        <v>115</v>
      </c>
      <c r="T1517" s="257">
        <f t="shared" si="53"/>
        <v>497</v>
      </c>
      <c r="U1517" s="257">
        <f t="shared" si="54"/>
        <v>60</v>
      </c>
      <c r="V1517">
        <v>1</v>
      </c>
      <c r="W1517">
        <v>1</v>
      </c>
    </row>
    <row r="1518" spans="1:23" ht="92.4" x14ac:dyDescent="0.3">
      <c r="A1518" s="219">
        <v>40372</v>
      </c>
      <c r="B1518" s="219">
        <v>40372</v>
      </c>
      <c r="C1518" s="6">
        <v>7</v>
      </c>
      <c r="D1518" s="6">
        <v>1</v>
      </c>
      <c r="E1518" s="73">
        <v>2010</v>
      </c>
      <c r="F1518" s="15" t="s">
        <v>22</v>
      </c>
      <c r="G1518" s="18" t="s">
        <v>6256</v>
      </c>
      <c r="H1518" s="9" t="s">
        <v>31</v>
      </c>
      <c r="I1518" s="74" t="s">
        <v>196</v>
      </c>
      <c r="J1518" s="74" t="s">
        <v>2643</v>
      </c>
      <c r="K1518" s="75">
        <v>1</v>
      </c>
      <c r="L1518" s="241">
        <v>4</v>
      </c>
      <c r="M1518" s="75">
        <v>0</v>
      </c>
      <c r="N1518" s="75">
        <v>0</v>
      </c>
      <c r="O1518" s="75">
        <v>0</v>
      </c>
      <c r="P1518" s="75">
        <v>0</v>
      </c>
      <c r="Q1518" s="75">
        <v>0</v>
      </c>
      <c r="R1518" s="61">
        <v>0</v>
      </c>
      <c r="S1518" s="73" t="s">
        <v>115</v>
      </c>
      <c r="T1518" s="257">
        <f t="shared" si="53"/>
        <v>5</v>
      </c>
      <c r="U1518" s="257">
        <f t="shared" si="54"/>
        <v>0</v>
      </c>
      <c r="V1518">
        <v>1</v>
      </c>
      <c r="W1518">
        <v>0</v>
      </c>
    </row>
    <row r="1519" spans="1:23" ht="52.8" x14ac:dyDescent="0.3">
      <c r="A1519" s="219">
        <v>40362</v>
      </c>
      <c r="B1519" s="219">
        <v>40362</v>
      </c>
      <c r="C1519" s="6">
        <v>7</v>
      </c>
      <c r="D1519" s="6">
        <v>1</v>
      </c>
      <c r="E1519" s="73">
        <v>2010</v>
      </c>
      <c r="F1519" s="15" t="s">
        <v>22</v>
      </c>
      <c r="G1519" s="18" t="s">
        <v>6256</v>
      </c>
      <c r="H1519" s="9" t="s">
        <v>46</v>
      </c>
      <c r="I1519" s="74" t="s">
        <v>429</v>
      </c>
      <c r="J1519" s="74" t="s">
        <v>2644</v>
      </c>
      <c r="K1519" s="75">
        <v>0</v>
      </c>
      <c r="L1519" s="241">
        <v>35</v>
      </c>
      <c r="M1519" s="75">
        <v>5</v>
      </c>
      <c r="N1519" s="75">
        <v>0</v>
      </c>
      <c r="O1519" s="75">
        <v>0</v>
      </c>
      <c r="P1519" s="75">
        <v>0</v>
      </c>
      <c r="Q1519" s="75">
        <v>0</v>
      </c>
      <c r="R1519" s="61">
        <v>2.5600000000000001E-2</v>
      </c>
      <c r="S1519" s="73" t="s">
        <v>115</v>
      </c>
      <c r="T1519" s="257">
        <f t="shared" si="53"/>
        <v>35</v>
      </c>
      <c r="U1519" s="257">
        <f t="shared" si="54"/>
        <v>5</v>
      </c>
      <c r="V1519">
        <v>1</v>
      </c>
      <c r="W1519">
        <v>1</v>
      </c>
    </row>
    <row r="1520" spans="1:23" ht="118.8" x14ac:dyDescent="0.3">
      <c r="A1520" s="219">
        <v>40360</v>
      </c>
      <c r="B1520" s="219">
        <v>40360</v>
      </c>
      <c r="C1520" s="6">
        <v>7</v>
      </c>
      <c r="D1520" s="6">
        <v>1</v>
      </c>
      <c r="E1520" s="73">
        <v>2010</v>
      </c>
      <c r="F1520" s="15" t="s">
        <v>22</v>
      </c>
      <c r="G1520" s="18" t="s">
        <v>6256</v>
      </c>
      <c r="H1520" s="9" t="s">
        <v>70</v>
      </c>
      <c r="I1520" s="74" t="s">
        <v>2645</v>
      </c>
      <c r="J1520" s="74" t="s">
        <v>2646</v>
      </c>
      <c r="K1520" s="75">
        <v>0</v>
      </c>
      <c r="L1520" s="241">
        <v>3319</v>
      </c>
      <c r="M1520" s="75">
        <v>20</v>
      </c>
      <c r="N1520" s="75">
        <v>0</v>
      </c>
      <c r="O1520" s="75">
        <v>2</v>
      </c>
      <c r="P1520" s="75">
        <v>0</v>
      </c>
      <c r="Q1520" s="75">
        <v>0</v>
      </c>
      <c r="R1520" s="61">
        <v>30.8</v>
      </c>
      <c r="S1520" s="73" t="s">
        <v>149</v>
      </c>
      <c r="T1520" s="257">
        <f t="shared" si="53"/>
        <v>3319</v>
      </c>
      <c r="U1520" s="257">
        <f t="shared" si="54"/>
        <v>22</v>
      </c>
      <c r="V1520">
        <v>1</v>
      </c>
      <c r="W1520">
        <v>1</v>
      </c>
    </row>
    <row r="1521" spans="1:23" ht="52.8" x14ac:dyDescent="0.3">
      <c r="A1521" s="219">
        <v>40360</v>
      </c>
      <c r="B1521" s="219">
        <v>40360</v>
      </c>
      <c r="C1521" s="6">
        <v>7</v>
      </c>
      <c r="D1521" s="6">
        <v>1</v>
      </c>
      <c r="E1521" s="73">
        <v>2010</v>
      </c>
      <c r="F1521" s="15" t="s">
        <v>22</v>
      </c>
      <c r="G1521" s="16" t="s">
        <v>6256</v>
      </c>
      <c r="H1521" s="9" t="s">
        <v>78</v>
      </c>
      <c r="I1521" s="74" t="s">
        <v>2647</v>
      </c>
      <c r="J1521" s="74" t="s">
        <v>2648</v>
      </c>
      <c r="K1521" s="75">
        <v>0</v>
      </c>
      <c r="L1521" s="241">
        <v>6640</v>
      </c>
      <c r="M1521" s="75">
        <v>1108</v>
      </c>
      <c r="N1521" s="75">
        <v>11</v>
      </c>
      <c r="O1521" s="75">
        <v>0</v>
      </c>
      <c r="P1521" s="75">
        <v>0</v>
      </c>
      <c r="Q1521" s="75">
        <v>0</v>
      </c>
      <c r="R1521" s="61">
        <v>109.733</v>
      </c>
      <c r="S1521" s="73" t="s">
        <v>149</v>
      </c>
      <c r="T1521" s="257">
        <f t="shared" si="53"/>
        <v>6640</v>
      </c>
      <c r="U1521" s="257">
        <f t="shared" si="54"/>
        <v>1119</v>
      </c>
      <c r="V1521">
        <v>1</v>
      </c>
      <c r="W1521">
        <v>2</v>
      </c>
    </row>
    <row r="1522" spans="1:23" ht="198" x14ac:dyDescent="0.3">
      <c r="A1522" s="219">
        <v>40360</v>
      </c>
      <c r="B1522" s="219">
        <v>40360</v>
      </c>
      <c r="C1522" s="6">
        <v>7</v>
      </c>
      <c r="D1522" s="6">
        <v>1</v>
      </c>
      <c r="E1522" s="73">
        <v>2010</v>
      </c>
      <c r="F1522" s="15" t="s">
        <v>22</v>
      </c>
      <c r="G1522" s="18" t="s">
        <v>6256</v>
      </c>
      <c r="H1522" s="9" t="s">
        <v>52</v>
      </c>
      <c r="I1522" s="74" t="s">
        <v>2649</v>
      </c>
      <c r="J1522" s="74" t="s">
        <v>2650</v>
      </c>
      <c r="K1522" s="75">
        <v>0</v>
      </c>
      <c r="L1522" s="241">
        <v>100</v>
      </c>
      <c r="M1522" s="75">
        <v>20</v>
      </c>
      <c r="N1522" s="75">
        <v>0</v>
      </c>
      <c r="O1522" s="75">
        <v>0</v>
      </c>
      <c r="P1522" s="75">
        <v>0</v>
      </c>
      <c r="Q1522" s="75">
        <v>0</v>
      </c>
      <c r="R1522" s="61">
        <v>1.91808</v>
      </c>
      <c r="S1522" s="73" t="s">
        <v>115</v>
      </c>
      <c r="T1522" s="257">
        <f t="shared" si="53"/>
        <v>100</v>
      </c>
      <c r="U1522" s="257">
        <f t="shared" si="54"/>
        <v>20</v>
      </c>
      <c r="V1522">
        <v>1</v>
      </c>
      <c r="W1522">
        <v>1</v>
      </c>
    </row>
    <row r="1523" spans="1:23" ht="132" x14ac:dyDescent="0.3">
      <c r="A1523" s="219">
        <v>40372</v>
      </c>
      <c r="B1523" s="219">
        <v>40372</v>
      </c>
      <c r="C1523" s="6">
        <v>7</v>
      </c>
      <c r="D1523" s="6">
        <v>1</v>
      </c>
      <c r="E1523" s="73">
        <v>2010</v>
      </c>
      <c r="F1523" s="15" t="s">
        <v>22</v>
      </c>
      <c r="G1523" s="18" t="s">
        <v>6256</v>
      </c>
      <c r="H1523" s="9" t="s">
        <v>52</v>
      </c>
      <c r="I1523" s="74" t="s">
        <v>2651</v>
      </c>
      <c r="J1523" s="74" t="s">
        <v>2652</v>
      </c>
      <c r="K1523" s="75">
        <v>0</v>
      </c>
      <c r="L1523" s="241">
        <v>104</v>
      </c>
      <c r="M1523" s="75">
        <v>19</v>
      </c>
      <c r="N1523" s="75">
        <v>0</v>
      </c>
      <c r="O1523" s="75">
        <v>0</v>
      </c>
      <c r="P1523" s="75">
        <v>0</v>
      </c>
      <c r="Q1523" s="75">
        <v>30</v>
      </c>
      <c r="R1523" s="61">
        <v>0.37602199999999997</v>
      </c>
      <c r="S1523" s="73" t="s">
        <v>115</v>
      </c>
      <c r="T1523" s="257">
        <f t="shared" si="53"/>
        <v>104</v>
      </c>
      <c r="U1523" s="257">
        <f t="shared" si="54"/>
        <v>19</v>
      </c>
      <c r="V1523">
        <v>1</v>
      </c>
      <c r="W1523">
        <v>1</v>
      </c>
    </row>
    <row r="1524" spans="1:23" ht="409.6" x14ac:dyDescent="0.3">
      <c r="A1524" s="219">
        <v>40382</v>
      </c>
      <c r="B1524" s="219">
        <v>40382</v>
      </c>
      <c r="C1524" s="6">
        <v>7</v>
      </c>
      <c r="D1524" s="6">
        <v>1</v>
      </c>
      <c r="E1524" s="73">
        <v>2010</v>
      </c>
      <c r="F1524" s="15" t="s">
        <v>22</v>
      </c>
      <c r="G1524" s="18" t="s">
        <v>6256</v>
      </c>
      <c r="H1524" s="9" t="s">
        <v>70</v>
      </c>
      <c r="I1524" s="74" t="s">
        <v>2653</v>
      </c>
      <c r="J1524" s="74" t="s">
        <v>2654</v>
      </c>
      <c r="K1524" s="75">
        <v>4</v>
      </c>
      <c r="L1524" s="241">
        <v>10125</v>
      </c>
      <c r="M1524" s="75">
        <v>300</v>
      </c>
      <c r="N1524" s="75">
        <v>0</v>
      </c>
      <c r="O1524" s="75">
        <v>0</v>
      </c>
      <c r="P1524" s="75">
        <v>0</v>
      </c>
      <c r="Q1524" s="75">
        <v>0</v>
      </c>
      <c r="R1524" s="61">
        <v>115.596</v>
      </c>
      <c r="S1524" s="73" t="s">
        <v>149</v>
      </c>
      <c r="T1524" s="257">
        <f t="shared" si="53"/>
        <v>10129</v>
      </c>
      <c r="U1524" s="257">
        <f t="shared" si="54"/>
        <v>300</v>
      </c>
      <c r="V1524">
        <v>2</v>
      </c>
      <c r="W1524">
        <v>1</v>
      </c>
    </row>
    <row r="1525" spans="1:23" ht="132" x14ac:dyDescent="0.3">
      <c r="A1525" s="219">
        <v>40376</v>
      </c>
      <c r="B1525" s="219">
        <v>40376</v>
      </c>
      <c r="C1525" s="6">
        <v>7</v>
      </c>
      <c r="D1525" s="6">
        <v>1</v>
      </c>
      <c r="E1525" s="73">
        <v>2010</v>
      </c>
      <c r="F1525" s="15" t="s">
        <v>22</v>
      </c>
      <c r="G1525" s="18" t="s">
        <v>6256</v>
      </c>
      <c r="H1525" s="9" t="s">
        <v>74</v>
      </c>
      <c r="I1525" s="74" t="s">
        <v>2655</v>
      </c>
      <c r="J1525" s="74" t="s">
        <v>2656</v>
      </c>
      <c r="K1525" s="75">
        <v>1</v>
      </c>
      <c r="L1525" s="241">
        <v>601</v>
      </c>
      <c r="M1525" s="75">
        <v>120</v>
      </c>
      <c r="N1525" s="75">
        <v>0</v>
      </c>
      <c r="O1525" s="75">
        <v>0</v>
      </c>
      <c r="P1525" s="75">
        <v>0</v>
      </c>
      <c r="Q1525" s="75">
        <v>0</v>
      </c>
      <c r="R1525" s="61">
        <v>1.0485599999999999</v>
      </c>
      <c r="S1525" s="73" t="s">
        <v>115</v>
      </c>
      <c r="T1525" s="257">
        <f t="shared" si="53"/>
        <v>602</v>
      </c>
      <c r="U1525" s="257">
        <f t="shared" si="54"/>
        <v>120</v>
      </c>
      <c r="V1525">
        <v>1</v>
      </c>
      <c r="W1525">
        <v>1</v>
      </c>
    </row>
    <row r="1526" spans="1:23" ht="211.2" x14ac:dyDescent="0.3">
      <c r="A1526" s="219">
        <v>40381</v>
      </c>
      <c r="B1526" s="219">
        <v>40381</v>
      </c>
      <c r="C1526" s="6">
        <v>7</v>
      </c>
      <c r="D1526" s="6">
        <v>1</v>
      </c>
      <c r="E1526" s="73">
        <v>2010</v>
      </c>
      <c r="F1526" s="15" t="s">
        <v>22</v>
      </c>
      <c r="G1526" s="18" t="s">
        <v>6256</v>
      </c>
      <c r="H1526" s="9" t="s">
        <v>174</v>
      </c>
      <c r="I1526" s="74" t="s">
        <v>2657</v>
      </c>
      <c r="J1526" s="74" t="s">
        <v>2658</v>
      </c>
      <c r="K1526" s="75">
        <v>0</v>
      </c>
      <c r="L1526" s="241">
        <v>81262</v>
      </c>
      <c r="M1526" s="75">
        <v>10591</v>
      </c>
      <c r="N1526" s="75">
        <v>2</v>
      </c>
      <c r="O1526" s="75">
        <v>0</v>
      </c>
      <c r="P1526" s="75">
        <v>0</v>
      </c>
      <c r="Q1526" s="75">
        <v>265</v>
      </c>
      <c r="R1526" s="61">
        <v>1407.537</v>
      </c>
      <c r="S1526" s="73" t="s">
        <v>2659</v>
      </c>
      <c r="T1526" s="257">
        <f t="shared" si="53"/>
        <v>81262</v>
      </c>
      <c r="U1526" s="257">
        <f t="shared" si="54"/>
        <v>10593</v>
      </c>
      <c r="V1526">
        <v>2</v>
      </c>
      <c r="W1526">
        <v>3</v>
      </c>
    </row>
    <row r="1527" spans="1:23" ht="224.4" x14ac:dyDescent="0.3">
      <c r="A1527" s="219">
        <v>40379</v>
      </c>
      <c r="B1527" s="219">
        <v>40379</v>
      </c>
      <c r="C1527" s="6">
        <v>7</v>
      </c>
      <c r="D1527" s="6">
        <v>1</v>
      </c>
      <c r="E1527" s="73">
        <v>2010</v>
      </c>
      <c r="F1527" s="15" t="s">
        <v>22</v>
      </c>
      <c r="G1527" s="18" t="s">
        <v>6256</v>
      </c>
      <c r="H1527" s="9" t="s">
        <v>61</v>
      </c>
      <c r="I1527" s="74" t="s">
        <v>2660</v>
      </c>
      <c r="J1527" s="74" t="s">
        <v>2661</v>
      </c>
      <c r="K1527" s="75">
        <v>13</v>
      </c>
      <c r="L1527" s="241">
        <v>22090</v>
      </c>
      <c r="M1527" s="75">
        <v>3619</v>
      </c>
      <c r="N1527" s="75">
        <v>448</v>
      </c>
      <c r="O1527" s="75">
        <v>78</v>
      </c>
      <c r="P1527" s="75">
        <v>300</v>
      </c>
      <c r="Q1527" s="75">
        <v>68353</v>
      </c>
      <c r="R1527" s="61">
        <v>4424.03</v>
      </c>
      <c r="S1527" s="73" t="s">
        <v>21</v>
      </c>
      <c r="T1527" s="257">
        <f t="shared" si="53"/>
        <v>22103</v>
      </c>
      <c r="U1527" s="257">
        <f t="shared" si="54"/>
        <v>4445</v>
      </c>
      <c r="V1527">
        <v>2</v>
      </c>
      <c r="W1527">
        <v>2</v>
      </c>
    </row>
    <row r="1528" spans="1:23" ht="184.8" x14ac:dyDescent="0.3">
      <c r="A1528" s="219">
        <v>40380</v>
      </c>
      <c r="B1528" s="219">
        <v>40380</v>
      </c>
      <c r="C1528" s="6">
        <v>7</v>
      </c>
      <c r="D1528" s="6">
        <v>1</v>
      </c>
      <c r="E1528" s="73">
        <v>2010</v>
      </c>
      <c r="F1528" s="15" t="s">
        <v>22</v>
      </c>
      <c r="G1528" s="18" t="s">
        <v>6256</v>
      </c>
      <c r="H1528" s="9" t="s">
        <v>31</v>
      </c>
      <c r="I1528" s="74" t="s">
        <v>2662</v>
      </c>
      <c r="J1528" s="74" t="s">
        <v>2663</v>
      </c>
      <c r="K1528" s="75">
        <v>5</v>
      </c>
      <c r="L1528" s="241">
        <v>135</v>
      </c>
      <c r="M1528" s="75">
        <v>0</v>
      </c>
      <c r="N1528" s="75">
        <v>0</v>
      </c>
      <c r="O1528" s="75">
        <v>0</v>
      </c>
      <c r="P1528" s="75">
        <v>0</v>
      </c>
      <c r="Q1528" s="75">
        <v>0</v>
      </c>
      <c r="R1528" s="61">
        <v>0</v>
      </c>
      <c r="S1528" s="73" t="s">
        <v>115</v>
      </c>
      <c r="T1528" s="257">
        <f t="shared" si="53"/>
        <v>140</v>
      </c>
      <c r="U1528" s="257">
        <f t="shared" si="54"/>
        <v>0</v>
      </c>
      <c r="V1528">
        <v>1</v>
      </c>
      <c r="W1528">
        <v>0</v>
      </c>
    </row>
    <row r="1529" spans="1:23" ht="66" x14ac:dyDescent="0.3">
      <c r="A1529" s="219">
        <v>40383</v>
      </c>
      <c r="B1529" s="219">
        <v>40383</v>
      </c>
      <c r="C1529" s="6">
        <v>7</v>
      </c>
      <c r="D1529" s="6">
        <v>1</v>
      </c>
      <c r="E1529" s="73">
        <v>2010</v>
      </c>
      <c r="F1529" s="15" t="s">
        <v>22</v>
      </c>
      <c r="G1529" s="16" t="s">
        <v>6256</v>
      </c>
      <c r="H1529" s="9" t="s">
        <v>78</v>
      </c>
      <c r="I1529" s="74" t="s">
        <v>2664</v>
      </c>
      <c r="J1529" s="74" t="s">
        <v>2665</v>
      </c>
      <c r="K1529" s="75">
        <v>0</v>
      </c>
      <c r="L1529" s="241">
        <v>2225</v>
      </c>
      <c r="M1529" s="75">
        <v>445</v>
      </c>
      <c r="N1529" s="75">
        <v>0</v>
      </c>
      <c r="O1529" s="75">
        <v>0</v>
      </c>
      <c r="P1529" s="75">
        <v>0</v>
      </c>
      <c r="Q1529" s="75">
        <v>0</v>
      </c>
      <c r="R1529" s="61">
        <v>97.17</v>
      </c>
      <c r="S1529" s="73" t="s">
        <v>149</v>
      </c>
      <c r="T1529" s="257">
        <f t="shared" si="53"/>
        <v>2225</v>
      </c>
      <c r="U1529" s="257">
        <f t="shared" si="54"/>
        <v>445</v>
      </c>
      <c r="V1529">
        <v>1</v>
      </c>
      <c r="W1529">
        <v>1</v>
      </c>
    </row>
    <row r="1530" spans="1:23" ht="92.4" x14ac:dyDescent="0.3">
      <c r="A1530" s="219">
        <v>40384</v>
      </c>
      <c r="B1530" s="219">
        <v>40384</v>
      </c>
      <c r="C1530" s="6">
        <v>7</v>
      </c>
      <c r="D1530" s="6">
        <v>1</v>
      </c>
      <c r="E1530" s="73">
        <v>2010</v>
      </c>
      <c r="F1530" s="15" t="s">
        <v>22</v>
      </c>
      <c r="G1530" s="16" t="s">
        <v>6256</v>
      </c>
      <c r="H1530" s="9" t="s">
        <v>174</v>
      </c>
      <c r="I1530" s="74" t="s">
        <v>2666</v>
      </c>
      <c r="J1530" s="74" t="s">
        <v>2667</v>
      </c>
      <c r="K1530" s="75">
        <v>0</v>
      </c>
      <c r="L1530" s="241">
        <v>0</v>
      </c>
      <c r="M1530" s="75">
        <v>0</v>
      </c>
      <c r="N1530" s="75">
        <v>0</v>
      </c>
      <c r="O1530" s="75">
        <v>0</v>
      </c>
      <c r="P1530" s="75">
        <v>0</v>
      </c>
      <c r="Q1530" s="75">
        <v>0</v>
      </c>
      <c r="R1530" s="61">
        <v>836.62099999999998</v>
      </c>
      <c r="S1530" s="73" t="s">
        <v>149</v>
      </c>
      <c r="T1530" s="257">
        <f t="shared" si="53"/>
        <v>0</v>
      </c>
      <c r="U1530" s="257">
        <f t="shared" si="54"/>
        <v>0</v>
      </c>
      <c r="V1530">
        <v>0</v>
      </c>
      <c r="W1530">
        <v>0</v>
      </c>
    </row>
    <row r="1531" spans="1:23" ht="79.2" x14ac:dyDescent="0.3">
      <c r="A1531" s="219">
        <v>40398</v>
      </c>
      <c r="B1531" s="219">
        <v>40398</v>
      </c>
      <c r="C1531" s="6">
        <v>8</v>
      </c>
      <c r="D1531" s="6">
        <v>1</v>
      </c>
      <c r="E1531" s="73">
        <v>2010</v>
      </c>
      <c r="F1531" s="15" t="s">
        <v>22</v>
      </c>
      <c r="G1531" s="16" t="s">
        <v>6256</v>
      </c>
      <c r="H1531" s="9" t="s">
        <v>43</v>
      </c>
      <c r="I1531" s="74" t="s">
        <v>629</v>
      </c>
      <c r="J1531" s="74" t="s">
        <v>2668</v>
      </c>
      <c r="K1531" s="75">
        <v>0</v>
      </c>
      <c r="L1531" s="241">
        <v>0</v>
      </c>
      <c r="M1531" s="75">
        <v>0</v>
      </c>
      <c r="N1531" s="75">
        <v>0</v>
      </c>
      <c r="O1531" s="75">
        <v>0</v>
      </c>
      <c r="P1531" s="75">
        <v>0</v>
      </c>
      <c r="Q1531" s="75">
        <v>0</v>
      </c>
      <c r="R1531" s="61">
        <v>0</v>
      </c>
      <c r="S1531" s="73" t="s">
        <v>115</v>
      </c>
      <c r="T1531" s="257">
        <f t="shared" si="53"/>
        <v>0</v>
      </c>
      <c r="U1531" s="257">
        <f t="shared" si="54"/>
        <v>0</v>
      </c>
      <c r="V1531">
        <v>0</v>
      </c>
      <c r="W1531">
        <v>0</v>
      </c>
    </row>
    <row r="1532" spans="1:23" ht="79.2" x14ac:dyDescent="0.3">
      <c r="A1532" s="219">
        <v>40394</v>
      </c>
      <c r="B1532" s="219">
        <v>40394</v>
      </c>
      <c r="C1532" s="6">
        <v>8</v>
      </c>
      <c r="D1532" s="6">
        <v>1</v>
      </c>
      <c r="E1532" s="73">
        <v>2010</v>
      </c>
      <c r="F1532" s="15" t="s">
        <v>22</v>
      </c>
      <c r="G1532" s="18" t="s">
        <v>6256</v>
      </c>
      <c r="H1532" s="9" t="s">
        <v>43</v>
      </c>
      <c r="I1532" s="74" t="s">
        <v>2669</v>
      </c>
      <c r="J1532" s="74" t="s">
        <v>2670</v>
      </c>
      <c r="K1532" s="75">
        <v>0</v>
      </c>
      <c r="L1532" s="241">
        <v>500</v>
      </c>
      <c r="M1532" s="75">
        <v>100</v>
      </c>
      <c r="N1532" s="75">
        <v>0</v>
      </c>
      <c r="O1532" s="75">
        <v>0</v>
      </c>
      <c r="P1532" s="75">
        <v>0</v>
      </c>
      <c r="Q1532" s="75">
        <v>0</v>
      </c>
      <c r="R1532" s="61">
        <v>4.88</v>
      </c>
      <c r="S1532" s="73" t="s">
        <v>149</v>
      </c>
      <c r="T1532" s="257">
        <f t="shared" si="53"/>
        <v>500</v>
      </c>
      <c r="U1532" s="257">
        <f t="shared" si="54"/>
        <v>100</v>
      </c>
      <c r="V1532">
        <v>1</v>
      </c>
      <c r="W1532">
        <v>1</v>
      </c>
    </row>
    <row r="1533" spans="1:23" ht="79.2" x14ac:dyDescent="0.3">
      <c r="A1533" s="219">
        <v>40398</v>
      </c>
      <c r="B1533" s="219">
        <v>40398</v>
      </c>
      <c r="C1533" s="6">
        <v>8</v>
      </c>
      <c r="D1533" s="6">
        <v>1</v>
      </c>
      <c r="E1533" s="73">
        <v>2010</v>
      </c>
      <c r="F1533" s="15" t="s">
        <v>22</v>
      </c>
      <c r="G1533" s="18" t="s">
        <v>6256</v>
      </c>
      <c r="H1533" s="9" t="s">
        <v>52</v>
      </c>
      <c r="I1533" s="74" t="s">
        <v>2671</v>
      </c>
      <c r="J1533" s="74" t="s">
        <v>2672</v>
      </c>
      <c r="K1533" s="75">
        <v>0</v>
      </c>
      <c r="L1533" s="241">
        <v>350</v>
      </c>
      <c r="M1533" s="75">
        <v>70</v>
      </c>
      <c r="N1533" s="75">
        <v>0</v>
      </c>
      <c r="O1533" s="75">
        <v>0</v>
      </c>
      <c r="P1533" s="75">
        <v>0</v>
      </c>
      <c r="Q1533" s="75">
        <v>0</v>
      </c>
      <c r="R1533" s="61">
        <v>1.31166</v>
      </c>
      <c r="S1533" s="73" t="s">
        <v>115</v>
      </c>
      <c r="T1533" s="257">
        <f t="shared" si="53"/>
        <v>350</v>
      </c>
      <c r="U1533" s="257">
        <f t="shared" si="54"/>
        <v>70</v>
      </c>
      <c r="V1533">
        <v>1</v>
      </c>
      <c r="W1533">
        <v>1</v>
      </c>
    </row>
    <row r="1534" spans="1:23" ht="79.2" x14ac:dyDescent="0.3">
      <c r="A1534" s="219">
        <v>40398</v>
      </c>
      <c r="B1534" s="219">
        <v>40398</v>
      </c>
      <c r="C1534" s="6">
        <v>8</v>
      </c>
      <c r="D1534" s="6">
        <v>1</v>
      </c>
      <c r="E1534" s="73">
        <v>2010</v>
      </c>
      <c r="F1534" s="15" t="s">
        <v>22</v>
      </c>
      <c r="G1534" s="18" t="s">
        <v>6256</v>
      </c>
      <c r="H1534" s="9" t="s">
        <v>31</v>
      </c>
      <c r="I1534" s="74" t="s">
        <v>2673</v>
      </c>
      <c r="J1534" s="74" t="s">
        <v>2674</v>
      </c>
      <c r="K1534" s="75">
        <v>11</v>
      </c>
      <c r="L1534" s="241">
        <v>13307</v>
      </c>
      <c r="M1534" s="75">
        <v>1723</v>
      </c>
      <c r="N1534" s="75">
        <v>625</v>
      </c>
      <c r="O1534" s="75">
        <v>1</v>
      </c>
      <c r="P1534" s="75">
        <v>414</v>
      </c>
      <c r="Q1534" s="75">
        <v>13655.718000000001</v>
      </c>
      <c r="R1534" s="61">
        <v>8456.0560000000005</v>
      </c>
      <c r="S1534" s="73" t="s">
        <v>21</v>
      </c>
      <c r="T1534" s="257">
        <f t="shared" si="53"/>
        <v>13318</v>
      </c>
      <c r="U1534" s="257">
        <f t="shared" si="54"/>
        <v>2763</v>
      </c>
      <c r="V1534">
        <v>2</v>
      </c>
      <c r="W1534">
        <v>2</v>
      </c>
    </row>
    <row r="1535" spans="1:23" ht="66" x14ac:dyDescent="0.3">
      <c r="A1535" s="219">
        <v>40399</v>
      </c>
      <c r="B1535" s="219">
        <v>40399</v>
      </c>
      <c r="C1535" s="6">
        <v>8</v>
      </c>
      <c r="D1535" s="6">
        <v>1</v>
      </c>
      <c r="E1535" s="73">
        <v>2010</v>
      </c>
      <c r="F1535" s="15" t="s">
        <v>22</v>
      </c>
      <c r="G1535" s="18" t="s">
        <v>6256</v>
      </c>
      <c r="H1535" s="9" t="s">
        <v>52</v>
      </c>
      <c r="I1535" s="74" t="s">
        <v>658</v>
      </c>
      <c r="J1535" s="74" t="s">
        <v>2675</v>
      </c>
      <c r="K1535" s="75">
        <v>0</v>
      </c>
      <c r="L1535" s="241">
        <v>10</v>
      </c>
      <c r="M1535" s="75">
        <v>2</v>
      </c>
      <c r="N1535" s="75">
        <v>0</v>
      </c>
      <c r="O1535" s="75">
        <v>0</v>
      </c>
      <c r="P1535" s="75">
        <v>0</v>
      </c>
      <c r="Q1535" s="75">
        <v>0</v>
      </c>
      <c r="R1535" s="61">
        <v>1.7475999999999998E-2</v>
      </c>
      <c r="S1535" s="73" t="s">
        <v>115</v>
      </c>
      <c r="T1535" s="257">
        <f t="shared" si="53"/>
        <v>10</v>
      </c>
      <c r="U1535" s="257">
        <f t="shared" si="54"/>
        <v>2</v>
      </c>
      <c r="V1535">
        <v>1</v>
      </c>
      <c r="W1535">
        <v>1</v>
      </c>
    </row>
    <row r="1536" spans="1:23" ht="264" x14ac:dyDescent="0.3">
      <c r="A1536" s="219">
        <v>40415</v>
      </c>
      <c r="B1536" s="219">
        <v>40415</v>
      </c>
      <c r="C1536" s="6">
        <v>8</v>
      </c>
      <c r="D1536" s="6">
        <v>1</v>
      </c>
      <c r="E1536" s="73">
        <v>2010</v>
      </c>
      <c r="F1536" s="15" t="s">
        <v>22</v>
      </c>
      <c r="G1536" s="18" t="s">
        <v>6256</v>
      </c>
      <c r="H1536" s="17" t="s">
        <v>565</v>
      </c>
      <c r="I1536" s="74" t="s">
        <v>2676</v>
      </c>
      <c r="J1536" s="74" t="s">
        <v>2677</v>
      </c>
      <c r="K1536" s="75">
        <v>0</v>
      </c>
      <c r="L1536" s="241">
        <v>154245</v>
      </c>
      <c r="M1536" s="75">
        <v>30849</v>
      </c>
      <c r="N1536" s="75">
        <v>807</v>
      </c>
      <c r="O1536" s="75">
        <v>60</v>
      </c>
      <c r="P1536" s="75">
        <v>10417</v>
      </c>
      <c r="Q1536" s="75">
        <v>33469</v>
      </c>
      <c r="R1536" s="61">
        <v>7192.88</v>
      </c>
      <c r="S1536" s="73" t="s">
        <v>21</v>
      </c>
      <c r="T1536" s="257">
        <f t="shared" si="53"/>
        <v>154245</v>
      </c>
      <c r="U1536" s="257">
        <f t="shared" si="54"/>
        <v>42133</v>
      </c>
      <c r="V1536">
        <v>3</v>
      </c>
      <c r="W1536">
        <v>4</v>
      </c>
    </row>
    <row r="1537" spans="1:23" ht="171.6" x14ac:dyDescent="0.3">
      <c r="A1537" s="219">
        <v>40401</v>
      </c>
      <c r="B1537" s="219">
        <v>40401</v>
      </c>
      <c r="C1537" s="6">
        <v>8</v>
      </c>
      <c r="D1537" s="6">
        <v>1</v>
      </c>
      <c r="E1537" s="73">
        <v>2010</v>
      </c>
      <c r="F1537" s="15" t="s">
        <v>22</v>
      </c>
      <c r="G1537" s="18" t="s">
        <v>6256</v>
      </c>
      <c r="H1537" s="9" t="s">
        <v>51</v>
      </c>
      <c r="I1537" s="74" t="s">
        <v>2678</v>
      </c>
      <c r="J1537" s="74" t="s">
        <v>2679</v>
      </c>
      <c r="K1537" s="75">
        <v>0</v>
      </c>
      <c r="L1537" s="241">
        <v>1200</v>
      </c>
      <c r="M1537" s="75">
        <v>215</v>
      </c>
      <c r="N1537" s="75">
        <v>0</v>
      </c>
      <c r="O1537" s="75">
        <v>0</v>
      </c>
      <c r="P1537" s="75">
        <v>0</v>
      </c>
      <c r="Q1537" s="75">
        <v>0</v>
      </c>
      <c r="R1537" s="61">
        <v>4.02867</v>
      </c>
      <c r="S1537" s="73" t="s">
        <v>115</v>
      </c>
      <c r="T1537" s="257">
        <f t="shared" si="53"/>
        <v>1200</v>
      </c>
      <c r="U1537" s="257">
        <f t="shared" si="54"/>
        <v>215</v>
      </c>
      <c r="V1537">
        <v>1</v>
      </c>
      <c r="W1537">
        <v>1</v>
      </c>
    </row>
    <row r="1538" spans="1:23" ht="184.8" x14ac:dyDescent="0.3">
      <c r="A1538" s="219">
        <v>40403</v>
      </c>
      <c r="B1538" s="219">
        <v>40403</v>
      </c>
      <c r="C1538" s="6">
        <v>8</v>
      </c>
      <c r="D1538" s="6">
        <v>1</v>
      </c>
      <c r="E1538" s="73">
        <v>2010</v>
      </c>
      <c r="F1538" s="15" t="s">
        <v>22</v>
      </c>
      <c r="G1538" s="18" t="s">
        <v>6256</v>
      </c>
      <c r="H1538" s="9" t="s">
        <v>43</v>
      </c>
      <c r="I1538" s="74" t="s">
        <v>305</v>
      </c>
      <c r="J1538" s="74" t="s">
        <v>2680</v>
      </c>
      <c r="K1538" s="75">
        <v>0</v>
      </c>
      <c r="L1538" s="241">
        <v>500</v>
      </c>
      <c r="M1538" s="75">
        <v>100</v>
      </c>
      <c r="N1538" s="75">
        <v>0</v>
      </c>
      <c r="O1538" s="75">
        <v>0</v>
      </c>
      <c r="P1538" s="75">
        <v>0</v>
      </c>
      <c r="Q1538" s="75">
        <v>0</v>
      </c>
      <c r="R1538" s="61">
        <v>1.8737999999999999</v>
      </c>
      <c r="S1538" s="73" t="s">
        <v>115</v>
      </c>
      <c r="T1538" s="257">
        <f t="shared" si="53"/>
        <v>500</v>
      </c>
      <c r="U1538" s="257">
        <f t="shared" si="54"/>
        <v>100</v>
      </c>
      <c r="V1538">
        <v>1</v>
      </c>
      <c r="W1538">
        <v>1</v>
      </c>
    </row>
    <row r="1539" spans="1:23" ht="369.6" x14ac:dyDescent="0.3">
      <c r="A1539" s="219">
        <v>40402</v>
      </c>
      <c r="B1539" s="219">
        <v>40402</v>
      </c>
      <c r="C1539" s="6">
        <v>8</v>
      </c>
      <c r="D1539" s="6">
        <v>1</v>
      </c>
      <c r="E1539" s="73">
        <v>2010</v>
      </c>
      <c r="F1539" s="15" t="s">
        <v>22</v>
      </c>
      <c r="G1539" s="18" t="s">
        <v>6256</v>
      </c>
      <c r="H1539" s="9" t="s">
        <v>48</v>
      </c>
      <c r="I1539" s="74" t="s">
        <v>2681</v>
      </c>
      <c r="J1539" s="74" t="s">
        <v>2682</v>
      </c>
      <c r="K1539" s="75">
        <v>5</v>
      </c>
      <c r="L1539" s="241">
        <v>100</v>
      </c>
      <c r="M1539" s="75">
        <v>16</v>
      </c>
      <c r="N1539" s="75">
        <v>0</v>
      </c>
      <c r="O1539" s="75">
        <v>0</v>
      </c>
      <c r="P1539" s="75">
        <v>0</v>
      </c>
      <c r="Q1539" s="75">
        <v>0</v>
      </c>
      <c r="R1539" s="61">
        <v>0.60299199999999997</v>
      </c>
      <c r="S1539" s="73" t="s">
        <v>115</v>
      </c>
      <c r="T1539" s="257">
        <f t="shared" ref="T1539:T1602" si="55">SUM(K1539:L1539)</f>
        <v>105</v>
      </c>
      <c r="U1539" s="257">
        <f t="shared" ref="U1539:U1602" si="56">SUM(M1539:P1539)</f>
        <v>16</v>
      </c>
      <c r="V1539">
        <v>1</v>
      </c>
      <c r="W1539">
        <v>1</v>
      </c>
    </row>
    <row r="1540" spans="1:23" ht="66" x14ac:dyDescent="0.3">
      <c r="A1540" s="219">
        <v>40400</v>
      </c>
      <c r="B1540" s="219">
        <v>40400</v>
      </c>
      <c r="C1540" s="6">
        <v>8</v>
      </c>
      <c r="D1540" s="6">
        <v>1</v>
      </c>
      <c r="E1540" s="73">
        <v>2010</v>
      </c>
      <c r="F1540" s="15" t="s">
        <v>22</v>
      </c>
      <c r="G1540" s="18" t="s">
        <v>6256</v>
      </c>
      <c r="H1540" s="9" t="s">
        <v>74</v>
      </c>
      <c r="I1540" s="74" t="s">
        <v>2295</v>
      </c>
      <c r="J1540" s="74" t="s">
        <v>2683</v>
      </c>
      <c r="K1540" s="75">
        <v>0</v>
      </c>
      <c r="L1540" s="241">
        <v>25</v>
      </c>
      <c r="M1540" s="75">
        <v>5</v>
      </c>
      <c r="N1540" s="75">
        <v>0</v>
      </c>
      <c r="O1540" s="75">
        <v>0</v>
      </c>
      <c r="P1540" s="75">
        <v>0</v>
      </c>
      <c r="Q1540" s="75">
        <v>0</v>
      </c>
      <c r="R1540" s="61">
        <v>9.3689999999999996E-2</v>
      </c>
      <c r="S1540" s="73" t="s">
        <v>115</v>
      </c>
      <c r="T1540" s="257">
        <f t="shared" si="55"/>
        <v>25</v>
      </c>
      <c r="U1540" s="257">
        <f t="shared" si="56"/>
        <v>5</v>
      </c>
      <c r="V1540">
        <v>1</v>
      </c>
      <c r="W1540">
        <v>1</v>
      </c>
    </row>
    <row r="1541" spans="1:23" ht="92.4" x14ac:dyDescent="0.3">
      <c r="A1541" s="219">
        <v>40431</v>
      </c>
      <c r="B1541" s="219">
        <v>40431</v>
      </c>
      <c r="C1541" s="6">
        <v>9</v>
      </c>
      <c r="D1541" s="6">
        <v>1</v>
      </c>
      <c r="E1541" s="73">
        <v>2010</v>
      </c>
      <c r="F1541" s="15" t="s">
        <v>22</v>
      </c>
      <c r="G1541" s="18" t="s">
        <v>6256</v>
      </c>
      <c r="H1541" s="9" t="s">
        <v>48</v>
      </c>
      <c r="I1541" s="74" t="s">
        <v>2684</v>
      </c>
      <c r="J1541" s="74" t="s">
        <v>2685</v>
      </c>
      <c r="K1541" s="75">
        <v>0</v>
      </c>
      <c r="L1541" s="241">
        <v>275</v>
      </c>
      <c r="M1541" s="75">
        <v>32</v>
      </c>
      <c r="N1541" s="75">
        <v>0</v>
      </c>
      <c r="O1541" s="75">
        <v>0</v>
      </c>
      <c r="P1541" s="75">
        <v>0</v>
      </c>
      <c r="Q1541" s="75">
        <v>0</v>
      </c>
      <c r="R1541" s="61">
        <v>0.59961600000000004</v>
      </c>
      <c r="S1541" s="73" t="s">
        <v>115</v>
      </c>
      <c r="T1541" s="257">
        <f t="shared" si="55"/>
        <v>275</v>
      </c>
      <c r="U1541" s="257">
        <f t="shared" si="56"/>
        <v>32</v>
      </c>
      <c r="V1541">
        <v>1</v>
      </c>
      <c r="W1541">
        <v>1</v>
      </c>
    </row>
    <row r="1542" spans="1:23" ht="26.4" x14ac:dyDescent="0.3">
      <c r="A1542" s="219">
        <v>40407</v>
      </c>
      <c r="B1542" s="219">
        <v>40407</v>
      </c>
      <c r="C1542" s="6">
        <v>8</v>
      </c>
      <c r="D1542" s="6">
        <v>1</v>
      </c>
      <c r="E1542" s="73">
        <v>2010</v>
      </c>
      <c r="F1542" s="15" t="s">
        <v>22</v>
      </c>
      <c r="G1542" s="18" t="s">
        <v>6256</v>
      </c>
      <c r="H1542" s="9" t="s">
        <v>52</v>
      </c>
      <c r="I1542" s="74" t="s">
        <v>126</v>
      </c>
      <c r="J1542" s="74" t="s">
        <v>2686</v>
      </c>
      <c r="K1542" s="75">
        <v>0</v>
      </c>
      <c r="L1542" s="241">
        <v>75</v>
      </c>
      <c r="M1542" s="75">
        <v>15</v>
      </c>
      <c r="N1542" s="75">
        <v>0</v>
      </c>
      <c r="O1542" s="75">
        <v>0</v>
      </c>
      <c r="P1542" s="75">
        <v>0</v>
      </c>
      <c r="Q1542" s="75">
        <v>0</v>
      </c>
      <c r="R1542" s="61">
        <v>0.28106999999999999</v>
      </c>
      <c r="S1542" s="73" t="s">
        <v>115</v>
      </c>
      <c r="T1542" s="257">
        <f t="shared" si="55"/>
        <v>75</v>
      </c>
      <c r="U1542" s="257">
        <f t="shared" si="56"/>
        <v>15</v>
      </c>
      <c r="V1542">
        <v>1</v>
      </c>
      <c r="W1542">
        <v>1</v>
      </c>
    </row>
    <row r="1543" spans="1:23" ht="132" x14ac:dyDescent="0.3">
      <c r="A1543" s="219">
        <v>40407</v>
      </c>
      <c r="B1543" s="219">
        <v>40407</v>
      </c>
      <c r="C1543" s="6">
        <v>8</v>
      </c>
      <c r="D1543" s="6">
        <v>1</v>
      </c>
      <c r="E1543" s="73">
        <v>2010</v>
      </c>
      <c r="F1543" s="15" t="s">
        <v>22</v>
      </c>
      <c r="G1543" s="18" t="s">
        <v>6256</v>
      </c>
      <c r="H1543" s="9" t="s">
        <v>52</v>
      </c>
      <c r="I1543" s="74" t="s">
        <v>948</v>
      </c>
      <c r="J1543" s="74" t="s">
        <v>2687</v>
      </c>
      <c r="K1543" s="75">
        <v>0</v>
      </c>
      <c r="L1543" s="241">
        <v>1500</v>
      </c>
      <c r="M1543" s="75">
        <v>0</v>
      </c>
      <c r="N1543" s="75">
        <v>0</v>
      </c>
      <c r="O1543" s="75">
        <v>0</v>
      </c>
      <c r="P1543" s="75">
        <v>0</v>
      </c>
      <c r="Q1543" s="75">
        <v>0</v>
      </c>
      <c r="R1543" s="61">
        <v>0</v>
      </c>
      <c r="S1543" s="73" t="s">
        <v>115</v>
      </c>
      <c r="T1543" s="257">
        <f t="shared" si="55"/>
        <v>1500</v>
      </c>
      <c r="U1543" s="257">
        <f t="shared" si="56"/>
        <v>0</v>
      </c>
      <c r="V1543">
        <v>1</v>
      </c>
      <c r="W1543">
        <v>0</v>
      </c>
    </row>
    <row r="1544" spans="1:23" ht="91.2" x14ac:dyDescent="0.3">
      <c r="A1544" s="212">
        <v>40707</v>
      </c>
      <c r="B1544" s="212">
        <v>40707</v>
      </c>
      <c r="C1544" s="6">
        <v>6</v>
      </c>
      <c r="D1544" s="6">
        <v>1</v>
      </c>
      <c r="E1544" s="6">
        <v>2011</v>
      </c>
      <c r="F1544" s="15" t="s">
        <v>22</v>
      </c>
      <c r="G1544" s="18" t="s">
        <v>6256</v>
      </c>
      <c r="H1544" s="9" t="s">
        <v>48</v>
      </c>
      <c r="I1544" s="53" t="s">
        <v>310</v>
      </c>
      <c r="J1544" s="53" t="s">
        <v>2688</v>
      </c>
      <c r="K1544" s="13">
        <v>0</v>
      </c>
      <c r="L1544" s="233">
        <v>1000</v>
      </c>
      <c r="M1544" s="13">
        <v>200</v>
      </c>
      <c r="N1544" s="13">
        <v>0</v>
      </c>
      <c r="O1544" s="13">
        <v>0</v>
      </c>
      <c r="P1544" s="13">
        <v>0</v>
      </c>
      <c r="Q1544" s="13">
        <v>0</v>
      </c>
      <c r="R1544" s="26">
        <v>0.5</v>
      </c>
      <c r="S1544" s="19" t="s">
        <v>115</v>
      </c>
      <c r="T1544" s="257">
        <f t="shared" si="55"/>
        <v>1000</v>
      </c>
      <c r="U1544" s="257">
        <f t="shared" si="56"/>
        <v>200</v>
      </c>
      <c r="V1544">
        <v>1</v>
      </c>
      <c r="W1544">
        <v>1</v>
      </c>
    </row>
    <row r="1545" spans="1:23" ht="91.2" x14ac:dyDescent="0.3">
      <c r="A1545" s="210">
        <v>40798</v>
      </c>
      <c r="B1545" s="210">
        <v>40798</v>
      </c>
      <c r="C1545" s="6">
        <v>9</v>
      </c>
      <c r="D1545" s="6">
        <v>1</v>
      </c>
      <c r="E1545" s="7">
        <v>2011</v>
      </c>
      <c r="F1545" s="7" t="s">
        <v>17</v>
      </c>
      <c r="G1545" s="28" t="s">
        <v>6261</v>
      </c>
      <c r="H1545" s="9" t="s">
        <v>48</v>
      </c>
      <c r="I1545" s="34" t="s">
        <v>2689</v>
      </c>
      <c r="J1545" s="34" t="s">
        <v>2690</v>
      </c>
      <c r="K1545" s="33">
        <v>5</v>
      </c>
      <c r="L1545" s="236">
        <v>25</v>
      </c>
      <c r="M1545" s="35">
        <v>5</v>
      </c>
      <c r="N1545" s="35">
        <v>0</v>
      </c>
      <c r="O1545" s="35">
        <v>0</v>
      </c>
      <c r="P1545" s="35">
        <v>0</v>
      </c>
      <c r="Q1545" s="35">
        <v>0</v>
      </c>
      <c r="R1545" s="36">
        <v>0.47952</v>
      </c>
      <c r="S1545" s="33" t="s">
        <v>115</v>
      </c>
      <c r="T1545" s="257">
        <f t="shared" si="55"/>
        <v>30</v>
      </c>
      <c r="U1545" s="257">
        <f t="shared" si="56"/>
        <v>5</v>
      </c>
      <c r="V1545">
        <v>1</v>
      </c>
      <c r="W1545">
        <v>1</v>
      </c>
    </row>
    <row r="1546" spans="1:23" ht="145.19999999999999" x14ac:dyDescent="0.3">
      <c r="A1546" s="219">
        <v>40407</v>
      </c>
      <c r="B1546" s="219">
        <v>40407</v>
      </c>
      <c r="C1546" s="6">
        <v>8</v>
      </c>
      <c r="D1546" s="6">
        <v>1</v>
      </c>
      <c r="E1546" s="73">
        <v>2010</v>
      </c>
      <c r="F1546" s="15" t="s">
        <v>22</v>
      </c>
      <c r="G1546" s="18" t="s">
        <v>6256</v>
      </c>
      <c r="H1546" s="9" t="s">
        <v>78</v>
      </c>
      <c r="I1546" s="74" t="s">
        <v>2691</v>
      </c>
      <c r="J1546" s="74" t="s">
        <v>2692</v>
      </c>
      <c r="K1546" s="75">
        <v>0</v>
      </c>
      <c r="L1546" s="241">
        <v>239</v>
      </c>
      <c r="M1546" s="75">
        <v>28</v>
      </c>
      <c r="N1546" s="75">
        <v>0</v>
      </c>
      <c r="O1546" s="75">
        <v>0</v>
      </c>
      <c r="P1546" s="75">
        <v>0</v>
      </c>
      <c r="Q1546" s="75">
        <v>0</v>
      </c>
      <c r="R1546" s="61">
        <v>0.52466400000000002</v>
      </c>
      <c r="S1546" s="73" t="s">
        <v>115</v>
      </c>
      <c r="T1546" s="257">
        <f t="shared" si="55"/>
        <v>239</v>
      </c>
      <c r="U1546" s="257">
        <f t="shared" si="56"/>
        <v>28</v>
      </c>
      <c r="V1546">
        <v>1</v>
      </c>
      <c r="W1546">
        <v>1</v>
      </c>
    </row>
    <row r="1547" spans="1:23" ht="184.8" x14ac:dyDescent="0.3">
      <c r="A1547" s="219">
        <v>40408</v>
      </c>
      <c r="B1547" s="219">
        <v>40408</v>
      </c>
      <c r="C1547" s="6">
        <v>8</v>
      </c>
      <c r="D1547" s="6">
        <v>1</v>
      </c>
      <c r="E1547" s="73">
        <v>2010</v>
      </c>
      <c r="F1547" s="15" t="s">
        <v>22</v>
      </c>
      <c r="G1547" s="18" t="s">
        <v>6256</v>
      </c>
      <c r="H1547" s="9" t="s">
        <v>72</v>
      </c>
      <c r="I1547" s="74" t="s">
        <v>2693</v>
      </c>
      <c r="J1547" s="74" t="s">
        <v>2694</v>
      </c>
      <c r="K1547" s="75">
        <v>0</v>
      </c>
      <c r="L1547" s="241">
        <v>12002</v>
      </c>
      <c r="M1547" s="75">
        <v>56</v>
      </c>
      <c r="N1547" s="75">
        <v>0</v>
      </c>
      <c r="O1547" s="75">
        <v>0</v>
      </c>
      <c r="P1547" s="75">
        <v>0</v>
      </c>
      <c r="Q1547" s="75">
        <v>0</v>
      </c>
      <c r="R1547" s="61">
        <v>1.049328</v>
      </c>
      <c r="S1547" s="73" t="s">
        <v>115</v>
      </c>
      <c r="T1547" s="257">
        <f t="shared" si="55"/>
        <v>12002</v>
      </c>
      <c r="U1547" s="257">
        <f t="shared" si="56"/>
        <v>56</v>
      </c>
      <c r="V1547">
        <v>2</v>
      </c>
      <c r="W1547">
        <v>1</v>
      </c>
    </row>
    <row r="1548" spans="1:23" ht="34.200000000000003" x14ac:dyDescent="0.3">
      <c r="A1548" s="212">
        <v>39328</v>
      </c>
      <c r="B1548" s="212">
        <v>39329</v>
      </c>
      <c r="C1548" s="6">
        <v>9</v>
      </c>
      <c r="D1548" s="6">
        <v>2</v>
      </c>
      <c r="E1548" s="6">
        <v>2007</v>
      </c>
      <c r="F1548" s="15" t="s">
        <v>22</v>
      </c>
      <c r="G1548" s="18" t="s">
        <v>6256</v>
      </c>
      <c r="H1548" s="9" t="s">
        <v>48</v>
      </c>
      <c r="I1548" s="17" t="s">
        <v>2695</v>
      </c>
      <c r="J1548" s="17" t="s">
        <v>2696</v>
      </c>
      <c r="K1548" s="13">
        <v>0</v>
      </c>
      <c r="L1548" s="233">
        <v>503</v>
      </c>
      <c r="M1548" s="13">
        <v>100</v>
      </c>
      <c r="N1548" s="13">
        <v>0</v>
      </c>
      <c r="O1548" s="13">
        <v>0</v>
      </c>
      <c r="P1548" s="13">
        <v>0</v>
      </c>
      <c r="Q1548" s="60">
        <v>0</v>
      </c>
      <c r="R1548" s="61">
        <v>0.46600000000000003</v>
      </c>
      <c r="S1548" s="7" t="s">
        <v>115</v>
      </c>
      <c r="T1548" s="257">
        <f t="shared" si="55"/>
        <v>503</v>
      </c>
      <c r="U1548" s="257">
        <f t="shared" si="56"/>
        <v>100</v>
      </c>
      <c r="V1548">
        <v>1</v>
      </c>
      <c r="W1548">
        <v>1</v>
      </c>
    </row>
    <row r="1549" spans="1:23" ht="39.6" x14ac:dyDescent="0.3">
      <c r="A1549" s="219">
        <v>40409</v>
      </c>
      <c r="B1549" s="219">
        <v>40409</v>
      </c>
      <c r="C1549" s="6">
        <v>8</v>
      </c>
      <c r="D1549" s="6">
        <v>1</v>
      </c>
      <c r="E1549" s="73">
        <v>2010</v>
      </c>
      <c r="F1549" s="15" t="s">
        <v>22</v>
      </c>
      <c r="G1549" s="18" t="s">
        <v>6256</v>
      </c>
      <c r="H1549" s="9" t="s">
        <v>43</v>
      </c>
      <c r="I1549" s="74" t="s">
        <v>721</v>
      </c>
      <c r="J1549" s="74" t="s">
        <v>2697</v>
      </c>
      <c r="K1549" s="75">
        <v>0</v>
      </c>
      <c r="L1549" s="241">
        <v>15</v>
      </c>
      <c r="M1549" s="75">
        <v>3</v>
      </c>
      <c r="N1549" s="75">
        <v>0</v>
      </c>
      <c r="O1549" s="75">
        <v>0</v>
      </c>
      <c r="P1549" s="75">
        <v>0</v>
      </c>
      <c r="Q1549" s="75">
        <v>0</v>
      </c>
      <c r="R1549" s="61">
        <v>0</v>
      </c>
      <c r="S1549" s="73" t="s">
        <v>115</v>
      </c>
      <c r="T1549" s="257">
        <f t="shared" si="55"/>
        <v>15</v>
      </c>
      <c r="U1549" s="257">
        <f t="shared" si="56"/>
        <v>3</v>
      </c>
      <c r="V1549">
        <v>1</v>
      </c>
      <c r="W1549">
        <v>1</v>
      </c>
    </row>
    <row r="1550" spans="1:23" ht="52.8" x14ac:dyDescent="0.3">
      <c r="A1550" s="219">
        <v>40409</v>
      </c>
      <c r="B1550" s="219">
        <v>40409</v>
      </c>
      <c r="C1550" s="6">
        <v>8</v>
      </c>
      <c r="D1550" s="6">
        <v>1</v>
      </c>
      <c r="E1550" s="73">
        <v>2010</v>
      </c>
      <c r="F1550" s="15" t="s">
        <v>22</v>
      </c>
      <c r="G1550" s="18" t="s">
        <v>6256</v>
      </c>
      <c r="H1550" s="9" t="s">
        <v>61</v>
      </c>
      <c r="I1550" s="74" t="s">
        <v>2698</v>
      </c>
      <c r="J1550" s="74" t="s">
        <v>2699</v>
      </c>
      <c r="K1550" s="75">
        <v>0</v>
      </c>
      <c r="L1550" s="241">
        <v>200</v>
      </c>
      <c r="M1550" s="75">
        <v>40</v>
      </c>
      <c r="N1550" s="75">
        <v>0</v>
      </c>
      <c r="O1550" s="75">
        <v>0</v>
      </c>
      <c r="P1550" s="75">
        <v>0</v>
      </c>
      <c r="Q1550" s="75">
        <v>0</v>
      </c>
      <c r="R1550" s="61">
        <v>0.6048</v>
      </c>
      <c r="S1550" s="73" t="s">
        <v>115</v>
      </c>
      <c r="T1550" s="257">
        <f t="shared" si="55"/>
        <v>200</v>
      </c>
      <c r="U1550" s="257">
        <f t="shared" si="56"/>
        <v>40</v>
      </c>
      <c r="V1550">
        <v>1</v>
      </c>
      <c r="W1550">
        <v>1</v>
      </c>
    </row>
    <row r="1551" spans="1:23" ht="237.6" x14ac:dyDescent="0.3">
      <c r="A1551" s="219">
        <v>40409</v>
      </c>
      <c r="B1551" s="219">
        <v>40409</v>
      </c>
      <c r="C1551" s="6">
        <v>8</v>
      </c>
      <c r="D1551" s="6">
        <v>1</v>
      </c>
      <c r="E1551" s="73">
        <v>2010</v>
      </c>
      <c r="F1551" s="15" t="s">
        <v>22</v>
      </c>
      <c r="G1551" s="18" t="s">
        <v>6256</v>
      </c>
      <c r="H1551" s="9" t="s">
        <v>72</v>
      </c>
      <c r="I1551" s="74" t="s">
        <v>2700</v>
      </c>
      <c r="J1551" s="74" t="s">
        <v>2701</v>
      </c>
      <c r="K1551" s="75">
        <v>0</v>
      </c>
      <c r="L1551" s="241">
        <v>93</v>
      </c>
      <c r="M1551" s="75">
        <v>15</v>
      </c>
      <c r="N1551" s="75">
        <v>0</v>
      </c>
      <c r="O1551" s="75">
        <v>0</v>
      </c>
      <c r="P1551" s="75">
        <v>0</v>
      </c>
      <c r="Q1551" s="75">
        <v>0</v>
      </c>
      <c r="R1551" s="61">
        <v>0.56530499999999995</v>
      </c>
      <c r="S1551" s="73" t="s">
        <v>115</v>
      </c>
      <c r="T1551" s="257">
        <f t="shared" si="55"/>
        <v>93</v>
      </c>
      <c r="U1551" s="257">
        <f t="shared" si="56"/>
        <v>15</v>
      </c>
      <c r="V1551">
        <v>1</v>
      </c>
      <c r="W1551">
        <v>1</v>
      </c>
    </row>
    <row r="1552" spans="1:23" ht="105.6" x14ac:dyDescent="0.3">
      <c r="A1552" s="219">
        <v>40409</v>
      </c>
      <c r="B1552" s="219">
        <v>40409</v>
      </c>
      <c r="C1552" s="6">
        <v>8</v>
      </c>
      <c r="D1552" s="6">
        <v>1</v>
      </c>
      <c r="E1552" s="73">
        <v>2010</v>
      </c>
      <c r="F1552" s="15" t="s">
        <v>22</v>
      </c>
      <c r="G1552" s="18" t="s">
        <v>6256</v>
      </c>
      <c r="H1552" s="9" t="s">
        <v>84</v>
      </c>
      <c r="I1552" s="74" t="s">
        <v>2702</v>
      </c>
      <c r="J1552" s="74" t="s">
        <v>2703</v>
      </c>
      <c r="K1552" s="75">
        <v>0</v>
      </c>
      <c r="L1552" s="241">
        <v>370</v>
      </c>
      <c r="M1552" s="75">
        <v>61</v>
      </c>
      <c r="N1552" s="75">
        <v>0</v>
      </c>
      <c r="O1552" s="75">
        <v>0</v>
      </c>
      <c r="P1552" s="75">
        <v>0</v>
      </c>
      <c r="Q1552" s="75">
        <v>0</v>
      </c>
      <c r="R1552" s="61">
        <v>1.1430180000000001</v>
      </c>
      <c r="S1552" s="73" t="s">
        <v>115</v>
      </c>
      <c r="T1552" s="257">
        <f t="shared" si="55"/>
        <v>370</v>
      </c>
      <c r="U1552" s="257">
        <f t="shared" si="56"/>
        <v>61</v>
      </c>
      <c r="V1552">
        <v>1</v>
      </c>
      <c r="W1552">
        <v>1</v>
      </c>
    </row>
    <row r="1553" spans="1:23" ht="171.6" x14ac:dyDescent="0.3">
      <c r="A1553" s="219">
        <v>40408</v>
      </c>
      <c r="B1553" s="219">
        <v>40408</v>
      </c>
      <c r="C1553" s="6">
        <v>8</v>
      </c>
      <c r="D1553" s="6">
        <v>1</v>
      </c>
      <c r="E1553" s="73">
        <v>2010</v>
      </c>
      <c r="F1553" s="15" t="s">
        <v>22</v>
      </c>
      <c r="G1553" s="18" t="s">
        <v>6256</v>
      </c>
      <c r="H1553" s="9" t="s">
        <v>118</v>
      </c>
      <c r="I1553" s="74" t="s">
        <v>2704</v>
      </c>
      <c r="J1553" s="74" t="s">
        <v>2705</v>
      </c>
      <c r="K1553" s="75">
        <v>0</v>
      </c>
      <c r="L1553" s="241">
        <v>0</v>
      </c>
      <c r="M1553" s="75">
        <v>0</v>
      </c>
      <c r="N1553" s="75">
        <v>0</v>
      </c>
      <c r="O1553" s="75">
        <v>0</v>
      </c>
      <c r="P1553" s="75">
        <v>0</v>
      </c>
      <c r="Q1553" s="75">
        <v>0</v>
      </c>
      <c r="R1553" s="61">
        <v>0</v>
      </c>
      <c r="S1553" s="73" t="s">
        <v>115</v>
      </c>
      <c r="T1553" s="257">
        <f t="shared" si="55"/>
        <v>0</v>
      </c>
      <c r="U1553" s="257">
        <f t="shared" si="56"/>
        <v>0</v>
      </c>
      <c r="V1553">
        <v>0</v>
      </c>
      <c r="W1553">
        <v>0</v>
      </c>
    </row>
    <row r="1554" spans="1:23" ht="198" x14ac:dyDescent="0.3">
      <c r="A1554" s="219">
        <v>40407</v>
      </c>
      <c r="B1554" s="219">
        <v>40407</v>
      </c>
      <c r="C1554" s="6">
        <v>8</v>
      </c>
      <c r="D1554" s="6">
        <v>1</v>
      </c>
      <c r="E1554" s="73">
        <v>2010</v>
      </c>
      <c r="F1554" s="15" t="s">
        <v>22</v>
      </c>
      <c r="G1554" s="18" t="s">
        <v>6256</v>
      </c>
      <c r="H1554" s="9" t="s">
        <v>55</v>
      </c>
      <c r="I1554" s="74" t="s">
        <v>2706</v>
      </c>
      <c r="J1554" s="74" t="s">
        <v>2707</v>
      </c>
      <c r="K1554" s="75">
        <v>0</v>
      </c>
      <c r="L1554" s="241">
        <v>300</v>
      </c>
      <c r="M1554" s="75">
        <v>24</v>
      </c>
      <c r="N1554" s="75">
        <v>0</v>
      </c>
      <c r="O1554" s="75">
        <v>0</v>
      </c>
      <c r="P1554" s="75">
        <v>0</v>
      </c>
      <c r="Q1554" s="75">
        <v>0</v>
      </c>
      <c r="R1554" s="61">
        <v>0.12288</v>
      </c>
      <c r="S1554" s="73" t="s">
        <v>115</v>
      </c>
      <c r="T1554" s="257">
        <f t="shared" si="55"/>
        <v>300</v>
      </c>
      <c r="U1554" s="257">
        <f t="shared" si="56"/>
        <v>24</v>
      </c>
      <c r="V1554">
        <v>1</v>
      </c>
      <c r="W1554">
        <v>1</v>
      </c>
    </row>
    <row r="1555" spans="1:23" ht="211.2" x14ac:dyDescent="0.3">
      <c r="A1555" s="219">
        <v>40408</v>
      </c>
      <c r="B1555" s="219">
        <v>40408</v>
      </c>
      <c r="C1555" s="6">
        <v>8</v>
      </c>
      <c r="D1555" s="6">
        <v>1</v>
      </c>
      <c r="E1555" s="73">
        <v>2010</v>
      </c>
      <c r="F1555" s="15" t="s">
        <v>22</v>
      </c>
      <c r="G1555" s="18" t="s">
        <v>6256</v>
      </c>
      <c r="H1555" s="9" t="s">
        <v>52</v>
      </c>
      <c r="I1555" s="74" t="s">
        <v>126</v>
      </c>
      <c r="J1555" s="74" t="s">
        <v>2708</v>
      </c>
      <c r="K1555" s="75">
        <v>0</v>
      </c>
      <c r="L1555" s="241">
        <v>0</v>
      </c>
      <c r="M1555" s="75">
        <v>0</v>
      </c>
      <c r="N1555" s="75">
        <v>0</v>
      </c>
      <c r="O1555" s="75">
        <v>0</v>
      </c>
      <c r="P1555" s="75">
        <v>0</v>
      </c>
      <c r="Q1555" s="75">
        <v>0</v>
      </c>
      <c r="R1555" s="61">
        <v>0</v>
      </c>
      <c r="S1555" s="73" t="s">
        <v>115</v>
      </c>
      <c r="T1555" s="257">
        <f t="shared" si="55"/>
        <v>0</v>
      </c>
      <c r="U1555" s="257">
        <f t="shared" si="56"/>
        <v>0</v>
      </c>
      <c r="V1555">
        <v>0</v>
      </c>
      <c r="W1555">
        <v>0</v>
      </c>
    </row>
    <row r="1556" spans="1:23" ht="145.19999999999999" x14ac:dyDescent="0.3">
      <c r="A1556" s="219">
        <v>40407</v>
      </c>
      <c r="B1556" s="219">
        <v>40407</v>
      </c>
      <c r="C1556" s="6">
        <v>8</v>
      </c>
      <c r="D1556" s="6">
        <v>1</v>
      </c>
      <c r="E1556" s="73">
        <v>2010</v>
      </c>
      <c r="F1556" s="15" t="s">
        <v>22</v>
      </c>
      <c r="G1556" s="18" t="s">
        <v>6256</v>
      </c>
      <c r="H1556" s="9" t="s">
        <v>118</v>
      </c>
      <c r="I1556" s="74" t="s">
        <v>2709</v>
      </c>
      <c r="J1556" s="74" t="s">
        <v>2710</v>
      </c>
      <c r="K1556" s="75">
        <v>0</v>
      </c>
      <c r="L1556" s="241">
        <v>0</v>
      </c>
      <c r="M1556" s="75">
        <v>0</v>
      </c>
      <c r="N1556" s="75">
        <v>0</v>
      </c>
      <c r="O1556" s="75">
        <v>0</v>
      </c>
      <c r="P1556" s="75">
        <v>0</v>
      </c>
      <c r="Q1556" s="75">
        <v>0</v>
      </c>
      <c r="R1556" s="61">
        <v>0</v>
      </c>
      <c r="S1556" s="73" t="s">
        <v>115</v>
      </c>
      <c r="T1556" s="257">
        <f t="shared" si="55"/>
        <v>0</v>
      </c>
      <c r="U1556" s="257">
        <f t="shared" si="56"/>
        <v>0</v>
      </c>
      <c r="V1556">
        <v>0</v>
      </c>
      <c r="W1556">
        <v>0</v>
      </c>
    </row>
    <row r="1557" spans="1:23" ht="79.2" x14ac:dyDescent="0.3">
      <c r="A1557" s="219">
        <v>40408</v>
      </c>
      <c r="B1557" s="219">
        <v>40408</v>
      </c>
      <c r="C1557" s="6">
        <v>8</v>
      </c>
      <c r="D1557" s="6">
        <v>1</v>
      </c>
      <c r="E1557" s="73">
        <v>2010</v>
      </c>
      <c r="F1557" s="15" t="s">
        <v>22</v>
      </c>
      <c r="G1557" s="18" t="s">
        <v>6256</v>
      </c>
      <c r="H1557" s="9" t="s">
        <v>61</v>
      </c>
      <c r="I1557" s="74" t="s">
        <v>2698</v>
      </c>
      <c r="J1557" s="74" t="s">
        <v>2711</v>
      </c>
      <c r="K1557" s="75">
        <v>0</v>
      </c>
      <c r="L1557" s="241">
        <v>800</v>
      </c>
      <c r="M1557" s="75">
        <v>25</v>
      </c>
      <c r="N1557" s="75">
        <v>0</v>
      </c>
      <c r="O1557" s="75">
        <v>0</v>
      </c>
      <c r="P1557" s="75">
        <v>0</v>
      </c>
      <c r="Q1557" s="75">
        <v>0</v>
      </c>
      <c r="R1557" s="61">
        <v>0.46844999999999998</v>
      </c>
      <c r="S1557" s="73" t="s">
        <v>115</v>
      </c>
      <c r="T1557" s="257">
        <f t="shared" si="55"/>
        <v>800</v>
      </c>
      <c r="U1557" s="257">
        <f t="shared" si="56"/>
        <v>25</v>
      </c>
      <c r="V1557">
        <v>1</v>
      </c>
      <c r="W1557">
        <v>1</v>
      </c>
    </row>
    <row r="1558" spans="1:23" ht="91.2" x14ac:dyDescent="0.3">
      <c r="A1558" s="129">
        <v>39986</v>
      </c>
      <c r="B1558" s="129">
        <v>39986</v>
      </c>
      <c r="C1558" s="6">
        <v>6</v>
      </c>
      <c r="D1558" s="6">
        <v>1</v>
      </c>
      <c r="E1558" s="19">
        <v>2009</v>
      </c>
      <c r="F1558" s="15" t="s">
        <v>22</v>
      </c>
      <c r="G1558" s="16" t="s">
        <v>6254</v>
      </c>
      <c r="H1558" s="9" t="s">
        <v>48</v>
      </c>
      <c r="I1558" s="17" t="s">
        <v>2712</v>
      </c>
      <c r="J1558" s="17" t="s">
        <v>2713</v>
      </c>
      <c r="K1558" s="23">
        <v>1</v>
      </c>
      <c r="L1558" s="234">
        <v>252</v>
      </c>
      <c r="M1558" s="23">
        <v>50</v>
      </c>
      <c r="N1558" s="23">
        <v>0</v>
      </c>
      <c r="O1558" s="23">
        <v>0</v>
      </c>
      <c r="P1558" s="23">
        <v>0</v>
      </c>
      <c r="Q1558" s="23">
        <v>0</v>
      </c>
      <c r="R1558" s="93">
        <f>(M1558*8738)/1000000</f>
        <v>0.43690000000000001</v>
      </c>
      <c r="S1558" s="19" t="s">
        <v>115</v>
      </c>
      <c r="T1558" s="257">
        <f t="shared" si="55"/>
        <v>253</v>
      </c>
      <c r="U1558" s="257">
        <f t="shared" si="56"/>
        <v>50</v>
      </c>
      <c r="V1558">
        <v>1</v>
      </c>
      <c r="W1558">
        <v>1</v>
      </c>
    </row>
    <row r="1559" spans="1:23" ht="66" x14ac:dyDescent="0.3">
      <c r="A1559" s="219">
        <v>40413</v>
      </c>
      <c r="B1559" s="219">
        <v>40413</v>
      </c>
      <c r="C1559" s="6">
        <v>8</v>
      </c>
      <c r="D1559" s="6">
        <v>1</v>
      </c>
      <c r="E1559" s="73">
        <v>2010</v>
      </c>
      <c r="F1559" s="15" t="s">
        <v>22</v>
      </c>
      <c r="G1559" s="18" t="s">
        <v>6256</v>
      </c>
      <c r="H1559" s="9" t="s">
        <v>31</v>
      </c>
      <c r="I1559" s="74" t="s">
        <v>2714</v>
      </c>
      <c r="J1559" s="74" t="s">
        <v>2715</v>
      </c>
      <c r="K1559" s="75">
        <v>0</v>
      </c>
      <c r="L1559" s="241">
        <v>0</v>
      </c>
      <c r="M1559" s="75">
        <v>0</v>
      </c>
      <c r="N1559" s="75">
        <v>0</v>
      </c>
      <c r="O1559" s="75">
        <v>0</v>
      </c>
      <c r="P1559" s="75">
        <v>0</v>
      </c>
      <c r="Q1559" s="75">
        <v>0</v>
      </c>
      <c r="R1559" s="61">
        <v>0</v>
      </c>
      <c r="S1559" s="73" t="s">
        <v>115</v>
      </c>
      <c r="T1559" s="257">
        <f t="shared" si="55"/>
        <v>0</v>
      </c>
      <c r="U1559" s="257">
        <f t="shared" si="56"/>
        <v>0</v>
      </c>
      <c r="V1559">
        <v>0</v>
      </c>
      <c r="W1559">
        <v>0</v>
      </c>
    </row>
    <row r="1560" spans="1:23" ht="145.19999999999999" x14ac:dyDescent="0.3">
      <c r="A1560" s="219">
        <v>40438</v>
      </c>
      <c r="B1560" s="219">
        <v>40438</v>
      </c>
      <c r="C1560" s="6">
        <v>9</v>
      </c>
      <c r="D1560" s="6">
        <v>1</v>
      </c>
      <c r="E1560" s="73">
        <v>2010</v>
      </c>
      <c r="F1560" s="15" t="s">
        <v>22</v>
      </c>
      <c r="G1560" s="18" t="s">
        <v>6256</v>
      </c>
      <c r="H1560" s="9" t="s">
        <v>48</v>
      </c>
      <c r="I1560" s="74" t="s">
        <v>2716</v>
      </c>
      <c r="J1560" s="74" t="s">
        <v>2717</v>
      </c>
      <c r="K1560" s="75">
        <v>0</v>
      </c>
      <c r="L1560" s="241">
        <v>418</v>
      </c>
      <c r="M1560" s="75">
        <v>80</v>
      </c>
      <c r="N1560" s="75">
        <v>0</v>
      </c>
      <c r="O1560" s="75">
        <v>0</v>
      </c>
      <c r="P1560" s="75">
        <v>0</v>
      </c>
      <c r="Q1560" s="75">
        <v>0</v>
      </c>
      <c r="R1560" s="61">
        <v>0.40960000000000002</v>
      </c>
      <c r="S1560" s="73" t="s">
        <v>115</v>
      </c>
      <c r="T1560" s="257">
        <f t="shared" si="55"/>
        <v>418</v>
      </c>
      <c r="U1560" s="257">
        <f t="shared" si="56"/>
        <v>80</v>
      </c>
      <c r="V1560">
        <v>1</v>
      </c>
      <c r="W1560">
        <v>1</v>
      </c>
    </row>
    <row r="1561" spans="1:23" ht="66" x14ac:dyDescent="0.3">
      <c r="A1561" s="219">
        <v>40412</v>
      </c>
      <c r="B1561" s="219">
        <v>40412</v>
      </c>
      <c r="C1561" s="6">
        <v>8</v>
      </c>
      <c r="D1561" s="6">
        <v>1</v>
      </c>
      <c r="E1561" s="73">
        <v>2010</v>
      </c>
      <c r="F1561" s="15" t="s">
        <v>22</v>
      </c>
      <c r="G1561" s="18" t="s">
        <v>6256</v>
      </c>
      <c r="H1561" s="9" t="s">
        <v>64</v>
      </c>
      <c r="I1561" s="74" t="s">
        <v>2718</v>
      </c>
      <c r="J1561" s="74" t="s">
        <v>2719</v>
      </c>
      <c r="K1561" s="75">
        <v>0</v>
      </c>
      <c r="L1561" s="241">
        <v>185</v>
      </c>
      <c r="M1561" s="75">
        <v>37</v>
      </c>
      <c r="N1561" s="75">
        <v>0</v>
      </c>
      <c r="O1561" s="75">
        <v>0</v>
      </c>
      <c r="P1561" s="75">
        <v>0</v>
      </c>
      <c r="Q1561" s="75">
        <v>0</v>
      </c>
      <c r="R1561" s="61">
        <v>0.69330599999999998</v>
      </c>
      <c r="S1561" s="73" t="s">
        <v>115</v>
      </c>
      <c r="T1561" s="257">
        <f t="shared" si="55"/>
        <v>185</v>
      </c>
      <c r="U1561" s="257">
        <f t="shared" si="56"/>
        <v>37</v>
      </c>
      <c r="V1561">
        <v>1</v>
      </c>
      <c r="W1561">
        <v>1</v>
      </c>
    </row>
    <row r="1562" spans="1:23" ht="45.6" x14ac:dyDescent="0.3">
      <c r="A1562" s="212">
        <v>39270</v>
      </c>
      <c r="B1562" s="212">
        <v>39270</v>
      </c>
      <c r="C1562" s="6">
        <v>7</v>
      </c>
      <c r="D1562" s="6">
        <v>1</v>
      </c>
      <c r="E1562" s="6">
        <v>2007</v>
      </c>
      <c r="F1562" s="15" t="s">
        <v>22</v>
      </c>
      <c r="G1562" s="18" t="s">
        <v>6256</v>
      </c>
      <c r="H1562" s="9" t="s">
        <v>48</v>
      </c>
      <c r="I1562" s="17" t="s">
        <v>2720</v>
      </c>
      <c r="J1562" s="17" t="s">
        <v>2721</v>
      </c>
      <c r="K1562" s="13">
        <v>0</v>
      </c>
      <c r="L1562" s="233">
        <v>430</v>
      </c>
      <c r="M1562" s="13">
        <v>86</v>
      </c>
      <c r="N1562" s="13">
        <v>0</v>
      </c>
      <c r="O1562" s="13">
        <v>0</v>
      </c>
      <c r="P1562" s="13">
        <v>0</v>
      </c>
      <c r="Q1562" s="60">
        <v>0</v>
      </c>
      <c r="R1562" s="61">
        <v>0.40100000000000002</v>
      </c>
      <c r="S1562" s="7" t="s">
        <v>115</v>
      </c>
      <c r="T1562" s="257">
        <f t="shared" si="55"/>
        <v>430</v>
      </c>
      <c r="U1562" s="257">
        <f t="shared" si="56"/>
        <v>86</v>
      </c>
      <c r="V1562">
        <v>1</v>
      </c>
      <c r="W1562">
        <v>1</v>
      </c>
    </row>
    <row r="1563" spans="1:23" ht="103.8" x14ac:dyDescent="0.3">
      <c r="A1563" s="215">
        <v>37513</v>
      </c>
      <c r="B1563" s="215">
        <v>37513</v>
      </c>
      <c r="C1563" s="6">
        <v>9</v>
      </c>
      <c r="D1563" s="6">
        <v>1</v>
      </c>
      <c r="E1563" s="6">
        <v>2002</v>
      </c>
      <c r="F1563" s="15" t="s">
        <v>22</v>
      </c>
      <c r="G1563" s="18" t="s">
        <v>6256</v>
      </c>
      <c r="H1563" s="9" t="s">
        <v>48</v>
      </c>
      <c r="I1563" s="34" t="s">
        <v>2722</v>
      </c>
      <c r="J1563" s="39" t="s">
        <v>2723</v>
      </c>
      <c r="K1563" s="44">
        <v>0</v>
      </c>
      <c r="L1563" s="233">
        <v>0</v>
      </c>
      <c r="M1563" s="13">
        <v>0</v>
      </c>
      <c r="N1563" s="44">
        <v>0</v>
      </c>
      <c r="O1563" s="13">
        <v>0</v>
      </c>
      <c r="P1563" s="44">
        <v>0</v>
      </c>
      <c r="Q1563" s="44">
        <v>0</v>
      </c>
      <c r="R1563" s="45">
        <v>0.4</v>
      </c>
      <c r="S1563" s="7" t="s">
        <v>115</v>
      </c>
      <c r="T1563" s="257">
        <f t="shared" si="55"/>
        <v>0</v>
      </c>
      <c r="U1563" s="257">
        <f t="shared" si="56"/>
        <v>0</v>
      </c>
      <c r="V1563">
        <v>0</v>
      </c>
      <c r="W1563">
        <v>0</v>
      </c>
    </row>
    <row r="1564" spans="1:23" ht="290.39999999999998" x14ac:dyDescent="0.3">
      <c r="A1564" s="219">
        <v>40410</v>
      </c>
      <c r="B1564" s="219">
        <v>40410</v>
      </c>
      <c r="C1564" s="6">
        <v>8</v>
      </c>
      <c r="D1564" s="6">
        <v>1</v>
      </c>
      <c r="E1564" s="73">
        <v>2010</v>
      </c>
      <c r="F1564" s="15" t="s">
        <v>22</v>
      </c>
      <c r="G1564" s="18" t="s">
        <v>6256</v>
      </c>
      <c r="H1564" s="9" t="s">
        <v>48</v>
      </c>
      <c r="I1564" s="74" t="s">
        <v>2724</v>
      </c>
      <c r="J1564" s="74" t="s">
        <v>2725</v>
      </c>
      <c r="K1564" s="75">
        <v>0</v>
      </c>
      <c r="L1564" s="241">
        <v>574</v>
      </c>
      <c r="M1564" s="75">
        <v>74</v>
      </c>
      <c r="N1564" s="75">
        <v>0</v>
      </c>
      <c r="O1564" s="75">
        <v>0</v>
      </c>
      <c r="P1564" s="75">
        <v>0</v>
      </c>
      <c r="Q1564" s="75">
        <v>0</v>
      </c>
      <c r="R1564" s="61">
        <v>0.37887999999999999</v>
      </c>
      <c r="S1564" s="73" t="s">
        <v>115</v>
      </c>
      <c r="T1564" s="257">
        <f t="shared" si="55"/>
        <v>574</v>
      </c>
      <c r="U1564" s="257">
        <f t="shared" si="56"/>
        <v>74</v>
      </c>
      <c r="V1564">
        <v>1</v>
      </c>
      <c r="W1564">
        <v>1</v>
      </c>
    </row>
    <row r="1565" spans="1:23" ht="409.6" x14ac:dyDescent="0.3">
      <c r="A1565" s="219">
        <v>40414</v>
      </c>
      <c r="B1565" s="219">
        <v>40414</v>
      </c>
      <c r="C1565" s="6">
        <v>8</v>
      </c>
      <c r="D1565" s="6">
        <v>1</v>
      </c>
      <c r="E1565" s="73">
        <v>2010</v>
      </c>
      <c r="F1565" s="15" t="s">
        <v>22</v>
      </c>
      <c r="G1565" s="18" t="s">
        <v>6256</v>
      </c>
      <c r="H1565" s="9" t="s">
        <v>55</v>
      </c>
      <c r="I1565" s="74" t="s">
        <v>2726</v>
      </c>
      <c r="J1565" s="74" t="s">
        <v>2727</v>
      </c>
      <c r="K1565" s="75">
        <v>0</v>
      </c>
      <c r="L1565" s="241">
        <v>6850</v>
      </c>
      <c r="M1565" s="75">
        <v>1370</v>
      </c>
      <c r="N1565" s="75">
        <v>0</v>
      </c>
      <c r="O1565" s="75">
        <v>0</v>
      </c>
      <c r="P1565" s="75">
        <v>350</v>
      </c>
      <c r="Q1565" s="75">
        <v>0</v>
      </c>
      <c r="R1565" s="61">
        <v>25.671060000000001</v>
      </c>
      <c r="S1565" s="73" t="s">
        <v>115</v>
      </c>
      <c r="T1565" s="257">
        <f t="shared" si="55"/>
        <v>6850</v>
      </c>
      <c r="U1565" s="257">
        <f t="shared" si="56"/>
        <v>1720</v>
      </c>
      <c r="V1565">
        <v>1</v>
      </c>
      <c r="W1565">
        <v>2</v>
      </c>
    </row>
    <row r="1566" spans="1:23" ht="92.4" x14ac:dyDescent="0.3">
      <c r="A1566" s="219">
        <v>40415</v>
      </c>
      <c r="B1566" s="219">
        <v>40415</v>
      </c>
      <c r="C1566" s="6">
        <v>8</v>
      </c>
      <c r="D1566" s="6">
        <v>1</v>
      </c>
      <c r="E1566" s="73">
        <v>2010</v>
      </c>
      <c r="F1566" s="15" t="s">
        <v>22</v>
      </c>
      <c r="G1566" s="16" t="s">
        <v>6256</v>
      </c>
      <c r="H1566" s="9" t="s">
        <v>55</v>
      </c>
      <c r="I1566" s="74" t="s">
        <v>2728</v>
      </c>
      <c r="J1566" s="74" t="s">
        <v>2729</v>
      </c>
      <c r="K1566" s="75">
        <v>0</v>
      </c>
      <c r="L1566" s="241">
        <v>1965</v>
      </c>
      <c r="M1566" s="75">
        <v>273</v>
      </c>
      <c r="N1566" s="75">
        <v>6</v>
      </c>
      <c r="O1566" s="75">
        <v>0</v>
      </c>
      <c r="P1566" s="75">
        <v>0</v>
      </c>
      <c r="Q1566" s="75">
        <v>0</v>
      </c>
      <c r="R1566" s="61">
        <v>94.912999999999997</v>
      </c>
      <c r="S1566" s="73" t="s">
        <v>149</v>
      </c>
      <c r="T1566" s="257">
        <f t="shared" si="55"/>
        <v>1965</v>
      </c>
      <c r="U1566" s="257">
        <f t="shared" si="56"/>
        <v>279</v>
      </c>
      <c r="V1566">
        <v>1</v>
      </c>
      <c r="W1566">
        <v>1</v>
      </c>
    </row>
    <row r="1567" spans="1:23" ht="26.4" x14ac:dyDescent="0.3">
      <c r="A1567" s="219">
        <v>40415</v>
      </c>
      <c r="B1567" s="219">
        <v>40415</v>
      </c>
      <c r="C1567" s="6">
        <v>8</v>
      </c>
      <c r="D1567" s="6">
        <v>1</v>
      </c>
      <c r="E1567" s="73">
        <v>2010</v>
      </c>
      <c r="F1567" s="15" t="s">
        <v>22</v>
      </c>
      <c r="G1567" s="18" t="s">
        <v>6256</v>
      </c>
      <c r="H1567" s="9" t="s">
        <v>84</v>
      </c>
      <c r="I1567" s="74" t="s">
        <v>1317</v>
      </c>
      <c r="J1567" s="74" t="s">
        <v>2730</v>
      </c>
      <c r="K1567" s="75">
        <v>0</v>
      </c>
      <c r="L1567" s="241">
        <v>75</v>
      </c>
      <c r="M1567" s="75">
        <v>15</v>
      </c>
      <c r="N1567" s="75">
        <v>0</v>
      </c>
      <c r="O1567" s="75">
        <v>0</v>
      </c>
      <c r="P1567" s="75">
        <v>0</v>
      </c>
      <c r="Q1567" s="75">
        <v>0</v>
      </c>
      <c r="R1567" s="61">
        <v>7.6799999999999993E-2</v>
      </c>
      <c r="S1567" s="73" t="s">
        <v>115</v>
      </c>
      <c r="T1567" s="257">
        <f t="shared" si="55"/>
        <v>75</v>
      </c>
      <c r="U1567" s="257">
        <f t="shared" si="56"/>
        <v>15</v>
      </c>
      <c r="V1567">
        <v>1</v>
      </c>
      <c r="W1567">
        <v>1</v>
      </c>
    </row>
    <row r="1568" spans="1:23" ht="105.6" x14ac:dyDescent="0.3">
      <c r="A1568" s="219">
        <v>40415</v>
      </c>
      <c r="B1568" s="219">
        <v>40415</v>
      </c>
      <c r="C1568" s="6">
        <v>8</v>
      </c>
      <c r="D1568" s="6">
        <v>1</v>
      </c>
      <c r="E1568" s="73">
        <v>2010</v>
      </c>
      <c r="F1568" s="15" t="s">
        <v>22</v>
      </c>
      <c r="G1568" s="18" t="s">
        <v>6256</v>
      </c>
      <c r="H1568" s="9" t="s">
        <v>52</v>
      </c>
      <c r="I1568" s="74" t="s">
        <v>1892</v>
      </c>
      <c r="J1568" s="74" t="s">
        <v>2731</v>
      </c>
      <c r="K1568" s="75">
        <v>2</v>
      </c>
      <c r="L1568" s="241">
        <v>3</v>
      </c>
      <c r="M1568" s="75">
        <v>0</v>
      </c>
      <c r="N1568" s="75">
        <v>0</v>
      </c>
      <c r="O1568" s="75">
        <v>0</v>
      </c>
      <c r="P1568" s="75">
        <v>0</v>
      </c>
      <c r="Q1568" s="75">
        <v>0</v>
      </c>
      <c r="R1568" s="61">
        <v>0</v>
      </c>
      <c r="S1568" s="73" t="s">
        <v>115</v>
      </c>
      <c r="T1568" s="257">
        <f t="shared" si="55"/>
        <v>5</v>
      </c>
      <c r="U1568" s="257">
        <f t="shared" si="56"/>
        <v>0</v>
      </c>
      <c r="V1568">
        <v>1</v>
      </c>
      <c r="W1568">
        <v>0</v>
      </c>
    </row>
    <row r="1569" spans="1:23" ht="171.6" x14ac:dyDescent="0.3">
      <c r="A1569" s="219">
        <v>40415</v>
      </c>
      <c r="B1569" s="219">
        <v>40415</v>
      </c>
      <c r="C1569" s="6">
        <v>8</v>
      </c>
      <c r="D1569" s="6">
        <v>1</v>
      </c>
      <c r="E1569" s="73">
        <v>2010</v>
      </c>
      <c r="F1569" s="15" t="s">
        <v>22</v>
      </c>
      <c r="G1569" s="18" t="s">
        <v>6256</v>
      </c>
      <c r="H1569" s="9" t="s">
        <v>174</v>
      </c>
      <c r="I1569" s="74" t="s">
        <v>2732</v>
      </c>
      <c r="J1569" s="74" t="s">
        <v>2733</v>
      </c>
      <c r="K1569" s="75">
        <v>0</v>
      </c>
      <c r="L1569" s="241">
        <v>100</v>
      </c>
      <c r="M1569" s="75">
        <v>0</v>
      </c>
      <c r="N1569" s="75">
        <v>0</v>
      </c>
      <c r="O1569" s="75">
        <v>0</v>
      </c>
      <c r="P1569" s="75">
        <v>0</v>
      </c>
      <c r="Q1569" s="75">
        <v>0</v>
      </c>
      <c r="R1569" s="61">
        <v>0</v>
      </c>
      <c r="S1569" s="73" t="s">
        <v>115</v>
      </c>
      <c r="T1569" s="257">
        <f t="shared" si="55"/>
        <v>100</v>
      </c>
      <c r="U1569" s="257">
        <f t="shared" si="56"/>
        <v>0</v>
      </c>
      <c r="V1569">
        <v>1</v>
      </c>
      <c r="W1569">
        <v>0</v>
      </c>
    </row>
    <row r="1570" spans="1:23" ht="198" x14ac:dyDescent="0.3">
      <c r="A1570" s="219">
        <v>40421</v>
      </c>
      <c r="B1570" s="219">
        <v>40421</v>
      </c>
      <c r="C1570" s="6">
        <v>8</v>
      </c>
      <c r="D1570" s="6">
        <v>1</v>
      </c>
      <c r="E1570" s="73">
        <v>2010</v>
      </c>
      <c r="F1570" s="15" t="s">
        <v>22</v>
      </c>
      <c r="G1570" s="18" t="s">
        <v>6256</v>
      </c>
      <c r="H1570" s="9" t="s">
        <v>31</v>
      </c>
      <c r="I1570" s="74" t="s">
        <v>2734</v>
      </c>
      <c r="J1570" s="74" t="s">
        <v>2735</v>
      </c>
      <c r="K1570" s="75">
        <v>1</v>
      </c>
      <c r="L1570" s="241">
        <v>346</v>
      </c>
      <c r="M1570" s="75">
        <v>150</v>
      </c>
      <c r="N1570" s="75">
        <v>0</v>
      </c>
      <c r="O1570" s="75">
        <v>0</v>
      </c>
      <c r="P1570" s="75">
        <v>0</v>
      </c>
      <c r="Q1570" s="75">
        <v>0</v>
      </c>
      <c r="R1570" s="61">
        <v>2.8107000000000002</v>
      </c>
      <c r="S1570" s="73" t="s">
        <v>115</v>
      </c>
      <c r="T1570" s="257">
        <f t="shared" si="55"/>
        <v>347</v>
      </c>
      <c r="U1570" s="257">
        <f t="shared" si="56"/>
        <v>150</v>
      </c>
      <c r="V1570">
        <v>1</v>
      </c>
      <c r="W1570">
        <v>1</v>
      </c>
    </row>
    <row r="1571" spans="1:23" ht="57" x14ac:dyDescent="0.3">
      <c r="A1571" s="129">
        <v>38902</v>
      </c>
      <c r="B1571" s="129">
        <v>38902</v>
      </c>
      <c r="C1571" s="6">
        <v>7</v>
      </c>
      <c r="D1571" s="6">
        <v>1</v>
      </c>
      <c r="E1571" s="103">
        <v>2006</v>
      </c>
      <c r="F1571" s="15" t="s">
        <v>22</v>
      </c>
      <c r="G1571" s="18" t="s">
        <v>6256</v>
      </c>
      <c r="H1571" s="9" t="s">
        <v>48</v>
      </c>
      <c r="I1571" s="17" t="s">
        <v>310</v>
      </c>
      <c r="J1571" s="111" t="s">
        <v>2736</v>
      </c>
      <c r="K1571" s="23">
        <v>1</v>
      </c>
      <c r="L1571" s="234">
        <v>1871</v>
      </c>
      <c r="M1571" s="23">
        <v>374</v>
      </c>
      <c r="N1571" s="23">
        <v>2</v>
      </c>
      <c r="O1571" s="19">
        <v>0</v>
      </c>
      <c r="P1571" s="19">
        <v>0</v>
      </c>
      <c r="Q1571" s="23">
        <v>0</v>
      </c>
      <c r="R1571" s="93">
        <v>0.374</v>
      </c>
      <c r="S1571" s="7" t="s">
        <v>115</v>
      </c>
      <c r="T1571" s="257">
        <f t="shared" si="55"/>
        <v>1872</v>
      </c>
      <c r="U1571" s="257">
        <f t="shared" si="56"/>
        <v>376</v>
      </c>
      <c r="V1571">
        <v>1</v>
      </c>
      <c r="W1571">
        <v>1</v>
      </c>
    </row>
    <row r="1572" spans="1:23" ht="125.4" x14ac:dyDescent="0.3">
      <c r="A1572" s="212">
        <v>40587</v>
      </c>
      <c r="B1572" s="212">
        <v>40587</v>
      </c>
      <c r="C1572" s="6">
        <v>2</v>
      </c>
      <c r="D1572" s="6">
        <v>1</v>
      </c>
      <c r="E1572" s="6">
        <v>2011</v>
      </c>
      <c r="F1572" s="15" t="s">
        <v>22</v>
      </c>
      <c r="G1572" s="18" t="s">
        <v>6256</v>
      </c>
      <c r="H1572" s="9" t="s">
        <v>48</v>
      </c>
      <c r="I1572" s="53" t="s">
        <v>2737</v>
      </c>
      <c r="J1572" s="53" t="s">
        <v>2738</v>
      </c>
      <c r="K1572" s="13">
        <v>0</v>
      </c>
      <c r="L1572" s="233">
        <v>236</v>
      </c>
      <c r="M1572" s="13">
        <v>42</v>
      </c>
      <c r="N1572" s="13">
        <v>0</v>
      </c>
      <c r="O1572" s="13">
        <v>0</v>
      </c>
      <c r="P1572" s="13">
        <v>0</v>
      </c>
      <c r="Q1572" s="13">
        <v>0</v>
      </c>
      <c r="R1572" s="26">
        <v>0.3649</v>
      </c>
      <c r="S1572" s="19" t="s">
        <v>115</v>
      </c>
      <c r="T1572" s="257">
        <f t="shared" si="55"/>
        <v>236</v>
      </c>
      <c r="U1572" s="257">
        <f t="shared" si="56"/>
        <v>42</v>
      </c>
      <c r="V1572">
        <v>1</v>
      </c>
      <c r="W1572">
        <v>1</v>
      </c>
    </row>
    <row r="1573" spans="1:23" ht="92.4" x14ac:dyDescent="0.3">
      <c r="A1573" s="219">
        <v>40419</v>
      </c>
      <c r="B1573" s="219">
        <v>40419</v>
      </c>
      <c r="C1573" s="6">
        <v>8</v>
      </c>
      <c r="D1573" s="6">
        <v>1</v>
      </c>
      <c r="E1573" s="73">
        <v>2010</v>
      </c>
      <c r="F1573" s="15" t="s">
        <v>22</v>
      </c>
      <c r="G1573" s="18" t="s">
        <v>6256</v>
      </c>
      <c r="H1573" s="9" t="s">
        <v>31</v>
      </c>
      <c r="I1573" s="74" t="s">
        <v>2739</v>
      </c>
      <c r="J1573" s="74" t="s">
        <v>2740</v>
      </c>
      <c r="K1573" s="75">
        <v>0</v>
      </c>
      <c r="L1573" s="241">
        <v>1750</v>
      </c>
      <c r="M1573" s="75">
        <v>350</v>
      </c>
      <c r="N1573" s="75">
        <v>0</v>
      </c>
      <c r="O1573" s="75">
        <v>0</v>
      </c>
      <c r="P1573" s="75">
        <v>0</v>
      </c>
      <c r="Q1573" s="75">
        <v>0</v>
      </c>
      <c r="R1573" s="61">
        <v>1.792</v>
      </c>
      <c r="S1573" s="73" t="s">
        <v>115</v>
      </c>
      <c r="T1573" s="257">
        <f t="shared" si="55"/>
        <v>1750</v>
      </c>
      <c r="U1573" s="257">
        <f t="shared" si="56"/>
        <v>350</v>
      </c>
      <c r="V1573">
        <v>1</v>
      </c>
      <c r="W1573">
        <v>1</v>
      </c>
    </row>
    <row r="1574" spans="1:23" ht="118.8" x14ac:dyDescent="0.3">
      <c r="A1574" s="219">
        <v>40408</v>
      </c>
      <c r="B1574" s="219">
        <v>40408</v>
      </c>
      <c r="C1574" s="6">
        <v>8</v>
      </c>
      <c r="D1574" s="6">
        <v>1</v>
      </c>
      <c r="E1574" s="73">
        <v>2010</v>
      </c>
      <c r="F1574" s="15" t="s">
        <v>22</v>
      </c>
      <c r="G1574" s="18" t="s">
        <v>6256</v>
      </c>
      <c r="H1574" s="9" t="s">
        <v>31</v>
      </c>
      <c r="I1574" s="74" t="s">
        <v>2741</v>
      </c>
      <c r="J1574" s="74" t="s">
        <v>2742</v>
      </c>
      <c r="K1574" s="75">
        <v>4</v>
      </c>
      <c r="L1574" s="241">
        <v>269</v>
      </c>
      <c r="M1574" s="75">
        <v>150</v>
      </c>
      <c r="N1574" s="75">
        <v>0</v>
      </c>
      <c r="O1574" s="75">
        <v>0</v>
      </c>
      <c r="P1574" s="75">
        <v>0</v>
      </c>
      <c r="Q1574" s="75">
        <v>0</v>
      </c>
      <c r="R1574" s="61">
        <v>0.76800000000000002</v>
      </c>
      <c r="S1574" s="73" t="s">
        <v>115</v>
      </c>
      <c r="T1574" s="257">
        <f t="shared" si="55"/>
        <v>273</v>
      </c>
      <c r="U1574" s="257">
        <f t="shared" si="56"/>
        <v>150</v>
      </c>
      <c r="V1574">
        <v>1</v>
      </c>
      <c r="W1574">
        <v>1</v>
      </c>
    </row>
    <row r="1575" spans="1:23" ht="92.4" x14ac:dyDescent="0.3">
      <c r="A1575" s="219">
        <v>40443</v>
      </c>
      <c r="B1575" s="219">
        <v>40443</v>
      </c>
      <c r="C1575" s="6">
        <v>9</v>
      </c>
      <c r="D1575" s="6">
        <v>1</v>
      </c>
      <c r="E1575" s="73">
        <v>2010</v>
      </c>
      <c r="F1575" s="15" t="s">
        <v>22</v>
      </c>
      <c r="G1575" s="16" t="s">
        <v>6256</v>
      </c>
      <c r="H1575" s="9" t="s">
        <v>78</v>
      </c>
      <c r="I1575" s="74" t="s">
        <v>1262</v>
      </c>
      <c r="J1575" s="74" t="s">
        <v>2743</v>
      </c>
      <c r="K1575" s="75">
        <v>0</v>
      </c>
      <c r="L1575" s="241">
        <v>0</v>
      </c>
      <c r="M1575" s="75">
        <v>0</v>
      </c>
      <c r="N1575" s="75">
        <v>0</v>
      </c>
      <c r="O1575" s="75">
        <v>0</v>
      </c>
      <c r="P1575" s="75">
        <v>0</v>
      </c>
      <c r="Q1575" s="75">
        <v>0</v>
      </c>
      <c r="R1575" s="61">
        <v>0</v>
      </c>
      <c r="S1575" s="73" t="s">
        <v>115</v>
      </c>
      <c r="T1575" s="257">
        <f t="shared" si="55"/>
        <v>0</v>
      </c>
      <c r="U1575" s="257">
        <f t="shared" si="56"/>
        <v>0</v>
      </c>
      <c r="V1575">
        <v>0</v>
      </c>
      <c r="W1575">
        <v>0</v>
      </c>
    </row>
    <row r="1576" spans="1:23" ht="45.6" x14ac:dyDescent="0.3">
      <c r="A1576" s="129">
        <v>37889</v>
      </c>
      <c r="B1576" s="129">
        <v>37889</v>
      </c>
      <c r="C1576" s="6">
        <v>9</v>
      </c>
      <c r="D1576" s="6">
        <v>1</v>
      </c>
      <c r="E1576" s="19">
        <v>2003</v>
      </c>
      <c r="F1576" s="15" t="s">
        <v>22</v>
      </c>
      <c r="G1576" s="18" t="s">
        <v>6256</v>
      </c>
      <c r="H1576" s="9" t="s">
        <v>48</v>
      </c>
      <c r="I1576" s="17" t="s">
        <v>2744</v>
      </c>
      <c r="J1576" s="62" t="s">
        <v>2745</v>
      </c>
      <c r="K1576" s="23">
        <v>0</v>
      </c>
      <c r="L1576" s="234">
        <v>500</v>
      </c>
      <c r="M1576" s="23">
        <v>115</v>
      </c>
      <c r="N1576" s="23">
        <v>0</v>
      </c>
      <c r="O1576" s="37">
        <v>0</v>
      </c>
      <c r="P1576" s="37">
        <v>0</v>
      </c>
      <c r="Q1576" s="23">
        <v>0</v>
      </c>
      <c r="R1576" s="24">
        <v>0.33100000000000002</v>
      </c>
      <c r="S1576" s="7" t="s">
        <v>115</v>
      </c>
      <c r="T1576" s="257">
        <f t="shared" si="55"/>
        <v>500</v>
      </c>
      <c r="U1576" s="257">
        <f t="shared" si="56"/>
        <v>115</v>
      </c>
      <c r="V1576">
        <v>1</v>
      </c>
      <c r="W1576">
        <v>1</v>
      </c>
    </row>
    <row r="1577" spans="1:23" ht="92.4" x14ac:dyDescent="0.3">
      <c r="A1577" s="219">
        <v>40451</v>
      </c>
      <c r="B1577" s="219">
        <v>40451</v>
      </c>
      <c r="C1577" s="6">
        <v>9</v>
      </c>
      <c r="D1577" s="6">
        <v>1</v>
      </c>
      <c r="E1577" s="73">
        <v>2010</v>
      </c>
      <c r="F1577" s="15" t="s">
        <v>22</v>
      </c>
      <c r="G1577" s="18" t="s">
        <v>6256</v>
      </c>
      <c r="H1577" s="9" t="s">
        <v>88</v>
      </c>
      <c r="I1577" s="74" t="s">
        <v>2746</v>
      </c>
      <c r="J1577" s="74" t="s">
        <v>2747</v>
      </c>
      <c r="K1577" s="75">
        <v>0</v>
      </c>
      <c r="L1577" s="241">
        <v>0</v>
      </c>
      <c r="M1577" s="75">
        <v>5000</v>
      </c>
      <c r="N1577" s="75">
        <v>0</v>
      </c>
      <c r="O1577" s="75">
        <v>0</v>
      </c>
      <c r="P1577" s="75">
        <v>0</v>
      </c>
      <c r="Q1577" s="75">
        <v>0</v>
      </c>
      <c r="R1577" s="61">
        <v>25.6</v>
      </c>
      <c r="S1577" s="73" t="s">
        <v>115</v>
      </c>
      <c r="T1577" s="257">
        <f t="shared" si="55"/>
        <v>0</v>
      </c>
      <c r="U1577" s="257">
        <f t="shared" si="56"/>
        <v>5000</v>
      </c>
      <c r="V1577">
        <v>0</v>
      </c>
      <c r="W1577">
        <v>2</v>
      </c>
    </row>
    <row r="1578" spans="1:23" ht="193.8" x14ac:dyDescent="0.3">
      <c r="A1578" s="210">
        <v>40830</v>
      </c>
      <c r="B1578" s="210">
        <v>40830</v>
      </c>
      <c r="C1578" s="6">
        <v>10</v>
      </c>
      <c r="D1578" s="6">
        <v>1</v>
      </c>
      <c r="E1578" s="7">
        <v>2011</v>
      </c>
      <c r="F1578" s="15" t="s">
        <v>22</v>
      </c>
      <c r="G1578" s="16" t="s">
        <v>6256</v>
      </c>
      <c r="H1578" s="9" t="s">
        <v>48</v>
      </c>
      <c r="I1578" s="34" t="s">
        <v>2748</v>
      </c>
      <c r="J1578" s="34" t="s">
        <v>2749</v>
      </c>
      <c r="K1578" s="7">
        <v>0</v>
      </c>
      <c r="L1578" s="238">
        <v>15</v>
      </c>
      <c r="M1578" s="37">
        <v>3</v>
      </c>
      <c r="N1578" s="37">
        <v>0</v>
      </c>
      <c r="O1578" s="37">
        <v>0</v>
      </c>
      <c r="P1578" s="37">
        <v>0</v>
      </c>
      <c r="Q1578" s="37">
        <v>0</v>
      </c>
      <c r="R1578" s="38">
        <v>0.326214</v>
      </c>
      <c r="S1578" s="7" t="s">
        <v>115</v>
      </c>
      <c r="T1578" s="257">
        <f t="shared" si="55"/>
        <v>15</v>
      </c>
      <c r="U1578" s="257">
        <f t="shared" si="56"/>
        <v>3</v>
      </c>
      <c r="V1578">
        <v>1</v>
      </c>
      <c r="W1578">
        <v>1</v>
      </c>
    </row>
    <row r="1579" spans="1:23" ht="39.6" x14ac:dyDescent="0.3">
      <c r="A1579" s="219">
        <v>40422</v>
      </c>
      <c r="B1579" s="219">
        <v>40422</v>
      </c>
      <c r="C1579" s="6">
        <v>9</v>
      </c>
      <c r="D1579" s="6">
        <v>1</v>
      </c>
      <c r="E1579" s="73">
        <v>2010</v>
      </c>
      <c r="F1579" s="15" t="s">
        <v>22</v>
      </c>
      <c r="G1579" s="18" t="s">
        <v>6256</v>
      </c>
      <c r="H1579" s="9" t="s">
        <v>52</v>
      </c>
      <c r="I1579" s="74" t="s">
        <v>126</v>
      </c>
      <c r="J1579" s="74" t="s">
        <v>2750</v>
      </c>
      <c r="K1579" s="75">
        <v>0</v>
      </c>
      <c r="L1579" s="241">
        <v>0</v>
      </c>
      <c r="M1579" s="75">
        <v>0</v>
      </c>
      <c r="N1579" s="75">
        <v>0</v>
      </c>
      <c r="O1579" s="75">
        <v>0</v>
      </c>
      <c r="P1579" s="75">
        <v>0</v>
      </c>
      <c r="Q1579" s="75">
        <v>0</v>
      </c>
      <c r="R1579" s="61">
        <v>0</v>
      </c>
      <c r="S1579" s="73" t="s">
        <v>115</v>
      </c>
      <c r="T1579" s="257">
        <f t="shared" si="55"/>
        <v>0</v>
      </c>
      <c r="U1579" s="257">
        <f t="shared" si="56"/>
        <v>0</v>
      </c>
      <c r="V1579">
        <v>0</v>
      </c>
      <c r="W1579">
        <v>0</v>
      </c>
    </row>
    <row r="1580" spans="1:23" ht="409.6" x14ac:dyDescent="0.3">
      <c r="A1580" s="219">
        <v>40425</v>
      </c>
      <c r="B1580" s="219">
        <v>40425</v>
      </c>
      <c r="C1580" s="6">
        <v>9</v>
      </c>
      <c r="D1580" s="6">
        <v>1</v>
      </c>
      <c r="E1580" s="73">
        <v>2010</v>
      </c>
      <c r="F1580" s="15" t="s">
        <v>22</v>
      </c>
      <c r="G1580" s="18" t="s">
        <v>6256</v>
      </c>
      <c r="H1580" s="9" t="s">
        <v>56</v>
      </c>
      <c r="I1580" s="74" t="s">
        <v>2751</v>
      </c>
      <c r="J1580" s="74" t="s">
        <v>2752</v>
      </c>
      <c r="K1580" s="75">
        <v>0</v>
      </c>
      <c r="L1580" s="241">
        <v>65660</v>
      </c>
      <c r="M1580" s="75">
        <v>13132</v>
      </c>
      <c r="N1580" s="75">
        <v>0</v>
      </c>
      <c r="O1580" s="75">
        <v>0</v>
      </c>
      <c r="P1580" s="75">
        <v>0</v>
      </c>
      <c r="Q1580" s="75">
        <v>0</v>
      </c>
      <c r="R1580" s="61">
        <v>246.06741600000001</v>
      </c>
      <c r="S1580" s="73" t="s">
        <v>115</v>
      </c>
      <c r="T1580" s="257">
        <f t="shared" si="55"/>
        <v>65660</v>
      </c>
      <c r="U1580" s="257">
        <f t="shared" si="56"/>
        <v>13132</v>
      </c>
      <c r="V1580">
        <v>2</v>
      </c>
      <c r="W1580">
        <v>3</v>
      </c>
    </row>
    <row r="1581" spans="1:23" ht="216.6" x14ac:dyDescent="0.3">
      <c r="A1581" s="217">
        <v>41910</v>
      </c>
      <c r="B1581" s="217">
        <v>41914</v>
      </c>
      <c r="C1581" s="6">
        <v>9</v>
      </c>
      <c r="D1581" s="6">
        <v>5</v>
      </c>
      <c r="E1581" s="33">
        <v>2014</v>
      </c>
      <c r="F1581" s="15" t="s">
        <v>22</v>
      </c>
      <c r="G1581" s="18" t="s">
        <v>6256</v>
      </c>
      <c r="H1581" s="9" t="s">
        <v>48</v>
      </c>
      <c r="I1581" s="47" t="s">
        <v>2753</v>
      </c>
      <c r="J1581" s="48" t="s">
        <v>2754</v>
      </c>
      <c r="K1581" s="49">
        <v>1</v>
      </c>
      <c r="L1581" s="236">
        <v>381</v>
      </c>
      <c r="M1581" s="35">
        <v>56</v>
      </c>
      <c r="N1581" s="35">
        <v>0</v>
      </c>
      <c r="O1581" s="35">
        <v>0</v>
      </c>
      <c r="P1581" s="35">
        <v>0</v>
      </c>
      <c r="Q1581" s="35">
        <v>0</v>
      </c>
      <c r="R1581" s="36">
        <v>0.308</v>
      </c>
      <c r="S1581" s="50" t="s">
        <v>115</v>
      </c>
      <c r="T1581" s="257">
        <f t="shared" si="55"/>
        <v>382</v>
      </c>
      <c r="U1581" s="257">
        <f t="shared" si="56"/>
        <v>56</v>
      </c>
      <c r="V1581">
        <v>1</v>
      </c>
      <c r="W1581">
        <v>1</v>
      </c>
    </row>
    <row r="1582" spans="1:23" ht="92.4" x14ac:dyDescent="0.3">
      <c r="A1582" s="219">
        <v>40426</v>
      </c>
      <c r="B1582" s="219">
        <v>40426</v>
      </c>
      <c r="C1582" s="6">
        <v>9</v>
      </c>
      <c r="D1582" s="6">
        <v>1</v>
      </c>
      <c r="E1582" s="73">
        <v>2010</v>
      </c>
      <c r="F1582" s="15" t="s">
        <v>22</v>
      </c>
      <c r="G1582" s="18" t="s">
        <v>6256</v>
      </c>
      <c r="H1582" s="9" t="s">
        <v>56</v>
      </c>
      <c r="I1582" s="74" t="s">
        <v>2755</v>
      </c>
      <c r="J1582" s="74" t="s">
        <v>2756</v>
      </c>
      <c r="K1582" s="75">
        <v>0</v>
      </c>
      <c r="L1582" s="241">
        <v>0</v>
      </c>
      <c r="M1582" s="75">
        <v>0</v>
      </c>
      <c r="N1582" s="75">
        <v>0</v>
      </c>
      <c r="O1582" s="75">
        <v>0</v>
      </c>
      <c r="P1582" s="75">
        <v>0</v>
      </c>
      <c r="Q1582" s="75">
        <v>0</v>
      </c>
      <c r="R1582" s="61">
        <v>0</v>
      </c>
      <c r="S1582" s="73" t="s">
        <v>115</v>
      </c>
      <c r="T1582" s="257">
        <f t="shared" si="55"/>
        <v>0</v>
      </c>
      <c r="U1582" s="257">
        <f t="shared" si="56"/>
        <v>0</v>
      </c>
      <c r="V1582">
        <v>0</v>
      </c>
      <c r="W1582">
        <v>0</v>
      </c>
    </row>
    <row r="1583" spans="1:23" ht="105.6" x14ac:dyDescent="0.3">
      <c r="A1583" s="219">
        <v>40424</v>
      </c>
      <c r="B1583" s="219">
        <v>40424</v>
      </c>
      <c r="C1583" s="6">
        <v>9</v>
      </c>
      <c r="D1583" s="6">
        <v>1</v>
      </c>
      <c r="E1583" s="73">
        <v>2010</v>
      </c>
      <c r="F1583" s="15" t="s">
        <v>22</v>
      </c>
      <c r="G1583" s="18" t="s">
        <v>6256</v>
      </c>
      <c r="H1583" s="9" t="s">
        <v>31</v>
      </c>
      <c r="I1583" s="74" t="s">
        <v>2757</v>
      </c>
      <c r="J1583" s="74" t="s">
        <v>2758</v>
      </c>
      <c r="K1583" s="75">
        <v>0</v>
      </c>
      <c r="L1583" s="241">
        <v>685</v>
      </c>
      <c r="M1583" s="75">
        <v>137</v>
      </c>
      <c r="N1583" s="75">
        <v>0</v>
      </c>
      <c r="O1583" s="75">
        <v>0</v>
      </c>
      <c r="P1583" s="75">
        <v>0</v>
      </c>
      <c r="Q1583" s="75">
        <v>0</v>
      </c>
      <c r="R1583" s="61">
        <v>2.5671059999999999</v>
      </c>
      <c r="S1583" s="73" t="s">
        <v>115</v>
      </c>
      <c r="T1583" s="257">
        <f t="shared" si="55"/>
        <v>685</v>
      </c>
      <c r="U1583" s="257">
        <f t="shared" si="56"/>
        <v>137</v>
      </c>
      <c r="V1583">
        <v>1</v>
      </c>
      <c r="W1583">
        <v>1</v>
      </c>
    </row>
    <row r="1584" spans="1:23" ht="57" x14ac:dyDescent="0.3">
      <c r="A1584" s="129">
        <v>39963</v>
      </c>
      <c r="B1584" s="129">
        <v>39963</v>
      </c>
      <c r="C1584" s="6">
        <v>5</v>
      </c>
      <c r="D1584" s="6">
        <v>1</v>
      </c>
      <c r="E1584" s="19">
        <v>2009</v>
      </c>
      <c r="F1584" s="15" t="s">
        <v>22</v>
      </c>
      <c r="G1584" s="16" t="s">
        <v>6256</v>
      </c>
      <c r="H1584" s="9" t="s">
        <v>48</v>
      </c>
      <c r="I1584" s="17" t="s">
        <v>2252</v>
      </c>
      <c r="J1584" s="17" t="s">
        <v>2759</v>
      </c>
      <c r="K1584" s="23">
        <v>0</v>
      </c>
      <c r="L1584" s="234">
        <v>175</v>
      </c>
      <c r="M1584" s="23">
        <v>35</v>
      </c>
      <c r="N1584" s="23">
        <v>0</v>
      </c>
      <c r="O1584" s="23">
        <v>0</v>
      </c>
      <c r="P1584" s="23">
        <v>0</v>
      </c>
      <c r="Q1584" s="92">
        <v>0</v>
      </c>
      <c r="R1584" s="93">
        <f>(M1584*8738)/1000000</f>
        <v>0.30582999999999999</v>
      </c>
      <c r="S1584" s="19" t="s">
        <v>115</v>
      </c>
      <c r="T1584" s="257">
        <f t="shared" si="55"/>
        <v>175</v>
      </c>
      <c r="U1584" s="257">
        <f t="shared" si="56"/>
        <v>35</v>
      </c>
      <c r="V1584">
        <v>1</v>
      </c>
      <c r="W1584">
        <v>1</v>
      </c>
    </row>
    <row r="1585" spans="1:23" ht="132" x14ac:dyDescent="0.3">
      <c r="A1585" s="219">
        <v>40426</v>
      </c>
      <c r="B1585" s="219">
        <v>40426</v>
      </c>
      <c r="C1585" s="6">
        <v>9</v>
      </c>
      <c r="D1585" s="6">
        <v>1</v>
      </c>
      <c r="E1585" s="73">
        <v>2010</v>
      </c>
      <c r="F1585" s="15" t="s">
        <v>22</v>
      </c>
      <c r="G1585" s="18" t="s">
        <v>6256</v>
      </c>
      <c r="H1585" s="9" t="s">
        <v>39</v>
      </c>
      <c r="I1585" s="74" t="s">
        <v>2605</v>
      </c>
      <c r="J1585" s="74" t="s">
        <v>2760</v>
      </c>
      <c r="K1585" s="75">
        <v>0</v>
      </c>
      <c r="L1585" s="241">
        <v>200</v>
      </c>
      <c r="M1585" s="75">
        <v>40</v>
      </c>
      <c r="N1585" s="75">
        <v>0</v>
      </c>
      <c r="O1585" s="75">
        <v>0</v>
      </c>
      <c r="P1585" s="75">
        <v>0</v>
      </c>
      <c r="Q1585" s="75">
        <v>0</v>
      </c>
      <c r="R1585" s="61">
        <v>0.74951999999999996</v>
      </c>
      <c r="S1585" s="73" t="s">
        <v>115</v>
      </c>
      <c r="T1585" s="257">
        <f t="shared" si="55"/>
        <v>200</v>
      </c>
      <c r="U1585" s="257">
        <f t="shared" si="56"/>
        <v>40</v>
      </c>
      <c r="V1585">
        <v>1</v>
      </c>
      <c r="W1585">
        <v>1</v>
      </c>
    </row>
    <row r="1586" spans="1:23" ht="118.8" x14ac:dyDescent="0.3">
      <c r="A1586" s="219">
        <v>40430</v>
      </c>
      <c r="B1586" s="219">
        <v>40430</v>
      </c>
      <c r="C1586" s="6">
        <v>9</v>
      </c>
      <c r="D1586" s="6">
        <v>1</v>
      </c>
      <c r="E1586" s="73">
        <v>2010</v>
      </c>
      <c r="F1586" s="15" t="s">
        <v>22</v>
      </c>
      <c r="G1586" s="18" t="s">
        <v>6256</v>
      </c>
      <c r="H1586" s="9" t="s">
        <v>51</v>
      </c>
      <c r="I1586" s="74" t="s">
        <v>690</v>
      </c>
      <c r="J1586" s="74" t="s">
        <v>2761</v>
      </c>
      <c r="K1586" s="75">
        <v>3</v>
      </c>
      <c r="L1586" s="241">
        <v>8</v>
      </c>
      <c r="M1586" s="75">
        <v>1</v>
      </c>
      <c r="N1586" s="75">
        <v>0</v>
      </c>
      <c r="O1586" s="75">
        <v>0</v>
      </c>
      <c r="P1586" s="75">
        <v>0</v>
      </c>
      <c r="Q1586" s="75">
        <v>0</v>
      </c>
      <c r="R1586" s="61">
        <v>9.5904000000000003E-2</v>
      </c>
      <c r="S1586" s="73" t="s">
        <v>115</v>
      </c>
      <c r="T1586" s="257">
        <f t="shared" si="55"/>
        <v>11</v>
      </c>
      <c r="U1586" s="257">
        <f t="shared" si="56"/>
        <v>1</v>
      </c>
      <c r="V1586">
        <v>1</v>
      </c>
      <c r="W1586">
        <v>1</v>
      </c>
    </row>
    <row r="1587" spans="1:23" ht="46.8" x14ac:dyDescent="0.3">
      <c r="A1587" s="215">
        <v>37524</v>
      </c>
      <c r="B1587" s="215">
        <v>37524</v>
      </c>
      <c r="C1587" s="6">
        <v>9</v>
      </c>
      <c r="D1587" s="6">
        <v>1</v>
      </c>
      <c r="E1587" s="6">
        <v>2002</v>
      </c>
      <c r="F1587" s="15" t="s">
        <v>22</v>
      </c>
      <c r="G1587" s="18" t="s">
        <v>6256</v>
      </c>
      <c r="H1587" s="9" t="s">
        <v>48</v>
      </c>
      <c r="I1587" s="34" t="s">
        <v>2762</v>
      </c>
      <c r="J1587" s="39" t="s">
        <v>2763</v>
      </c>
      <c r="K1587" s="44">
        <v>0</v>
      </c>
      <c r="L1587" s="237">
        <v>500</v>
      </c>
      <c r="M1587" s="44">
        <v>120</v>
      </c>
      <c r="N1587" s="44">
        <v>0</v>
      </c>
      <c r="O1587" s="44">
        <v>0</v>
      </c>
      <c r="P1587" s="44">
        <v>0</v>
      </c>
      <c r="Q1587" s="44">
        <v>0</v>
      </c>
      <c r="R1587" s="45">
        <v>0.3</v>
      </c>
      <c r="S1587" s="7" t="s">
        <v>115</v>
      </c>
      <c r="T1587" s="257">
        <f t="shared" si="55"/>
        <v>500</v>
      </c>
      <c r="U1587" s="257">
        <f t="shared" si="56"/>
        <v>120</v>
      </c>
      <c r="V1587">
        <v>1</v>
      </c>
      <c r="W1587">
        <v>1</v>
      </c>
    </row>
    <row r="1588" spans="1:23" ht="92.4" x14ac:dyDescent="0.3">
      <c r="A1588" s="219">
        <v>40431</v>
      </c>
      <c r="B1588" s="219">
        <v>40431</v>
      </c>
      <c r="C1588" s="6">
        <v>9</v>
      </c>
      <c r="D1588" s="6">
        <v>1</v>
      </c>
      <c r="E1588" s="73">
        <v>2010</v>
      </c>
      <c r="F1588" s="15" t="s">
        <v>22</v>
      </c>
      <c r="G1588" s="18" t="s">
        <v>6256</v>
      </c>
      <c r="H1588" s="9" t="s">
        <v>37</v>
      </c>
      <c r="I1588" s="74" t="s">
        <v>223</v>
      </c>
      <c r="J1588" s="74" t="s">
        <v>2764</v>
      </c>
      <c r="K1588" s="75">
        <v>0</v>
      </c>
      <c r="L1588" s="241">
        <v>330</v>
      </c>
      <c r="M1588" s="75">
        <v>66</v>
      </c>
      <c r="N1588" s="75">
        <v>0</v>
      </c>
      <c r="O1588" s="75">
        <v>0</v>
      </c>
      <c r="P1588" s="75">
        <v>0</v>
      </c>
      <c r="Q1588" s="75">
        <v>0</v>
      </c>
      <c r="R1588" s="61">
        <v>0.33792</v>
      </c>
      <c r="S1588" s="73" t="s">
        <v>115</v>
      </c>
      <c r="T1588" s="257">
        <f t="shared" si="55"/>
        <v>330</v>
      </c>
      <c r="U1588" s="257">
        <f t="shared" si="56"/>
        <v>66</v>
      </c>
      <c r="V1588">
        <v>1</v>
      </c>
      <c r="W1588">
        <v>1</v>
      </c>
    </row>
    <row r="1589" spans="1:23" ht="22.8" x14ac:dyDescent="0.3">
      <c r="A1589" s="129">
        <v>39728</v>
      </c>
      <c r="B1589" s="129">
        <v>39728</v>
      </c>
      <c r="C1589" s="6">
        <v>10</v>
      </c>
      <c r="D1589" s="6">
        <v>1</v>
      </c>
      <c r="E1589" s="19">
        <v>2008</v>
      </c>
      <c r="F1589" s="15" t="s">
        <v>22</v>
      </c>
      <c r="G1589" s="16" t="s">
        <v>6256</v>
      </c>
      <c r="H1589" s="9" t="s">
        <v>48</v>
      </c>
      <c r="I1589" s="17" t="s">
        <v>2765</v>
      </c>
      <c r="J1589" s="17" t="s">
        <v>2766</v>
      </c>
      <c r="K1589" s="23">
        <v>0</v>
      </c>
      <c r="L1589" s="234">
        <f>((M1589*5))*1</f>
        <v>750</v>
      </c>
      <c r="M1589" s="23">
        <v>150</v>
      </c>
      <c r="N1589" s="23">
        <v>0</v>
      </c>
      <c r="O1589" s="23">
        <v>0</v>
      </c>
      <c r="P1589" s="23">
        <v>0</v>
      </c>
      <c r="Q1589" s="92">
        <v>0</v>
      </c>
      <c r="R1589" s="93">
        <v>0.3</v>
      </c>
      <c r="S1589" s="19" t="s">
        <v>115</v>
      </c>
      <c r="T1589" s="257">
        <f t="shared" si="55"/>
        <v>750</v>
      </c>
      <c r="U1589" s="257">
        <f t="shared" si="56"/>
        <v>150</v>
      </c>
      <c r="V1589">
        <v>1</v>
      </c>
      <c r="W1589">
        <v>1</v>
      </c>
    </row>
    <row r="1590" spans="1:23" ht="356.4" x14ac:dyDescent="0.3">
      <c r="A1590" s="219">
        <v>40438</v>
      </c>
      <c r="B1590" s="219">
        <v>40438</v>
      </c>
      <c r="C1590" s="6">
        <v>9</v>
      </c>
      <c r="D1590" s="6">
        <v>1</v>
      </c>
      <c r="E1590" s="73">
        <v>2010</v>
      </c>
      <c r="F1590" s="15" t="s">
        <v>22</v>
      </c>
      <c r="G1590" s="18" t="s">
        <v>6256</v>
      </c>
      <c r="H1590" s="9" t="s">
        <v>112</v>
      </c>
      <c r="I1590" s="74" t="s">
        <v>2767</v>
      </c>
      <c r="J1590" s="74" t="s">
        <v>2768</v>
      </c>
      <c r="K1590" s="75">
        <v>0</v>
      </c>
      <c r="L1590" s="241">
        <v>14000</v>
      </c>
      <c r="M1590" s="75">
        <v>25</v>
      </c>
      <c r="N1590" s="75">
        <v>0</v>
      </c>
      <c r="O1590" s="75">
        <v>0</v>
      </c>
      <c r="P1590" s="75">
        <v>0</v>
      </c>
      <c r="Q1590" s="75">
        <v>0</v>
      </c>
      <c r="R1590" s="61">
        <v>0.46844999999999998</v>
      </c>
      <c r="S1590" s="73" t="s">
        <v>115</v>
      </c>
      <c r="T1590" s="257">
        <f t="shared" si="55"/>
        <v>14000</v>
      </c>
      <c r="U1590" s="257">
        <f t="shared" si="56"/>
        <v>25</v>
      </c>
      <c r="V1590">
        <v>2</v>
      </c>
      <c r="W1590">
        <v>1</v>
      </c>
    </row>
    <row r="1591" spans="1:23" ht="66" x14ac:dyDescent="0.3">
      <c r="A1591" s="223">
        <v>40438</v>
      </c>
      <c r="B1591" s="223">
        <v>40438</v>
      </c>
      <c r="C1591" s="6">
        <v>9</v>
      </c>
      <c r="D1591" s="6">
        <v>1</v>
      </c>
      <c r="E1591" s="73">
        <v>2010</v>
      </c>
      <c r="F1591" s="15" t="s">
        <v>22</v>
      </c>
      <c r="G1591" s="16" t="s">
        <v>6254</v>
      </c>
      <c r="H1591" s="9" t="s">
        <v>64</v>
      </c>
      <c r="I1591" s="74" t="s">
        <v>2769</v>
      </c>
      <c r="J1591" s="74" t="s">
        <v>2770</v>
      </c>
      <c r="K1591" s="75">
        <v>0</v>
      </c>
      <c r="L1591" s="241">
        <v>0</v>
      </c>
      <c r="M1591" s="75">
        <v>0</v>
      </c>
      <c r="N1591" s="75">
        <v>0</v>
      </c>
      <c r="O1591" s="75">
        <v>0</v>
      </c>
      <c r="P1591" s="75">
        <v>0</v>
      </c>
      <c r="Q1591" s="75">
        <v>0</v>
      </c>
      <c r="R1591" s="61">
        <v>252.01499999999999</v>
      </c>
      <c r="S1591" s="73" t="s">
        <v>149</v>
      </c>
      <c r="T1591" s="257">
        <f t="shared" si="55"/>
        <v>0</v>
      </c>
      <c r="U1591" s="257">
        <f t="shared" si="56"/>
        <v>0</v>
      </c>
      <c r="V1591">
        <v>0</v>
      </c>
      <c r="W1591">
        <v>0</v>
      </c>
    </row>
    <row r="1592" spans="1:23" ht="39.6" x14ac:dyDescent="0.3">
      <c r="A1592" s="219">
        <v>40440</v>
      </c>
      <c r="B1592" s="219">
        <v>40440</v>
      </c>
      <c r="C1592" s="6">
        <v>9</v>
      </c>
      <c r="D1592" s="6">
        <v>1</v>
      </c>
      <c r="E1592" s="73">
        <v>2010</v>
      </c>
      <c r="F1592" s="15" t="s">
        <v>22</v>
      </c>
      <c r="G1592" s="18" t="s">
        <v>6256</v>
      </c>
      <c r="H1592" s="9" t="s">
        <v>78</v>
      </c>
      <c r="I1592" s="74" t="s">
        <v>1031</v>
      </c>
      <c r="J1592" s="74" t="s">
        <v>2771</v>
      </c>
      <c r="K1592" s="75">
        <v>0</v>
      </c>
      <c r="L1592" s="241">
        <v>128</v>
      </c>
      <c r="M1592" s="75">
        <v>0</v>
      </c>
      <c r="N1592" s="75">
        <v>0</v>
      </c>
      <c r="O1592" s="75">
        <v>0</v>
      </c>
      <c r="P1592" s="75">
        <v>0</v>
      </c>
      <c r="Q1592" s="75">
        <v>0</v>
      </c>
      <c r="R1592" s="61">
        <v>0</v>
      </c>
      <c r="S1592" s="73" t="s">
        <v>115</v>
      </c>
      <c r="T1592" s="257">
        <f t="shared" si="55"/>
        <v>128</v>
      </c>
      <c r="U1592" s="257">
        <f t="shared" si="56"/>
        <v>0</v>
      </c>
      <c r="V1592">
        <v>1</v>
      </c>
      <c r="W1592">
        <v>0</v>
      </c>
    </row>
    <row r="1593" spans="1:23" ht="52.8" x14ac:dyDescent="0.3">
      <c r="A1593" s="219">
        <v>40440</v>
      </c>
      <c r="B1593" s="219">
        <v>40440</v>
      </c>
      <c r="C1593" s="6">
        <v>9</v>
      </c>
      <c r="D1593" s="6">
        <v>1</v>
      </c>
      <c r="E1593" s="73">
        <v>2010</v>
      </c>
      <c r="F1593" s="15" t="s">
        <v>22</v>
      </c>
      <c r="G1593" s="18" t="s">
        <v>6256</v>
      </c>
      <c r="H1593" s="9" t="s">
        <v>66</v>
      </c>
      <c r="I1593" s="74" t="s">
        <v>464</v>
      </c>
      <c r="J1593" s="74" t="s">
        <v>2772</v>
      </c>
      <c r="K1593" s="75">
        <v>0</v>
      </c>
      <c r="L1593" s="241">
        <v>0</v>
      </c>
      <c r="M1593" s="75">
        <v>0</v>
      </c>
      <c r="N1593" s="75">
        <v>0</v>
      </c>
      <c r="O1593" s="75">
        <v>2</v>
      </c>
      <c r="P1593" s="75">
        <v>0</v>
      </c>
      <c r="Q1593" s="75">
        <v>0</v>
      </c>
      <c r="R1593" s="61">
        <v>528.23199999999997</v>
      </c>
      <c r="S1593" s="73" t="s">
        <v>149</v>
      </c>
      <c r="T1593" s="257">
        <f t="shared" si="55"/>
        <v>0</v>
      </c>
      <c r="U1593" s="257">
        <f t="shared" si="56"/>
        <v>2</v>
      </c>
      <c r="V1593">
        <v>0</v>
      </c>
      <c r="W1593">
        <v>1</v>
      </c>
    </row>
    <row r="1594" spans="1:23" ht="79.2" x14ac:dyDescent="0.3">
      <c r="A1594" s="219">
        <v>40441</v>
      </c>
      <c r="B1594" s="219">
        <v>40441</v>
      </c>
      <c r="C1594" s="6">
        <v>9</v>
      </c>
      <c r="D1594" s="6">
        <v>1</v>
      </c>
      <c r="E1594" s="73">
        <v>2010</v>
      </c>
      <c r="F1594" s="15" t="s">
        <v>22</v>
      </c>
      <c r="G1594" s="18" t="s">
        <v>6256</v>
      </c>
      <c r="H1594" s="9" t="s">
        <v>64</v>
      </c>
      <c r="I1594" s="74" t="s">
        <v>2773</v>
      </c>
      <c r="J1594" s="74" t="s">
        <v>2774</v>
      </c>
      <c r="K1594" s="75">
        <v>2</v>
      </c>
      <c r="L1594" s="241">
        <v>4</v>
      </c>
      <c r="M1594" s="75">
        <v>2</v>
      </c>
      <c r="N1594" s="75">
        <v>0</v>
      </c>
      <c r="O1594" s="75">
        <v>0</v>
      </c>
      <c r="P1594" s="75">
        <v>0</v>
      </c>
      <c r="Q1594" s="75">
        <v>0</v>
      </c>
      <c r="R1594" s="61">
        <v>0.211808</v>
      </c>
      <c r="S1594" s="73" t="s">
        <v>115</v>
      </c>
      <c r="T1594" s="257">
        <f t="shared" si="55"/>
        <v>6</v>
      </c>
      <c r="U1594" s="257">
        <f t="shared" si="56"/>
        <v>2</v>
      </c>
      <c r="V1594">
        <v>1</v>
      </c>
      <c r="W1594">
        <v>1</v>
      </c>
    </row>
    <row r="1595" spans="1:23" ht="216.6" x14ac:dyDescent="0.3">
      <c r="A1595" s="214">
        <v>44365</v>
      </c>
      <c r="B1595" s="214">
        <v>44365</v>
      </c>
      <c r="C1595" s="6">
        <v>6</v>
      </c>
      <c r="D1595" s="6">
        <v>1</v>
      </c>
      <c r="E1595" s="33">
        <v>2021</v>
      </c>
      <c r="F1595" s="15" t="s">
        <v>22</v>
      </c>
      <c r="G1595" s="16" t="s">
        <v>6254</v>
      </c>
      <c r="H1595" s="9" t="s">
        <v>48</v>
      </c>
      <c r="I1595" s="34" t="s">
        <v>2775</v>
      </c>
      <c r="J1595" s="58" t="s">
        <v>2776</v>
      </c>
      <c r="K1595" s="33">
        <v>0</v>
      </c>
      <c r="L1595" s="236">
        <v>178</v>
      </c>
      <c r="M1595" s="35">
        <v>61</v>
      </c>
      <c r="N1595" s="35">
        <v>0</v>
      </c>
      <c r="O1595" s="35">
        <v>0</v>
      </c>
      <c r="P1595" s="35">
        <v>0</v>
      </c>
      <c r="Q1595" s="35">
        <v>0</v>
      </c>
      <c r="R1595" s="42">
        <v>0.29346735000000002</v>
      </c>
      <c r="S1595" s="7" t="s">
        <v>2777</v>
      </c>
      <c r="T1595" s="257">
        <f t="shared" si="55"/>
        <v>178</v>
      </c>
      <c r="U1595" s="257">
        <f t="shared" si="56"/>
        <v>61</v>
      </c>
      <c r="V1595">
        <v>1</v>
      </c>
      <c r="W1595">
        <v>1</v>
      </c>
    </row>
    <row r="1596" spans="1:23" ht="52.8" x14ac:dyDescent="0.3">
      <c r="A1596" s="219">
        <v>40438</v>
      </c>
      <c r="B1596" s="219">
        <v>40438</v>
      </c>
      <c r="C1596" s="6">
        <v>9</v>
      </c>
      <c r="D1596" s="6">
        <v>1</v>
      </c>
      <c r="E1596" s="73">
        <v>2010</v>
      </c>
      <c r="F1596" s="15" t="s">
        <v>22</v>
      </c>
      <c r="G1596" s="18" t="s">
        <v>6256</v>
      </c>
      <c r="H1596" s="9" t="s">
        <v>51</v>
      </c>
      <c r="I1596" s="74" t="s">
        <v>653</v>
      </c>
      <c r="J1596" s="74" t="s">
        <v>2778</v>
      </c>
      <c r="K1596" s="75">
        <v>0</v>
      </c>
      <c r="L1596" s="241">
        <v>625</v>
      </c>
      <c r="M1596" s="75">
        <v>125</v>
      </c>
      <c r="N1596" s="75">
        <v>0</v>
      </c>
      <c r="O1596" s="75">
        <v>0</v>
      </c>
      <c r="P1596" s="75">
        <v>27</v>
      </c>
      <c r="Q1596" s="75">
        <v>0</v>
      </c>
      <c r="R1596" s="61">
        <v>2.3422499999999999</v>
      </c>
      <c r="S1596" s="73" t="s">
        <v>115</v>
      </c>
      <c r="T1596" s="257">
        <f t="shared" si="55"/>
        <v>625</v>
      </c>
      <c r="U1596" s="257">
        <f t="shared" si="56"/>
        <v>152</v>
      </c>
      <c r="V1596">
        <v>1</v>
      </c>
      <c r="W1596">
        <v>1</v>
      </c>
    </row>
    <row r="1597" spans="1:23" ht="52.8" x14ac:dyDescent="0.3">
      <c r="A1597" s="219">
        <v>40438</v>
      </c>
      <c r="B1597" s="219">
        <v>40438</v>
      </c>
      <c r="C1597" s="6">
        <v>9</v>
      </c>
      <c r="D1597" s="6">
        <v>1</v>
      </c>
      <c r="E1597" s="73">
        <v>2010</v>
      </c>
      <c r="F1597" s="15" t="s">
        <v>22</v>
      </c>
      <c r="G1597" s="18" t="s">
        <v>6256</v>
      </c>
      <c r="H1597" s="9" t="s">
        <v>121</v>
      </c>
      <c r="I1597" s="74" t="s">
        <v>2779</v>
      </c>
      <c r="J1597" s="74" t="s">
        <v>2780</v>
      </c>
      <c r="K1597" s="75">
        <v>0</v>
      </c>
      <c r="L1597" s="241">
        <v>58</v>
      </c>
      <c r="M1597" s="75">
        <v>0</v>
      </c>
      <c r="N1597" s="75">
        <v>0</v>
      </c>
      <c r="O1597" s="75">
        <v>0</v>
      </c>
      <c r="P1597" s="75">
        <v>0</v>
      </c>
      <c r="Q1597" s="75">
        <v>0</v>
      </c>
      <c r="R1597" s="61">
        <v>0</v>
      </c>
      <c r="S1597" s="73" t="s">
        <v>115</v>
      </c>
      <c r="T1597" s="257">
        <f t="shared" si="55"/>
        <v>58</v>
      </c>
      <c r="U1597" s="257">
        <f t="shared" si="56"/>
        <v>0</v>
      </c>
      <c r="V1597">
        <v>1</v>
      </c>
      <c r="W1597">
        <v>0</v>
      </c>
    </row>
    <row r="1598" spans="1:23" ht="79.2" x14ac:dyDescent="0.3">
      <c r="A1598" s="219">
        <v>40438</v>
      </c>
      <c r="B1598" s="219">
        <v>40438</v>
      </c>
      <c r="C1598" s="6">
        <v>9</v>
      </c>
      <c r="D1598" s="6">
        <v>1</v>
      </c>
      <c r="E1598" s="73">
        <v>2010</v>
      </c>
      <c r="F1598" s="15" t="s">
        <v>22</v>
      </c>
      <c r="G1598" s="18" t="s">
        <v>6256</v>
      </c>
      <c r="H1598" s="9" t="s">
        <v>64</v>
      </c>
      <c r="I1598" s="74" t="s">
        <v>2781</v>
      </c>
      <c r="J1598" s="74" t="s">
        <v>2782</v>
      </c>
      <c r="K1598" s="75">
        <v>0</v>
      </c>
      <c r="L1598" s="241">
        <v>655</v>
      </c>
      <c r="M1598" s="75">
        <v>128</v>
      </c>
      <c r="N1598" s="75">
        <v>0</v>
      </c>
      <c r="O1598" s="75">
        <v>0</v>
      </c>
      <c r="P1598" s="75">
        <v>0</v>
      </c>
      <c r="Q1598" s="75">
        <v>0</v>
      </c>
      <c r="R1598" s="61">
        <v>2.3984640000000002</v>
      </c>
      <c r="S1598" s="73" t="s">
        <v>115</v>
      </c>
      <c r="T1598" s="257">
        <f t="shared" si="55"/>
        <v>655</v>
      </c>
      <c r="U1598" s="257">
        <f t="shared" si="56"/>
        <v>128</v>
      </c>
      <c r="V1598">
        <v>1</v>
      </c>
      <c r="W1598">
        <v>1</v>
      </c>
    </row>
    <row r="1599" spans="1:23" ht="52.8" x14ac:dyDescent="0.3">
      <c r="A1599" s="219">
        <v>40440</v>
      </c>
      <c r="B1599" s="219">
        <v>40440</v>
      </c>
      <c r="C1599" s="6">
        <v>9</v>
      </c>
      <c r="D1599" s="6">
        <v>1</v>
      </c>
      <c r="E1599" s="73">
        <v>2010</v>
      </c>
      <c r="F1599" s="15" t="s">
        <v>22</v>
      </c>
      <c r="G1599" s="18" t="s">
        <v>6256</v>
      </c>
      <c r="H1599" s="9" t="s">
        <v>37</v>
      </c>
      <c r="I1599" s="74" t="s">
        <v>223</v>
      </c>
      <c r="J1599" s="74" t="s">
        <v>2783</v>
      </c>
      <c r="K1599" s="75">
        <v>1</v>
      </c>
      <c r="L1599" s="241">
        <v>1</v>
      </c>
      <c r="M1599" s="75">
        <v>0</v>
      </c>
      <c r="N1599" s="75">
        <v>0</v>
      </c>
      <c r="O1599" s="75">
        <v>0</v>
      </c>
      <c r="P1599" s="75">
        <v>0</v>
      </c>
      <c r="Q1599" s="75">
        <v>0</v>
      </c>
      <c r="R1599" s="61">
        <v>0</v>
      </c>
      <c r="S1599" s="73" t="s">
        <v>115</v>
      </c>
      <c r="T1599" s="257">
        <f t="shared" si="55"/>
        <v>2</v>
      </c>
      <c r="U1599" s="257">
        <f t="shared" si="56"/>
        <v>0</v>
      </c>
      <c r="V1599">
        <v>1</v>
      </c>
      <c r="W1599">
        <v>0</v>
      </c>
    </row>
    <row r="1600" spans="1:23" ht="92.4" x14ac:dyDescent="0.3">
      <c r="A1600" s="219">
        <v>40441</v>
      </c>
      <c r="B1600" s="219">
        <v>40441</v>
      </c>
      <c r="C1600" s="6">
        <v>9</v>
      </c>
      <c r="D1600" s="6">
        <v>1</v>
      </c>
      <c r="E1600" s="73">
        <v>2010</v>
      </c>
      <c r="F1600" s="15" t="s">
        <v>22</v>
      </c>
      <c r="G1600" s="18" t="s">
        <v>6256</v>
      </c>
      <c r="H1600" s="9" t="s">
        <v>66</v>
      </c>
      <c r="I1600" s="74" t="s">
        <v>464</v>
      </c>
      <c r="J1600" s="74" t="s">
        <v>2784</v>
      </c>
      <c r="K1600" s="75">
        <v>0</v>
      </c>
      <c r="L1600" s="241">
        <v>76</v>
      </c>
      <c r="M1600" s="75">
        <v>0</v>
      </c>
      <c r="N1600" s="75">
        <v>0</v>
      </c>
      <c r="O1600" s="75">
        <v>0</v>
      </c>
      <c r="P1600" s="75">
        <v>0</v>
      </c>
      <c r="Q1600" s="75">
        <v>0</v>
      </c>
      <c r="R1600" s="61">
        <v>0</v>
      </c>
      <c r="S1600" s="73" t="s">
        <v>115</v>
      </c>
      <c r="T1600" s="257">
        <f t="shared" si="55"/>
        <v>76</v>
      </c>
      <c r="U1600" s="257">
        <f t="shared" si="56"/>
        <v>0</v>
      </c>
      <c r="V1600">
        <v>1</v>
      </c>
      <c r="W1600">
        <v>0</v>
      </c>
    </row>
    <row r="1601" spans="1:23" ht="92.4" x14ac:dyDescent="0.3">
      <c r="A1601" s="219">
        <v>40441</v>
      </c>
      <c r="B1601" s="219">
        <v>40441</v>
      </c>
      <c r="C1601" s="6">
        <v>9</v>
      </c>
      <c r="D1601" s="6">
        <v>1</v>
      </c>
      <c r="E1601" s="73">
        <v>2010</v>
      </c>
      <c r="F1601" s="15" t="s">
        <v>22</v>
      </c>
      <c r="G1601" s="18" t="s">
        <v>6256</v>
      </c>
      <c r="H1601" s="9" t="s">
        <v>57</v>
      </c>
      <c r="I1601" s="74" t="s">
        <v>1044</v>
      </c>
      <c r="J1601" s="74" t="s">
        <v>2785</v>
      </c>
      <c r="K1601" s="75">
        <v>0</v>
      </c>
      <c r="L1601" s="241">
        <v>1000</v>
      </c>
      <c r="M1601" s="75">
        <v>200</v>
      </c>
      <c r="N1601" s="75">
        <v>0</v>
      </c>
      <c r="O1601" s="75">
        <v>0</v>
      </c>
      <c r="P1601" s="75">
        <v>0</v>
      </c>
      <c r="Q1601" s="75">
        <v>0</v>
      </c>
      <c r="R1601" s="61">
        <v>1.024</v>
      </c>
      <c r="S1601" s="73" t="s">
        <v>115</v>
      </c>
      <c r="T1601" s="257">
        <f t="shared" si="55"/>
        <v>1000</v>
      </c>
      <c r="U1601" s="257">
        <f t="shared" si="56"/>
        <v>200</v>
      </c>
      <c r="V1601">
        <v>1</v>
      </c>
      <c r="W1601">
        <v>1</v>
      </c>
    </row>
    <row r="1602" spans="1:23" ht="79.2" x14ac:dyDescent="0.3">
      <c r="A1602" s="219">
        <v>40441</v>
      </c>
      <c r="B1602" s="219">
        <v>40441</v>
      </c>
      <c r="C1602" s="6">
        <v>9</v>
      </c>
      <c r="D1602" s="6">
        <v>1</v>
      </c>
      <c r="E1602" s="73">
        <v>2010</v>
      </c>
      <c r="F1602" s="15" t="s">
        <v>22</v>
      </c>
      <c r="G1602" s="18" t="s">
        <v>6256</v>
      </c>
      <c r="H1602" s="9" t="s">
        <v>46</v>
      </c>
      <c r="I1602" s="74" t="s">
        <v>300</v>
      </c>
      <c r="J1602" s="74" t="s">
        <v>2786</v>
      </c>
      <c r="K1602" s="75">
        <v>0</v>
      </c>
      <c r="L1602" s="241">
        <v>0</v>
      </c>
      <c r="M1602" s="75">
        <v>0</v>
      </c>
      <c r="N1602" s="75">
        <v>0</v>
      </c>
      <c r="O1602" s="75">
        <v>0</v>
      </c>
      <c r="P1602" s="75">
        <v>0</v>
      </c>
      <c r="Q1602" s="75">
        <v>0</v>
      </c>
      <c r="R1602" s="61">
        <v>0</v>
      </c>
      <c r="S1602" s="73" t="s">
        <v>115</v>
      </c>
      <c r="T1602" s="257">
        <f t="shared" si="55"/>
        <v>0</v>
      </c>
      <c r="U1602" s="257">
        <f t="shared" si="56"/>
        <v>0</v>
      </c>
      <c r="V1602">
        <v>0</v>
      </c>
      <c r="W1602">
        <v>0</v>
      </c>
    </row>
    <row r="1603" spans="1:23" ht="52.8" x14ac:dyDescent="0.3">
      <c r="A1603" s="219">
        <v>40440</v>
      </c>
      <c r="B1603" s="219">
        <v>40440</v>
      </c>
      <c r="C1603" s="6">
        <v>9</v>
      </c>
      <c r="D1603" s="6">
        <v>1</v>
      </c>
      <c r="E1603" s="73">
        <v>2010</v>
      </c>
      <c r="F1603" s="15" t="s">
        <v>22</v>
      </c>
      <c r="G1603" s="18" t="s">
        <v>6256</v>
      </c>
      <c r="H1603" s="9" t="s">
        <v>61</v>
      </c>
      <c r="I1603" s="74" t="s">
        <v>2787</v>
      </c>
      <c r="J1603" s="74" t="s">
        <v>2788</v>
      </c>
      <c r="K1603" s="75">
        <v>0</v>
      </c>
      <c r="L1603" s="241">
        <v>3000</v>
      </c>
      <c r="M1603" s="75">
        <v>600</v>
      </c>
      <c r="N1603" s="75">
        <v>0</v>
      </c>
      <c r="O1603" s="75">
        <v>0</v>
      </c>
      <c r="P1603" s="75">
        <v>0</v>
      </c>
      <c r="Q1603" s="75">
        <v>0</v>
      </c>
      <c r="R1603" s="61">
        <v>22.612200000000001</v>
      </c>
      <c r="S1603" s="73" t="s">
        <v>115</v>
      </c>
      <c r="T1603" s="257">
        <f t="shared" ref="T1603:T1666" si="57">SUM(K1603:L1603)</f>
        <v>3000</v>
      </c>
      <c r="U1603" s="257">
        <f t="shared" ref="U1603:U1666" si="58">SUM(M1603:P1603)</f>
        <v>600</v>
      </c>
      <c r="V1603">
        <v>1</v>
      </c>
      <c r="W1603">
        <v>1</v>
      </c>
    </row>
    <row r="1604" spans="1:23" ht="105.6" x14ac:dyDescent="0.3">
      <c r="A1604" s="219">
        <v>40441</v>
      </c>
      <c r="B1604" s="219">
        <v>40441</v>
      </c>
      <c r="C1604" s="6">
        <v>9</v>
      </c>
      <c r="D1604" s="6">
        <v>1</v>
      </c>
      <c r="E1604" s="73">
        <v>2010</v>
      </c>
      <c r="F1604" s="15" t="s">
        <v>22</v>
      </c>
      <c r="G1604" s="18" t="s">
        <v>6256</v>
      </c>
      <c r="H1604" s="9" t="s">
        <v>174</v>
      </c>
      <c r="I1604" s="74" t="s">
        <v>1260</v>
      </c>
      <c r="J1604" s="74" t="s">
        <v>2789</v>
      </c>
      <c r="K1604" s="75">
        <v>0</v>
      </c>
      <c r="L1604" s="241">
        <v>0</v>
      </c>
      <c r="M1604" s="75">
        <v>0</v>
      </c>
      <c r="N1604" s="75">
        <v>0</v>
      </c>
      <c r="O1604" s="75">
        <v>0</v>
      </c>
      <c r="P1604" s="75">
        <v>0</v>
      </c>
      <c r="Q1604" s="75">
        <v>0</v>
      </c>
      <c r="R1604" s="61">
        <v>0</v>
      </c>
      <c r="S1604" s="73" t="s">
        <v>115</v>
      </c>
      <c r="T1604" s="257">
        <f t="shared" si="57"/>
        <v>0</v>
      </c>
      <c r="U1604" s="257">
        <f t="shared" si="58"/>
        <v>0</v>
      </c>
      <c r="V1604">
        <v>0</v>
      </c>
      <c r="W1604">
        <v>0</v>
      </c>
    </row>
    <row r="1605" spans="1:23" ht="106.2" x14ac:dyDescent="0.3">
      <c r="A1605" s="223">
        <v>40430</v>
      </c>
      <c r="B1605" s="223">
        <v>40430</v>
      </c>
      <c r="C1605" s="6">
        <v>9</v>
      </c>
      <c r="D1605" s="6">
        <v>1</v>
      </c>
      <c r="E1605" s="73">
        <v>2010</v>
      </c>
      <c r="F1605" s="7" t="s">
        <v>17</v>
      </c>
      <c r="G1605" s="28" t="s">
        <v>6261</v>
      </c>
      <c r="H1605" s="9" t="s">
        <v>48</v>
      </c>
      <c r="I1605" s="74" t="s">
        <v>2790</v>
      </c>
      <c r="J1605" s="132" t="s">
        <v>2791</v>
      </c>
      <c r="K1605" s="73">
        <v>0</v>
      </c>
      <c r="L1605" s="241">
        <v>15</v>
      </c>
      <c r="M1605" s="73">
        <v>3</v>
      </c>
      <c r="N1605" s="73">
        <v>0</v>
      </c>
      <c r="O1605" s="73">
        <v>0</v>
      </c>
      <c r="P1605" s="73">
        <v>0</v>
      </c>
      <c r="Q1605" s="73">
        <v>0</v>
      </c>
      <c r="R1605" s="61">
        <v>0.28771200000000002</v>
      </c>
      <c r="S1605" s="73" t="s">
        <v>115</v>
      </c>
      <c r="T1605" s="257">
        <f t="shared" si="57"/>
        <v>15</v>
      </c>
      <c r="U1605" s="257">
        <f t="shared" si="58"/>
        <v>3</v>
      </c>
      <c r="V1605">
        <v>1</v>
      </c>
      <c r="W1605">
        <v>1</v>
      </c>
    </row>
    <row r="1606" spans="1:23" ht="39.6" x14ac:dyDescent="0.3">
      <c r="A1606" s="219">
        <v>40443</v>
      </c>
      <c r="B1606" s="219">
        <v>40443</v>
      </c>
      <c r="C1606" s="6">
        <v>9</v>
      </c>
      <c r="D1606" s="6">
        <v>1</v>
      </c>
      <c r="E1606" s="73">
        <v>2010</v>
      </c>
      <c r="F1606" s="15" t="s">
        <v>22</v>
      </c>
      <c r="G1606" s="18" t="s">
        <v>6256</v>
      </c>
      <c r="H1606" s="9" t="s">
        <v>46</v>
      </c>
      <c r="I1606" s="74" t="s">
        <v>494</v>
      </c>
      <c r="J1606" s="74" t="s">
        <v>2792</v>
      </c>
      <c r="K1606" s="75">
        <v>1</v>
      </c>
      <c r="L1606" s="241">
        <v>3</v>
      </c>
      <c r="M1606" s="75">
        <v>0</v>
      </c>
      <c r="N1606" s="75">
        <v>0</v>
      </c>
      <c r="O1606" s="75">
        <v>0</v>
      </c>
      <c r="P1606" s="75">
        <v>0</v>
      </c>
      <c r="Q1606" s="75">
        <v>0</v>
      </c>
      <c r="R1606" s="61">
        <v>0</v>
      </c>
      <c r="S1606" s="73" t="s">
        <v>115</v>
      </c>
      <c r="T1606" s="257">
        <f t="shared" si="57"/>
        <v>4</v>
      </c>
      <c r="U1606" s="257">
        <f t="shared" si="58"/>
        <v>0</v>
      </c>
      <c r="V1606">
        <v>1</v>
      </c>
      <c r="W1606">
        <v>0</v>
      </c>
    </row>
    <row r="1607" spans="1:23" ht="52.8" x14ac:dyDescent="0.3">
      <c r="A1607" s="219">
        <v>40442</v>
      </c>
      <c r="B1607" s="219">
        <v>40442</v>
      </c>
      <c r="C1607" s="6">
        <v>9</v>
      </c>
      <c r="D1607" s="6">
        <v>1</v>
      </c>
      <c r="E1607" s="73">
        <v>2010</v>
      </c>
      <c r="F1607" s="15" t="s">
        <v>22</v>
      </c>
      <c r="G1607" s="18" t="s">
        <v>6256</v>
      </c>
      <c r="H1607" s="9" t="s">
        <v>51</v>
      </c>
      <c r="I1607" s="74" t="s">
        <v>1388</v>
      </c>
      <c r="J1607" s="74" t="s">
        <v>2793</v>
      </c>
      <c r="K1607" s="75">
        <v>0</v>
      </c>
      <c r="L1607" s="241">
        <v>0</v>
      </c>
      <c r="M1607" s="75">
        <v>0</v>
      </c>
      <c r="N1607" s="75">
        <v>0</v>
      </c>
      <c r="O1607" s="75">
        <v>0</v>
      </c>
      <c r="P1607" s="75">
        <v>0</v>
      </c>
      <c r="Q1607" s="75">
        <v>0</v>
      </c>
      <c r="R1607" s="61">
        <v>0</v>
      </c>
      <c r="S1607" s="73" t="s">
        <v>115</v>
      </c>
      <c r="T1607" s="257">
        <f t="shared" si="57"/>
        <v>0</v>
      </c>
      <c r="U1607" s="257">
        <f t="shared" si="58"/>
        <v>0</v>
      </c>
      <c r="V1607">
        <v>0</v>
      </c>
      <c r="W1607">
        <v>0</v>
      </c>
    </row>
    <row r="1608" spans="1:23" ht="303.60000000000002" x14ac:dyDescent="0.3">
      <c r="A1608" s="219">
        <v>40444</v>
      </c>
      <c r="B1608" s="219">
        <v>40444</v>
      </c>
      <c r="C1608" s="6">
        <v>9</v>
      </c>
      <c r="D1608" s="6">
        <v>1</v>
      </c>
      <c r="E1608" s="73">
        <v>2010</v>
      </c>
      <c r="F1608" s="15" t="s">
        <v>22</v>
      </c>
      <c r="G1608" s="18" t="s">
        <v>6256</v>
      </c>
      <c r="H1608" s="9" t="s">
        <v>46</v>
      </c>
      <c r="I1608" s="74" t="s">
        <v>843</v>
      </c>
      <c r="J1608" s="74" t="s">
        <v>2794</v>
      </c>
      <c r="K1608" s="75">
        <v>0</v>
      </c>
      <c r="L1608" s="241">
        <v>640</v>
      </c>
      <c r="M1608" s="75">
        <v>66</v>
      </c>
      <c r="N1608" s="75">
        <v>1</v>
      </c>
      <c r="O1608" s="75">
        <v>0</v>
      </c>
      <c r="P1608" s="75">
        <v>0</v>
      </c>
      <c r="Q1608" s="75">
        <v>0</v>
      </c>
      <c r="R1608" s="61">
        <v>3.0330780000000002</v>
      </c>
      <c r="S1608" s="73" t="s">
        <v>115</v>
      </c>
      <c r="T1608" s="257">
        <f t="shared" si="57"/>
        <v>640</v>
      </c>
      <c r="U1608" s="257">
        <f t="shared" si="58"/>
        <v>67</v>
      </c>
      <c r="V1608">
        <v>1</v>
      </c>
      <c r="W1608">
        <v>1</v>
      </c>
    </row>
    <row r="1609" spans="1:23" ht="52.8" x14ac:dyDescent="0.3">
      <c r="A1609" s="219">
        <v>40447</v>
      </c>
      <c r="B1609" s="219">
        <v>40447</v>
      </c>
      <c r="C1609" s="6">
        <v>9</v>
      </c>
      <c r="D1609" s="6">
        <v>1</v>
      </c>
      <c r="E1609" s="73">
        <v>2010</v>
      </c>
      <c r="F1609" s="15" t="s">
        <v>22</v>
      </c>
      <c r="G1609" s="18" t="s">
        <v>6256</v>
      </c>
      <c r="H1609" s="9" t="s">
        <v>57</v>
      </c>
      <c r="I1609" s="74" t="s">
        <v>2795</v>
      </c>
      <c r="J1609" s="74" t="s">
        <v>2796</v>
      </c>
      <c r="K1609" s="75">
        <v>6</v>
      </c>
      <c r="L1609" s="241">
        <v>6</v>
      </c>
      <c r="M1609" s="75">
        <v>0</v>
      </c>
      <c r="N1609" s="75">
        <v>0</v>
      </c>
      <c r="O1609" s="75">
        <v>0</v>
      </c>
      <c r="P1609" s="75">
        <v>0</v>
      </c>
      <c r="Q1609" s="75">
        <v>0</v>
      </c>
      <c r="R1609" s="61">
        <v>0</v>
      </c>
      <c r="S1609" s="73" t="s">
        <v>115</v>
      </c>
      <c r="T1609" s="257">
        <f t="shared" si="57"/>
        <v>12</v>
      </c>
      <c r="U1609" s="257">
        <f t="shared" si="58"/>
        <v>0</v>
      </c>
      <c r="V1609">
        <v>1</v>
      </c>
      <c r="W1609">
        <v>0</v>
      </c>
    </row>
    <row r="1610" spans="1:23" ht="118.8" x14ac:dyDescent="0.3">
      <c r="A1610" s="219">
        <v>40447</v>
      </c>
      <c r="B1610" s="219">
        <v>40447</v>
      </c>
      <c r="C1610" s="6">
        <v>9</v>
      </c>
      <c r="D1610" s="6">
        <v>1</v>
      </c>
      <c r="E1610" s="73">
        <v>2010</v>
      </c>
      <c r="F1610" s="15" t="s">
        <v>22</v>
      </c>
      <c r="G1610" s="18" t="s">
        <v>6256</v>
      </c>
      <c r="H1610" s="9" t="s">
        <v>31</v>
      </c>
      <c r="I1610" s="74" t="s">
        <v>2797</v>
      </c>
      <c r="J1610" s="74" t="s">
        <v>2798</v>
      </c>
      <c r="K1610" s="75">
        <v>5</v>
      </c>
      <c r="L1610" s="241">
        <v>5080</v>
      </c>
      <c r="M1610" s="75">
        <v>1016</v>
      </c>
      <c r="N1610" s="75">
        <v>0</v>
      </c>
      <c r="O1610" s="75">
        <v>0</v>
      </c>
      <c r="P1610" s="75">
        <v>0</v>
      </c>
      <c r="Q1610" s="75">
        <v>0</v>
      </c>
      <c r="R1610" s="61">
        <v>5.2019200000000003</v>
      </c>
      <c r="S1610" s="73" t="s">
        <v>115</v>
      </c>
      <c r="T1610" s="257">
        <f t="shared" si="57"/>
        <v>5085</v>
      </c>
      <c r="U1610" s="257">
        <f t="shared" si="58"/>
        <v>1016</v>
      </c>
      <c r="V1610">
        <v>1</v>
      </c>
      <c r="W1610">
        <v>2</v>
      </c>
    </row>
    <row r="1611" spans="1:23" ht="26.4" x14ac:dyDescent="0.3">
      <c r="A1611" s="219">
        <v>40447</v>
      </c>
      <c r="B1611" s="219">
        <v>40447</v>
      </c>
      <c r="C1611" s="6">
        <v>9</v>
      </c>
      <c r="D1611" s="6">
        <v>1</v>
      </c>
      <c r="E1611" s="73">
        <v>2010</v>
      </c>
      <c r="F1611" s="15" t="s">
        <v>22</v>
      </c>
      <c r="G1611" s="18" t="s">
        <v>6256</v>
      </c>
      <c r="H1611" s="9" t="s">
        <v>31</v>
      </c>
      <c r="I1611" s="74" t="s">
        <v>312</v>
      </c>
      <c r="J1611" s="74" t="s">
        <v>2799</v>
      </c>
      <c r="K1611" s="75">
        <v>0</v>
      </c>
      <c r="L1611" s="241">
        <v>0</v>
      </c>
      <c r="M1611" s="75">
        <v>0</v>
      </c>
      <c r="N1611" s="75">
        <v>0</v>
      </c>
      <c r="O1611" s="75">
        <v>0</v>
      </c>
      <c r="P1611" s="75">
        <v>0</v>
      </c>
      <c r="Q1611" s="75">
        <v>0</v>
      </c>
      <c r="R1611" s="61">
        <v>0</v>
      </c>
      <c r="S1611" s="73" t="s">
        <v>115</v>
      </c>
      <c r="T1611" s="257">
        <f t="shared" si="57"/>
        <v>0</v>
      </c>
      <c r="U1611" s="257">
        <f t="shared" si="58"/>
        <v>0</v>
      </c>
      <c r="V1611">
        <v>0</v>
      </c>
      <c r="W1611">
        <v>0</v>
      </c>
    </row>
    <row r="1612" spans="1:23" ht="39.6" x14ac:dyDescent="0.3">
      <c r="A1612" s="219">
        <v>40451</v>
      </c>
      <c r="B1612" s="219">
        <v>40451</v>
      </c>
      <c r="C1612" s="6">
        <v>9</v>
      </c>
      <c r="D1612" s="6">
        <v>1</v>
      </c>
      <c r="E1612" s="73">
        <v>2010</v>
      </c>
      <c r="F1612" s="15" t="s">
        <v>22</v>
      </c>
      <c r="G1612" s="18" t="s">
        <v>6256</v>
      </c>
      <c r="H1612" s="9" t="s">
        <v>31</v>
      </c>
      <c r="I1612" s="74" t="s">
        <v>196</v>
      </c>
      <c r="J1612" s="74" t="s">
        <v>2800</v>
      </c>
      <c r="K1612" s="75">
        <v>0</v>
      </c>
      <c r="L1612" s="241">
        <v>120</v>
      </c>
      <c r="M1612" s="75">
        <v>24</v>
      </c>
      <c r="N1612" s="75">
        <v>0</v>
      </c>
      <c r="O1612" s="75">
        <v>0</v>
      </c>
      <c r="P1612" s="75">
        <v>0</v>
      </c>
      <c r="Q1612" s="75">
        <v>0</v>
      </c>
      <c r="R1612" s="61">
        <v>0.12288</v>
      </c>
      <c r="S1612" s="73" t="s">
        <v>115</v>
      </c>
      <c r="T1612" s="257">
        <f t="shared" si="57"/>
        <v>120</v>
      </c>
      <c r="U1612" s="257">
        <f t="shared" si="58"/>
        <v>24</v>
      </c>
      <c r="V1612">
        <v>1</v>
      </c>
      <c r="W1612">
        <v>1</v>
      </c>
    </row>
    <row r="1613" spans="1:23" ht="198" x14ac:dyDescent="0.3">
      <c r="A1613" s="219">
        <v>40443</v>
      </c>
      <c r="B1613" s="219">
        <v>40443</v>
      </c>
      <c r="C1613" s="6">
        <v>9</v>
      </c>
      <c r="D1613" s="6">
        <v>1</v>
      </c>
      <c r="E1613" s="73">
        <v>2010</v>
      </c>
      <c r="F1613" s="15" t="s">
        <v>22</v>
      </c>
      <c r="G1613" s="18" t="s">
        <v>6256</v>
      </c>
      <c r="H1613" s="9" t="s">
        <v>46</v>
      </c>
      <c r="I1613" s="74" t="s">
        <v>2801</v>
      </c>
      <c r="J1613" s="74" t="s">
        <v>2802</v>
      </c>
      <c r="K1613" s="73">
        <v>0</v>
      </c>
      <c r="L1613" s="241">
        <v>100</v>
      </c>
      <c r="M1613" s="73">
        <v>20</v>
      </c>
      <c r="N1613" s="73">
        <v>0</v>
      </c>
      <c r="O1613" s="73">
        <v>0</v>
      </c>
      <c r="P1613" s="73">
        <v>0</v>
      </c>
      <c r="Q1613" s="73">
        <v>0</v>
      </c>
      <c r="R1613" s="61">
        <v>0.1024</v>
      </c>
      <c r="S1613" s="73" t="s">
        <v>115</v>
      </c>
      <c r="T1613" s="257">
        <f t="shared" si="57"/>
        <v>100</v>
      </c>
      <c r="U1613" s="257">
        <f t="shared" si="58"/>
        <v>20</v>
      </c>
      <c r="V1613">
        <v>1</v>
      </c>
      <c r="W1613">
        <v>1</v>
      </c>
    </row>
    <row r="1614" spans="1:23" ht="66" x14ac:dyDescent="0.3">
      <c r="A1614" s="219">
        <v>40479</v>
      </c>
      <c r="B1614" s="219">
        <v>40479</v>
      </c>
      <c r="C1614" s="6">
        <v>10</v>
      </c>
      <c r="D1614" s="6">
        <v>1</v>
      </c>
      <c r="E1614" s="73">
        <v>2010</v>
      </c>
      <c r="F1614" s="15" t="s">
        <v>22</v>
      </c>
      <c r="G1614" s="18" t="s">
        <v>6256</v>
      </c>
      <c r="H1614" s="9" t="s">
        <v>174</v>
      </c>
      <c r="I1614" s="74" t="s">
        <v>1258</v>
      </c>
      <c r="J1614" s="74" t="s">
        <v>2803</v>
      </c>
      <c r="K1614" s="75">
        <v>0</v>
      </c>
      <c r="L1614" s="241">
        <v>350</v>
      </c>
      <c r="M1614" s="75">
        <v>67</v>
      </c>
      <c r="N1614" s="75">
        <v>0</v>
      </c>
      <c r="O1614" s="75">
        <v>0</v>
      </c>
      <c r="P1614" s="75">
        <v>0</v>
      </c>
      <c r="Q1614" s="75">
        <v>0</v>
      </c>
      <c r="R1614" s="61">
        <v>1.2554460000000001</v>
      </c>
      <c r="S1614" s="73" t="s">
        <v>115</v>
      </c>
      <c r="T1614" s="257">
        <f t="shared" si="57"/>
        <v>350</v>
      </c>
      <c r="U1614" s="257">
        <f t="shared" si="58"/>
        <v>67</v>
      </c>
      <c r="V1614">
        <v>1</v>
      </c>
      <c r="W1614">
        <v>1</v>
      </c>
    </row>
    <row r="1615" spans="1:23" ht="52.8" x14ac:dyDescent="0.3">
      <c r="A1615" s="219">
        <v>40479</v>
      </c>
      <c r="B1615" s="219">
        <v>40479</v>
      </c>
      <c r="C1615" s="6">
        <v>10</v>
      </c>
      <c r="D1615" s="6">
        <v>1</v>
      </c>
      <c r="E1615" s="73">
        <v>2010</v>
      </c>
      <c r="F1615" s="15" t="s">
        <v>22</v>
      </c>
      <c r="G1615" s="18" t="s">
        <v>6256</v>
      </c>
      <c r="H1615" s="9" t="s">
        <v>64</v>
      </c>
      <c r="I1615" s="74" t="s">
        <v>2804</v>
      </c>
      <c r="J1615" s="74" t="s">
        <v>2805</v>
      </c>
      <c r="K1615" s="75">
        <v>0</v>
      </c>
      <c r="L1615" s="241">
        <v>50</v>
      </c>
      <c r="M1615" s="75">
        <v>10</v>
      </c>
      <c r="N1615" s="75">
        <v>0</v>
      </c>
      <c r="O1615" s="75">
        <v>0</v>
      </c>
      <c r="P1615" s="75">
        <v>0</v>
      </c>
      <c r="Q1615" s="75">
        <v>0</v>
      </c>
      <c r="R1615" s="61">
        <v>8.7379999999999999E-2</v>
      </c>
      <c r="S1615" s="73" t="s">
        <v>115</v>
      </c>
      <c r="T1615" s="257">
        <f t="shared" si="57"/>
        <v>50</v>
      </c>
      <c r="U1615" s="257">
        <f t="shared" si="58"/>
        <v>10</v>
      </c>
      <c r="V1615">
        <v>1</v>
      </c>
      <c r="W1615">
        <v>1</v>
      </c>
    </row>
    <row r="1616" spans="1:23" ht="409.6" x14ac:dyDescent="0.3">
      <c r="A1616" s="219">
        <v>40512</v>
      </c>
      <c r="B1616" s="219">
        <v>40512</v>
      </c>
      <c r="C1616" s="6">
        <v>11</v>
      </c>
      <c r="D1616" s="6">
        <v>1</v>
      </c>
      <c r="E1616" s="73">
        <v>2010</v>
      </c>
      <c r="F1616" s="15" t="s">
        <v>22</v>
      </c>
      <c r="G1616" s="18" t="s">
        <v>6256</v>
      </c>
      <c r="H1616" s="9" t="s">
        <v>31</v>
      </c>
      <c r="I1616" s="74" t="s">
        <v>2806</v>
      </c>
      <c r="J1616" s="74" t="s">
        <v>2807</v>
      </c>
      <c r="K1616" s="75">
        <v>0</v>
      </c>
      <c r="L1616" s="241">
        <v>1335</v>
      </c>
      <c r="M1616" s="75">
        <v>267</v>
      </c>
      <c r="N1616" s="75">
        <v>0</v>
      </c>
      <c r="O1616" s="75">
        <v>0</v>
      </c>
      <c r="P1616" s="75">
        <v>0</v>
      </c>
      <c r="Q1616" s="75">
        <v>0</v>
      </c>
      <c r="R1616" s="61">
        <v>5.0030460000000003</v>
      </c>
      <c r="S1616" s="73" t="s">
        <v>115</v>
      </c>
      <c r="T1616" s="257">
        <f t="shared" si="57"/>
        <v>1335</v>
      </c>
      <c r="U1616" s="257">
        <f t="shared" si="58"/>
        <v>267</v>
      </c>
      <c r="V1616">
        <v>1</v>
      </c>
      <c r="W1616">
        <v>1</v>
      </c>
    </row>
    <row r="1617" spans="1:23" ht="26.4" x14ac:dyDescent="0.3">
      <c r="A1617" s="219">
        <v>40210</v>
      </c>
      <c r="B1617" s="219">
        <v>40210</v>
      </c>
      <c r="C1617" s="6">
        <v>2</v>
      </c>
      <c r="D1617" s="6">
        <v>1</v>
      </c>
      <c r="E1617" s="73">
        <v>2010</v>
      </c>
      <c r="F1617" s="15" t="s">
        <v>22</v>
      </c>
      <c r="G1617" s="18" t="s">
        <v>6256</v>
      </c>
      <c r="H1617" s="9" t="s">
        <v>51</v>
      </c>
      <c r="I1617" s="74" t="s">
        <v>1360</v>
      </c>
      <c r="J1617" s="74" t="s">
        <v>2808</v>
      </c>
      <c r="K1617" s="75">
        <v>0</v>
      </c>
      <c r="L1617" s="241">
        <v>144</v>
      </c>
      <c r="M1617" s="75">
        <v>0</v>
      </c>
      <c r="N1617" s="75">
        <v>0</v>
      </c>
      <c r="O1617" s="75">
        <v>0</v>
      </c>
      <c r="P1617" s="75">
        <v>0</v>
      </c>
      <c r="Q1617" s="75">
        <v>165.5</v>
      </c>
      <c r="R1617" s="61">
        <v>0.42202499999999998</v>
      </c>
      <c r="S1617" s="73" t="s">
        <v>115</v>
      </c>
      <c r="T1617" s="257">
        <f t="shared" si="57"/>
        <v>144</v>
      </c>
      <c r="U1617" s="257">
        <f t="shared" si="58"/>
        <v>0</v>
      </c>
      <c r="V1617">
        <v>1</v>
      </c>
      <c r="W1617">
        <v>0</v>
      </c>
    </row>
    <row r="1618" spans="1:23" ht="66" x14ac:dyDescent="0.3">
      <c r="A1618" s="219">
        <v>40212</v>
      </c>
      <c r="B1618" s="219">
        <v>40212</v>
      </c>
      <c r="C1618" s="6">
        <v>2</v>
      </c>
      <c r="D1618" s="6">
        <v>1</v>
      </c>
      <c r="E1618" s="73">
        <v>2010</v>
      </c>
      <c r="F1618" s="15" t="s">
        <v>22</v>
      </c>
      <c r="G1618" s="18" t="s">
        <v>6256</v>
      </c>
      <c r="H1618" s="9" t="s">
        <v>39</v>
      </c>
      <c r="I1618" s="74" t="s">
        <v>2809</v>
      </c>
      <c r="J1618" s="74" t="s">
        <v>2810</v>
      </c>
      <c r="K1618" s="75">
        <v>0</v>
      </c>
      <c r="L1618" s="241">
        <v>859</v>
      </c>
      <c r="M1618" s="75">
        <v>0</v>
      </c>
      <c r="N1618" s="75">
        <v>0</v>
      </c>
      <c r="O1618" s="75">
        <v>0</v>
      </c>
      <c r="P1618" s="75">
        <v>0</v>
      </c>
      <c r="Q1618" s="75">
        <v>4703.53</v>
      </c>
      <c r="R1618" s="61">
        <v>229.56657609999999</v>
      </c>
      <c r="S1618" s="73" t="s">
        <v>115</v>
      </c>
      <c r="T1618" s="257">
        <f t="shared" si="57"/>
        <v>859</v>
      </c>
      <c r="U1618" s="257">
        <f t="shared" si="58"/>
        <v>0</v>
      </c>
      <c r="V1618">
        <v>1</v>
      </c>
      <c r="W1618">
        <v>0</v>
      </c>
    </row>
    <row r="1619" spans="1:23" ht="136.80000000000001" x14ac:dyDescent="0.3">
      <c r="A1619" s="224">
        <v>43266</v>
      </c>
      <c r="B1619" s="224">
        <v>43266</v>
      </c>
      <c r="C1619" s="6">
        <v>6</v>
      </c>
      <c r="D1619" s="6">
        <v>1</v>
      </c>
      <c r="E1619" s="84">
        <v>2018</v>
      </c>
      <c r="F1619" s="15" t="s">
        <v>22</v>
      </c>
      <c r="G1619" s="16" t="s">
        <v>6254</v>
      </c>
      <c r="H1619" s="9" t="s">
        <v>48</v>
      </c>
      <c r="I1619" s="86" t="s">
        <v>2811</v>
      </c>
      <c r="J1619" s="34" t="s">
        <v>2812</v>
      </c>
      <c r="K1619" s="84">
        <v>0</v>
      </c>
      <c r="L1619" s="173">
        <v>97</v>
      </c>
      <c r="M1619" s="84">
        <v>51</v>
      </c>
      <c r="N1619" s="84">
        <v>0</v>
      </c>
      <c r="O1619" s="84">
        <v>1</v>
      </c>
      <c r="P1619" s="84">
        <v>0</v>
      </c>
      <c r="Q1619" s="88">
        <v>0</v>
      </c>
      <c r="R1619" s="126">
        <v>0.27662100000000001</v>
      </c>
      <c r="S1619" s="89" t="s">
        <v>115</v>
      </c>
      <c r="T1619" s="257">
        <f t="shared" si="57"/>
        <v>97</v>
      </c>
      <c r="U1619" s="257">
        <f t="shared" si="58"/>
        <v>52</v>
      </c>
      <c r="V1619">
        <v>1</v>
      </c>
      <c r="W1619">
        <v>1</v>
      </c>
    </row>
    <row r="1620" spans="1:23" ht="52.8" x14ac:dyDescent="0.3">
      <c r="A1620" s="219">
        <v>40360</v>
      </c>
      <c r="B1620" s="219">
        <v>40360</v>
      </c>
      <c r="C1620" s="6">
        <v>7</v>
      </c>
      <c r="D1620" s="6">
        <v>1</v>
      </c>
      <c r="E1620" s="73">
        <v>2010</v>
      </c>
      <c r="F1620" s="15" t="s">
        <v>22</v>
      </c>
      <c r="G1620" s="18" t="s">
        <v>6256</v>
      </c>
      <c r="H1620" s="9" t="s">
        <v>52</v>
      </c>
      <c r="I1620" s="74" t="s">
        <v>922</v>
      </c>
      <c r="J1620" s="74" t="s">
        <v>2813</v>
      </c>
      <c r="K1620" s="75">
        <v>0</v>
      </c>
      <c r="L1620" s="241">
        <v>355</v>
      </c>
      <c r="M1620" s="75">
        <v>0</v>
      </c>
      <c r="N1620" s="75">
        <v>0</v>
      </c>
      <c r="O1620" s="75">
        <v>0</v>
      </c>
      <c r="P1620" s="75">
        <v>0</v>
      </c>
      <c r="Q1620" s="75">
        <v>1319.56</v>
      </c>
      <c r="R1620" s="61">
        <v>17.9693419</v>
      </c>
      <c r="S1620" s="73" t="s">
        <v>115</v>
      </c>
      <c r="T1620" s="257">
        <f t="shared" si="57"/>
        <v>355</v>
      </c>
      <c r="U1620" s="257">
        <f t="shared" si="58"/>
        <v>0</v>
      </c>
      <c r="V1620">
        <v>1</v>
      </c>
      <c r="W1620">
        <v>0</v>
      </c>
    </row>
    <row r="1621" spans="1:23" ht="39.6" x14ac:dyDescent="0.3">
      <c r="A1621" s="219">
        <v>40387</v>
      </c>
      <c r="B1621" s="219">
        <v>40387</v>
      </c>
      <c r="C1621" s="6">
        <v>7</v>
      </c>
      <c r="D1621" s="6">
        <v>1</v>
      </c>
      <c r="E1621" s="73">
        <v>2010</v>
      </c>
      <c r="F1621" s="15" t="s">
        <v>22</v>
      </c>
      <c r="G1621" s="18" t="s">
        <v>6256</v>
      </c>
      <c r="H1621" s="9" t="s">
        <v>52</v>
      </c>
      <c r="I1621" s="74" t="s">
        <v>827</v>
      </c>
      <c r="J1621" s="74" t="s">
        <v>2814</v>
      </c>
      <c r="K1621" s="75">
        <v>0</v>
      </c>
      <c r="L1621" s="241">
        <v>74</v>
      </c>
      <c r="M1621" s="75">
        <v>0</v>
      </c>
      <c r="N1621" s="75">
        <v>0</v>
      </c>
      <c r="O1621" s="75">
        <v>0</v>
      </c>
      <c r="P1621" s="75">
        <v>0</v>
      </c>
      <c r="Q1621" s="75">
        <v>222.66</v>
      </c>
      <c r="R1621" s="61">
        <v>1.8767562520000001</v>
      </c>
      <c r="S1621" s="73" t="s">
        <v>115</v>
      </c>
      <c r="T1621" s="257">
        <f t="shared" si="57"/>
        <v>74</v>
      </c>
      <c r="U1621" s="257">
        <f t="shared" si="58"/>
        <v>0</v>
      </c>
      <c r="V1621">
        <v>1</v>
      </c>
      <c r="W1621">
        <v>0</v>
      </c>
    </row>
    <row r="1622" spans="1:23" ht="39.6" x14ac:dyDescent="0.3">
      <c r="A1622" s="219">
        <v>40421</v>
      </c>
      <c r="B1622" s="219">
        <v>40421</v>
      </c>
      <c r="C1622" s="6">
        <v>8</v>
      </c>
      <c r="D1622" s="6">
        <v>1</v>
      </c>
      <c r="E1622" s="73">
        <v>2010</v>
      </c>
      <c r="F1622" s="15" t="s">
        <v>22</v>
      </c>
      <c r="G1622" s="18" t="s">
        <v>6256</v>
      </c>
      <c r="H1622" s="9" t="s">
        <v>52</v>
      </c>
      <c r="I1622" s="74" t="s">
        <v>126</v>
      </c>
      <c r="J1622" s="74" t="s">
        <v>2815</v>
      </c>
      <c r="K1622" s="75">
        <v>0</v>
      </c>
      <c r="L1622" s="241">
        <v>226</v>
      </c>
      <c r="M1622" s="75">
        <v>0</v>
      </c>
      <c r="N1622" s="75">
        <v>0</v>
      </c>
      <c r="O1622" s="75">
        <v>0</v>
      </c>
      <c r="P1622" s="75">
        <v>0</v>
      </c>
      <c r="Q1622" s="75">
        <v>363.71</v>
      </c>
      <c r="R1622" s="61">
        <v>2.7109169999999998</v>
      </c>
      <c r="S1622" s="73" t="s">
        <v>115</v>
      </c>
      <c r="T1622" s="257">
        <f t="shared" si="57"/>
        <v>226</v>
      </c>
      <c r="U1622" s="257">
        <f t="shared" si="58"/>
        <v>0</v>
      </c>
      <c r="V1622">
        <v>1</v>
      </c>
      <c r="W1622">
        <v>0</v>
      </c>
    </row>
    <row r="1623" spans="1:23" ht="66" x14ac:dyDescent="0.3">
      <c r="A1623" s="219">
        <v>40212</v>
      </c>
      <c r="B1623" s="219">
        <v>40212</v>
      </c>
      <c r="C1623" s="6">
        <v>2</v>
      </c>
      <c r="D1623" s="6">
        <v>1</v>
      </c>
      <c r="E1623" s="73">
        <v>2010</v>
      </c>
      <c r="F1623" s="15" t="s">
        <v>22</v>
      </c>
      <c r="G1623" s="18" t="s">
        <v>6256</v>
      </c>
      <c r="H1623" s="9" t="s">
        <v>56</v>
      </c>
      <c r="I1623" s="74" t="s">
        <v>2816</v>
      </c>
      <c r="J1623" s="74" t="s">
        <v>2817</v>
      </c>
      <c r="K1623" s="75">
        <v>0</v>
      </c>
      <c r="L1623" s="241">
        <v>14141</v>
      </c>
      <c r="M1623" s="75">
        <v>0</v>
      </c>
      <c r="N1623" s="75">
        <v>0</v>
      </c>
      <c r="O1623" s="75">
        <v>0</v>
      </c>
      <c r="P1623" s="75">
        <v>0</v>
      </c>
      <c r="Q1623" s="75">
        <v>39566.9</v>
      </c>
      <c r="R1623" s="61">
        <v>37.86</v>
      </c>
      <c r="S1623" s="73" t="s">
        <v>115</v>
      </c>
      <c r="T1623" s="257">
        <f t="shared" si="57"/>
        <v>14141</v>
      </c>
      <c r="U1623" s="257">
        <f t="shared" si="58"/>
        <v>0</v>
      </c>
      <c r="V1623">
        <v>2</v>
      </c>
      <c r="W1623">
        <v>0</v>
      </c>
    </row>
    <row r="1624" spans="1:23" ht="330" x14ac:dyDescent="0.3">
      <c r="A1624" s="219">
        <v>40209</v>
      </c>
      <c r="B1624" s="219">
        <v>40209</v>
      </c>
      <c r="C1624" s="6">
        <v>1</v>
      </c>
      <c r="D1624" s="6">
        <v>1</v>
      </c>
      <c r="E1624" s="73">
        <v>2010</v>
      </c>
      <c r="F1624" s="15" t="s">
        <v>22</v>
      </c>
      <c r="G1624" s="18" t="s">
        <v>6256</v>
      </c>
      <c r="H1624" s="9" t="s">
        <v>52</v>
      </c>
      <c r="I1624" s="74" t="s">
        <v>2818</v>
      </c>
      <c r="J1624" s="74" t="s">
        <v>2819</v>
      </c>
      <c r="K1624" s="75">
        <v>0</v>
      </c>
      <c r="L1624" s="241">
        <v>3714</v>
      </c>
      <c r="M1624" s="75">
        <v>0</v>
      </c>
      <c r="N1624" s="75">
        <v>0</v>
      </c>
      <c r="O1624" s="75">
        <v>0</v>
      </c>
      <c r="P1624" s="75">
        <v>0</v>
      </c>
      <c r="Q1624" s="75">
        <v>8067.56</v>
      </c>
      <c r="R1624" s="61">
        <v>171.81266176400001</v>
      </c>
      <c r="S1624" s="73" t="s">
        <v>115</v>
      </c>
      <c r="T1624" s="257">
        <f t="shared" si="57"/>
        <v>3714</v>
      </c>
      <c r="U1624" s="257">
        <f t="shared" si="58"/>
        <v>0</v>
      </c>
      <c r="V1624">
        <v>1</v>
      </c>
      <c r="W1624">
        <v>0</v>
      </c>
    </row>
    <row r="1625" spans="1:23" ht="39.6" x14ac:dyDescent="0.3">
      <c r="A1625" s="219">
        <v>40376</v>
      </c>
      <c r="B1625" s="219">
        <v>40376</v>
      </c>
      <c r="C1625" s="6">
        <v>7</v>
      </c>
      <c r="D1625" s="6">
        <v>1</v>
      </c>
      <c r="E1625" s="73">
        <v>2010</v>
      </c>
      <c r="F1625" s="15" t="s">
        <v>22</v>
      </c>
      <c r="G1625" s="18" t="s">
        <v>6256</v>
      </c>
      <c r="H1625" s="9" t="s">
        <v>52</v>
      </c>
      <c r="I1625" s="74" t="s">
        <v>2820</v>
      </c>
      <c r="J1625" s="74" t="s">
        <v>2821</v>
      </c>
      <c r="K1625" s="75">
        <v>0</v>
      </c>
      <c r="L1625" s="241">
        <v>245</v>
      </c>
      <c r="M1625" s="75">
        <v>0</v>
      </c>
      <c r="N1625" s="75">
        <v>0</v>
      </c>
      <c r="O1625" s="75">
        <v>0</v>
      </c>
      <c r="P1625" s="75">
        <v>0</v>
      </c>
      <c r="Q1625" s="75">
        <v>995.24</v>
      </c>
      <c r="R1625" s="61">
        <v>16.555963439999999</v>
      </c>
      <c r="S1625" s="73" t="s">
        <v>115</v>
      </c>
      <c r="T1625" s="257">
        <f t="shared" si="57"/>
        <v>245</v>
      </c>
      <c r="U1625" s="257">
        <f t="shared" si="58"/>
        <v>0</v>
      </c>
      <c r="V1625">
        <v>1</v>
      </c>
      <c r="W1625">
        <v>0</v>
      </c>
    </row>
    <row r="1626" spans="1:23" ht="39.6" x14ac:dyDescent="0.3">
      <c r="A1626" s="219">
        <v>40401</v>
      </c>
      <c r="B1626" s="219">
        <v>40401</v>
      </c>
      <c r="C1626" s="6">
        <v>8</v>
      </c>
      <c r="D1626" s="6">
        <v>1</v>
      </c>
      <c r="E1626" s="73">
        <v>2010</v>
      </c>
      <c r="F1626" s="15" t="s">
        <v>22</v>
      </c>
      <c r="G1626" s="18" t="s">
        <v>6256</v>
      </c>
      <c r="H1626" s="9" t="s">
        <v>52</v>
      </c>
      <c r="I1626" s="74" t="s">
        <v>2822</v>
      </c>
      <c r="J1626" s="74" t="s">
        <v>2823</v>
      </c>
      <c r="K1626" s="75">
        <v>0</v>
      </c>
      <c r="L1626" s="241">
        <v>676</v>
      </c>
      <c r="M1626" s="75">
        <v>0</v>
      </c>
      <c r="N1626" s="75">
        <v>0</v>
      </c>
      <c r="O1626" s="75">
        <v>0</v>
      </c>
      <c r="P1626" s="75">
        <v>0</v>
      </c>
      <c r="Q1626" s="75">
        <v>2324.9699999999998</v>
      </c>
      <c r="R1626" s="61">
        <v>34.733915600000003</v>
      </c>
      <c r="S1626" s="73" t="s">
        <v>115</v>
      </c>
      <c r="T1626" s="257">
        <f t="shared" si="57"/>
        <v>676</v>
      </c>
      <c r="U1626" s="257">
        <f t="shared" si="58"/>
        <v>0</v>
      </c>
      <c r="V1626">
        <v>1</v>
      </c>
      <c r="W1626">
        <v>0</v>
      </c>
    </row>
    <row r="1627" spans="1:23" ht="52.8" x14ac:dyDescent="0.3">
      <c r="A1627" s="219">
        <v>40422</v>
      </c>
      <c r="B1627" s="219">
        <v>40422</v>
      </c>
      <c r="C1627" s="6">
        <v>9</v>
      </c>
      <c r="D1627" s="6">
        <v>1</v>
      </c>
      <c r="E1627" s="73">
        <v>2010</v>
      </c>
      <c r="F1627" s="15" t="s">
        <v>22</v>
      </c>
      <c r="G1627" s="18" t="s">
        <v>6256</v>
      </c>
      <c r="H1627" s="9" t="s">
        <v>56</v>
      </c>
      <c r="I1627" s="74" t="s">
        <v>2824</v>
      </c>
      <c r="J1627" s="74" t="s">
        <v>2825</v>
      </c>
      <c r="K1627" s="75">
        <v>0</v>
      </c>
      <c r="L1627" s="241">
        <v>720</v>
      </c>
      <c r="M1627" s="75">
        <v>0</v>
      </c>
      <c r="N1627" s="75">
        <v>0</v>
      </c>
      <c r="O1627" s="75">
        <v>0</v>
      </c>
      <c r="P1627" s="75">
        <v>0</v>
      </c>
      <c r="Q1627" s="75">
        <v>1136.5</v>
      </c>
      <c r="R1627" s="61">
        <v>48.784826100000004</v>
      </c>
      <c r="S1627" s="73" t="s">
        <v>115</v>
      </c>
      <c r="T1627" s="257">
        <f t="shared" si="57"/>
        <v>720</v>
      </c>
      <c r="U1627" s="257">
        <f t="shared" si="58"/>
        <v>0</v>
      </c>
      <c r="V1627">
        <v>1</v>
      </c>
      <c r="W1627">
        <v>0</v>
      </c>
    </row>
    <row r="1628" spans="1:23" ht="79.2" x14ac:dyDescent="0.3">
      <c r="A1628" s="219">
        <v>40422</v>
      </c>
      <c r="B1628" s="219">
        <v>40422</v>
      </c>
      <c r="C1628" s="6">
        <v>9</v>
      </c>
      <c r="D1628" s="6">
        <v>1</v>
      </c>
      <c r="E1628" s="73">
        <v>2010</v>
      </c>
      <c r="F1628" s="15" t="s">
        <v>22</v>
      </c>
      <c r="G1628" s="18" t="s">
        <v>6256</v>
      </c>
      <c r="H1628" s="9" t="s">
        <v>56</v>
      </c>
      <c r="I1628" s="74" t="s">
        <v>2826</v>
      </c>
      <c r="J1628" s="74" t="s">
        <v>2827</v>
      </c>
      <c r="K1628" s="75">
        <v>0</v>
      </c>
      <c r="L1628" s="241">
        <v>819</v>
      </c>
      <c r="M1628" s="75">
        <v>0</v>
      </c>
      <c r="N1628" s="75">
        <v>0</v>
      </c>
      <c r="O1628" s="75">
        <v>0</v>
      </c>
      <c r="P1628" s="75">
        <v>0</v>
      </c>
      <c r="Q1628" s="75">
        <v>1582</v>
      </c>
      <c r="R1628" s="61">
        <v>33.928424</v>
      </c>
      <c r="S1628" s="73" t="s">
        <v>115</v>
      </c>
      <c r="T1628" s="257">
        <f t="shared" si="57"/>
        <v>819</v>
      </c>
      <c r="U1628" s="257">
        <f t="shared" si="58"/>
        <v>0</v>
      </c>
      <c r="V1628">
        <v>1</v>
      </c>
      <c r="W1628">
        <v>0</v>
      </c>
    </row>
    <row r="1629" spans="1:23" ht="114" x14ac:dyDescent="0.3">
      <c r="A1629" s="129">
        <v>39924</v>
      </c>
      <c r="B1629" s="129">
        <v>39924</v>
      </c>
      <c r="C1629" s="6">
        <v>4</v>
      </c>
      <c r="D1629" s="6">
        <v>1</v>
      </c>
      <c r="E1629" s="19">
        <v>2009</v>
      </c>
      <c r="F1629" s="15" t="s">
        <v>22</v>
      </c>
      <c r="G1629" s="16" t="s">
        <v>6256</v>
      </c>
      <c r="H1629" s="9" t="s">
        <v>48</v>
      </c>
      <c r="I1629" s="17" t="s">
        <v>2828</v>
      </c>
      <c r="J1629" s="17" t="s">
        <v>2829</v>
      </c>
      <c r="K1629" s="23">
        <v>0</v>
      </c>
      <c r="L1629" s="234">
        <v>210</v>
      </c>
      <c r="M1629" s="23">
        <v>42</v>
      </c>
      <c r="N1629" s="23">
        <v>1</v>
      </c>
      <c r="O1629" s="23">
        <v>0</v>
      </c>
      <c r="P1629" s="23">
        <v>0</v>
      </c>
      <c r="Q1629" s="92">
        <v>0</v>
      </c>
      <c r="R1629" s="93">
        <v>0.25</v>
      </c>
      <c r="S1629" s="19" t="s">
        <v>115</v>
      </c>
      <c r="T1629" s="257">
        <f t="shared" si="57"/>
        <v>210</v>
      </c>
      <c r="U1629" s="257">
        <f t="shared" si="58"/>
        <v>43</v>
      </c>
      <c r="V1629">
        <v>1</v>
      </c>
      <c r="W1629">
        <v>1</v>
      </c>
    </row>
    <row r="1630" spans="1:23" ht="39.6" x14ac:dyDescent="0.3">
      <c r="A1630" s="223">
        <v>40409</v>
      </c>
      <c r="B1630" s="223">
        <v>40409</v>
      </c>
      <c r="C1630" s="6">
        <v>8</v>
      </c>
      <c r="D1630" s="6">
        <v>1</v>
      </c>
      <c r="E1630" s="73">
        <v>2010</v>
      </c>
      <c r="F1630" s="15" t="s">
        <v>22</v>
      </c>
      <c r="G1630" s="9" t="s">
        <v>6257</v>
      </c>
      <c r="H1630" s="9" t="s">
        <v>64</v>
      </c>
      <c r="I1630" s="74" t="s">
        <v>2830</v>
      </c>
      <c r="J1630" s="74" t="s">
        <v>2831</v>
      </c>
      <c r="K1630" s="75">
        <v>0</v>
      </c>
      <c r="L1630" s="241">
        <v>50</v>
      </c>
      <c r="M1630" s="75">
        <v>10</v>
      </c>
      <c r="N1630" s="75">
        <v>0</v>
      </c>
      <c r="O1630" s="75">
        <v>0</v>
      </c>
      <c r="P1630" s="75">
        <v>0</v>
      </c>
      <c r="Q1630" s="75">
        <v>0</v>
      </c>
      <c r="R1630" s="61">
        <v>0.18737999999999999</v>
      </c>
      <c r="S1630" s="73" t="s">
        <v>115</v>
      </c>
      <c r="T1630" s="257">
        <f t="shared" si="57"/>
        <v>50</v>
      </c>
      <c r="U1630" s="257">
        <f t="shared" si="58"/>
        <v>10</v>
      </c>
      <c r="V1630">
        <v>1</v>
      </c>
      <c r="W1630">
        <v>1</v>
      </c>
    </row>
    <row r="1631" spans="1:23" ht="92.4" x14ac:dyDescent="0.3">
      <c r="A1631" s="223">
        <v>40512</v>
      </c>
      <c r="B1631" s="223">
        <v>40512</v>
      </c>
      <c r="C1631" s="6">
        <v>11</v>
      </c>
      <c r="D1631" s="6">
        <v>1</v>
      </c>
      <c r="E1631" s="73">
        <v>2010</v>
      </c>
      <c r="F1631" s="15" t="s">
        <v>22</v>
      </c>
      <c r="G1631" s="9" t="s">
        <v>6257</v>
      </c>
      <c r="H1631" s="9" t="s">
        <v>174</v>
      </c>
      <c r="I1631" s="74" t="s">
        <v>174</v>
      </c>
      <c r="J1631" s="74" t="s">
        <v>2832</v>
      </c>
      <c r="K1631" s="75">
        <v>1</v>
      </c>
      <c r="L1631" s="241">
        <v>1</v>
      </c>
      <c r="M1631" s="75">
        <v>0</v>
      </c>
      <c r="N1631" s="75">
        <v>0</v>
      </c>
      <c r="O1631" s="75">
        <v>0</v>
      </c>
      <c r="P1631" s="75">
        <v>0</v>
      </c>
      <c r="Q1631" s="75">
        <v>0</v>
      </c>
      <c r="R1631" s="61">
        <v>0</v>
      </c>
      <c r="S1631" s="73" t="s">
        <v>115</v>
      </c>
      <c r="T1631" s="257">
        <f t="shared" si="57"/>
        <v>2</v>
      </c>
      <c r="U1631" s="257">
        <f t="shared" si="58"/>
        <v>0</v>
      </c>
      <c r="V1631">
        <v>1</v>
      </c>
      <c r="W1631">
        <v>0</v>
      </c>
    </row>
    <row r="1632" spans="1:23" ht="66" x14ac:dyDescent="0.3">
      <c r="A1632" s="223">
        <v>40187</v>
      </c>
      <c r="B1632" s="223">
        <v>40187</v>
      </c>
      <c r="C1632" s="6">
        <v>1</v>
      </c>
      <c r="D1632" s="6">
        <v>1</v>
      </c>
      <c r="E1632" s="73">
        <v>2010</v>
      </c>
      <c r="F1632" s="15" t="s">
        <v>22</v>
      </c>
      <c r="G1632" s="16" t="s">
        <v>6255</v>
      </c>
      <c r="H1632" s="9" t="s">
        <v>70</v>
      </c>
      <c r="I1632" s="74" t="s">
        <v>2833</v>
      </c>
      <c r="J1632" s="74" t="s">
        <v>2834</v>
      </c>
      <c r="K1632" s="75">
        <v>0</v>
      </c>
      <c r="L1632" s="241">
        <v>24092</v>
      </c>
      <c r="M1632" s="75">
        <v>0</v>
      </c>
      <c r="N1632" s="75">
        <v>0</v>
      </c>
      <c r="O1632" s="75">
        <v>0</v>
      </c>
      <c r="P1632" s="75">
        <v>0</v>
      </c>
      <c r="Q1632" s="75">
        <v>0</v>
      </c>
      <c r="R1632" s="61">
        <v>5.59</v>
      </c>
      <c r="S1632" s="73" t="s">
        <v>149</v>
      </c>
      <c r="T1632" s="257">
        <f t="shared" si="57"/>
        <v>24092</v>
      </c>
      <c r="U1632" s="257">
        <f t="shared" si="58"/>
        <v>0</v>
      </c>
      <c r="V1632">
        <v>2</v>
      </c>
      <c r="W1632">
        <v>0</v>
      </c>
    </row>
    <row r="1633" spans="1:23" ht="66" x14ac:dyDescent="0.3">
      <c r="A1633" s="223">
        <v>40181</v>
      </c>
      <c r="B1633" s="223">
        <v>40181</v>
      </c>
      <c r="C1633" s="6">
        <v>1</v>
      </c>
      <c r="D1633" s="6">
        <v>1</v>
      </c>
      <c r="E1633" s="73">
        <v>2010</v>
      </c>
      <c r="F1633" s="15" t="s">
        <v>22</v>
      </c>
      <c r="G1633" s="16" t="s">
        <v>6255</v>
      </c>
      <c r="H1633" s="9" t="s">
        <v>88</v>
      </c>
      <c r="I1633" s="74" t="s">
        <v>2835</v>
      </c>
      <c r="J1633" s="74" t="s">
        <v>2836</v>
      </c>
      <c r="K1633" s="75">
        <v>0</v>
      </c>
      <c r="L1633" s="241">
        <v>33000</v>
      </c>
      <c r="M1633" s="75">
        <v>0</v>
      </c>
      <c r="N1633" s="75">
        <v>0</v>
      </c>
      <c r="O1633" s="75">
        <v>0</v>
      </c>
      <c r="P1633" s="75">
        <v>0</v>
      </c>
      <c r="Q1633" s="75">
        <v>0</v>
      </c>
      <c r="R1633" s="61">
        <v>5.7060000000000004</v>
      </c>
      <c r="S1633" s="73" t="s">
        <v>2609</v>
      </c>
      <c r="T1633" s="257">
        <f t="shared" si="57"/>
        <v>33000</v>
      </c>
      <c r="U1633" s="257">
        <f t="shared" si="58"/>
        <v>0</v>
      </c>
      <c r="V1633">
        <v>2</v>
      </c>
      <c r="W1633">
        <v>0</v>
      </c>
    </row>
    <row r="1634" spans="1:23" ht="132" x14ac:dyDescent="0.3">
      <c r="A1634" s="223">
        <v>40188</v>
      </c>
      <c r="B1634" s="223">
        <v>40188</v>
      </c>
      <c r="C1634" s="6">
        <v>1</v>
      </c>
      <c r="D1634" s="6">
        <v>1</v>
      </c>
      <c r="E1634" s="73">
        <v>2010</v>
      </c>
      <c r="F1634" s="15" t="s">
        <v>22</v>
      </c>
      <c r="G1634" s="16" t="s">
        <v>6255</v>
      </c>
      <c r="H1634" s="9" t="s">
        <v>88</v>
      </c>
      <c r="I1634" s="74" t="s">
        <v>2837</v>
      </c>
      <c r="J1634" s="74" t="s">
        <v>2838</v>
      </c>
      <c r="K1634" s="75">
        <v>0</v>
      </c>
      <c r="L1634" s="241">
        <v>37100</v>
      </c>
      <c r="M1634" s="75">
        <v>3700</v>
      </c>
      <c r="N1634" s="75">
        <v>0</v>
      </c>
      <c r="O1634" s="75">
        <v>0</v>
      </c>
      <c r="P1634" s="75">
        <v>0</v>
      </c>
      <c r="Q1634" s="75">
        <v>0</v>
      </c>
      <c r="R1634" s="61">
        <v>20.603000000000002</v>
      </c>
      <c r="S1634" s="73" t="s">
        <v>2609</v>
      </c>
      <c r="T1634" s="257">
        <f t="shared" si="57"/>
        <v>37100</v>
      </c>
      <c r="U1634" s="257">
        <f t="shared" si="58"/>
        <v>3700</v>
      </c>
      <c r="V1634">
        <v>2</v>
      </c>
      <c r="W1634">
        <v>2</v>
      </c>
    </row>
    <row r="1635" spans="1:23" ht="105.6" x14ac:dyDescent="0.3">
      <c r="A1635" s="223">
        <v>40483</v>
      </c>
      <c r="B1635" s="223">
        <v>40483</v>
      </c>
      <c r="C1635" s="6">
        <v>11</v>
      </c>
      <c r="D1635" s="6">
        <v>1</v>
      </c>
      <c r="E1635" s="73">
        <v>2010</v>
      </c>
      <c r="F1635" s="15" t="s">
        <v>22</v>
      </c>
      <c r="G1635" s="16" t="s">
        <v>6256</v>
      </c>
      <c r="H1635" s="9" t="s">
        <v>52</v>
      </c>
      <c r="I1635" s="74" t="s">
        <v>663</v>
      </c>
      <c r="J1635" s="74" t="s">
        <v>2839</v>
      </c>
      <c r="K1635" s="75">
        <v>1</v>
      </c>
      <c r="L1635" s="241">
        <v>8</v>
      </c>
      <c r="M1635" s="75">
        <v>0</v>
      </c>
      <c r="N1635" s="75">
        <v>0</v>
      </c>
      <c r="O1635" s="75">
        <v>0</v>
      </c>
      <c r="P1635" s="75">
        <v>0</v>
      </c>
      <c r="Q1635" s="75">
        <v>0</v>
      </c>
      <c r="R1635" s="61">
        <v>0</v>
      </c>
      <c r="S1635" s="73" t="s">
        <v>115</v>
      </c>
      <c r="T1635" s="257">
        <f t="shared" si="57"/>
        <v>9</v>
      </c>
      <c r="U1635" s="257">
        <f t="shared" si="58"/>
        <v>0</v>
      </c>
      <c r="V1635">
        <v>1</v>
      </c>
      <c r="W1635">
        <v>0</v>
      </c>
    </row>
    <row r="1636" spans="1:23" ht="39.6" x14ac:dyDescent="0.3">
      <c r="A1636" s="223">
        <v>40187</v>
      </c>
      <c r="B1636" s="223">
        <v>40187</v>
      </c>
      <c r="C1636" s="6">
        <v>1</v>
      </c>
      <c r="D1636" s="6">
        <v>1</v>
      </c>
      <c r="E1636" s="73">
        <v>2010</v>
      </c>
      <c r="F1636" s="15" t="s">
        <v>22</v>
      </c>
      <c r="G1636" s="16" t="s">
        <v>6255</v>
      </c>
      <c r="H1636" s="9" t="s">
        <v>70</v>
      </c>
      <c r="I1636" s="74" t="s">
        <v>2840</v>
      </c>
      <c r="J1636" s="74" t="s">
        <v>2841</v>
      </c>
      <c r="K1636" s="75">
        <v>0</v>
      </c>
      <c r="L1636" s="241">
        <v>2723</v>
      </c>
      <c r="M1636" s="75">
        <v>0</v>
      </c>
      <c r="N1636" s="75">
        <v>0</v>
      </c>
      <c r="O1636" s="75">
        <v>0</v>
      </c>
      <c r="P1636" s="75">
        <v>0</v>
      </c>
      <c r="Q1636" s="75">
        <v>2742.53</v>
      </c>
      <c r="R1636" s="61">
        <v>1.9104463979999999</v>
      </c>
      <c r="S1636" s="73" t="s">
        <v>115</v>
      </c>
      <c r="T1636" s="257">
        <f t="shared" si="57"/>
        <v>2723</v>
      </c>
      <c r="U1636" s="257">
        <f t="shared" si="58"/>
        <v>0</v>
      </c>
      <c r="V1636">
        <v>1</v>
      </c>
      <c r="W1636">
        <v>0</v>
      </c>
    </row>
    <row r="1637" spans="1:23" ht="184.8" x14ac:dyDescent="0.3">
      <c r="A1637" s="223">
        <v>40187</v>
      </c>
      <c r="B1637" s="223">
        <v>40187</v>
      </c>
      <c r="C1637" s="6">
        <v>1</v>
      </c>
      <c r="D1637" s="6">
        <v>1</v>
      </c>
      <c r="E1637" s="73">
        <v>2010</v>
      </c>
      <c r="F1637" s="15" t="s">
        <v>22</v>
      </c>
      <c r="G1637" s="16" t="s">
        <v>6255</v>
      </c>
      <c r="H1637" s="9" t="s">
        <v>64</v>
      </c>
      <c r="I1637" s="74" t="s">
        <v>2842</v>
      </c>
      <c r="J1637" s="74" t="s">
        <v>2843</v>
      </c>
      <c r="K1637" s="75">
        <v>0</v>
      </c>
      <c r="L1637" s="241">
        <v>2162</v>
      </c>
      <c r="M1637" s="75">
        <v>0</v>
      </c>
      <c r="N1637" s="75">
        <v>0</v>
      </c>
      <c r="O1637" s="75">
        <v>0</v>
      </c>
      <c r="P1637" s="75">
        <v>0</v>
      </c>
      <c r="Q1637" s="75">
        <v>1949.61</v>
      </c>
      <c r="R1637" s="61">
        <v>35.958212630000006</v>
      </c>
      <c r="S1637" s="73" t="s">
        <v>115</v>
      </c>
      <c r="T1637" s="257">
        <f t="shared" si="57"/>
        <v>2162</v>
      </c>
      <c r="U1637" s="257">
        <f t="shared" si="58"/>
        <v>0</v>
      </c>
      <c r="V1637">
        <v>1</v>
      </c>
      <c r="W1637">
        <v>0</v>
      </c>
    </row>
    <row r="1638" spans="1:23" ht="39.6" x14ac:dyDescent="0.3">
      <c r="A1638" s="223">
        <v>40187</v>
      </c>
      <c r="B1638" s="223">
        <v>40187</v>
      </c>
      <c r="C1638" s="6">
        <v>1</v>
      </c>
      <c r="D1638" s="6">
        <v>1</v>
      </c>
      <c r="E1638" s="73">
        <v>2010</v>
      </c>
      <c r="F1638" s="15" t="s">
        <v>22</v>
      </c>
      <c r="G1638" s="16" t="s">
        <v>6255</v>
      </c>
      <c r="H1638" s="9" t="s">
        <v>174</v>
      </c>
      <c r="I1638" s="74" t="s">
        <v>2844</v>
      </c>
      <c r="J1638" s="74" t="s">
        <v>2845</v>
      </c>
      <c r="K1638" s="75">
        <v>0</v>
      </c>
      <c r="L1638" s="241">
        <v>1381</v>
      </c>
      <c r="M1638" s="75">
        <v>0</v>
      </c>
      <c r="N1638" s="75">
        <v>0</v>
      </c>
      <c r="O1638" s="75">
        <v>0</v>
      </c>
      <c r="P1638" s="75">
        <v>0</v>
      </c>
      <c r="Q1638" s="75">
        <v>1680.5</v>
      </c>
      <c r="R1638" s="61">
        <v>7.2598895999999993</v>
      </c>
      <c r="S1638" s="73" t="s">
        <v>115</v>
      </c>
      <c r="T1638" s="257">
        <f t="shared" si="57"/>
        <v>1381</v>
      </c>
      <c r="U1638" s="257">
        <f t="shared" si="58"/>
        <v>0</v>
      </c>
      <c r="V1638">
        <v>1</v>
      </c>
      <c r="W1638">
        <v>0</v>
      </c>
    </row>
    <row r="1639" spans="1:23" ht="39.6" x14ac:dyDescent="0.3">
      <c r="A1639" s="223">
        <v>40214</v>
      </c>
      <c r="B1639" s="223">
        <v>40214</v>
      </c>
      <c r="C1639" s="6">
        <v>2</v>
      </c>
      <c r="D1639" s="6">
        <v>1</v>
      </c>
      <c r="E1639" s="73">
        <v>2010</v>
      </c>
      <c r="F1639" s="15" t="s">
        <v>22</v>
      </c>
      <c r="G1639" s="16" t="s">
        <v>6255</v>
      </c>
      <c r="H1639" s="9" t="s">
        <v>52</v>
      </c>
      <c r="I1639" s="74" t="s">
        <v>2846</v>
      </c>
      <c r="J1639" s="74" t="s">
        <v>2847</v>
      </c>
      <c r="K1639" s="75">
        <v>0</v>
      </c>
      <c r="L1639" s="241">
        <v>73</v>
      </c>
      <c r="M1639" s="75">
        <v>0</v>
      </c>
      <c r="N1639" s="75">
        <v>0</v>
      </c>
      <c r="O1639" s="75">
        <v>0</v>
      </c>
      <c r="P1639" s="75">
        <v>0</v>
      </c>
      <c r="Q1639" s="75">
        <v>247.1</v>
      </c>
      <c r="R1639" s="61">
        <v>25.226175699999999</v>
      </c>
      <c r="S1639" s="73" t="s">
        <v>115</v>
      </c>
      <c r="T1639" s="257">
        <f t="shared" si="57"/>
        <v>73</v>
      </c>
      <c r="U1639" s="257">
        <f t="shared" si="58"/>
        <v>0</v>
      </c>
      <c r="V1639">
        <v>1</v>
      </c>
      <c r="W1639">
        <v>0</v>
      </c>
    </row>
    <row r="1640" spans="1:23" ht="39.6" x14ac:dyDescent="0.3">
      <c r="A1640" s="223">
        <v>40328</v>
      </c>
      <c r="B1640" s="223">
        <v>40328</v>
      </c>
      <c r="C1640" s="6">
        <v>5</v>
      </c>
      <c r="D1640" s="6">
        <v>1</v>
      </c>
      <c r="E1640" s="73">
        <v>2010</v>
      </c>
      <c r="F1640" s="15" t="s">
        <v>22</v>
      </c>
      <c r="G1640" s="16" t="s">
        <v>6255</v>
      </c>
      <c r="H1640" s="9" t="s">
        <v>52</v>
      </c>
      <c r="I1640" s="74" t="s">
        <v>2848</v>
      </c>
      <c r="J1640" s="74" t="s">
        <v>2849</v>
      </c>
      <c r="K1640" s="75">
        <v>0</v>
      </c>
      <c r="L1640" s="241">
        <v>139</v>
      </c>
      <c r="M1640" s="75">
        <v>0</v>
      </c>
      <c r="N1640" s="75">
        <v>0</v>
      </c>
      <c r="O1640" s="75">
        <v>0</v>
      </c>
      <c r="P1640" s="75">
        <v>0</v>
      </c>
      <c r="Q1640" s="75">
        <v>308.5</v>
      </c>
      <c r="R1640" s="61">
        <v>1.3635699999999999</v>
      </c>
      <c r="S1640" s="73" t="s">
        <v>115</v>
      </c>
      <c r="T1640" s="257">
        <f t="shared" si="57"/>
        <v>139</v>
      </c>
      <c r="U1640" s="257">
        <f t="shared" si="58"/>
        <v>0</v>
      </c>
      <c r="V1640">
        <v>1</v>
      </c>
      <c r="W1640">
        <v>0</v>
      </c>
    </row>
    <row r="1641" spans="1:23" ht="39.6" x14ac:dyDescent="0.3">
      <c r="A1641" s="223">
        <v>40488</v>
      </c>
      <c r="B1641" s="223">
        <v>40488</v>
      </c>
      <c r="C1641" s="6">
        <v>11</v>
      </c>
      <c r="D1641" s="6">
        <v>1</v>
      </c>
      <c r="E1641" s="73">
        <v>2010</v>
      </c>
      <c r="F1641" s="15" t="s">
        <v>22</v>
      </c>
      <c r="G1641" s="16" t="s">
        <v>6255</v>
      </c>
      <c r="H1641" s="9" t="s">
        <v>118</v>
      </c>
      <c r="I1641" s="74" t="s">
        <v>2850</v>
      </c>
      <c r="J1641" s="74" t="s">
        <v>2851</v>
      </c>
      <c r="K1641" s="75">
        <v>0</v>
      </c>
      <c r="L1641" s="241">
        <v>21</v>
      </c>
      <c r="M1641" s="75">
        <v>0</v>
      </c>
      <c r="N1641" s="75">
        <v>0</v>
      </c>
      <c r="O1641" s="75">
        <v>0</v>
      </c>
      <c r="P1641" s="75">
        <v>0</v>
      </c>
      <c r="Q1641" s="75">
        <v>14.35</v>
      </c>
      <c r="R1641" s="61">
        <v>2.6778298299999999</v>
      </c>
      <c r="S1641" s="73" t="s">
        <v>115</v>
      </c>
      <c r="T1641" s="257">
        <f t="shared" si="57"/>
        <v>21</v>
      </c>
      <c r="U1641" s="257">
        <f t="shared" si="58"/>
        <v>0</v>
      </c>
      <c r="V1641">
        <v>1</v>
      </c>
      <c r="W1641">
        <v>0</v>
      </c>
    </row>
    <row r="1642" spans="1:23" ht="39.6" x14ac:dyDescent="0.3">
      <c r="A1642" s="223">
        <v>40328</v>
      </c>
      <c r="B1642" s="223">
        <v>40328</v>
      </c>
      <c r="C1642" s="6">
        <v>5</v>
      </c>
      <c r="D1642" s="6">
        <v>1</v>
      </c>
      <c r="E1642" s="73">
        <v>2010</v>
      </c>
      <c r="F1642" s="15" t="s">
        <v>22</v>
      </c>
      <c r="G1642" s="16" t="s">
        <v>6255</v>
      </c>
      <c r="H1642" s="9" t="s">
        <v>52</v>
      </c>
      <c r="I1642" s="74" t="s">
        <v>2852</v>
      </c>
      <c r="J1642" s="74" t="s">
        <v>2853</v>
      </c>
      <c r="K1642" s="75">
        <v>0</v>
      </c>
      <c r="L1642" s="241">
        <v>247</v>
      </c>
      <c r="M1642" s="75">
        <v>0</v>
      </c>
      <c r="N1642" s="75">
        <v>0</v>
      </c>
      <c r="O1642" s="75">
        <v>0</v>
      </c>
      <c r="P1642" s="75">
        <v>0</v>
      </c>
      <c r="Q1642" s="75">
        <v>625</v>
      </c>
      <c r="R1642" s="61">
        <v>2.6052075000000001</v>
      </c>
      <c r="S1642" s="73" t="s">
        <v>115</v>
      </c>
      <c r="T1642" s="257">
        <f t="shared" si="57"/>
        <v>247</v>
      </c>
      <c r="U1642" s="257">
        <f t="shared" si="58"/>
        <v>0</v>
      </c>
      <c r="V1642">
        <v>1</v>
      </c>
      <c r="W1642">
        <v>0</v>
      </c>
    </row>
    <row r="1643" spans="1:23" ht="39.6" x14ac:dyDescent="0.3">
      <c r="A1643" s="223">
        <v>40487</v>
      </c>
      <c r="B1643" s="223">
        <v>40487</v>
      </c>
      <c r="C1643" s="6">
        <v>11</v>
      </c>
      <c r="D1643" s="6">
        <v>1</v>
      </c>
      <c r="E1643" s="73">
        <v>2010</v>
      </c>
      <c r="F1643" s="15" t="s">
        <v>22</v>
      </c>
      <c r="G1643" s="16" t="s">
        <v>6255</v>
      </c>
      <c r="H1643" s="9" t="s">
        <v>118</v>
      </c>
      <c r="I1643" s="74" t="s">
        <v>860</v>
      </c>
      <c r="J1643" s="74" t="s">
        <v>2854</v>
      </c>
      <c r="K1643" s="75">
        <v>0</v>
      </c>
      <c r="L1643" s="241">
        <v>4426</v>
      </c>
      <c r="M1643" s="75">
        <v>0</v>
      </c>
      <c r="N1643" s="75">
        <v>0</v>
      </c>
      <c r="O1643" s="75">
        <v>0</v>
      </c>
      <c r="P1643" s="75">
        <v>0</v>
      </c>
      <c r="Q1643" s="75">
        <v>2195</v>
      </c>
      <c r="R1643" s="61">
        <v>409.76081799999997</v>
      </c>
      <c r="S1643" s="73" t="s">
        <v>115</v>
      </c>
      <c r="T1643" s="257">
        <f t="shared" si="57"/>
        <v>4426</v>
      </c>
      <c r="U1643" s="257">
        <f t="shared" si="58"/>
        <v>0</v>
      </c>
      <c r="V1643">
        <v>1</v>
      </c>
      <c r="W1643">
        <v>0</v>
      </c>
    </row>
    <row r="1644" spans="1:23" ht="39.6" x14ac:dyDescent="0.3">
      <c r="A1644" s="223">
        <v>40487</v>
      </c>
      <c r="B1644" s="223">
        <v>40487</v>
      </c>
      <c r="C1644" s="6">
        <v>11</v>
      </c>
      <c r="D1644" s="6">
        <v>1</v>
      </c>
      <c r="E1644" s="73">
        <v>2010</v>
      </c>
      <c r="F1644" s="15" t="s">
        <v>22</v>
      </c>
      <c r="G1644" s="16" t="s">
        <v>6255</v>
      </c>
      <c r="H1644" s="9" t="s">
        <v>52</v>
      </c>
      <c r="I1644" s="74" t="s">
        <v>2855</v>
      </c>
      <c r="J1644" s="74" t="s">
        <v>2856</v>
      </c>
      <c r="K1644" s="75">
        <v>0</v>
      </c>
      <c r="L1644" s="241">
        <v>368</v>
      </c>
      <c r="M1644" s="75">
        <v>0</v>
      </c>
      <c r="N1644" s="75">
        <v>0</v>
      </c>
      <c r="O1644" s="75">
        <v>0</v>
      </c>
      <c r="P1644" s="75">
        <v>0</v>
      </c>
      <c r="Q1644" s="75">
        <v>1364.11</v>
      </c>
      <c r="R1644" s="61">
        <v>51.236886939999998</v>
      </c>
      <c r="S1644" s="73" t="s">
        <v>115</v>
      </c>
      <c r="T1644" s="257">
        <f t="shared" si="57"/>
        <v>368</v>
      </c>
      <c r="U1644" s="257">
        <f t="shared" si="58"/>
        <v>0</v>
      </c>
      <c r="V1644">
        <v>1</v>
      </c>
      <c r="W1644">
        <v>0</v>
      </c>
    </row>
    <row r="1645" spans="1:23" ht="105.6" x14ac:dyDescent="0.3">
      <c r="A1645" s="223">
        <v>40405</v>
      </c>
      <c r="B1645" s="223">
        <v>40405</v>
      </c>
      <c r="C1645" s="6">
        <v>8</v>
      </c>
      <c r="D1645" s="6">
        <v>1</v>
      </c>
      <c r="E1645" s="73">
        <v>2010</v>
      </c>
      <c r="F1645" s="15" t="s">
        <v>22</v>
      </c>
      <c r="G1645" s="16" t="s">
        <v>6256</v>
      </c>
      <c r="H1645" s="9" t="s">
        <v>51</v>
      </c>
      <c r="I1645" s="74" t="s">
        <v>1901</v>
      </c>
      <c r="J1645" s="74" t="s">
        <v>2857</v>
      </c>
      <c r="K1645" s="75">
        <v>1</v>
      </c>
      <c r="L1645" s="241">
        <v>1</v>
      </c>
      <c r="M1645" s="75">
        <v>0</v>
      </c>
      <c r="N1645" s="75">
        <v>0</v>
      </c>
      <c r="O1645" s="75">
        <v>0</v>
      </c>
      <c r="P1645" s="75">
        <v>0</v>
      </c>
      <c r="Q1645" s="75">
        <v>0</v>
      </c>
      <c r="R1645" s="61">
        <v>0</v>
      </c>
      <c r="S1645" s="73" t="s">
        <v>115</v>
      </c>
      <c r="T1645" s="257">
        <f t="shared" si="57"/>
        <v>2</v>
      </c>
      <c r="U1645" s="257">
        <f t="shared" si="58"/>
        <v>0</v>
      </c>
      <c r="V1645">
        <v>1</v>
      </c>
      <c r="W1645">
        <v>0</v>
      </c>
    </row>
    <row r="1646" spans="1:23" ht="52.8" x14ac:dyDescent="0.3">
      <c r="A1646" s="223">
        <v>40487</v>
      </c>
      <c r="B1646" s="223">
        <v>40487</v>
      </c>
      <c r="C1646" s="6">
        <v>11</v>
      </c>
      <c r="D1646" s="6">
        <v>1</v>
      </c>
      <c r="E1646" s="73">
        <v>2010</v>
      </c>
      <c r="F1646" s="15" t="s">
        <v>22</v>
      </c>
      <c r="G1646" s="16" t="s">
        <v>6255</v>
      </c>
      <c r="H1646" s="9" t="s">
        <v>174</v>
      </c>
      <c r="I1646" s="74" t="s">
        <v>2858</v>
      </c>
      <c r="J1646" s="74" t="s">
        <v>2859</v>
      </c>
      <c r="K1646" s="75">
        <v>0</v>
      </c>
      <c r="L1646" s="241">
        <v>1566</v>
      </c>
      <c r="M1646" s="75">
        <v>0</v>
      </c>
      <c r="N1646" s="75">
        <v>0</v>
      </c>
      <c r="O1646" s="75">
        <v>0</v>
      </c>
      <c r="P1646" s="75">
        <v>0</v>
      </c>
      <c r="Q1646" s="75">
        <v>1765.75</v>
      </c>
      <c r="R1646" s="61">
        <v>77.199787659999998</v>
      </c>
      <c r="S1646" s="73" t="s">
        <v>115</v>
      </c>
      <c r="T1646" s="257">
        <f t="shared" si="57"/>
        <v>1566</v>
      </c>
      <c r="U1646" s="257">
        <f t="shared" si="58"/>
        <v>0</v>
      </c>
      <c r="V1646">
        <v>1</v>
      </c>
      <c r="W1646">
        <v>0</v>
      </c>
    </row>
    <row r="1647" spans="1:23" ht="39.6" x14ac:dyDescent="0.3">
      <c r="A1647" s="223">
        <v>40521</v>
      </c>
      <c r="B1647" s="223">
        <v>40521</v>
      </c>
      <c r="C1647" s="6">
        <v>12</v>
      </c>
      <c r="D1647" s="6">
        <v>1</v>
      </c>
      <c r="E1647" s="73">
        <v>2010</v>
      </c>
      <c r="F1647" s="15" t="s">
        <v>22</v>
      </c>
      <c r="G1647" s="133" t="s">
        <v>6256</v>
      </c>
      <c r="H1647" s="9" t="s">
        <v>52</v>
      </c>
      <c r="I1647" s="74" t="s">
        <v>448</v>
      </c>
      <c r="J1647" s="74" t="s">
        <v>2860</v>
      </c>
      <c r="K1647" s="75">
        <v>0</v>
      </c>
      <c r="L1647" s="241">
        <v>142</v>
      </c>
      <c r="M1647" s="75">
        <v>0</v>
      </c>
      <c r="N1647" s="75">
        <v>0</v>
      </c>
      <c r="O1647" s="75">
        <v>0</v>
      </c>
      <c r="P1647" s="75">
        <v>0</v>
      </c>
      <c r="Q1647" s="75">
        <v>369.5</v>
      </c>
      <c r="R1647" s="61">
        <v>6.6266129999999999</v>
      </c>
      <c r="S1647" s="73" t="s">
        <v>115</v>
      </c>
      <c r="T1647" s="257">
        <f t="shared" si="57"/>
        <v>142</v>
      </c>
      <c r="U1647" s="257">
        <f t="shared" si="58"/>
        <v>0</v>
      </c>
      <c r="V1647">
        <v>1</v>
      </c>
      <c r="W1647">
        <v>0</v>
      </c>
    </row>
    <row r="1648" spans="1:23" ht="26.4" x14ac:dyDescent="0.3">
      <c r="A1648" s="223">
        <v>40179</v>
      </c>
      <c r="B1648" s="223">
        <v>40543</v>
      </c>
      <c r="C1648" s="6">
        <v>1</v>
      </c>
      <c r="D1648" s="6">
        <v>365</v>
      </c>
      <c r="E1648" s="134">
        <v>2010</v>
      </c>
      <c r="F1648" s="15" t="s">
        <v>22</v>
      </c>
      <c r="G1648" s="18" t="s">
        <v>6255</v>
      </c>
      <c r="H1648" s="9" t="s">
        <v>34</v>
      </c>
      <c r="I1648" s="74" t="s">
        <v>1109</v>
      </c>
      <c r="J1648" s="74" t="s">
        <v>2861</v>
      </c>
      <c r="K1648" s="75">
        <v>28</v>
      </c>
      <c r="L1648" s="241">
        <v>28</v>
      </c>
      <c r="M1648" s="75">
        <v>0</v>
      </c>
      <c r="N1648" s="75">
        <v>0</v>
      </c>
      <c r="O1648" s="75">
        <v>0</v>
      </c>
      <c r="P1648" s="75">
        <v>0</v>
      </c>
      <c r="Q1648" s="75">
        <v>0</v>
      </c>
      <c r="R1648" s="61">
        <v>0</v>
      </c>
      <c r="S1648" s="73" t="s">
        <v>115</v>
      </c>
      <c r="T1648" s="257">
        <f t="shared" si="57"/>
        <v>56</v>
      </c>
      <c r="U1648" s="257">
        <f t="shared" si="58"/>
        <v>0</v>
      </c>
      <c r="V1648">
        <v>1</v>
      </c>
      <c r="W1648">
        <v>0</v>
      </c>
    </row>
    <row r="1649" spans="1:23" ht="26.4" x14ac:dyDescent="0.3">
      <c r="A1649" s="223">
        <v>40179</v>
      </c>
      <c r="B1649" s="223">
        <v>40543</v>
      </c>
      <c r="C1649" s="6">
        <v>1</v>
      </c>
      <c r="D1649" s="6">
        <v>365</v>
      </c>
      <c r="E1649" s="134">
        <v>2010</v>
      </c>
      <c r="F1649" s="15" t="s">
        <v>22</v>
      </c>
      <c r="G1649" s="18" t="s">
        <v>6255</v>
      </c>
      <c r="H1649" s="9" t="s">
        <v>64</v>
      </c>
      <c r="I1649" s="74" t="s">
        <v>1109</v>
      </c>
      <c r="J1649" s="74" t="s">
        <v>2862</v>
      </c>
      <c r="K1649" s="75">
        <v>2</v>
      </c>
      <c r="L1649" s="241">
        <v>2</v>
      </c>
      <c r="M1649" s="75">
        <v>0</v>
      </c>
      <c r="N1649" s="75">
        <v>0</v>
      </c>
      <c r="O1649" s="75">
        <v>0</v>
      </c>
      <c r="P1649" s="75">
        <v>0</v>
      </c>
      <c r="Q1649" s="75">
        <v>0</v>
      </c>
      <c r="R1649" s="61">
        <v>0</v>
      </c>
      <c r="S1649" s="73" t="s">
        <v>115</v>
      </c>
      <c r="T1649" s="257">
        <f t="shared" si="57"/>
        <v>4</v>
      </c>
      <c r="U1649" s="257">
        <f t="shared" si="58"/>
        <v>0</v>
      </c>
      <c r="V1649">
        <v>1</v>
      </c>
      <c r="W1649">
        <v>0</v>
      </c>
    </row>
    <row r="1650" spans="1:23" ht="26.4" x14ac:dyDescent="0.3">
      <c r="A1650" s="223">
        <v>40179</v>
      </c>
      <c r="B1650" s="223">
        <v>40543</v>
      </c>
      <c r="C1650" s="6">
        <v>1</v>
      </c>
      <c r="D1650" s="6">
        <v>365</v>
      </c>
      <c r="E1650" s="134">
        <v>2010</v>
      </c>
      <c r="F1650" s="15" t="s">
        <v>22</v>
      </c>
      <c r="G1650" s="18" t="s">
        <v>6255</v>
      </c>
      <c r="H1650" s="9" t="s">
        <v>37</v>
      </c>
      <c r="I1650" s="74" t="s">
        <v>1109</v>
      </c>
      <c r="J1650" s="74" t="s">
        <v>2863</v>
      </c>
      <c r="K1650" s="75">
        <v>3</v>
      </c>
      <c r="L1650" s="241">
        <v>3</v>
      </c>
      <c r="M1650" s="75">
        <v>0</v>
      </c>
      <c r="N1650" s="75">
        <v>0</v>
      </c>
      <c r="O1650" s="75">
        <v>0</v>
      </c>
      <c r="P1650" s="75">
        <v>0</v>
      </c>
      <c r="Q1650" s="75">
        <v>0</v>
      </c>
      <c r="R1650" s="61">
        <v>0</v>
      </c>
      <c r="S1650" s="73" t="s">
        <v>115</v>
      </c>
      <c r="T1650" s="257">
        <f t="shared" si="57"/>
        <v>6</v>
      </c>
      <c r="U1650" s="257">
        <f t="shared" si="58"/>
        <v>0</v>
      </c>
      <c r="V1650">
        <v>1</v>
      </c>
      <c r="W1650">
        <v>0</v>
      </c>
    </row>
    <row r="1651" spans="1:23" ht="26.4" x14ac:dyDescent="0.3">
      <c r="A1651" s="223">
        <v>40179</v>
      </c>
      <c r="B1651" s="223">
        <v>40543</v>
      </c>
      <c r="C1651" s="6">
        <v>1</v>
      </c>
      <c r="D1651" s="6">
        <v>365</v>
      </c>
      <c r="E1651" s="134">
        <v>2010</v>
      </c>
      <c r="F1651" s="15" t="s">
        <v>22</v>
      </c>
      <c r="G1651" s="18" t="s">
        <v>6255</v>
      </c>
      <c r="H1651" s="9" t="s">
        <v>57</v>
      </c>
      <c r="I1651" s="74" t="s">
        <v>1109</v>
      </c>
      <c r="J1651" s="74" t="s">
        <v>2862</v>
      </c>
      <c r="K1651" s="75">
        <v>2</v>
      </c>
      <c r="L1651" s="241">
        <v>2</v>
      </c>
      <c r="M1651" s="75">
        <v>0</v>
      </c>
      <c r="N1651" s="75">
        <v>0</v>
      </c>
      <c r="O1651" s="75">
        <v>0</v>
      </c>
      <c r="P1651" s="75">
        <v>0</v>
      </c>
      <c r="Q1651" s="75">
        <v>0</v>
      </c>
      <c r="R1651" s="61">
        <v>0</v>
      </c>
      <c r="S1651" s="73" t="s">
        <v>115</v>
      </c>
      <c r="T1651" s="257">
        <f t="shared" si="57"/>
        <v>4</v>
      </c>
      <c r="U1651" s="257">
        <f t="shared" si="58"/>
        <v>0</v>
      </c>
      <c r="V1651">
        <v>1</v>
      </c>
      <c r="W1651">
        <v>0</v>
      </c>
    </row>
    <row r="1652" spans="1:23" ht="26.4" x14ac:dyDescent="0.3">
      <c r="A1652" s="223">
        <v>40179</v>
      </c>
      <c r="B1652" s="223">
        <v>40543</v>
      </c>
      <c r="C1652" s="6">
        <v>1</v>
      </c>
      <c r="D1652" s="6">
        <v>365</v>
      </c>
      <c r="E1652" s="134">
        <v>2010</v>
      </c>
      <c r="F1652" s="15" t="s">
        <v>22</v>
      </c>
      <c r="G1652" s="18" t="s">
        <v>6255</v>
      </c>
      <c r="H1652" s="9" t="s">
        <v>66</v>
      </c>
      <c r="I1652" s="74" t="s">
        <v>1109</v>
      </c>
      <c r="J1652" s="74" t="s">
        <v>2864</v>
      </c>
      <c r="K1652" s="75">
        <v>1</v>
      </c>
      <c r="L1652" s="241">
        <v>1</v>
      </c>
      <c r="M1652" s="75">
        <v>0</v>
      </c>
      <c r="N1652" s="75">
        <v>0</v>
      </c>
      <c r="O1652" s="75">
        <v>0</v>
      </c>
      <c r="P1652" s="75">
        <v>0</v>
      </c>
      <c r="Q1652" s="75">
        <v>0</v>
      </c>
      <c r="R1652" s="61">
        <v>0</v>
      </c>
      <c r="S1652" s="73" t="s">
        <v>115</v>
      </c>
      <c r="T1652" s="257">
        <f t="shared" si="57"/>
        <v>2</v>
      </c>
      <c r="U1652" s="257">
        <f t="shared" si="58"/>
        <v>0</v>
      </c>
      <c r="V1652">
        <v>1</v>
      </c>
      <c r="W1652">
        <v>0</v>
      </c>
    </row>
    <row r="1653" spans="1:23" ht="26.4" x14ac:dyDescent="0.3">
      <c r="A1653" s="223">
        <v>40179</v>
      </c>
      <c r="B1653" s="223">
        <v>40543</v>
      </c>
      <c r="C1653" s="6">
        <v>1</v>
      </c>
      <c r="D1653" s="6">
        <v>365</v>
      </c>
      <c r="E1653" s="134">
        <v>2010</v>
      </c>
      <c r="F1653" s="15" t="s">
        <v>22</v>
      </c>
      <c r="G1653" s="18" t="s">
        <v>6255</v>
      </c>
      <c r="H1653" s="9" t="s">
        <v>121</v>
      </c>
      <c r="I1653" s="74" t="s">
        <v>1109</v>
      </c>
      <c r="J1653" s="74" t="s">
        <v>2864</v>
      </c>
      <c r="K1653" s="75">
        <v>1</v>
      </c>
      <c r="L1653" s="241">
        <v>1</v>
      </c>
      <c r="M1653" s="75">
        <v>0</v>
      </c>
      <c r="N1653" s="75">
        <v>0</v>
      </c>
      <c r="O1653" s="75">
        <v>0</v>
      </c>
      <c r="P1653" s="75">
        <v>0</v>
      </c>
      <c r="Q1653" s="75">
        <v>0</v>
      </c>
      <c r="R1653" s="61">
        <v>0</v>
      </c>
      <c r="S1653" s="73" t="s">
        <v>115</v>
      </c>
      <c r="T1653" s="257">
        <f t="shared" si="57"/>
        <v>2</v>
      </c>
      <c r="U1653" s="257">
        <f t="shared" si="58"/>
        <v>0</v>
      </c>
      <c r="V1653">
        <v>1</v>
      </c>
      <c r="W1653">
        <v>0</v>
      </c>
    </row>
    <row r="1654" spans="1:23" ht="26.4" x14ac:dyDescent="0.3">
      <c r="A1654" s="223">
        <v>40179</v>
      </c>
      <c r="B1654" s="223">
        <v>40543</v>
      </c>
      <c r="C1654" s="6">
        <v>1</v>
      </c>
      <c r="D1654" s="6">
        <v>365</v>
      </c>
      <c r="E1654" s="134">
        <v>2010</v>
      </c>
      <c r="F1654" s="15" t="s">
        <v>22</v>
      </c>
      <c r="G1654" s="18" t="s">
        <v>6255</v>
      </c>
      <c r="H1654" s="9" t="s">
        <v>88</v>
      </c>
      <c r="I1654" s="74" t="s">
        <v>1109</v>
      </c>
      <c r="J1654" s="74" t="s">
        <v>2862</v>
      </c>
      <c r="K1654" s="75">
        <v>2</v>
      </c>
      <c r="L1654" s="241">
        <v>2</v>
      </c>
      <c r="M1654" s="75">
        <v>0</v>
      </c>
      <c r="N1654" s="75">
        <v>0</v>
      </c>
      <c r="O1654" s="75">
        <v>0</v>
      </c>
      <c r="P1654" s="75">
        <v>0</v>
      </c>
      <c r="Q1654" s="75">
        <v>0</v>
      </c>
      <c r="R1654" s="61">
        <v>0</v>
      </c>
      <c r="S1654" s="73" t="s">
        <v>115</v>
      </c>
      <c r="T1654" s="257">
        <f t="shared" si="57"/>
        <v>4</v>
      </c>
      <c r="U1654" s="257">
        <f t="shared" si="58"/>
        <v>0</v>
      </c>
      <c r="V1654">
        <v>1</v>
      </c>
      <c r="W1654">
        <v>0</v>
      </c>
    </row>
    <row r="1655" spans="1:23" ht="26.4" x14ac:dyDescent="0.3">
      <c r="A1655" s="223">
        <v>40179</v>
      </c>
      <c r="B1655" s="223">
        <v>40543</v>
      </c>
      <c r="C1655" s="6">
        <v>1</v>
      </c>
      <c r="D1655" s="6">
        <v>365</v>
      </c>
      <c r="E1655" s="134">
        <v>2010</v>
      </c>
      <c r="F1655" s="15" t="s">
        <v>22</v>
      </c>
      <c r="G1655" s="18" t="s">
        <v>6255</v>
      </c>
      <c r="H1655" s="9" t="s">
        <v>174</v>
      </c>
      <c r="I1655" s="74" t="s">
        <v>1109</v>
      </c>
      <c r="J1655" s="74" t="s">
        <v>2864</v>
      </c>
      <c r="K1655" s="75">
        <v>1</v>
      </c>
      <c r="L1655" s="241">
        <v>1</v>
      </c>
      <c r="M1655" s="75">
        <v>0</v>
      </c>
      <c r="N1655" s="75">
        <v>0</v>
      </c>
      <c r="O1655" s="75">
        <v>0</v>
      </c>
      <c r="P1655" s="75">
        <v>0</v>
      </c>
      <c r="Q1655" s="75">
        <v>0</v>
      </c>
      <c r="R1655" s="61">
        <v>0</v>
      </c>
      <c r="S1655" s="73" t="s">
        <v>115</v>
      </c>
      <c r="T1655" s="257">
        <f t="shared" si="57"/>
        <v>2</v>
      </c>
      <c r="U1655" s="257">
        <f t="shared" si="58"/>
        <v>0</v>
      </c>
      <c r="V1655">
        <v>1</v>
      </c>
      <c r="W1655">
        <v>0</v>
      </c>
    </row>
    <row r="1656" spans="1:23" ht="26.4" x14ac:dyDescent="0.3">
      <c r="A1656" s="223">
        <v>40179</v>
      </c>
      <c r="B1656" s="223">
        <v>40543</v>
      </c>
      <c r="C1656" s="6">
        <v>1</v>
      </c>
      <c r="D1656" s="6">
        <v>365</v>
      </c>
      <c r="E1656" s="134">
        <v>2010</v>
      </c>
      <c r="F1656" s="15" t="s">
        <v>22</v>
      </c>
      <c r="G1656" s="18" t="s">
        <v>6255</v>
      </c>
      <c r="H1656" s="9" t="s">
        <v>74</v>
      </c>
      <c r="I1656" s="74" t="s">
        <v>1109</v>
      </c>
      <c r="J1656" s="74" t="s">
        <v>2864</v>
      </c>
      <c r="K1656" s="75">
        <v>1</v>
      </c>
      <c r="L1656" s="241">
        <v>1</v>
      </c>
      <c r="M1656" s="75">
        <v>0</v>
      </c>
      <c r="N1656" s="75">
        <v>0</v>
      </c>
      <c r="O1656" s="75">
        <v>0</v>
      </c>
      <c r="P1656" s="75">
        <v>0</v>
      </c>
      <c r="Q1656" s="75">
        <v>0</v>
      </c>
      <c r="R1656" s="61">
        <v>0</v>
      </c>
      <c r="S1656" s="73" t="s">
        <v>115</v>
      </c>
      <c r="T1656" s="257">
        <f t="shared" si="57"/>
        <v>2</v>
      </c>
      <c r="U1656" s="257">
        <f t="shared" si="58"/>
        <v>0</v>
      </c>
      <c r="V1656">
        <v>1</v>
      </c>
      <c r="W1656">
        <v>0</v>
      </c>
    </row>
    <row r="1657" spans="1:23" ht="250.8" x14ac:dyDescent="0.3">
      <c r="A1657" s="223">
        <v>40391</v>
      </c>
      <c r="B1657" s="223">
        <v>40391</v>
      </c>
      <c r="C1657" s="6">
        <v>8</v>
      </c>
      <c r="D1657" s="6">
        <v>1</v>
      </c>
      <c r="E1657" s="73">
        <v>2010</v>
      </c>
      <c r="F1657" s="15" t="s">
        <v>22</v>
      </c>
      <c r="G1657" s="16" t="s">
        <v>23</v>
      </c>
      <c r="H1657" s="9" t="s">
        <v>88</v>
      </c>
      <c r="I1657" s="74" t="s">
        <v>2865</v>
      </c>
      <c r="J1657" s="74" t="s">
        <v>2866</v>
      </c>
      <c r="K1657" s="75">
        <v>0</v>
      </c>
      <c r="L1657" s="241">
        <v>42702</v>
      </c>
      <c r="M1657" s="75">
        <v>0</v>
      </c>
      <c r="N1657" s="75">
        <v>0</v>
      </c>
      <c r="O1657" s="75">
        <v>0</v>
      </c>
      <c r="P1657" s="75">
        <v>0</v>
      </c>
      <c r="Q1657" s="75">
        <v>276331</v>
      </c>
      <c r="R1657" s="61">
        <v>2769.980701</v>
      </c>
      <c r="S1657" s="73" t="s">
        <v>115</v>
      </c>
      <c r="T1657" s="257">
        <f t="shared" si="57"/>
        <v>42702</v>
      </c>
      <c r="U1657" s="257">
        <f t="shared" si="58"/>
        <v>0</v>
      </c>
      <c r="V1657">
        <v>2</v>
      </c>
      <c r="W1657">
        <v>0</v>
      </c>
    </row>
    <row r="1658" spans="1:23" ht="79.2" x14ac:dyDescent="0.3">
      <c r="A1658" s="223">
        <v>40452</v>
      </c>
      <c r="B1658" s="223">
        <v>40452</v>
      </c>
      <c r="C1658" s="6">
        <v>10</v>
      </c>
      <c r="D1658" s="6">
        <v>1</v>
      </c>
      <c r="E1658" s="73">
        <v>2010</v>
      </c>
      <c r="F1658" s="15" t="s">
        <v>22</v>
      </c>
      <c r="G1658" s="16" t="s">
        <v>23</v>
      </c>
      <c r="H1658" s="9" t="s">
        <v>88</v>
      </c>
      <c r="I1658" s="74" t="s">
        <v>2867</v>
      </c>
      <c r="J1658" s="74" t="s">
        <v>2868</v>
      </c>
      <c r="K1658" s="75">
        <v>0</v>
      </c>
      <c r="L1658" s="241">
        <v>2028</v>
      </c>
      <c r="M1658" s="75">
        <v>0</v>
      </c>
      <c r="N1658" s="75">
        <v>0</v>
      </c>
      <c r="O1658" s="75">
        <v>0</v>
      </c>
      <c r="P1658" s="75">
        <v>0</v>
      </c>
      <c r="Q1658" s="75">
        <v>12703.31</v>
      </c>
      <c r="R1658" s="61">
        <v>99.271519799999993</v>
      </c>
      <c r="S1658" s="73" t="s">
        <v>115</v>
      </c>
      <c r="T1658" s="257">
        <f t="shared" si="57"/>
        <v>2028</v>
      </c>
      <c r="U1658" s="257">
        <f t="shared" si="58"/>
        <v>0</v>
      </c>
      <c r="V1658">
        <v>1</v>
      </c>
      <c r="W1658">
        <v>0</v>
      </c>
    </row>
    <row r="1659" spans="1:23" ht="159" x14ac:dyDescent="0.3">
      <c r="A1659" s="223">
        <v>40214</v>
      </c>
      <c r="B1659" s="223">
        <v>40214</v>
      </c>
      <c r="C1659" s="6">
        <v>2</v>
      </c>
      <c r="D1659" s="6">
        <v>1</v>
      </c>
      <c r="E1659" s="73">
        <v>2010</v>
      </c>
      <c r="F1659" s="7" t="s">
        <v>17</v>
      </c>
      <c r="G1659" s="28" t="s">
        <v>6261</v>
      </c>
      <c r="H1659" s="9" t="s">
        <v>52</v>
      </c>
      <c r="I1659" s="74" t="s">
        <v>2620</v>
      </c>
      <c r="J1659" s="132" t="s">
        <v>2869</v>
      </c>
      <c r="K1659" s="73">
        <v>16</v>
      </c>
      <c r="L1659" s="241">
        <v>16</v>
      </c>
      <c r="M1659" s="73">
        <v>0</v>
      </c>
      <c r="N1659" s="73">
        <v>0</v>
      </c>
      <c r="O1659" s="73">
        <v>0</v>
      </c>
      <c r="P1659" s="73">
        <v>0</v>
      </c>
      <c r="Q1659" s="73">
        <v>0</v>
      </c>
      <c r="R1659" s="61">
        <v>0</v>
      </c>
      <c r="S1659" s="73" t="s">
        <v>21</v>
      </c>
      <c r="T1659" s="257">
        <f t="shared" si="57"/>
        <v>32</v>
      </c>
      <c r="U1659" s="257">
        <f t="shared" si="58"/>
        <v>0</v>
      </c>
      <c r="V1659">
        <v>1</v>
      </c>
      <c r="W1659">
        <v>0</v>
      </c>
    </row>
    <row r="1660" spans="1:23" ht="172.2" x14ac:dyDescent="0.3">
      <c r="A1660" s="223">
        <v>40301</v>
      </c>
      <c r="B1660" s="223">
        <v>40301</v>
      </c>
      <c r="C1660" s="6">
        <v>5</v>
      </c>
      <c r="D1660" s="6">
        <v>1</v>
      </c>
      <c r="E1660" s="73">
        <v>2010</v>
      </c>
      <c r="F1660" s="7" t="s">
        <v>17</v>
      </c>
      <c r="G1660" s="28" t="s">
        <v>6261</v>
      </c>
      <c r="H1660" s="9" t="s">
        <v>27</v>
      </c>
      <c r="I1660" s="74" t="s">
        <v>671</v>
      </c>
      <c r="J1660" s="132" t="s">
        <v>2870</v>
      </c>
      <c r="K1660" s="73">
        <v>0</v>
      </c>
      <c r="L1660" s="241">
        <v>100</v>
      </c>
      <c r="M1660" s="73">
        <v>20</v>
      </c>
      <c r="N1660" s="73">
        <v>0</v>
      </c>
      <c r="O1660" s="73">
        <v>0</v>
      </c>
      <c r="P1660" s="73">
        <v>0</v>
      </c>
      <c r="Q1660" s="73">
        <v>0</v>
      </c>
      <c r="R1660" s="61">
        <v>1.6690970000000001</v>
      </c>
      <c r="S1660" s="73" t="s">
        <v>115</v>
      </c>
      <c r="T1660" s="257">
        <f t="shared" si="57"/>
        <v>100</v>
      </c>
      <c r="U1660" s="257">
        <f t="shared" si="58"/>
        <v>20</v>
      </c>
      <c r="V1660">
        <v>1</v>
      </c>
      <c r="W1660">
        <v>1</v>
      </c>
    </row>
    <row r="1661" spans="1:23" ht="409.6" x14ac:dyDescent="0.3">
      <c r="A1661" s="223">
        <v>40272</v>
      </c>
      <c r="B1661" s="223">
        <v>40272</v>
      </c>
      <c r="C1661" s="6">
        <v>4</v>
      </c>
      <c r="D1661" s="6">
        <v>1</v>
      </c>
      <c r="E1661" s="73">
        <v>2010</v>
      </c>
      <c r="F1661" s="7" t="s">
        <v>17</v>
      </c>
      <c r="G1661" s="133" t="s">
        <v>6260</v>
      </c>
      <c r="H1661" s="9" t="s">
        <v>27</v>
      </c>
      <c r="I1661" s="74" t="s">
        <v>652</v>
      </c>
      <c r="J1661" s="132" t="s">
        <v>2871</v>
      </c>
      <c r="K1661" s="73">
        <v>2</v>
      </c>
      <c r="L1661" s="241">
        <v>35233</v>
      </c>
      <c r="M1661" s="73">
        <v>3198</v>
      </c>
      <c r="N1661" s="73">
        <v>301</v>
      </c>
      <c r="O1661" s="73">
        <v>18</v>
      </c>
      <c r="P1661" s="73">
        <v>1362</v>
      </c>
      <c r="Q1661" s="73">
        <v>57000</v>
      </c>
      <c r="R1661" s="61">
        <v>8644.1</v>
      </c>
      <c r="S1661" s="73" t="s">
        <v>21</v>
      </c>
      <c r="T1661" s="257">
        <f t="shared" si="57"/>
        <v>35235</v>
      </c>
      <c r="U1661" s="257">
        <f t="shared" si="58"/>
        <v>4879</v>
      </c>
      <c r="V1661">
        <v>2</v>
      </c>
      <c r="W1661">
        <v>2</v>
      </c>
    </row>
    <row r="1662" spans="1:23" ht="106.2" x14ac:dyDescent="0.3">
      <c r="A1662" s="223">
        <v>40272</v>
      </c>
      <c r="B1662" s="223">
        <v>40272</v>
      </c>
      <c r="C1662" s="6">
        <v>4</v>
      </c>
      <c r="D1662" s="6">
        <v>1</v>
      </c>
      <c r="E1662" s="73">
        <v>2010</v>
      </c>
      <c r="F1662" s="7" t="s">
        <v>17</v>
      </c>
      <c r="G1662" s="133" t="s">
        <v>6260</v>
      </c>
      <c r="H1662" s="9" t="s">
        <v>74</v>
      </c>
      <c r="I1662" s="74" t="s">
        <v>2872</v>
      </c>
      <c r="J1662" s="132" t="s">
        <v>2873</v>
      </c>
      <c r="K1662" s="73">
        <v>0</v>
      </c>
      <c r="L1662" s="241">
        <v>3910</v>
      </c>
      <c r="M1662" s="73">
        <v>522</v>
      </c>
      <c r="N1662" s="73">
        <v>13</v>
      </c>
      <c r="O1662" s="73">
        <v>0</v>
      </c>
      <c r="P1662" s="73">
        <v>0</v>
      </c>
      <c r="Q1662" s="73">
        <v>0</v>
      </c>
      <c r="R1662" s="61">
        <v>132.45099999999999</v>
      </c>
      <c r="S1662" s="73" t="s">
        <v>149</v>
      </c>
      <c r="T1662" s="257">
        <f t="shared" si="57"/>
        <v>3910</v>
      </c>
      <c r="U1662" s="257">
        <f t="shared" si="58"/>
        <v>535</v>
      </c>
      <c r="V1662">
        <v>1</v>
      </c>
      <c r="W1662">
        <v>1</v>
      </c>
    </row>
    <row r="1663" spans="1:23" ht="53.4" x14ac:dyDescent="0.3">
      <c r="A1663" s="223">
        <v>40343</v>
      </c>
      <c r="B1663" s="223">
        <v>40343</v>
      </c>
      <c r="C1663" s="6">
        <v>6</v>
      </c>
      <c r="D1663" s="6">
        <v>1</v>
      </c>
      <c r="E1663" s="73">
        <v>2010</v>
      </c>
      <c r="F1663" s="7" t="s">
        <v>17</v>
      </c>
      <c r="G1663" s="133" t="s">
        <v>6260</v>
      </c>
      <c r="H1663" s="9" t="s">
        <v>27</v>
      </c>
      <c r="I1663" s="74" t="s">
        <v>652</v>
      </c>
      <c r="J1663" s="132" t="s">
        <v>2874</v>
      </c>
      <c r="K1663" s="73">
        <v>0</v>
      </c>
      <c r="L1663" s="241">
        <v>0</v>
      </c>
      <c r="M1663" s="73">
        <v>0</v>
      </c>
      <c r="N1663" s="73">
        <v>0</v>
      </c>
      <c r="O1663" s="73">
        <v>0</v>
      </c>
      <c r="P1663" s="73">
        <v>0</v>
      </c>
      <c r="Q1663" s="73">
        <v>0</v>
      </c>
      <c r="R1663" s="61">
        <v>0</v>
      </c>
      <c r="S1663" s="73" t="s">
        <v>115</v>
      </c>
      <c r="T1663" s="257">
        <f t="shared" si="57"/>
        <v>0</v>
      </c>
      <c r="U1663" s="257">
        <f t="shared" si="58"/>
        <v>0</v>
      </c>
      <c r="V1663">
        <v>0</v>
      </c>
      <c r="W1663">
        <v>0</v>
      </c>
    </row>
    <row r="1664" spans="1:23" ht="66.599999999999994" x14ac:dyDescent="0.3">
      <c r="A1664" s="223">
        <v>40399</v>
      </c>
      <c r="B1664" s="223">
        <v>40399</v>
      </c>
      <c r="C1664" s="6">
        <v>8</v>
      </c>
      <c r="D1664" s="6">
        <v>1</v>
      </c>
      <c r="E1664" s="73">
        <v>2010</v>
      </c>
      <c r="F1664" s="7" t="s">
        <v>17</v>
      </c>
      <c r="G1664" s="28" t="s">
        <v>6261</v>
      </c>
      <c r="H1664" s="9" t="s">
        <v>118</v>
      </c>
      <c r="I1664" s="74" t="s">
        <v>2296</v>
      </c>
      <c r="J1664" s="132" t="s">
        <v>2875</v>
      </c>
      <c r="K1664" s="73">
        <v>0</v>
      </c>
      <c r="L1664" s="241">
        <v>15</v>
      </c>
      <c r="M1664" s="73">
        <v>3</v>
      </c>
      <c r="N1664" s="73">
        <v>0</v>
      </c>
      <c r="O1664" s="73">
        <v>0</v>
      </c>
      <c r="P1664" s="73">
        <v>0</v>
      </c>
      <c r="Q1664" s="73">
        <v>0</v>
      </c>
      <c r="R1664" s="61">
        <v>8.3060999999999996E-2</v>
      </c>
      <c r="S1664" s="73" t="s">
        <v>115</v>
      </c>
      <c r="T1664" s="257">
        <f t="shared" si="57"/>
        <v>15</v>
      </c>
      <c r="U1664" s="257">
        <f t="shared" si="58"/>
        <v>3</v>
      </c>
      <c r="V1664">
        <v>1</v>
      </c>
      <c r="W1664">
        <v>1</v>
      </c>
    </row>
    <row r="1665" spans="1:23" ht="132.6" x14ac:dyDescent="0.3">
      <c r="A1665" s="223">
        <v>40403</v>
      </c>
      <c r="B1665" s="223">
        <v>40403</v>
      </c>
      <c r="C1665" s="6">
        <v>8</v>
      </c>
      <c r="D1665" s="6">
        <v>1</v>
      </c>
      <c r="E1665" s="73">
        <v>2010</v>
      </c>
      <c r="F1665" s="7" t="s">
        <v>17</v>
      </c>
      <c r="G1665" s="28" t="s">
        <v>6261</v>
      </c>
      <c r="H1665" s="9" t="s">
        <v>118</v>
      </c>
      <c r="I1665" s="74" t="s">
        <v>2296</v>
      </c>
      <c r="J1665" s="132" t="s">
        <v>2876</v>
      </c>
      <c r="K1665" s="73">
        <v>0</v>
      </c>
      <c r="L1665" s="241">
        <v>50</v>
      </c>
      <c r="M1665" s="73">
        <v>0</v>
      </c>
      <c r="N1665" s="73">
        <v>0</v>
      </c>
      <c r="O1665" s="73">
        <v>0</v>
      </c>
      <c r="P1665" s="73">
        <v>0</v>
      </c>
      <c r="Q1665" s="73">
        <v>0</v>
      </c>
      <c r="R1665" s="61">
        <v>0</v>
      </c>
      <c r="S1665" s="73" t="s">
        <v>115</v>
      </c>
      <c r="T1665" s="257">
        <f t="shared" si="57"/>
        <v>50</v>
      </c>
      <c r="U1665" s="257">
        <f t="shared" si="58"/>
        <v>0</v>
      </c>
      <c r="V1665">
        <v>1</v>
      </c>
      <c r="W1665">
        <v>0</v>
      </c>
    </row>
    <row r="1666" spans="1:23" ht="119.4" x14ac:dyDescent="0.3">
      <c r="A1666" s="223">
        <v>40412</v>
      </c>
      <c r="B1666" s="223">
        <v>40412</v>
      </c>
      <c r="C1666" s="6">
        <v>8</v>
      </c>
      <c r="D1666" s="6">
        <v>1</v>
      </c>
      <c r="E1666" s="73">
        <v>2010</v>
      </c>
      <c r="F1666" s="7" t="s">
        <v>17</v>
      </c>
      <c r="G1666" s="8" t="s">
        <v>6261</v>
      </c>
      <c r="H1666" s="9" t="s">
        <v>46</v>
      </c>
      <c r="I1666" s="74" t="s">
        <v>2877</v>
      </c>
      <c r="J1666" s="132" t="s">
        <v>2878</v>
      </c>
      <c r="K1666" s="73">
        <v>0</v>
      </c>
      <c r="L1666" s="241">
        <v>5</v>
      </c>
      <c r="M1666" s="73">
        <v>0</v>
      </c>
      <c r="N1666" s="73">
        <v>0</v>
      </c>
      <c r="O1666" s="73">
        <v>0</v>
      </c>
      <c r="P1666" s="73">
        <v>0</v>
      </c>
      <c r="Q1666" s="73">
        <v>0</v>
      </c>
      <c r="R1666" s="61">
        <v>0</v>
      </c>
      <c r="S1666" s="73" t="s">
        <v>115</v>
      </c>
      <c r="T1666" s="257">
        <f t="shared" si="57"/>
        <v>5</v>
      </c>
      <c r="U1666" s="257">
        <f t="shared" si="58"/>
        <v>0</v>
      </c>
      <c r="V1666">
        <v>1</v>
      </c>
      <c r="W1666">
        <v>0</v>
      </c>
    </row>
    <row r="1667" spans="1:23" ht="27" x14ac:dyDescent="0.3">
      <c r="A1667" s="223">
        <v>40413</v>
      </c>
      <c r="B1667" s="223">
        <v>40413</v>
      </c>
      <c r="C1667" s="6">
        <v>8</v>
      </c>
      <c r="D1667" s="6">
        <v>1</v>
      </c>
      <c r="E1667" s="73">
        <v>2010</v>
      </c>
      <c r="F1667" s="7" t="s">
        <v>17</v>
      </c>
      <c r="G1667" s="133" t="s">
        <v>6260</v>
      </c>
      <c r="H1667" s="9" t="s">
        <v>51</v>
      </c>
      <c r="I1667" s="74" t="s">
        <v>2879</v>
      </c>
      <c r="J1667" s="132" t="s">
        <v>2880</v>
      </c>
      <c r="K1667" s="73">
        <v>0</v>
      </c>
      <c r="L1667" s="241">
        <v>0</v>
      </c>
      <c r="M1667" s="73">
        <v>0</v>
      </c>
      <c r="N1667" s="73">
        <v>0</v>
      </c>
      <c r="O1667" s="73">
        <v>0</v>
      </c>
      <c r="P1667" s="73">
        <v>0</v>
      </c>
      <c r="Q1667" s="73">
        <v>0</v>
      </c>
      <c r="R1667" s="61">
        <v>0</v>
      </c>
      <c r="S1667" s="73" t="s">
        <v>115</v>
      </c>
      <c r="T1667" s="257">
        <f t="shared" ref="T1667:T1730" si="59">SUM(K1667:L1667)</f>
        <v>0</v>
      </c>
      <c r="U1667" s="257">
        <f t="shared" ref="U1667:U1730" si="60">SUM(M1667:P1667)</f>
        <v>0</v>
      </c>
      <c r="V1667">
        <v>0</v>
      </c>
      <c r="W1667">
        <v>0</v>
      </c>
    </row>
    <row r="1668" spans="1:23" ht="53.4" x14ac:dyDescent="0.3">
      <c r="A1668" s="223">
        <v>40421</v>
      </c>
      <c r="B1668" s="223">
        <v>40421</v>
      </c>
      <c r="C1668" s="6">
        <v>8</v>
      </c>
      <c r="D1668" s="6">
        <v>1</v>
      </c>
      <c r="E1668" s="73">
        <v>2010</v>
      </c>
      <c r="F1668" s="7" t="s">
        <v>17</v>
      </c>
      <c r="G1668" s="8" t="s">
        <v>6261</v>
      </c>
      <c r="H1668" s="9" t="s">
        <v>51</v>
      </c>
      <c r="I1668" s="74" t="s">
        <v>2881</v>
      </c>
      <c r="J1668" s="132" t="s">
        <v>2882</v>
      </c>
      <c r="K1668" s="73">
        <v>0</v>
      </c>
      <c r="L1668" s="241">
        <v>3</v>
      </c>
      <c r="M1668" s="73">
        <v>0</v>
      </c>
      <c r="N1668" s="73">
        <v>0</v>
      </c>
      <c r="O1668" s="73">
        <v>0</v>
      </c>
      <c r="P1668" s="73">
        <v>0</v>
      </c>
      <c r="Q1668" s="73">
        <v>0</v>
      </c>
      <c r="R1668" s="61">
        <v>0</v>
      </c>
      <c r="S1668" s="73" t="s">
        <v>115</v>
      </c>
      <c r="T1668" s="257">
        <f t="shared" si="59"/>
        <v>3</v>
      </c>
      <c r="U1668" s="257">
        <f t="shared" si="60"/>
        <v>0</v>
      </c>
      <c r="V1668">
        <v>1</v>
      </c>
      <c r="W1668">
        <v>0</v>
      </c>
    </row>
    <row r="1669" spans="1:23" ht="27" x14ac:dyDescent="0.3">
      <c r="A1669" s="223">
        <v>40420</v>
      </c>
      <c r="B1669" s="223">
        <v>40420</v>
      </c>
      <c r="C1669" s="6">
        <v>8</v>
      </c>
      <c r="D1669" s="6">
        <v>1</v>
      </c>
      <c r="E1669" s="73">
        <v>2010</v>
      </c>
      <c r="F1669" s="7" t="s">
        <v>17</v>
      </c>
      <c r="G1669" s="28" t="s">
        <v>6261</v>
      </c>
      <c r="H1669" s="9" t="s">
        <v>31</v>
      </c>
      <c r="I1669" s="74" t="s">
        <v>2883</v>
      </c>
      <c r="J1669" s="132" t="s">
        <v>2884</v>
      </c>
      <c r="K1669" s="73">
        <v>0</v>
      </c>
      <c r="L1669" s="241">
        <v>200</v>
      </c>
      <c r="M1669" s="73">
        <v>40</v>
      </c>
      <c r="N1669" s="73">
        <v>0</v>
      </c>
      <c r="O1669" s="73">
        <v>0</v>
      </c>
      <c r="P1669" s="73">
        <v>0</v>
      </c>
      <c r="Q1669" s="73">
        <v>0</v>
      </c>
      <c r="R1669" s="61">
        <v>0.34952</v>
      </c>
      <c r="S1669" s="73" t="s">
        <v>115</v>
      </c>
      <c r="T1669" s="257">
        <f t="shared" si="59"/>
        <v>200</v>
      </c>
      <c r="U1669" s="257">
        <f t="shared" si="60"/>
        <v>40</v>
      </c>
      <c r="V1669">
        <v>1</v>
      </c>
      <c r="W1669">
        <v>1</v>
      </c>
    </row>
    <row r="1670" spans="1:23" ht="66.599999999999994" x14ac:dyDescent="0.3">
      <c r="A1670" s="223">
        <v>40428</v>
      </c>
      <c r="B1670" s="223">
        <v>40428</v>
      </c>
      <c r="C1670" s="6">
        <v>9</v>
      </c>
      <c r="D1670" s="6">
        <v>1</v>
      </c>
      <c r="E1670" s="73">
        <v>2010</v>
      </c>
      <c r="F1670" s="7" t="s">
        <v>17</v>
      </c>
      <c r="G1670" s="8" t="s">
        <v>6261</v>
      </c>
      <c r="H1670" s="9" t="s">
        <v>74</v>
      </c>
      <c r="I1670" s="74" t="s">
        <v>2885</v>
      </c>
      <c r="J1670" s="132" t="s">
        <v>2886</v>
      </c>
      <c r="K1670" s="73">
        <v>1</v>
      </c>
      <c r="L1670" s="241">
        <v>1</v>
      </c>
      <c r="M1670" s="73">
        <v>0</v>
      </c>
      <c r="N1670" s="73">
        <v>0</v>
      </c>
      <c r="O1670" s="73">
        <v>0</v>
      </c>
      <c r="P1670" s="73">
        <v>0</v>
      </c>
      <c r="Q1670" s="73">
        <v>0</v>
      </c>
      <c r="R1670" s="61">
        <v>0</v>
      </c>
      <c r="S1670" s="73" t="s">
        <v>115</v>
      </c>
      <c r="T1670" s="257">
        <f t="shared" si="59"/>
        <v>2</v>
      </c>
      <c r="U1670" s="257">
        <f t="shared" si="60"/>
        <v>0</v>
      </c>
      <c r="V1670">
        <v>1</v>
      </c>
      <c r="W1670">
        <v>0</v>
      </c>
    </row>
    <row r="1671" spans="1:23" ht="102.6" x14ac:dyDescent="0.3">
      <c r="A1671" s="213">
        <v>42612</v>
      </c>
      <c r="B1671" s="213">
        <v>42612</v>
      </c>
      <c r="C1671" s="6">
        <v>8</v>
      </c>
      <c r="D1671" s="6">
        <v>1</v>
      </c>
      <c r="E1671" s="27">
        <v>2016</v>
      </c>
      <c r="F1671" s="15" t="s">
        <v>22</v>
      </c>
      <c r="G1671" s="28" t="s">
        <v>6256</v>
      </c>
      <c r="H1671" s="9" t="s">
        <v>48</v>
      </c>
      <c r="I1671" s="29" t="s">
        <v>2887</v>
      </c>
      <c r="J1671" s="29" t="s">
        <v>2888</v>
      </c>
      <c r="K1671" s="27">
        <v>0</v>
      </c>
      <c r="L1671" s="235">
        <v>0</v>
      </c>
      <c r="M1671" s="27">
        <v>44</v>
      </c>
      <c r="N1671" s="27">
        <v>0</v>
      </c>
      <c r="O1671" s="27">
        <v>0</v>
      </c>
      <c r="P1671" s="27">
        <v>0</v>
      </c>
      <c r="Q1671" s="31">
        <v>0</v>
      </c>
      <c r="R1671" s="135">
        <f>(M1671*5500)/1000000</f>
        <v>0.24199999999999999</v>
      </c>
      <c r="S1671" s="27" t="s">
        <v>115</v>
      </c>
      <c r="T1671" s="257">
        <f t="shared" si="59"/>
        <v>0</v>
      </c>
      <c r="U1671" s="257">
        <f t="shared" si="60"/>
        <v>44</v>
      </c>
      <c r="V1671">
        <v>0</v>
      </c>
      <c r="W1671">
        <v>1</v>
      </c>
    </row>
    <row r="1672" spans="1:23" ht="53.4" x14ac:dyDescent="0.3">
      <c r="A1672" s="223">
        <v>40432</v>
      </c>
      <c r="B1672" s="223">
        <v>40432</v>
      </c>
      <c r="C1672" s="6">
        <v>9</v>
      </c>
      <c r="D1672" s="6">
        <v>1</v>
      </c>
      <c r="E1672" s="73">
        <v>2010</v>
      </c>
      <c r="F1672" s="7" t="s">
        <v>17</v>
      </c>
      <c r="G1672" s="28" t="s">
        <v>6261</v>
      </c>
      <c r="H1672" s="9" t="s">
        <v>72</v>
      </c>
      <c r="I1672" s="74" t="s">
        <v>870</v>
      </c>
      <c r="J1672" s="132" t="s">
        <v>2889</v>
      </c>
      <c r="K1672" s="73">
        <v>0</v>
      </c>
      <c r="L1672" s="241">
        <v>350</v>
      </c>
      <c r="M1672" s="73">
        <v>70</v>
      </c>
      <c r="N1672" s="73">
        <v>0</v>
      </c>
      <c r="O1672" s="73">
        <v>0</v>
      </c>
      <c r="P1672" s="73">
        <v>0</v>
      </c>
      <c r="Q1672" s="73">
        <v>0</v>
      </c>
      <c r="R1672" s="61">
        <v>0.3584</v>
      </c>
      <c r="S1672" s="73" t="s">
        <v>115</v>
      </c>
      <c r="T1672" s="257">
        <f t="shared" si="59"/>
        <v>350</v>
      </c>
      <c r="U1672" s="257">
        <f t="shared" si="60"/>
        <v>70</v>
      </c>
      <c r="V1672">
        <v>1</v>
      </c>
      <c r="W1672">
        <v>1</v>
      </c>
    </row>
    <row r="1673" spans="1:23" ht="53.4" x14ac:dyDescent="0.3">
      <c r="A1673" s="223">
        <v>40441</v>
      </c>
      <c r="B1673" s="223">
        <v>40441</v>
      </c>
      <c r="C1673" s="6">
        <v>9</v>
      </c>
      <c r="D1673" s="6">
        <v>1</v>
      </c>
      <c r="E1673" s="73">
        <v>2010</v>
      </c>
      <c r="F1673" s="7" t="s">
        <v>17</v>
      </c>
      <c r="G1673" s="28" t="s">
        <v>6261</v>
      </c>
      <c r="H1673" s="9" t="s">
        <v>43</v>
      </c>
      <c r="I1673" s="74" t="s">
        <v>1879</v>
      </c>
      <c r="J1673" s="132" t="s">
        <v>2890</v>
      </c>
      <c r="K1673" s="73">
        <v>10</v>
      </c>
      <c r="L1673" s="241">
        <v>15</v>
      </c>
      <c r="M1673" s="73">
        <v>0</v>
      </c>
      <c r="N1673" s="73">
        <v>0</v>
      </c>
      <c r="O1673" s="73">
        <v>0</v>
      </c>
      <c r="P1673" s="73">
        <v>0</v>
      </c>
      <c r="Q1673" s="73">
        <v>0</v>
      </c>
      <c r="R1673" s="61">
        <v>0</v>
      </c>
      <c r="S1673" s="73" t="s">
        <v>115</v>
      </c>
      <c r="T1673" s="257">
        <f t="shared" si="59"/>
        <v>25</v>
      </c>
      <c r="U1673" s="257">
        <f t="shared" si="60"/>
        <v>0</v>
      </c>
      <c r="V1673">
        <v>1</v>
      </c>
      <c r="W1673">
        <v>0</v>
      </c>
    </row>
    <row r="1674" spans="1:23" ht="125.4" x14ac:dyDescent="0.3">
      <c r="A1674" s="211">
        <v>41122</v>
      </c>
      <c r="B1674" s="211">
        <v>41123</v>
      </c>
      <c r="C1674" s="6">
        <v>8</v>
      </c>
      <c r="D1674" s="6">
        <v>2</v>
      </c>
      <c r="E1674" s="19">
        <v>2012</v>
      </c>
      <c r="F1674" s="15" t="s">
        <v>22</v>
      </c>
      <c r="G1674" s="18" t="s">
        <v>6256</v>
      </c>
      <c r="H1674" s="9" t="s">
        <v>48</v>
      </c>
      <c r="I1674" s="20" t="s">
        <v>829</v>
      </c>
      <c r="J1674" s="21" t="s">
        <v>2891</v>
      </c>
      <c r="K1674" s="43">
        <v>0</v>
      </c>
      <c r="L1674" s="234">
        <v>44</v>
      </c>
      <c r="M1674" s="23">
        <v>8</v>
      </c>
      <c r="N1674" s="23">
        <v>0</v>
      </c>
      <c r="O1674" s="23">
        <v>0</v>
      </c>
      <c r="P1674" s="23">
        <v>0</v>
      </c>
      <c r="Q1674" s="23">
        <v>0</v>
      </c>
      <c r="R1674" s="24">
        <f>((8*28000)+(18*329)+(16*208)+(6*71)+(8*251)+(8*157))/1000000</f>
        <v>0.23694000000000001</v>
      </c>
      <c r="S1674" s="6" t="s">
        <v>115</v>
      </c>
      <c r="T1674" s="257">
        <f t="shared" si="59"/>
        <v>44</v>
      </c>
      <c r="U1674" s="257">
        <f t="shared" si="60"/>
        <v>8</v>
      </c>
      <c r="V1674">
        <v>1</v>
      </c>
      <c r="W1674">
        <v>1</v>
      </c>
    </row>
    <row r="1675" spans="1:23" ht="79.8" x14ac:dyDescent="0.3">
      <c r="A1675" s="212">
        <v>40736</v>
      </c>
      <c r="B1675" s="212">
        <v>40736</v>
      </c>
      <c r="C1675" s="6">
        <v>7</v>
      </c>
      <c r="D1675" s="6">
        <v>1</v>
      </c>
      <c r="E1675" s="6">
        <v>2011</v>
      </c>
      <c r="F1675" s="15" t="s">
        <v>22</v>
      </c>
      <c r="G1675" s="18" t="s">
        <v>6256</v>
      </c>
      <c r="H1675" s="9" t="s">
        <v>48</v>
      </c>
      <c r="I1675" s="53" t="s">
        <v>2892</v>
      </c>
      <c r="J1675" s="53" t="s">
        <v>2893</v>
      </c>
      <c r="K1675" s="13">
        <v>0</v>
      </c>
      <c r="L1675" s="233">
        <v>120</v>
      </c>
      <c r="M1675" s="13">
        <v>24</v>
      </c>
      <c r="N1675" s="13">
        <v>0</v>
      </c>
      <c r="O1675" s="13">
        <v>0</v>
      </c>
      <c r="P1675" s="13">
        <v>0</v>
      </c>
      <c r="Q1675" s="13">
        <v>0</v>
      </c>
      <c r="R1675" s="26">
        <v>0.22900000000000001</v>
      </c>
      <c r="S1675" s="19" t="s">
        <v>115</v>
      </c>
      <c r="T1675" s="257">
        <f t="shared" si="59"/>
        <v>120</v>
      </c>
      <c r="U1675" s="257">
        <f t="shared" si="60"/>
        <v>24</v>
      </c>
      <c r="V1675">
        <v>1</v>
      </c>
      <c r="W1675">
        <v>1</v>
      </c>
    </row>
    <row r="1676" spans="1:23" ht="22.8" x14ac:dyDescent="0.3">
      <c r="A1676" s="129">
        <v>40069</v>
      </c>
      <c r="B1676" s="129">
        <v>40069</v>
      </c>
      <c r="C1676" s="6">
        <v>9</v>
      </c>
      <c r="D1676" s="6">
        <v>1</v>
      </c>
      <c r="E1676" s="19">
        <v>2009</v>
      </c>
      <c r="F1676" s="15" t="s">
        <v>22</v>
      </c>
      <c r="G1676" s="16" t="s">
        <v>6256</v>
      </c>
      <c r="H1676" s="9" t="s">
        <v>48</v>
      </c>
      <c r="I1676" s="17" t="s">
        <v>2894</v>
      </c>
      <c r="J1676" s="17" t="s">
        <v>2895</v>
      </c>
      <c r="K1676" s="23">
        <v>0</v>
      </c>
      <c r="L1676" s="234">
        <v>215</v>
      </c>
      <c r="M1676" s="23">
        <v>43</v>
      </c>
      <c r="N1676" s="23">
        <v>0</v>
      </c>
      <c r="O1676" s="23">
        <v>0</v>
      </c>
      <c r="P1676" s="23">
        <v>0</v>
      </c>
      <c r="Q1676" s="92">
        <v>0</v>
      </c>
      <c r="R1676" s="93">
        <f>(M1676*5120)/1000000</f>
        <v>0.22015999999999999</v>
      </c>
      <c r="S1676" s="19" t="s">
        <v>115</v>
      </c>
      <c r="T1676" s="257">
        <f t="shared" si="59"/>
        <v>215</v>
      </c>
      <c r="U1676" s="257">
        <f t="shared" si="60"/>
        <v>43</v>
      </c>
      <c r="V1676">
        <v>1</v>
      </c>
      <c r="W1676">
        <v>1</v>
      </c>
    </row>
    <row r="1677" spans="1:23" ht="57" x14ac:dyDescent="0.3">
      <c r="A1677" s="212">
        <v>38169</v>
      </c>
      <c r="B1677" s="212">
        <v>38169</v>
      </c>
      <c r="C1677" s="6">
        <v>7</v>
      </c>
      <c r="D1677" s="6">
        <v>1</v>
      </c>
      <c r="E1677" s="6">
        <v>2004</v>
      </c>
      <c r="F1677" s="15" t="s">
        <v>22</v>
      </c>
      <c r="G1677" s="18" t="s">
        <v>6256</v>
      </c>
      <c r="H1677" s="9" t="s">
        <v>48</v>
      </c>
      <c r="I1677" s="17" t="s">
        <v>2896</v>
      </c>
      <c r="J1677" s="53" t="s">
        <v>2897</v>
      </c>
      <c r="K1677" s="13">
        <v>0</v>
      </c>
      <c r="L1677" s="233">
        <v>190</v>
      </c>
      <c r="M1677" s="13">
        <v>38</v>
      </c>
      <c r="N1677" s="13">
        <v>0</v>
      </c>
      <c r="O1677" s="13">
        <v>0</v>
      </c>
      <c r="P1677" s="13">
        <v>0</v>
      </c>
      <c r="Q1677" s="13">
        <v>0</v>
      </c>
      <c r="R1677" s="26">
        <v>0.22</v>
      </c>
      <c r="S1677" s="7" t="s">
        <v>115</v>
      </c>
      <c r="T1677" s="257">
        <f t="shared" si="59"/>
        <v>190</v>
      </c>
      <c r="U1677" s="257">
        <f t="shared" si="60"/>
        <v>38</v>
      </c>
      <c r="V1677">
        <v>1</v>
      </c>
      <c r="W1677">
        <v>1</v>
      </c>
    </row>
    <row r="1678" spans="1:23" ht="57" x14ac:dyDescent="0.3">
      <c r="A1678" s="212">
        <v>38164</v>
      </c>
      <c r="B1678" s="212">
        <v>38164</v>
      </c>
      <c r="C1678" s="6">
        <v>6</v>
      </c>
      <c r="D1678" s="6">
        <v>1</v>
      </c>
      <c r="E1678" s="6">
        <v>2004</v>
      </c>
      <c r="F1678" s="15" t="s">
        <v>22</v>
      </c>
      <c r="G1678" s="18" t="s">
        <v>6256</v>
      </c>
      <c r="H1678" s="9" t="s">
        <v>48</v>
      </c>
      <c r="I1678" s="17" t="s">
        <v>1035</v>
      </c>
      <c r="J1678" s="53" t="s">
        <v>2898</v>
      </c>
      <c r="K1678" s="13">
        <v>0</v>
      </c>
      <c r="L1678" s="233">
        <v>151</v>
      </c>
      <c r="M1678" s="13">
        <v>31</v>
      </c>
      <c r="N1678" s="13">
        <v>0</v>
      </c>
      <c r="O1678" s="13">
        <v>0</v>
      </c>
      <c r="P1678" s="13">
        <v>0</v>
      </c>
      <c r="Q1678" s="13">
        <v>0</v>
      </c>
      <c r="R1678" s="26">
        <v>0.21</v>
      </c>
      <c r="S1678" s="7" t="s">
        <v>115</v>
      </c>
      <c r="T1678" s="257">
        <f t="shared" si="59"/>
        <v>151</v>
      </c>
      <c r="U1678" s="257">
        <f t="shared" si="60"/>
        <v>31</v>
      </c>
      <c r="V1678">
        <v>1</v>
      </c>
      <c r="W1678">
        <v>1</v>
      </c>
    </row>
    <row r="1679" spans="1:23" ht="66.599999999999994" x14ac:dyDescent="0.3">
      <c r="A1679" s="223">
        <v>40472</v>
      </c>
      <c r="B1679" s="223">
        <v>40472</v>
      </c>
      <c r="C1679" s="6">
        <v>10</v>
      </c>
      <c r="D1679" s="6">
        <v>1</v>
      </c>
      <c r="E1679" s="73">
        <v>2010</v>
      </c>
      <c r="F1679" s="7" t="s">
        <v>17</v>
      </c>
      <c r="G1679" s="28" t="s">
        <v>6261</v>
      </c>
      <c r="H1679" s="9" t="s">
        <v>31</v>
      </c>
      <c r="I1679" s="74" t="s">
        <v>2899</v>
      </c>
      <c r="J1679" s="132" t="s">
        <v>2900</v>
      </c>
      <c r="K1679" s="73">
        <v>0</v>
      </c>
      <c r="L1679" s="241">
        <v>156</v>
      </c>
      <c r="M1679" s="73">
        <v>34</v>
      </c>
      <c r="N1679" s="73">
        <v>0</v>
      </c>
      <c r="O1679" s="73">
        <v>0</v>
      </c>
      <c r="P1679" s="73">
        <v>0</v>
      </c>
      <c r="Q1679" s="73">
        <v>0</v>
      </c>
      <c r="R1679" s="61">
        <v>3.2607360000000001</v>
      </c>
      <c r="S1679" s="73" t="s">
        <v>115</v>
      </c>
      <c r="T1679" s="257">
        <f t="shared" si="59"/>
        <v>156</v>
      </c>
      <c r="U1679" s="257">
        <f t="shared" si="60"/>
        <v>34</v>
      </c>
      <c r="V1679">
        <v>1</v>
      </c>
      <c r="W1679">
        <v>1</v>
      </c>
    </row>
    <row r="1680" spans="1:23" ht="132.6" x14ac:dyDescent="0.3">
      <c r="A1680" s="223">
        <v>40474</v>
      </c>
      <c r="B1680" s="223">
        <v>40474</v>
      </c>
      <c r="C1680" s="6">
        <v>10</v>
      </c>
      <c r="D1680" s="6">
        <v>1</v>
      </c>
      <c r="E1680" s="73">
        <v>2010</v>
      </c>
      <c r="F1680" s="7" t="s">
        <v>17</v>
      </c>
      <c r="G1680" s="28" t="s">
        <v>6261</v>
      </c>
      <c r="H1680" s="9" t="s">
        <v>61</v>
      </c>
      <c r="I1680" s="74" t="s">
        <v>2901</v>
      </c>
      <c r="J1680" s="132" t="s">
        <v>2902</v>
      </c>
      <c r="K1680" s="73">
        <v>0</v>
      </c>
      <c r="L1680" s="241">
        <v>175</v>
      </c>
      <c r="M1680" s="73">
        <v>35</v>
      </c>
      <c r="N1680" s="73">
        <v>0</v>
      </c>
      <c r="O1680" s="73">
        <v>0</v>
      </c>
      <c r="P1680" s="73">
        <v>0</v>
      </c>
      <c r="Q1680" s="73">
        <v>0</v>
      </c>
      <c r="R1680" s="61">
        <v>33.566400000000002</v>
      </c>
      <c r="S1680" s="73" t="s">
        <v>115</v>
      </c>
      <c r="T1680" s="257">
        <f t="shared" si="59"/>
        <v>175</v>
      </c>
      <c r="U1680" s="257">
        <f t="shared" si="60"/>
        <v>35</v>
      </c>
      <c r="V1680">
        <v>1</v>
      </c>
      <c r="W1680">
        <v>1</v>
      </c>
    </row>
    <row r="1681" spans="1:23" ht="79.8" x14ac:dyDescent="0.3">
      <c r="A1681" s="223">
        <v>40477</v>
      </c>
      <c r="B1681" s="223">
        <v>40477</v>
      </c>
      <c r="C1681" s="6">
        <v>10</v>
      </c>
      <c r="D1681" s="6">
        <v>1</v>
      </c>
      <c r="E1681" s="73">
        <v>2010</v>
      </c>
      <c r="F1681" s="7" t="s">
        <v>17</v>
      </c>
      <c r="G1681" s="28" t="s">
        <v>6261</v>
      </c>
      <c r="H1681" s="9" t="s">
        <v>43</v>
      </c>
      <c r="I1681" s="74" t="s">
        <v>2903</v>
      </c>
      <c r="J1681" s="132" t="s">
        <v>2904</v>
      </c>
      <c r="K1681" s="73">
        <v>0</v>
      </c>
      <c r="L1681" s="241">
        <v>0</v>
      </c>
      <c r="M1681" s="73">
        <v>0</v>
      </c>
      <c r="N1681" s="73">
        <v>0</v>
      </c>
      <c r="O1681" s="73">
        <v>0</v>
      </c>
      <c r="P1681" s="73">
        <v>0</v>
      </c>
      <c r="Q1681" s="73">
        <v>0</v>
      </c>
      <c r="R1681" s="61">
        <v>0</v>
      </c>
      <c r="S1681" s="73" t="s">
        <v>115</v>
      </c>
      <c r="T1681" s="257">
        <f t="shared" si="59"/>
        <v>0</v>
      </c>
      <c r="U1681" s="257">
        <f t="shared" si="60"/>
        <v>0</v>
      </c>
      <c r="V1681">
        <v>0</v>
      </c>
      <c r="W1681">
        <v>0</v>
      </c>
    </row>
    <row r="1682" spans="1:23" ht="172.2" x14ac:dyDescent="0.3">
      <c r="A1682" s="223">
        <v>40398</v>
      </c>
      <c r="B1682" s="223">
        <v>40398</v>
      </c>
      <c r="C1682" s="6">
        <v>8</v>
      </c>
      <c r="D1682" s="6">
        <v>1</v>
      </c>
      <c r="E1682" s="73">
        <v>2010</v>
      </c>
      <c r="F1682" s="7" t="s">
        <v>17</v>
      </c>
      <c r="G1682" s="28" t="s">
        <v>6261</v>
      </c>
      <c r="H1682" s="9" t="s">
        <v>31</v>
      </c>
      <c r="I1682" s="74" t="s">
        <v>2905</v>
      </c>
      <c r="J1682" s="132" t="s">
        <v>2906</v>
      </c>
      <c r="K1682" s="73">
        <v>19</v>
      </c>
      <c r="L1682" s="241">
        <v>19</v>
      </c>
      <c r="M1682" s="73">
        <v>0</v>
      </c>
      <c r="N1682" s="73">
        <v>0</v>
      </c>
      <c r="O1682" s="73">
        <v>0</v>
      </c>
      <c r="P1682" s="73">
        <v>0</v>
      </c>
      <c r="Q1682" s="73">
        <v>0</v>
      </c>
      <c r="R1682" s="61">
        <v>0</v>
      </c>
      <c r="S1682" s="73" t="s">
        <v>21</v>
      </c>
      <c r="T1682" s="257">
        <f t="shared" si="59"/>
        <v>38</v>
      </c>
      <c r="U1682" s="257">
        <f t="shared" si="60"/>
        <v>0</v>
      </c>
      <c r="V1682">
        <v>1</v>
      </c>
      <c r="W1682">
        <v>0</v>
      </c>
    </row>
    <row r="1683" spans="1:23" ht="145.80000000000001" x14ac:dyDescent="0.3">
      <c r="A1683" s="223">
        <v>40486</v>
      </c>
      <c r="B1683" s="223">
        <v>40486</v>
      </c>
      <c r="C1683" s="6">
        <v>11</v>
      </c>
      <c r="D1683" s="6">
        <v>1</v>
      </c>
      <c r="E1683" s="73">
        <v>2010</v>
      </c>
      <c r="F1683" s="7" t="s">
        <v>17</v>
      </c>
      <c r="G1683" s="28" t="s">
        <v>6261</v>
      </c>
      <c r="H1683" s="9" t="s">
        <v>64</v>
      </c>
      <c r="I1683" s="74" t="s">
        <v>2773</v>
      </c>
      <c r="J1683" s="132" t="s">
        <v>2907</v>
      </c>
      <c r="K1683" s="73">
        <v>0</v>
      </c>
      <c r="L1683" s="241">
        <v>5</v>
      </c>
      <c r="M1683" s="73">
        <v>0</v>
      </c>
      <c r="N1683" s="73">
        <v>0</v>
      </c>
      <c r="O1683" s="73">
        <v>0</v>
      </c>
      <c r="P1683" s="73">
        <v>1</v>
      </c>
      <c r="Q1683" s="73">
        <v>0</v>
      </c>
      <c r="R1683" s="61">
        <v>0</v>
      </c>
      <c r="S1683" s="73" t="s">
        <v>115</v>
      </c>
      <c r="T1683" s="257">
        <f t="shared" si="59"/>
        <v>5</v>
      </c>
      <c r="U1683" s="257">
        <f t="shared" si="60"/>
        <v>1</v>
      </c>
      <c r="V1683">
        <v>1</v>
      </c>
      <c r="W1683">
        <v>1</v>
      </c>
    </row>
    <row r="1684" spans="1:23" ht="145.80000000000001" x14ac:dyDescent="0.3">
      <c r="A1684" s="223">
        <v>40379</v>
      </c>
      <c r="B1684" s="223">
        <v>40379</v>
      </c>
      <c r="C1684" s="6">
        <v>7</v>
      </c>
      <c r="D1684" s="6">
        <v>1</v>
      </c>
      <c r="E1684" s="73">
        <v>2010</v>
      </c>
      <c r="F1684" s="7" t="s">
        <v>17</v>
      </c>
      <c r="G1684" s="28" t="s">
        <v>6261</v>
      </c>
      <c r="H1684" s="9" t="s">
        <v>61</v>
      </c>
      <c r="I1684" s="74" t="s">
        <v>2908</v>
      </c>
      <c r="J1684" s="132" t="s">
        <v>2909</v>
      </c>
      <c r="K1684" s="73">
        <v>11</v>
      </c>
      <c r="L1684" s="241">
        <v>11</v>
      </c>
      <c r="M1684" s="73">
        <v>0</v>
      </c>
      <c r="N1684" s="73">
        <v>0</v>
      </c>
      <c r="O1684" s="73">
        <v>0</v>
      </c>
      <c r="P1684" s="73">
        <v>0</v>
      </c>
      <c r="Q1684" s="73">
        <v>0</v>
      </c>
      <c r="R1684" s="61">
        <v>0</v>
      </c>
      <c r="S1684" s="73" t="s">
        <v>21</v>
      </c>
      <c r="T1684" s="257">
        <f t="shared" si="59"/>
        <v>22</v>
      </c>
      <c r="U1684" s="257">
        <f t="shared" si="60"/>
        <v>0</v>
      </c>
      <c r="V1684">
        <v>1</v>
      </c>
      <c r="W1684">
        <v>0</v>
      </c>
    </row>
    <row r="1685" spans="1:23" ht="45.6" x14ac:dyDescent="0.3">
      <c r="A1685" s="212">
        <v>39344</v>
      </c>
      <c r="B1685" s="212">
        <v>39344</v>
      </c>
      <c r="C1685" s="6">
        <v>9</v>
      </c>
      <c r="D1685" s="6">
        <v>1</v>
      </c>
      <c r="E1685" s="6">
        <v>2007</v>
      </c>
      <c r="F1685" s="15" t="s">
        <v>22</v>
      </c>
      <c r="G1685" s="18" t="s">
        <v>6256</v>
      </c>
      <c r="H1685" s="9" t="s">
        <v>48</v>
      </c>
      <c r="I1685" s="17" t="s">
        <v>2910</v>
      </c>
      <c r="J1685" s="17" t="s">
        <v>2911</v>
      </c>
      <c r="K1685" s="13">
        <v>0</v>
      </c>
      <c r="L1685" s="233">
        <v>160</v>
      </c>
      <c r="M1685" s="13">
        <v>45</v>
      </c>
      <c r="N1685" s="13">
        <v>0</v>
      </c>
      <c r="O1685" s="13">
        <v>0</v>
      </c>
      <c r="P1685" s="13">
        <v>0</v>
      </c>
      <c r="Q1685" s="60">
        <v>0</v>
      </c>
      <c r="R1685" s="61">
        <v>0.21</v>
      </c>
      <c r="S1685" s="7" t="s">
        <v>115</v>
      </c>
      <c r="T1685" s="257">
        <f t="shared" si="59"/>
        <v>160</v>
      </c>
      <c r="U1685" s="257">
        <f t="shared" si="60"/>
        <v>45</v>
      </c>
      <c r="V1685">
        <v>1</v>
      </c>
      <c r="W1685">
        <v>1</v>
      </c>
    </row>
    <row r="1686" spans="1:23" ht="45.6" x14ac:dyDescent="0.3">
      <c r="A1686" s="129">
        <v>38932</v>
      </c>
      <c r="B1686" s="129">
        <f>A1686</f>
        <v>38932</v>
      </c>
      <c r="C1686" s="6">
        <v>8</v>
      </c>
      <c r="D1686" s="6">
        <v>1</v>
      </c>
      <c r="E1686" s="103">
        <v>2006</v>
      </c>
      <c r="F1686" s="15" t="s">
        <v>22</v>
      </c>
      <c r="G1686" s="18" t="s">
        <v>6256</v>
      </c>
      <c r="H1686" s="9" t="s">
        <v>48</v>
      </c>
      <c r="I1686" s="17" t="s">
        <v>2923</v>
      </c>
      <c r="J1686" s="110" t="s">
        <v>2924</v>
      </c>
      <c r="K1686" s="23">
        <v>0</v>
      </c>
      <c r="L1686" s="234">
        <v>122</v>
      </c>
      <c r="M1686" s="23">
        <v>18</v>
      </c>
      <c r="N1686" s="23">
        <v>0</v>
      </c>
      <c r="O1686" s="19">
        <v>0</v>
      </c>
      <c r="P1686" s="19">
        <v>0</v>
      </c>
      <c r="Q1686" s="23">
        <v>0</v>
      </c>
      <c r="R1686" s="93">
        <v>0.20930399999999999</v>
      </c>
      <c r="S1686" s="7" t="s">
        <v>115</v>
      </c>
      <c r="T1686" s="257">
        <f t="shared" si="59"/>
        <v>122</v>
      </c>
      <c r="U1686" s="257">
        <f t="shared" si="60"/>
        <v>18</v>
      </c>
      <c r="V1686">
        <v>1</v>
      </c>
      <c r="W1686">
        <v>1</v>
      </c>
    </row>
    <row r="1687" spans="1:23" ht="228" x14ac:dyDescent="0.3">
      <c r="A1687" s="210">
        <v>40827</v>
      </c>
      <c r="B1687" s="210">
        <v>40827</v>
      </c>
      <c r="C1687" s="6">
        <v>10</v>
      </c>
      <c r="D1687" s="6">
        <v>1</v>
      </c>
      <c r="E1687" s="7">
        <v>2011</v>
      </c>
      <c r="F1687" s="15" t="s">
        <v>22</v>
      </c>
      <c r="G1687" s="18" t="s">
        <v>6256</v>
      </c>
      <c r="H1687" s="9" t="s">
        <v>46</v>
      </c>
      <c r="I1687" s="34" t="s">
        <v>2926</v>
      </c>
      <c r="J1687" s="34" t="s">
        <v>2927</v>
      </c>
      <c r="K1687" s="7">
        <v>0</v>
      </c>
      <c r="L1687" s="238">
        <v>135</v>
      </c>
      <c r="M1687" s="37">
        <v>27</v>
      </c>
      <c r="N1687" s="37">
        <v>0</v>
      </c>
      <c r="O1687" s="37">
        <v>0</v>
      </c>
      <c r="P1687" s="37">
        <v>0</v>
      </c>
      <c r="Q1687" s="37">
        <v>0</v>
      </c>
      <c r="R1687" s="38">
        <v>0.13824</v>
      </c>
      <c r="S1687" s="7" t="s">
        <v>115</v>
      </c>
      <c r="T1687" s="257">
        <f t="shared" si="59"/>
        <v>135</v>
      </c>
      <c r="U1687" s="257">
        <f t="shared" si="60"/>
        <v>27</v>
      </c>
      <c r="V1687">
        <v>1</v>
      </c>
      <c r="W1687">
        <v>1</v>
      </c>
    </row>
    <row r="1688" spans="1:23" ht="102.6" x14ac:dyDescent="0.3">
      <c r="A1688" s="210">
        <v>40575</v>
      </c>
      <c r="B1688" s="210">
        <v>40575</v>
      </c>
      <c r="C1688" s="6">
        <v>2</v>
      </c>
      <c r="D1688" s="6">
        <v>1</v>
      </c>
      <c r="E1688" s="7">
        <v>2011</v>
      </c>
      <c r="F1688" s="15" t="s">
        <v>22</v>
      </c>
      <c r="G1688" s="16" t="s">
        <v>6256</v>
      </c>
      <c r="H1688" s="9" t="s">
        <v>118</v>
      </c>
      <c r="I1688" s="34" t="s">
        <v>2928</v>
      </c>
      <c r="J1688" s="34" t="s">
        <v>2929</v>
      </c>
      <c r="K1688" s="33">
        <v>0</v>
      </c>
      <c r="L1688" s="236">
        <v>50</v>
      </c>
      <c r="M1688" s="35">
        <v>10</v>
      </c>
      <c r="N1688" s="35">
        <v>0</v>
      </c>
      <c r="O1688" s="35">
        <v>0</v>
      </c>
      <c r="P1688" s="37">
        <v>0</v>
      </c>
      <c r="Q1688" s="35">
        <v>0</v>
      </c>
      <c r="R1688" s="36">
        <v>6.1199999999999997E-2</v>
      </c>
      <c r="S1688" s="33" t="s">
        <v>115</v>
      </c>
      <c r="T1688" s="257">
        <f t="shared" si="59"/>
        <v>50</v>
      </c>
      <c r="U1688" s="257">
        <f t="shared" si="60"/>
        <v>10</v>
      </c>
      <c r="V1688">
        <v>1</v>
      </c>
      <c r="W1688">
        <v>1</v>
      </c>
    </row>
    <row r="1689" spans="1:23" ht="45.6" x14ac:dyDescent="0.3">
      <c r="A1689" s="210">
        <v>40832</v>
      </c>
      <c r="B1689" s="210">
        <v>40832</v>
      </c>
      <c r="C1689" s="6">
        <v>10</v>
      </c>
      <c r="D1689" s="6">
        <v>1</v>
      </c>
      <c r="E1689" s="7">
        <v>2011</v>
      </c>
      <c r="F1689" s="15" t="s">
        <v>22</v>
      </c>
      <c r="G1689" s="16" t="s">
        <v>6256</v>
      </c>
      <c r="H1689" s="17" t="s">
        <v>565</v>
      </c>
      <c r="I1689" s="34" t="s">
        <v>2931</v>
      </c>
      <c r="J1689" s="34" t="s">
        <v>2932</v>
      </c>
      <c r="K1689" s="33">
        <v>0</v>
      </c>
      <c r="L1689" s="236">
        <v>347925</v>
      </c>
      <c r="M1689" s="35">
        <v>2289</v>
      </c>
      <c r="N1689" s="35">
        <v>3723</v>
      </c>
      <c r="O1689" s="35">
        <v>34</v>
      </c>
      <c r="P1689" s="35">
        <v>6878</v>
      </c>
      <c r="Q1689" s="35">
        <v>342769</v>
      </c>
      <c r="R1689" s="36">
        <v>10304.5</v>
      </c>
      <c r="S1689" s="33" t="s">
        <v>21</v>
      </c>
      <c r="T1689" s="257">
        <f t="shared" si="59"/>
        <v>347925</v>
      </c>
      <c r="U1689" s="257">
        <f t="shared" si="60"/>
        <v>12924</v>
      </c>
      <c r="V1689">
        <v>3</v>
      </c>
      <c r="W1689">
        <v>3</v>
      </c>
    </row>
    <row r="1690" spans="1:23" ht="68.400000000000006" x14ac:dyDescent="0.3">
      <c r="A1690" s="212">
        <v>40718</v>
      </c>
      <c r="B1690" s="212">
        <v>40718</v>
      </c>
      <c r="C1690" s="6">
        <v>6</v>
      </c>
      <c r="D1690" s="6">
        <v>1</v>
      </c>
      <c r="E1690" s="6">
        <v>2011</v>
      </c>
      <c r="F1690" s="15" t="s">
        <v>22</v>
      </c>
      <c r="G1690" s="18" t="s">
        <v>6256</v>
      </c>
      <c r="H1690" s="9" t="s">
        <v>72</v>
      </c>
      <c r="I1690" s="53" t="s">
        <v>1143</v>
      </c>
      <c r="J1690" s="53" t="s">
        <v>2933</v>
      </c>
      <c r="K1690" s="13">
        <v>2</v>
      </c>
      <c r="L1690" s="233">
        <f>((2958*5))*1</f>
        <v>14790</v>
      </c>
      <c r="M1690" s="13">
        <v>3004</v>
      </c>
      <c r="N1690" s="13">
        <v>0</v>
      </c>
      <c r="O1690" s="13">
        <v>0</v>
      </c>
      <c r="P1690" s="35">
        <v>0</v>
      </c>
      <c r="Q1690" s="13">
        <v>0</v>
      </c>
      <c r="R1690" s="26">
        <v>0.94</v>
      </c>
      <c r="S1690" s="19" t="s">
        <v>115</v>
      </c>
      <c r="T1690" s="257">
        <f t="shared" si="59"/>
        <v>14792</v>
      </c>
      <c r="U1690" s="257">
        <f t="shared" si="60"/>
        <v>3004</v>
      </c>
      <c r="V1690">
        <v>2</v>
      </c>
      <c r="W1690">
        <v>2</v>
      </c>
    </row>
    <row r="1691" spans="1:23" ht="22.8" x14ac:dyDescent="0.3">
      <c r="A1691" s="210">
        <v>40808</v>
      </c>
      <c r="B1691" s="210">
        <v>40808</v>
      </c>
      <c r="C1691" s="6">
        <v>9</v>
      </c>
      <c r="D1691" s="6">
        <v>1</v>
      </c>
      <c r="E1691" s="7">
        <v>2011</v>
      </c>
      <c r="F1691" s="15" t="s">
        <v>22</v>
      </c>
      <c r="G1691" s="18" t="s">
        <v>6256</v>
      </c>
      <c r="H1691" s="9" t="s">
        <v>61</v>
      </c>
      <c r="I1691" s="34" t="s">
        <v>2934</v>
      </c>
      <c r="J1691" s="34" t="s">
        <v>2935</v>
      </c>
      <c r="K1691" s="33">
        <v>1</v>
      </c>
      <c r="L1691" s="236">
        <v>1</v>
      </c>
      <c r="M1691" s="35">
        <v>0</v>
      </c>
      <c r="N1691" s="35">
        <v>0</v>
      </c>
      <c r="O1691" s="35">
        <v>0</v>
      </c>
      <c r="P1691" s="35">
        <v>0</v>
      </c>
      <c r="Q1691" s="35">
        <v>0</v>
      </c>
      <c r="R1691" s="36">
        <v>0</v>
      </c>
      <c r="S1691" s="33" t="s">
        <v>115</v>
      </c>
      <c r="T1691" s="257">
        <f t="shared" si="59"/>
        <v>2</v>
      </c>
      <c r="U1691" s="257">
        <f t="shared" si="60"/>
        <v>0</v>
      </c>
      <c r="V1691">
        <v>1</v>
      </c>
      <c r="W1691">
        <v>0</v>
      </c>
    </row>
    <row r="1692" spans="1:23" ht="114" x14ac:dyDescent="0.3">
      <c r="A1692" s="210">
        <v>40808</v>
      </c>
      <c r="B1692" s="210">
        <v>40808</v>
      </c>
      <c r="C1692" s="6">
        <v>9</v>
      </c>
      <c r="D1692" s="6">
        <v>1</v>
      </c>
      <c r="E1692" s="7">
        <v>2011</v>
      </c>
      <c r="F1692" s="15" t="s">
        <v>22</v>
      </c>
      <c r="G1692" s="18" t="s">
        <v>6256</v>
      </c>
      <c r="H1692" s="9" t="s">
        <v>61</v>
      </c>
      <c r="I1692" s="34" t="s">
        <v>2936</v>
      </c>
      <c r="J1692" s="34" t="s">
        <v>2937</v>
      </c>
      <c r="K1692" s="33">
        <v>1</v>
      </c>
      <c r="L1692" s="236">
        <v>7</v>
      </c>
      <c r="M1692" s="35">
        <v>1</v>
      </c>
      <c r="N1692" s="35">
        <v>0</v>
      </c>
      <c r="O1692" s="35">
        <v>0</v>
      </c>
      <c r="P1692" s="35">
        <v>0</v>
      </c>
      <c r="Q1692" s="35">
        <v>0</v>
      </c>
      <c r="R1692" s="36">
        <v>9.5904000000000003E-2</v>
      </c>
      <c r="S1692" s="33" t="s">
        <v>115</v>
      </c>
      <c r="T1692" s="257">
        <f t="shared" si="59"/>
        <v>8</v>
      </c>
      <c r="U1692" s="257">
        <f t="shared" si="60"/>
        <v>1</v>
      </c>
      <c r="V1692">
        <v>1</v>
      </c>
      <c r="W1692">
        <v>1</v>
      </c>
    </row>
    <row r="1693" spans="1:23" ht="182.4" x14ac:dyDescent="0.3">
      <c r="A1693" s="210">
        <v>40713</v>
      </c>
      <c r="B1693" s="210">
        <v>40713</v>
      </c>
      <c r="C1693" s="6">
        <v>6</v>
      </c>
      <c r="D1693" s="6">
        <v>1</v>
      </c>
      <c r="E1693" s="7">
        <v>2011</v>
      </c>
      <c r="F1693" s="15" t="s">
        <v>22</v>
      </c>
      <c r="G1693" s="18" t="s">
        <v>6256</v>
      </c>
      <c r="H1693" s="9" t="s">
        <v>43</v>
      </c>
      <c r="I1693" s="34" t="s">
        <v>2938</v>
      </c>
      <c r="J1693" s="34" t="s">
        <v>2939</v>
      </c>
      <c r="K1693" s="33">
        <v>0</v>
      </c>
      <c r="L1693" s="236">
        <v>1250</v>
      </c>
      <c r="M1693" s="35">
        <v>250</v>
      </c>
      <c r="N1693" s="35">
        <v>0</v>
      </c>
      <c r="O1693" s="35">
        <v>0</v>
      </c>
      <c r="P1693" s="35">
        <v>0</v>
      </c>
      <c r="Q1693" s="35">
        <v>0</v>
      </c>
      <c r="R1693" s="36">
        <v>1.28</v>
      </c>
      <c r="S1693" s="33" t="s">
        <v>115</v>
      </c>
      <c r="T1693" s="257">
        <f t="shared" si="59"/>
        <v>1250</v>
      </c>
      <c r="U1693" s="257">
        <f t="shared" si="60"/>
        <v>250</v>
      </c>
      <c r="V1693">
        <v>1</v>
      </c>
      <c r="W1693">
        <v>1</v>
      </c>
    </row>
    <row r="1694" spans="1:23" ht="216.6" x14ac:dyDescent="0.3">
      <c r="A1694" s="224">
        <v>43262</v>
      </c>
      <c r="B1694" s="224">
        <v>43262</v>
      </c>
      <c r="C1694" s="6">
        <v>6</v>
      </c>
      <c r="D1694" s="6">
        <v>1</v>
      </c>
      <c r="E1694" s="84">
        <v>2018</v>
      </c>
      <c r="F1694" s="15" t="s">
        <v>22</v>
      </c>
      <c r="G1694" s="16" t="s">
        <v>6254</v>
      </c>
      <c r="H1694" s="9" t="s">
        <v>48</v>
      </c>
      <c r="I1694" s="86" t="s">
        <v>2940</v>
      </c>
      <c r="J1694" s="34" t="s">
        <v>2941</v>
      </c>
      <c r="K1694" s="84">
        <v>0</v>
      </c>
      <c r="L1694" s="173">
        <v>98</v>
      </c>
      <c r="M1694" s="84">
        <v>140</v>
      </c>
      <c r="N1694" s="84">
        <v>0</v>
      </c>
      <c r="O1694" s="84">
        <v>0</v>
      </c>
      <c r="P1694" s="84">
        <v>6</v>
      </c>
      <c r="Q1694" s="88">
        <v>0</v>
      </c>
      <c r="R1694" s="126">
        <v>0.20699999999999999</v>
      </c>
      <c r="S1694" s="89" t="s">
        <v>115</v>
      </c>
      <c r="T1694" s="257">
        <f t="shared" si="59"/>
        <v>98</v>
      </c>
      <c r="U1694" s="257">
        <f t="shared" si="60"/>
        <v>146</v>
      </c>
      <c r="V1694">
        <v>1</v>
      </c>
      <c r="W1694">
        <v>1</v>
      </c>
    </row>
    <row r="1695" spans="1:23" ht="22.8" x14ac:dyDescent="0.3">
      <c r="A1695" s="129">
        <v>39698</v>
      </c>
      <c r="B1695" s="129">
        <v>39699</v>
      </c>
      <c r="C1695" s="6">
        <v>9</v>
      </c>
      <c r="D1695" s="6">
        <v>2</v>
      </c>
      <c r="E1695" s="19">
        <v>2008</v>
      </c>
      <c r="F1695" s="15" t="s">
        <v>22</v>
      </c>
      <c r="G1695" s="16" t="s">
        <v>6256</v>
      </c>
      <c r="H1695" s="9" t="s">
        <v>48</v>
      </c>
      <c r="I1695" s="17" t="s">
        <v>2942</v>
      </c>
      <c r="J1695" s="17" t="s">
        <v>2943</v>
      </c>
      <c r="K1695" s="23">
        <v>0</v>
      </c>
      <c r="L1695" s="234">
        <f>((M1695*5))*1</f>
        <v>220</v>
      </c>
      <c r="M1695" s="23">
        <v>44</v>
      </c>
      <c r="N1695" s="23">
        <v>0</v>
      </c>
      <c r="O1695" s="23">
        <v>0</v>
      </c>
      <c r="P1695" s="23">
        <v>0</v>
      </c>
      <c r="Q1695" s="92">
        <v>0</v>
      </c>
      <c r="R1695" s="93">
        <v>0.205233</v>
      </c>
      <c r="S1695" s="19" t="s">
        <v>115</v>
      </c>
      <c r="T1695" s="257">
        <f t="shared" si="59"/>
        <v>220</v>
      </c>
      <c r="U1695" s="257">
        <f t="shared" si="60"/>
        <v>44</v>
      </c>
      <c r="V1695">
        <v>1</v>
      </c>
      <c r="W1695">
        <v>1</v>
      </c>
    </row>
    <row r="1696" spans="1:23" ht="79.8" x14ac:dyDescent="0.3">
      <c r="A1696" s="210">
        <v>40794</v>
      </c>
      <c r="B1696" s="210">
        <v>40794</v>
      </c>
      <c r="C1696" s="6">
        <v>9</v>
      </c>
      <c r="D1696" s="6">
        <v>1</v>
      </c>
      <c r="E1696" s="7">
        <v>2011</v>
      </c>
      <c r="F1696" s="15" t="s">
        <v>22</v>
      </c>
      <c r="G1696" s="9" t="s">
        <v>6257</v>
      </c>
      <c r="H1696" s="9" t="s">
        <v>118</v>
      </c>
      <c r="I1696" s="34" t="s">
        <v>2944</v>
      </c>
      <c r="J1696" s="34" t="s">
        <v>2945</v>
      </c>
      <c r="K1696" s="33">
        <v>0</v>
      </c>
      <c r="L1696" s="236">
        <v>25</v>
      </c>
      <c r="M1696" s="35">
        <v>0</v>
      </c>
      <c r="N1696" s="35">
        <v>0</v>
      </c>
      <c r="O1696" s="35">
        <v>0</v>
      </c>
      <c r="P1696" s="35">
        <v>0</v>
      </c>
      <c r="Q1696" s="35">
        <v>0</v>
      </c>
      <c r="R1696" s="36">
        <v>2.0756000000000001</v>
      </c>
      <c r="S1696" s="33" t="s">
        <v>115</v>
      </c>
      <c r="T1696" s="257">
        <f t="shared" si="59"/>
        <v>25</v>
      </c>
      <c r="U1696" s="257">
        <f t="shared" si="60"/>
        <v>0</v>
      </c>
      <c r="V1696">
        <v>1</v>
      </c>
      <c r="W1696">
        <v>0</v>
      </c>
    </row>
    <row r="1697" spans="1:23" ht="79.8" x14ac:dyDescent="0.3">
      <c r="A1697" s="210">
        <v>40793</v>
      </c>
      <c r="B1697" s="210">
        <v>40793</v>
      </c>
      <c r="C1697" s="6">
        <v>9</v>
      </c>
      <c r="D1697" s="6">
        <v>1</v>
      </c>
      <c r="E1697" s="7">
        <v>2011</v>
      </c>
      <c r="F1697" s="15" t="s">
        <v>22</v>
      </c>
      <c r="G1697" s="18" t="s">
        <v>6256</v>
      </c>
      <c r="H1697" s="9" t="s">
        <v>118</v>
      </c>
      <c r="I1697" s="34" t="s">
        <v>2946</v>
      </c>
      <c r="J1697" s="34" t="s">
        <v>2947</v>
      </c>
      <c r="K1697" s="33">
        <v>2</v>
      </c>
      <c r="L1697" s="236">
        <v>4335</v>
      </c>
      <c r="M1697" s="35">
        <v>867</v>
      </c>
      <c r="N1697" s="35">
        <v>0</v>
      </c>
      <c r="O1697" s="35">
        <v>0</v>
      </c>
      <c r="P1697" s="35">
        <v>0</v>
      </c>
      <c r="Q1697" s="35">
        <v>0</v>
      </c>
      <c r="R1697" s="36">
        <v>4.4390400000000003</v>
      </c>
      <c r="S1697" s="33" t="s">
        <v>115</v>
      </c>
      <c r="T1697" s="257">
        <f t="shared" si="59"/>
        <v>4337</v>
      </c>
      <c r="U1697" s="257">
        <f t="shared" si="60"/>
        <v>867</v>
      </c>
      <c r="V1697">
        <v>1</v>
      </c>
      <c r="W1697">
        <v>1</v>
      </c>
    </row>
    <row r="1698" spans="1:23" ht="102.6" x14ac:dyDescent="0.3">
      <c r="A1698" s="210">
        <v>40793</v>
      </c>
      <c r="B1698" s="210">
        <v>40793</v>
      </c>
      <c r="C1698" s="6">
        <v>9</v>
      </c>
      <c r="D1698" s="6">
        <v>1</v>
      </c>
      <c r="E1698" s="7">
        <v>2011</v>
      </c>
      <c r="F1698" s="7" t="s">
        <v>17</v>
      </c>
      <c r="G1698" s="28" t="s">
        <v>6261</v>
      </c>
      <c r="H1698" s="9" t="s">
        <v>118</v>
      </c>
      <c r="I1698" s="34" t="s">
        <v>2948</v>
      </c>
      <c r="J1698" s="34" t="s">
        <v>2949</v>
      </c>
      <c r="K1698" s="33">
        <v>0</v>
      </c>
      <c r="L1698" s="236">
        <v>49</v>
      </c>
      <c r="M1698" s="35">
        <v>10</v>
      </c>
      <c r="N1698" s="35">
        <v>0</v>
      </c>
      <c r="O1698" s="35">
        <v>0</v>
      </c>
      <c r="P1698" s="35">
        <v>0</v>
      </c>
      <c r="Q1698" s="35">
        <v>0</v>
      </c>
      <c r="R1698" s="36">
        <v>0.28000000000000003</v>
      </c>
      <c r="S1698" s="33" t="s">
        <v>115</v>
      </c>
      <c r="T1698" s="257">
        <f t="shared" si="59"/>
        <v>49</v>
      </c>
      <c r="U1698" s="257">
        <f t="shared" si="60"/>
        <v>10</v>
      </c>
      <c r="V1698">
        <v>1</v>
      </c>
      <c r="W1698">
        <v>1</v>
      </c>
    </row>
    <row r="1699" spans="1:23" ht="102.6" x14ac:dyDescent="0.3">
      <c r="A1699" s="210">
        <v>40793</v>
      </c>
      <c r="B1699" s="210">
        <v>40793</v>
      </c>
      <c r="C1699" s="6">
        <v>9</v>
      </c>
      <c r="D1699" s="6">
        <v>1</v>
      </c>
      <c r="E1699" s="7">
        <v>2011</v>
      </c>
      <c r="F1699" s="15" t="s">
        <v>22</v>
      </c>
      <c r="G1699" s="18" t="s">
        <v>6256</v>
      </c>
      <c r="H1699" s="9" t="s">
        <v>39</v>
      </c>
      <c r="I1699" s="34" t="s">
        <v>2605</v>
      </c>
      <c r="J1699" s="34" t="s">
        <v>2950</v>
      </c>
      <c r="K1699" s="33">
        <v>2</v>
      </c>
      <c r="L1699" s="236">
        <v>7</v>
      </c>
      <c r="M1699" s="35">
        <v>1</v>
      </c>
      <c r="N1699" s="35">
        <v>0</v>
      </c>
      <c r="O1699" s="35">
        <v>0</v>
      </c>
      <c r="P1699" s="35">
        <v>0</v>
      </c>
      <c r="Q1699" s="35">
        <v>0</v>
      </c>
      <c r="R1699" s="36">
        <v>9.5904000000000003E-2</v>
      </c>
      <c r="S1699" s="33" t="s">
        <v>115</v>
      </c>
      <c r="T1699" s="257">
        <f t="shared" si="59"/>
        <v>9</v>
      </c>
      <c r="U1699" s="257">
        <f t="shared" si="60"/>
        <v>1</v>
      </c>
      <c r="V1699">
        <v>1</v>
      </c>
      <c r="W1699">
        <v>1</v>
      </c>
    </row>
    <row r="1700" spans="1:23" ht="171" x14ac:dyDescent="0.3">
      <c r="A1700" s="212">
        <v>40666</v>
      </c>
      <c r="B1700" s="212">
        <v>40666</v>
      </c>
      <c r="C1700" s="6">
        <v>5</v>
      </c>
      <c r="D1700" s="6">
        <v>1</v>
      </c>
      <c r="E1700" s="6">
        <v>2011</v>
      </c>
      <c r="F1700" s="15" t="s">
        <v>22</v>
      </c>
      <c r="G1700" s="18" t="s">
        <v>6256</v>
      </c>
      <c r="H1700" s="9" t="s">
        <v>31</v>
      </c>
      <c r="I1700" s="53" t="s">
        <v>1257</v>
      </c>
      <c r="J1700" s="53" t="s">
        <v>2951</v>
      </c>
      <c r="K1700" s="13">
        <v>0</v>
      </c>
      <c r="L1700" s="234">
        <v>57</v>
      </c>
      <c r="M1700" s="13">
        <v>0</v>
      </c>
      <c r="N1700" s="13">
        <v>0</v>
      </c>
      <c r="O1700" s="13">
        <v>0</v>
      </c>
      <c r="P1700" s="35">
        <v>0</v>
      </c>
      <c r="Q1700" s="13">
        <v>0</v>
      </c>
      <c r="R1700" s="36">
        <v>0</v>
      </c>
      <c r="S1700" s="19" t="s">
        <v>115</v>
      </c>
      <c r="T1700" s="257">
        <f t="shared" si="59"/>
        <v>57</v>
      </c>
      <c r="U1700" s="257">
        <f t="shared" si="60"/>
        <v>0</v>
      </c>
      <c r="V1700">
        <v>1</v>
      </c>
      <c r="W1700">
        <v>0</v>
      </c>
    </row>
    <row r="1701" spans="1:23" ht="79.8" x14ac:dyDescent="0.3">
      <c r="A1701" s="210">
        <v>40809</v>
      </c>
      <c r="B1701" s="210">
        <v>40809</v>
      </c>
      <c r="C1701" s="6">
        <v>9</v>
      </c>
      <c r="D1701" s="6">
        <v>1</v>
      </c>
      <c r="E1701" s="7">
        <v>2011</v>
      </c>
      <c r="F1701" s="7" t="s">
        <v>17</v>
      </c>
      <c r="G1701" s="28" t="s">
        <v>6261</v>
      </c>
      <c r="H1701" s="9" t="s">
        <v>31</v>
      </c>
      <c r="I1701" s="34" t="s">
        <v>1060</v>
      </c>
      <c r="J1701" s="34" t="s">
        <v>2952</v>
      </c>
      <c r="K1701" s="33">
        <v>1</v>
      </c>
      <c r="L1701" s="236">
        <v>4</v>
      </c>
      <c r="M1701" s="35">
        <v>1</v>
      </c>
      <c r="N1701" s="35">
        <v>0</v>
      </c>
      <c r="O1701" s="35">
        <v>0</v>
      </c>
      <c r="P1701" s="35">
        <v>0</v>
      </c>
      <c r="Q1701" s="35">
        <v>0</v>
      </c>
      <c r="R1701" s="36">
        <v>0.12</v>
      </c>
      <c r="S1701" s="33" t="s">
        <v>115</v>
      </c>
      <c r="T1701" s="257">
        <f t="shared" si="59"/>
        <v>5</v>
      </c>
      <c r="U1701" s="257">
        <f t="shared" si="60"/>
        <v>1</v>
      </c>
      <c r="V1701">
        <v>1</v>
      </c>
      <c r="W1701">
        <v>1</v>
      </c>
    </row>
    <row r="1702" spans="1:23" ht="34.200000000000003" x14ac:dyDescent="0.3">
      <c r="A1702" s="210">
        <v>40781</v>
      </c>
      <c r="B1702" s="210">
        <v>40781</v>
      </c>
      <c r="C1702" s="6">
        <v>8</v>
      </c>
      <c r="D1702" s="6">
        <v>1</v>
      </c>
      <c r="E1702" s="7">
        <v>2011</v>
      </c>
      <c r="F1702" s="15" t="s">
        <v>22</v>
      </c>
      <c r="G1702" s="82" t="s">
        <v>6256</v>
      </c>
      <c r="H1702" s="9" t="s">
        <v>74</v>
      </c>
      <c r="I1702" s="34" t="s">
        <v>675</v>
      </c>
      <c r="J1702" s="34" t="s">
        <v>2953</v>
      </c>
      <c r="K1702" s="33">
        <v>1</v>
      </c>
      <c r="L1702" s="236">
        <v>1</v>
      </c>
      <c r="M1702" s="35">
        <v>0</v>
      </c>
      <c r="N1702" s="35">
        <v>0</v>
      </c>
      <c r="O1702" s="35">
        <v>0</v>
      </c>
      <c r="P1702" s="35">
        <v>0</v>
      </c>
      <c r="Q1702" s="35">
        <v>0</v>
      </c>
      <c r="R1702" s="36">
        <v>0</v>
      </c>
      <c r="S1702" s="33" t="s">
        <v>115</v>
      </c>
      <c r="T1702" s="257">
        <f t="shared" si="59"/>
        <v>2</v>
      </c>
      <c r="U1702" s="257">
        <f t="shared" si="60"/>
        <v>0</v>
      </c>
      <c r="V1702">
        <v>1</v>
      </c>
      <c r="W1702">
        <v>0</v>
      </c>
    </row>
    <row r="1703" spans="1:23" ht="34.200000000000003" x14ac:dyDescent="0.3">
      <c r="A1703" s="212">
        <v>40779</v>
      </c>
      <c r="B1703" s="212">
        <v>40779</v>
      </c>
      <c r="C1703" s="6">
        <v>8</v>
      </c>
      <c r="D1703" s="6">
        <v>1</v>
      </c>
      <c r="E1703" s="6">
        <v>2011</v>
      </c>
      <c r="F1703" s="15" t="s">
        <v>22</v>
      </c>
      <c r="G1703" s="18" t="s">
        <v>6256</v>
      </c>
      <c r="H1703" s="9" t="s">
        <v>72</v>
      </c>
      <c r="I1703" s="53" t="s">
        <v>2954</v>
      </c>
      <c r="J1703" s="53" t="s">
        <v>2955</v>
      </c>
      <c r="K1703" s="13">
        <v>0</v>
      </c>
      <c r="L1703" s="233">
        <v>5944</v>
      </c>
      <c r="M1703" s="13" t="s">
        <v>95</v>
      </c>
      <c r="N1703" s="13">
        <v>8</v>
      </c>
      <c r="O1703" s="13" t="s">
        <v>95</v>
      </c>
      <c r="P1703" s="35">
        <v>0</v>
      </c>
      <c r="Q1703" s="13"/>
      <c r="R1703" s="26">
        <v>57.116239999999998</v>
      </c>
      <c r="S1703" s="19" t="s">
        <v>149</v>
      </c>
      <c r="T1703" s="257">
        <f t="shared" si="59"/>
        <v>5944</v>
      </c>
      <c r="U1703" s="257">
        <f t="shared" si="60"/>
        <v>8</v>
      </c>
      <c r="V1703">
        <v>1</v>
      </c>
      <c r="W1703">
        <v>1</v>
      </c>
    </row>
    <row r="1704" spans="1:23" ht="114" x14ac:dyDescent="0.3">
      <c r="A1704" s="210">
        <v>40778</v>
      </c>
      <c r="B1704" s="210">
        <v>40778</v>
      </c>
      <c r="C1704" s="6">
        <v>8</v>
      </c>
      <c r="D1704" s="6">
        <v>1</v>
      </c>
      <c r="E1704" s="7">
        <v>2011</v>
      </c>
      <c r="F1704" s="15" t="s">
        <v>22</v>
      </c>
      <c r="G1704" s="9" t="s">
        <v>6257</v>
      </c>
      <c r="H1704" s="9" t="s">
        <v>64</v>
      </c>
      <c r="I1704" s="34" t="s">
        <v>2956</v>
      </c>
      <c r="J1704" s="34" t="s">
        <v>2957</v>
      </c>
      <c r="K1704" s="33">
        <v>0</v>
      </c>
      <c r="L1704" s="236">
        <v>505</v>
      </c>
      <c r="M1704" s="35">
        <v>101</v>
      </c>
      <c r="N1704" s="35">
        <v>0</v>
      </c>
      <c r="O1704" s="35">
        <v>0</v>
      </c>
      <c r="P1704" s="35">
        <v>0</v>
      </c>
      <c r="Q1704" s="35">
        <v>0</v>
      </c>
      <c r="R1704" s="36">
        <v>6.3100000000000003E-2</v>
      </c>
      <c r="S1704" s="33" t="s">
        <v>115</v>
      </c>
      <c r="T1704" s="257">
        <f t="shared" si="59"/>
        <v>505</v>
      </c>
      <c r="U1704" s="257">
        <f t="shared" si="60"/>
        <v>101</v>
      </c>
      <c r="V1704">
        <v>1</v>
      </c>
      <c r="W1704">
        <v>1</v>
      </c>
    </row>
    <row r="1705" spans="1:23" ht="159.6" x14ac:dyDescent="0.3">
      <c r="A1705" s="210">
        <v>40777</v>
      </c>
      <c r="B1705" s="210">
        <v>40777</v>
      </c>
      <c r="C1705" s="6">
        <v>8</v>
      </c>
      <c r="D1705" s="6">
        <v>1</v>
      </c>
      <c r="E1705" s="7">
        <v>2011</v>
      </c>
      <c r="F1705" s="15" t="s">
        <v>22</v>
      </c>
      <c r="G1705" s="18" t="s">
        <v>6256</v>
      </c>
      <c r="H1705" s="9" t="s">
        <v>64</v>
      </c>
      <c r="I1705" s="34" t="s">
        <v>2958</v>
      </c>
      <c r="J1705" s="34" t="s">
        <v>2959</v>
      </c>
      <c r="K1705" s="33">
        <v>1</v>
      </c>
      <c r="L1705" s="236">
        <v>25</v>
      </c>
      <c r="M1705" s="35">
        <v>5</v>
      </c>
      <c r="N1705" s="35">
        <v>0</v>
      </c>
      <c r="O1705" s="35">
        <v>0</v>
      </c>
      <c r="P1705" s="35">
        <v>0</v>
      </c>
      <c r="Q1705" s="35">
        <v>0</v>
      </c>
      <c r="R1705" s="36">
        <v>0.23200000000000001</v>
      </c>
      <c r="S1705" s="33" t="s">
        <v>115</v>
      </c>
      <c r="T1705" s="257">
        <f t="shared" si="59"/>
        <v>26</v>
      </c>
      <c r="U1705" s="257">
        <f t="shared" si="60"/>
        <v>5</v>
      </c>
      <c r="V1705">
        <v>1</v>
      </c>
      <c r="W1705">
        <v>1</v>
      </c>
    </row>
    <row r="1706" spans="1:23" ht="102.6" x14ac:dyDescent="0.3">
      <c r="A1706" s="212">
        <v>40777</v>
      </c>
      <c r="B1706" s="212">
        <v>40777</v>
      </c>
      <c r="C1706" s="6">
        <v>8</v>
      </c>
      <c r="D1706" s="6">
        <v>1</v>
      </c>
      <c r="E1706" s="6">
        <v>2011</v>
      </c>
      <c r="F1706" s="15" t="s">
        <v>22</v>
      </c>
      <c r="G1706" s="18" t="s">
        <v>6256</v>
      </c>
      <c r="H1706" s="9" t="s">
        <v>64</v>
      </c>
      <c r="I1706" s="53" t="s">
        <v>2960</v>
      </c>
      <c r="J1706" s="53" t="s">
        <v>2961</v>
      </c>
      <c r="K1706" s="13">
        <v>1</v>
      </c>
      <c r="L1706" s="233">
        <f>((27*5))*1</f>
        <v>135</v>
      </c>
      <c r="M1706" s="13">
        <v>0</v>
      </c>
      <c r="N1706" s="13">
        <v>0</v>
      </c>
      <c r="O1706" s="13">
        <v>0</v>
      </c>
      <c r="P1706" s="35">
        <v>0</v>
      </c>
      <c r="Q1706" s="13">
        <v>0</v>
      </c>
      <c r="R1706" s="26">
        <v>0</v>
      </c>
      <c r="S1706" s="19" t="s">
        <v>115</v>
      </c>
      <c r="T1706" s="257">
        <f t="shared" si="59"/>
        <v>136</v>
      </c>
      <c r="U1706" s="257">
        <f t="shared" si="60"/>
        <v>0</v>
      </c>
      <c r="V1706">
        <v>1</v>
      </c>
      <c r="W1706">
        <v>0</v>
      </c>
    </row>
    <row r="1707" spans="1:23" ht="125.4" x14ac:dyDescent="0.3">
      <c r="A1707" s="224">
        <v>43319</v>
      </c>
      <c r="B1707" s="224">
        <v>43319</v>
      </c>
      <c r="C1707" s="6">
        <v>8</v>
      </c>
      <c r="D1707" s="6">
        <v>1</v>
      </c>
      <c r="E1707" s="84">
        <v>2018</v>
      </c>
      <c r="F1707" s="15" t="s">
        <v>22</v>
      </c>
      <c r="G1707" s="18" t="s">
        <v>6254</v>
      </c>
      <c r="H1707" s="9" t="s">
        <v>48</v>
      </c>
      <c r="I1707" s="86" t="s">
        <v>2962</v>
      </c>
      <c r="J1707" s="34" t="s">
        <v>2963</v>
      </c>
      <c r="K1707" s="84">
        <v>0</v>
      </c>
      <c r="L1707" s="173">
        <v>16</v>
      </c>
      <c r="M1707" s="84">
        <v>4</v>
      </c>
      <c r="N1707" s="84">
        <v>0</v>
      </c>
      <c r="O1707" s="84">
        <v>0</v>
      </c>
      <c r="P1707" s="84">
        <v>0</v>
      </c>
      <c r="Q1707" s="88">
        <v>0</v>
      </c>
      <c r="R1707" s="126">
        <v>0.20399999999999999</v>
      </c>
      <c r="S1707" s="89" t="s">
        <v>115</v>
      </c>
      <c r="T1707" s="257">
        <f t="shared" si="59"/>
        <v>16</v>
      </c>
      <c r="U1707" s="257">
        <f t="shared" si="60"/>
        <v>4</v>
      </c>
      <c r="V1707">
        <v>1</v>
      </c>
      <c r="W1707">
        <v>1</v>
      </c>
    </row>
    <row r="1708" spans="1:23" ht="159.6" x14ac:dyDescent="0.3">
      <c r="A1708" s="212">
        <v>40727</v>
      </c>
      <c r="B1708" s="212">
        <v>40727</v>
      </c>
      <c r="C1708" s="6">
        <v>7</v>
      </c>
      <c r="D1708" s="6">
        <v>1</v>
      </c>
      <c r="E1708" s="6">
        <v>2011</v>
      </c>
      <c r="F1708" s="7" t="s">
        <v>17</v>
      </c>
      <c r="G1708" s="28" t="s">
        <v>6261</v>
      </c>
      <c r="H1708" s="9" t="s">
        <v>174</v>
      </c>
      <c r="I1708" s="53" t="s">
        <v>2966</v>
      </c>
      <c r="J1708" s="53" t="s">
        <v>2967</v>
      </c>
      <c r="K1708" s="13">
        <v>1</v>
      </c>
      <c r="L1708" s="233">
        <v>35</v>
      </c>
      <c r="M1708" s="13">
        <v>3</v>
      </c>
      <c r="N1708" s="13">
        <v>0</v>
      </c>
      <c r="O1708" s="13">
        <v>0</v>
      </c>
      <c r="P1708" s="35">
        <v>0</v>
      </c>
      <c r="Q1708" s="13">
        <v>0</v>
      </c>
      <c r="R1708" s="26">
        <v>0.58660000000000001</v>
      </c>
      <c r="S1708" s="19" t="s">
        <v>115</v>
      </c>
      <c r="T1708" s="257">
        <f t="shared" si="59"/>
        <v>36</v>
      </c>
      <c r="U1708" s="257">
        <f t="shared" si="60"/>
        <v>3</v>
      </c>
      <c r="V1708">
        <v>1</v>
      </c>
      <c r="W1708">
        <v>1</v>
      </c>
    </row>
    <row r="1709" spans="1:23" ht="45.6" x14ac:dyDescent="0.3">
      <c r="A1709" s="212">
        <v>40753</v>
      </c>
      <c r="B1709" s="212">
        <v>40758</v>
      </c>
      <c r="C1709" s="6">
        <v>7</v>
      </c>
      <c r="D1709" s="6">
        <v>6</v>
      </c>
      <c r="E1709" s="6">
        <v>2011</v>
      </c>
      <c r="F1709" s="15" t="s">
        <v>22</v>
      </c>
      <c r="G1709" s="16" t="s">
        <v>6254</v>
      </c>
      <c r="H1709" s="9" t="s">
        <v>174</v>
      </c>
      <c r="I1709" s="53" t="s">
        <v>2968</v>
      </c>
      <c r="J1709" s="53" t="s">
        <v>2969</v>
      </c>
      <c r="K1709" s="13">
        <v>3</v>
      </c>
      <c r="L1709" s="233">
        <v>12463</v>
      </c>
      <c r="M1709" s="13">
        <v>795</v>
      </c>
      <c r="N1709" s="13">
        <v>8</v>
      </c>
      <c r="O1709" s="13">
        <v>0</v>
      </c>
      <c r="P1709" s="13">
        <v>569</v>
      </c>
      <c r="Q1709" s="13">
        <v>1706.5</v>
      </c>
      <c r="R1709" s="26">
        <v>3077.35</v>
      </c>
      <c r="S1709" s="19" t="s">
        <v>2970</v>
      </c>
      <c r="T1709" s="257">
        <f t="shared" si="59"/>
        <v>12466</v>
      </c>
      <c r="U1709" s="257">
        <f t="shared" si="60"/>
        <v>1372</v>
      </c>
      <c r="V1709">
        <v>2</v>
      </c>
      <c r="W1709">
        <v>2</v>
      </c>
    </row>
    <row r="1710" spans="1:23" ht="102.6" x14ac:dyDescent="0.3">
      <c r="A1710" s="212">
        <v>40752</v>
      </c>
      <c r="B1710" s="212">
        <v>40752</v>
      </c>
      <c r="C1710" s="6">
        <v>7</v>
      </c>
      <c r="D1710" s="6">
        <v>1</v>
      </c>
      <c r="E1710" s="6">
        <v>2011</v>
      </c>
      <c r="F1710" s="15" t="s">
        <v>22</v>
      </c>
      <c r="G1710" s="18" t="s">
        <v>6256</v>
      </c>
      <c r="H1710" s="9" t="s">
        <v>84</v>
      </c>
      <c r="I1710" s="53" t="s">
        <v>2971</v>
      </c>
      <c r="J1710" s="53" t="s">
        <v>2972</v>
      </c>
      <c r="K1710" s="13">
        <v>0</v>
      </c>
      <c r="L1710" s="233">
        <v>4075</v>
      </c>
      <c r="M1710" s="13">
        <v>815</v>
      </c>
      <c r="N1710" s="13">
        <v>0</v>
      </c>
      <c r="O1710" s="13">
        <v>0</v>
      </c>
      <c r="P1710" s="13">
        <v>0</v>
      </c>
      <c r="Q1710" s="13">
        <v>0</v>
      </c>
      <c r="R1710" s="26">
        <v>0.74783999999999995</v>
      </c>
      <c r="S1710" s="19" t="s">
        <v>115</v>
      </c>
      <c r="T1710" s="257">
        <f t="shared" si="59"/>
        <v>4075</v>
      </c>
      <c r="U1710" s="257">
        <f t="shared" si="60"/>
        <v>815</v>
      </c>
      <c r="V1710">
        <v>1</v>
      </c>
      <c r="W1710">
        <v>1</v>
      </c>
    </row>
    <row r="1711" spans="1:23" ht="91.2" x14ac:dyDescent="0.3">
      <c r="A1711" s="212">
        <v>40716</v>
      </c>
      <c r="B1711" s="212">
        <v>40716</v>
      </c>
      <c r="C1711" s="6">
        <v>6</v>
      </c>
      <c r="D1711" s="6">
        <v>1</v>
      </c>
      <c r="E1711" s="6">
        <v>2011</v>
      </c>
      <c r="F1711" s="15" t="s">
        <v>22</v>
      </c>
      <c r="G1711" s="9" t="s">
        <v>6257</v>
      </c>
      <c r="H1711" s="9" t="s">
        <v>84</v>
      </c>
      <c r="I1711" s="53" t="s">
        <v>1928</v>
      </c>
      <c r="J1711" s="53" t="s">
        <v>2973</v>
      </c>
      <c r="K1711" s="13">
        <v>0</v>
      </c>
      <c r="L1711" s="233">
        <v>35</v>
      </c>
      <c r="M1711" s="13">
        <v>6</v>
      </c>
      <c r="N1711" s="13">
        <v>0</v>
      </c>
      <c r="O1711" s="13">
        <v>0</v>
      </c>
      <c r="P1711" s="13">
        <v>0</v>
      </c>
      <c r="Q1711" s="13">
        <v>0</v>
      </c>
      <c r="R1711" s="26">
        <v>1.09E-2</v>
      </c>
      <c r="S1711" s="19" t="s">
        <v>115</v>
      </c>
      <c r="T1711" s="257">
        <f t="shared" si="59"/>
        <v>35</v>
      </c>
      <c r="U1711" s="257">
        <f t="shared" si="60"/>
        <v>6</v>
      </c>
      <c r="V1711">
        <v>1</v>
      </c>
      <c r="W1711">
        <v>1</v>
      </c>
    </row>
    <row r="1712" spans="1:23" ht="148.19999999999999" x14ac:dyDescent="0.3">
      <c r="A1712" s="212">
        <v>40788</v>
      </c>
      <c r="B1712" s="212">
        <v>40788</v>
      </c>
      <c r="C1712" s="6">
        <v>9</v>
      </c>
      <c r="D1712" s="6">
        <v>1</v>
      </c>
      <c r="E1712" s="6">
        <v>2011</v>
      </c>
      <c r="F1712" s="15" t="s">
        <v>22</v>
      </c>
      <c r="G1712" s="18" t="s">
        <v>6256</v>
      </c>
      <c r="H1712" s="9" t="s">
        <v>84</v>
      </c>
      <c r="I1712" s="53" t="s">
        <v>2974</v>
      </c>
      <c r="J1712" s="53" t="s">
        <v>2975</v>
      </c>
      <c r="K1712" s="13">
        <v>0</v>
      </c>
      <c r="L1712" s="233">
        <f>((40*5))*1</f>
        <v>200</v>
      </c>
      <c r="M1712" s="13">
        <v>40</v>
      </c>
      <c r="N1712" s="13">
        <v>0</v>
      </c>
      <c r="O1712" s="13">
        <v>0</v>
      </c>
      <c r="P1712" s="13">
        <v>0</v>
      </c>
      <c r="Q1712" s="13">
        <v>0</v>
      </c>
      <c r="R1712" s="26">
        <v>0.04</v>
      </c>
      <c r="S1712" s="19" t="s">
        <v>115</v>
      </c>
      <c r="T1712" s="257">
        <f t="shared" si="59"/>
        <v>200</v>
      </c>
      <c r="U1712" s="257">
        <f t="shared" si="60"/>
        <v>40</v>
      </c>
      <c r="V1712">
        <v>1</v>
      </c>
      <c r="W1712">
        <v>1</v>
      </c>
    </row>
    <row r="1713" spans="1:23" ht="45.6" x14ac:dyDescent="0.3">
      <c r="A1713" s="212">
        <v>40763</v>
      </c>
      <c r="B1713" s="212">
        <v>40763</v>
      </c>
      <c r="C1713" s="6">
        <v>8</v>
      </c>
      <c r="D1713" s="6">
        <v>1</v>
      </c>
      <c r="E1713" s="6">
        <v>2011</v>
      </c>
      <c r="F1713" s="15" t="s">
        <v>22</v>
      </c>
      <c r="G1713" s="18" t="s">
        <v>6256</v>
      </c>
      <c r="H1713" s="9" t="s">
        <v>72</v>
      </c>
      <c r="I1713" s="53" t="s">
        <v>1143</v>
      </c>
      <c r="J1713" s="53" t="s">
        <v>2976</v>
      </c>
      <c r="K1713" s="13">
        <v>2</v>
      </c>
      <c r="L1713" s="233">
        <v>5202</v>
      </c>
      <c r="M1713" s="13" t="s">
        <v>95</v>
      </c>
      <c r="N1713" s="13" t="s">
        <v>95</v>
      </c>
      <c r="O1713" s="13">
        <v>2</v>
      </c>
      <c r="P1713" s="13">
        <v>0</v>
      </c>
      <c r="Q1713" s="13"/>
      <c r="R1713" s="26">
        <v>19.994</v>
      </c>
      <c r="S1713" s="19" t="s">
        <v>149</v>
      </c>
      <c r="T1713" s="257">
        <f t="shared" si="59"/>
        <v>5204</v>
      </c>
      <c r="U1713" s="257">
        <f t="shared" si="60"/>
        <v>2</v>
      </c>
      <c r="V1713">
        <v>1</v>
      </c>
      <c r="W1713">
        <v>1</v>
      </c>
    </row>
    <row r="1714" spans="1:23" ht="216.6" x14ac:dyDescent="0.3">
      <c r="A1714" s="212">
        <v>40777</v>
      </c>
      <c r="B1714" s="212">
        <v>40777</v>
      </c>
      <c r="C1714" s="6">
        <v>8</v>
      </c>
      <c r="D1714" s="6">
        <v>1</v>
      </c>
      <c r="E1714" s="6">
        <v>2011</v>
      </c>
      <c r="F1714" s="15" t="s">
        <v>22</v>
      </c>
      <c r="G1714" s="18" t="s">
        <v>6256</v>
      </c>
      <c r="H1714" s="9" t="s">
        <v>72</v>
      </c>
      <c r="I1714" s="53" t="s">
        <v>2977</v>
      </c>
      <c r="J1714" s="53" t="s">
        <v>2978</v>
      </c>
      <c r="K1714" s="13">
        <v>0</v>
      </c>
      <c r="L1714" s="233">
        <v>4000</v>
      </c>
      <c r="M1714" s="13">
        <v>700</v>
      </c>
      <c r="N1714" s="13">
        <v>8</v>
      </c>
      <c r="O1714" s="13">
        <v>0</v>
      </c>
      <c r="P1714" s="13">
        <v>0</v>
      </c>
      <c r="Q1714" s="13">
        <v>0</v>
      </c>
      <c r="R1714" s="26">
        <v>1.0409999999999999</v>
      </c>
      <c r="S1714" s="19" t="s">
        <v>115</v>
      </c>
      <c r="T1714" s="257">
        <f t="shared" si="59"/>
        <v>4000</v>
      </c>
      <c r="U1714" s="257">
        <f t="shared" si="60"/>
        <v>708</v>
      </c>
      <c r="V1714">
        <v>1</v>
      </c>
      <c r="W1714">
        <v>1</v>
      </c>
    </row>
    <row r="1715" spans="1:23" ht="102.6" x14ac:dyDescent="0.3">
      <c r="A1715" s="212">
        <v>40746</v>
      </c>
      <c r="B1715" s="212">
        <v>40746</v>
      </c>
      <c r="C1715" s="6">
        <v>7</v>
      </c>
      <c r="D1715" s="6">
        <v>1</v>
      </c>
      <c r="E1715" s="6">
        <v>2011</v>
      </c>
      <c r="F1715" s="15" t="s">
        <v>22</v>
      </c>
      <c r="G1715" s="18" t="s">
        <v>6256</v>
      </c>
      <c r="H1715" s="9" t="s">
        <v>64</v>
      </c>
      <c r="I1715" s="53" t="s">
        <v>2979</v>
      </c>
      <c r="J1715" s="53" t="s">
        <v>2980</v>
      </c>
      <c r="K1715" s="13">
        <v>0</v>
      </c>
      <c r="L1715" s="233">
        <v>350</v>
      </c>
      <c r="M1715" s="13">
        <v>70</v>
      </c>
      <c r="N1715" s="13">
        <v>0</v>
      </c>
      <c r="O1715" s="13">
        <v>0</v>
      </c>
      <c r="P1715" s="13">
        <v>0</v>
      </c>
      <c r="Q1715" s="13">
        <v>0</v>
      </c>
      <c r="R1715" s="26">
        <v>3.3300000000000003E-2</v>
      </c>
      <c r="S1715" s="19" t="s">
        <v>115</v>
      </c>
      <c r="T1715" s="257">
        <f t="shared" si="59"/>
        <v>350</v>
      </c>
      <c r="U1715" s="257">
        <f t="shared" si="60"/>
        <v>70</v>
      </c>
      <c r="V1715">
        <v>1</v>
      </c>
      <c r="W1715">
        <v>1</v>
      </c>
    </row>
    <row r="1716" spans="1:23" ht="148.19999999999999" x14ac:dyDescent="0.3">
      <c r="A1716" s="212">
        <v>40746</v>
      </c>
      <c r="B1716" s="212">
        <v>40746</v>
      </c>
      <c r="C1716" s="6">
        <v>7</v>
      </c>
      <c r="D1716" s="6">
        <v>1</v>
      </c>
      <c r="E1716" s="6">
        <v>2011</v>
      </c>
      <c r="F1716" s="15" t="s">
        <v>22</v>
      </c>
      <c r="G1716" s="18" t="s">
        <v>6256</v>
      </c>
      <c r="H1716" s="9" t="s">
        <v>64</v>
      </c>
      <c r="I1716" s="53" t="s">
        <v>2981</v>
      </c>
      <c r="J1716" s="53" t="s">
        <v>2982</v>
      </c>
      <c r="K1716" s="13">
        <v>1</v>
      </c>
      <c r="L1716" s="233">
        <v>40</v>
      </c>
      <c r="M1716" s="13">
        <v>8</v>
      </c>
      <c r="N1716" s="13">
        <v>0</v>
      </c>
      <c r="O1716" s="13">
        <v>0</v>
      </c>
      <c r="P1716" s="13">
        <v>0</v>
      </c>
      <c r="Q1716" s="13">
        <v>0</v>
      </c>
      <c r="R1716" s="26">
        <v>0.13750000000000001</v>
      </c>
      <c r="S1716" s="19" t="s">
        <v>115</v>
      </c>
      <c r="T1716" s="257">
        <f t="shared" si="59"/>
        <v>41</v>
      </c>
      <c r="U1716" s="257">
        <f t="shared" si="60"/>
        <v>8</v>
      </c>
      <c r="V1716">
        <v>1</v>
      </c>
      <c r="W1716">
        <v>1</v>
      </c>
    </row>
    <row r="1717" spans="1:23" ht="102.6" x14ac:dyDescent="0.3">
      <c r="A1717" s="212">
        <v>40725</v>
      </c>
      <c r="B1717" s="212">
        <v>40725</v>
      </c>
      <c r="C1717" s="6">
        <v>7</v>
      </c>
      <c r="D1717" s="6">
        <v>1</v>
      </c>
      <c r="E1717" s="6">
        <v>2011</v>
      </c>
      <c r="F1717" s="15" t="s">
        <v>22</v>
      </c>
      <c r="G1717" s="18" t="s">
        <v>6256</v>
      </c>
      <c r="H1717" s="9" t="s">
        <v>43</v>
      </c>
      <c r="I1717" s="53" t="s">
        <v>721</v>
      </c>
      <c r="J1717" s="53" t="s">
        <v>2983</v>
      </c>
      <c r="K1717" s="13">
        <v>1</v>
      </c>
      <c r="L1717" s="233">
        <v>1</v>
      </c>
      <c r="M1717" s="13">
        <v>0</v>
      </c>
      <c r="N1717" s="13">
        <v>0</v>
      </c>
      <c r="O1717" s="13">
        <v>0</v>
      </c>
      <c r="P1717" s="13">
        <v>0</v>
      </c>
      <c r="Q1717" s="13">
        <v>0</v>
      </c>
      <c r="R1717" s="26">
        <v>0</v>
      </c>
      <c r="S1717" s="19" t="s">
        <v>115</v>
      </c>
      <c r="T1717" s="257">
        <f t="shared" si="59"/>
        <v>2</v>
      </c>
      <c r="U1717" s="257">
        <f t="shared" si="60"/>
        <v>0</v>
      </c>
      <c r="V1717">
        <v>1</v>
      </c>
      <c r="W1717">
        <v>0</v>
      </c>
    </row>
    <row r="1718" spans="1:23" ht="57" x14ac:dyDescent="0.3">
      <c r="A1718" s="212">
        <v>40727</v>
      </c>
      <c r="B1718" s="212">
        <v>40727</v>
      </c>
      <c r="C1718" s="6">
        <v>7</v>
      </c>
      <c r="D1718" s="6">
        <v>1</v>
      </c>
      <c r="E1718" s="6">
        <v>2011</v>
      </c>
      <c r="F1718" s="15" t="s">
        <v>22</v>
      </c>
      <c r="G1718" s="18" t="s">
        <v>6256</v>
      </c>
      <c r="H1718" s="9" t="s">
        <v>121</v>
      </c>
      <c r="I1718" s="53" t="s">
        <v>2984</v>
      </c>
      <c r="J1718" s="53" t="s">
        <v>2985</v>
      </c>
      <c r="K1718" s="13">
        <v>0</v>
      </c>
      <c r="L1718" s="233">
        <v>250</v>
      </c>
      <c r="M1718" s="13">
        <v>50</v>
      </c>
      <c r="N1718" s="13">
        <v>0</v>
      </c>
      <c r="O1718" s="13">
        <v>0</v>
      </c>
      <c r="P1718" s="13">
        <v>0</v>
      </c>
      <c r="Q1718" s="13">
        <v>0</v>
      </c>
      <c r="R1718" s="26">
        <v>0.125</v>
      </c>
      <c r="S1718" s="19" t="s">
        <v>115</v>
      </c>
      <c r="T1718" s="257">
        <f t="shared" si="59"/>
        <v>250</v>
      </c>
      <c r="U1718" s="257">
        <f t="shared" si="60"/>
        <v>50</v>
      </c>
      <c r="V1718">
        <v>1</v>
      </c>
      <c r="W1718">
        <v>1</v>
      </c>
    </row>
    <row r="1719" spans="1:23" ht="114" x14ac:dyDescent="0.3">
      <c r="A1719" s="226">
        <v>42078</v>
      </c>
      <c r="B1719" s="226">
        <v>42078</v>
      </c>
      <c r="C1719" s="6">
        <v>3</v>
      </c>
      <c r="D1719" s="6">
        <v>1</v>
      </c>
      <c r="E1719" s="54">
        <v>2015</v>
      </c>
      <c r="F1719" s="15" t="s">
        <v>22</v>
      </c>
      <c r="G1719" s="18" t="s">
        <v>6256</v>
      </c>
      <c r="H1719" s="9" t="s">
        <v>48</v>
      </c>
      <c r="I1719" s="70" t="s">
        <v>2986</v>
      </c>
      <c r="J1719" s="127" t="s">
        <v>2987</v>
      </c>
      <c r="K1719" s="124">
        <v>0</v>
      </c>
      <c r="L1719" s="247">
        <v>945</v>
      </c>
      <c r="M1719" s="72">
        <v>189</v>
      </c>
      <c r="N1719" s="72">
        <v>0</v>
      </c>
      <c r="O1719" s="72">
        <v>0</v>
      </c>
      <c r="P1719" s="72">
        <v>0</v>
      </c>
      <c r="Q1719" s="72">
        <v>0</v>
      </c>
      <c r="R1719" s="128">
        <v>0.20200000000000001</v>
      </c>
      <c r="S1719" s="125" t="s">
        <v>115</v>
      </c>
      <c r="T1719" s="257">
        <f t="shared" si="59"/>
        <v>945</v>
      </c>
      <c r="U1719" s="257">
        <f t="shared" si="60"/>
        <v>189</v>
      </c>
      <c r="V1719">
        <v>1</v>
      </c>
      <c r="W1719">
        <v>1</v>
      </c>
    </row>
    <row r="1720" spans="1:23" ht="182.4" x14ac:dyDescent="0.3">
      <c r="A1720" s="227">
        <v>42561</v>
      </c>
      <c r="B1720" s="227">
        <v>42561</v>
      </c>
      <c r="C1720" s="6">
        <v>7</v>
      </c>
      <c r="D1720" s="6">
        <v>1</v>
      </c>
      <c r="E1720" s="137">
        <v>2016</v>
      </c>
      <c r="F1720" s="15" t="s">
        <v>22</v>
      </c>
      <c r="G1720" s="28" t="s">
        <v>6256</v>
      </c>
      <c r="H1720" s="9" t="s">
        <v>48</v>
      </c>
      <c r="I1720" s="138" t="s">
        <v>2988</v>
      </c>
      <c r="J1720" s="138" t="s">
        <v>2989</v>
      </c>
      <c r="K1720" s="137">
        <v>0</v>
      </c>
      <c r="L1720" s="104">
        <v>0</v>
      </c>
      <c r="M1720" s="137">
        <v>33</v>
      </c>
      <c r="N1720" s="137">
        <v>1</v>
      </c>
      <c r="O1720" s="137">
        <v>0</v>
      </c>
      <c r="P1720" s="137">
        <v>1</v>
      </c>
      <c r="Q1720" s="139">
        <v>0</v>
      </c>
      <c r="R1720" s="140">
        <f>(M1720*5500)/1000000</f>
        <v>0.18149999999999999</v>
      </c>
      <c r="S1720" s="137" t="s">
        <v>115</v>
      </c>
      <c r="T1720" s="257">
        <f t="shared" si="59"/>
        <v>0</v>
      </c>
      <c r="U1720" s="257">
        <f t="shared" si="60"/>
        <v>35</v>
      </c>
      <c r="V1720">
        <v>0</v>
      </c>
      <c r="W1720">
        <v>1</v>
      </c>
    </row>
    <row r="1721" spans="1:23" ht="68.400000000000006" x14ac:dyDescent="0.3">
      <c r="A1721" s="212">
        <v>40577</v>
      </c>
      <c r="B1721" s="212">
        <v>40577</v>
      </c>
      <c r="C1721" s="6">
        <v>2</v>
      </c>
      <c r="D1721" s="6">
        <v>1</v>
      </c>
      <c r="E1721" s="6">
        <v>2011</v>
      </c>
      <c r="F1721" s="15" t="s">
        <v>22</v>
      </c>
      <c r="G1721" s="18" t="s">
        <v>6256</v>
      </c>
      <c r="H1721" s="9" t="s">
        <v>31</v>
      </c>
      <c r="I1721" s="53" t="s">
        <v>1060</v>
      </c>
      <c r="J1721" s="53" t="s">
        <v>2990</v>
      </c>
      <c r="K1721" s="13">
        <v>1</v>
      </c>
      <c r="L1721" s="234">
        <v>5</v>
      </c>
      <c r="M1721" s="13">
        <v>1</v>
      </c>
      <c r="N1721" s="13">
        <v>0</v>
      </c>
      <c r="O1721" s="13">
        <v>0</v>
      </c>
      <c r="P1721" s="13">
        <v>0</v>
      </c>
      <c r="Q1721" s="13">
        <v>0</v>
      </c>
      <c r="R1721" s="24">
        <v>0.12</v>
      </c>
      <c r="S1721" s="19" t="s">
        <v>115</v>
      </c>
      <c r="T1721" s="257">
        <f t="shared" si="59"/>
        <v>6</v>
      </c>
      <c r="U1721" s="257">
        <f t="shared" si="60"/>
        <v>1</v>
      </c>
      <c r="V1721">
        <v>1</v>
      </c>
      <c r="W1721">
        <v>1</v>
      </c>
    </row>
    <row r="1722" spans="1:23" ht="45.6" x14ac:dyDescent="0.3">
      <c r="A1722" s="212">
        <v>40791</v>
      </c>
      <c r="B1722" s="212">
        <v>40791</v>
      </c>
      <c r="C1722" s="6">
        <v>9</v>
      </c>
      <c r="D1722" s="6">
        <v>1</v>
      </c>
      <c r="E1722" s="6">
        <v>2011</v>
      </c>
      <c r="F1722" s="15" t="s">
        <v>22</v>
      </c>
      <c r="G1722" s="18" t="s">
        <v>6256</v>
      </c>
      <c r="H1722" s="9" t="s">
        <v>31</v>
      </c>
      <c r="I1722" s="53" t="s">
        <v>1900</v>
      </c>
      <c r="J1722" s="53" t="s">
        <v>2991</v>
      </c>
      <c r="K1722" s="13">
        <v>0</v>
      </c>
      <c r="L1722" s="234">
        <v>7873</v>
      </c>
      <c r="M1722" s="13">
        <v>2</v>
      </c>
      <c r="N1722" s="13">
        <v>1</v>
      </c>
      <c r="O1722" s="13" t="s">
        <v>95</v>
      </c>
      <c r="P1722" s="13">
        <v>0</v>
      </c>
      <c r="Q1722" s="13"/>
      <c r="R1722" s="24">
        <v>417.195742</v>
      </c>
      <c r="S1722" s="19" t="s">
        <v>149</v>
      </c>
      <c r="T1722" s="257">
        <f t="shared" si="59"/>
        <v>7873</v>
      </c>
      <c r="U1722" s="257">
        <f t="shared" si="60"/>
        <v>3</v>
      </c>
      <c r="V1722">
        <v>1</v>
      </c>
      <c r="W1722">
        <v>1</v>
      </c>
    </row>
    <row r="1723" spans="1:23" ht="45.6" x14ac:dyDescent="0.3">
      <c r="A1723" s="212">
        <v>40723</v>
      </c>
      <c r="B1723" s="212">
        <v>40723</v>
      </c>
      <c r="C1723" s="6">
        <v>6</v>
      </c>
      <c r="D1723" s="6">
        <v>1</v>
      </c>
      <c r="E1723" s="6">
        <v>2011</v>
      </c>
      <c r="F1723" s="15" t="s">
        <v>22</v>
      </c>
      <c r="G1723" s="82" t="s">
        <v>6256</v>
      </c>
      <c r="H1723" s="9" t="s">
        <v>31</v>
      </c>
      <c r="I1723" s="53" t="s">
        <v>2992</v>
      </c>
      <c r="J1723" s="53" t="s">
        <v>2993</v>
      </c>
      <c r="K1723" s="13">
        <v>1</v>
      </c>
      <c r="L1723" s="233">
        <v>1</v>
      </c>
      <c r="M1723" s="13">
        <v>0</v>
      </c>
      <c r="N1723" s="13">
        <v>0</v>
      </c>
      <c r="O1723" s="13">
        <v>0</v>
      </c>
      <c r="P1723" s="13">
        <v>0</v>
      </c>
      <c r="Q1723" s="13">
        <v>0</v>
      </c>
      <c r="R1723" s="26">
        <v>0</v>
      </c>
      <c r="S1723" s="19" t="s">
        <v>115</v>
      </c>
      <c r="T1723" s="257">
        <f t="shared" si="59"/>
        <v>2</v>
      </c>
      <c r="U1723" s="257">
        <f t="shared" si="60"/>
        <v>0</v>
      </c>
      <c r="V1723">
        <v>1</v>
      </c>
      <c r="W1723">
        <v>0</v>
      </c>
    </row>
    <row r="1724" spans="1:23" ht="34.200000000000003" x14ac:dyDescent="0.3">
      <c r="A1724" s="212">
        <v>40805</v>
      </c>
      <c r="B1724" s="212">
        <v>40805</v>
      </c>
      <c r="C1724" s="6">
        <v>9</v>
      </c>
      <c r="D1724" s="6">
        <v>1</v>
      </c>
      <c r="E1724" s="6">
        <v>2011</v>
      </c>
      <c r="F1724" s="15" t="s">
        <v>22</v>
      </c>
      <c r="G1724" s="18" t="s">
        <v>6256</v>
      </c>
      <c r="H1724" s="9" t="s">
        <v>31</v>
      </c>
      <c r="I1724" s="53" t="s">
        <v>196</v>
      </c>
      <c r="J1724" s="53" t="s">
        <v>2994</v>
      </c>
      <c r="K1724" s="13">
        <v>0</v>
      </c>
      <c r="L1724" s="234">
        <v>814</v>
      </c>
      <c r="M1724" s="13">
        <v>5</v>
      </c>
      <c r="N1724" s="13" t="s">
        <v>95</v>
      </c>
      <c r="O1724" s="13" t="s">
        <v>95</v>
      </c>
      <c r="P1724" s="13">
        <v>0</v>
      </c>
      <c r="Q1724" s="13"/>
      <c r="R1724" s="24">
        <v>307.49817899999999</v>
      </c>
      <c r="S1724" s="19" t="s">
        <v>149</v>
      </c>
      <c r="T1724" s="257">
        <f t="shared" si="59"/>
        <v>814</v>
      </c>
      <c r="U1724" s="257">
        <f t="shared" si="60"/>
        <v>5</v>
      </c>
      <c r="V1724">
        <v>1</v>
      </c>
      <c r="W1724">
        <v>1</v>
      </c>
    </row>
    <row r="1725" spans="1:23" ht="125.4" x14ac:dyDescent="0.3">
      <c r="A1725" s="212">
        <v>40725</v>
      </c>
      <c r="B1725" s="212">
        <v>40725</v>
      </c>
      <c r="C1725" s="6">
        <v>7</v>
      </c>
      <c r="D1725" s="6">
        <v>1</v>
      </c>
      <c r="E1725" s="6">
        <v>2011</v>
      </c>
      <c r="F1725" s="15" t="s">
        <v>22</v>
      </c>
      <c r="G1725" s="18" t="s">
        <v>6256</v>
      </c>
      <c r="H1725" s="9" t="s">
        <v>27</v>
      </c>
      <c r="I1725" s="53" t="s">
        <v>652</v>
      </c>
      <c r="J1725" s="53" t="s">
        <v>2995</v>
      </c>
      <c r="K1725" s="13">
        <v>0</v>
      </c>
      <c r="L1725" s="233">
        <f>((30*5))*1</f>
        <v>150</v>
      </c>
      <c r="M1725" s="13">
        <v>30</v>
      </c>
      <c r="N1725" s="13">
        <v>0</v>
      </c>
      <c r="O1725" s="13">
        <v>0</v>
      </c>
      <c r="P1725" s="13">
        <v>0</v>
      </c>
      <c r="Q1725" s="13">
        <v>0</v>
      </c>
      <c r="R1725" s="26">
        <v>0.03</v>
      </c>
      <c r="S1725" s="19" t="s">
        <v>115</v>
      </c>
      <c r="T1725" s="257">
        <f t="shared" si="59"/>
        <v>150</v>
      </c>
      <c r="U1725" s="257">
        <f t="shared" si="60"/>
        <v>30</v>
      </c>
      <c r="V1725">
        <v>1</v>
      </c>
      <c r="W1725">
        <v>1</v>
      </c>
    </row>
    <row r="1726" spans="1:23" ht="79.8" x14ac:dyDescent="0.3">
      <c r="A1726" s="212">
        <v>40828</v>
      </c>
      <c r="B1726" s="212">
        <v>40828</v>
      </c>
      <c r="C1726" s="6">
        <v>10</v>
      </c>
      <c r="D1726" s="6">
        <v>1</v>
      </c>
      <c r="E1726" s="6">
        <v>2011</v>
      </c>
      <c r="F1726" s="15" t="s">
        <v>22</v>
      </c>
      <c r="G1726" s="16" t="s">
        <v>6254</v>
      </c>
      <c r="H1726" s="9" t="s">
        <v>39</v>
      </c>
      <c r="I1726" s="53" t="s">
        <v>2996</v>
      </c>
      <c r="J1726" s="53" t="s">
        <v>2997</v>
      </c>
      <c r="K1726" s="13">
        <v>2</v>
      </c>
      <c r="L1726" s="233">
        <v>53584</v>
      </c>
      <c r="M1726" s="13">
        <v>3304</v>
      </c>
      <c r="N1726" s="13">
        <v>41</v>
      </c>
      <c r="O1726" s="13">
        <v>26</v>
      </c>
      <c r="P1726" s="13">
        <v>1123</v>
      </c>
      <c r="Q1726" s="13">
        <v>6388</v>
      </c>
      <c r="R1726" s="26">
        <v>2278.4929999999999</v>
      </c>
      <c r="S1726" s="19" t="s">
        <v>21</v>
      </c>
      <c r="T1726" s="257">
        <f t="shared" si="59"/>
        <v>53586</v>
      </c>
      <c r="U1726" s="257">
        <f t="shared" si="60"/>
        <v>4494</v>
      </c>
      <c r="V1726">
        <v>2</v>
      </c>
      <c r="W1726">
        <v>2</v>
      </c>
    </row>
    <row r="1727" spans="1:23" ht="79.8" x14ac:dyDescent="0.3">
      <c r="A1727" s="212">
        <v>40724</v>
      </c>
      <c r="B1727" s="212">
        <v>40724</v>
      </c>
      <c r="C1727" s="6">
        <v>6</v>
      </c>
      <c r="D1727" s="6">
        <v>1</v>
      </c>
      <c r="E1727" s="6">
        <v>2011</v>
      </c>
      <c r="F1727" s="15" t="s">
        <v>22</v>
      </c>
      <c r="G1727" s="82" t="s">
        <v>6256</v>
      </c>
      <c r="H1727" s="9" t="s">
        <v>174</v>
      </c>
      <c r="I1727" s="53" t="s">
        <v>2998</v>
      </c>
      <c r="J1727" s="53" t="s">
        <v>2999</v>
      </c>
      <c r="K1727" s="13">
        <v>0</v>
      </c>
      <c r="L1727" s="233">
        <v>10240</v>
      </c>
      <c r="M1727" s="13">
        <v>2048</v>
      </c>
      <c r="N1727" s="13">
        <v>0</v>
      </c>
      <c r="O1727" s="13">
        <v>0</v>
      </c>
      <c r="P1727" s="13">
        <v>0</v>
      </c>
      <c r="Q1727" s="13">
        <v>0</v>
      </c>
      <c r="R1727" s="26">
        <v>0.64100000000000001</v>
      </c>
      <c r="S1727" s="19" t="s">
        <v>115</v>
      </c>
      <c r="T1727" s="257">
        <f t="shared" si="59"/>
        <v>10240</v>
      </c>
      <c r="U1727" s="257">
        <f t="shared" si="60"/>
        <v>2048</v>
      </c>
      <c r="V1727">
        <v>2</v>
      </c>
      <c r="W1727">
        <v>2</v>
      </c>
    </row>
    <row r="1728" spans="1:23" ht="57" x14ac:dyDescent="0.3">
      <c r="A1728" s="212">
        <v>40721</v>
      </c>
      <c r="B1728" s="212">
        <v>40721</v>
      </c>
      <c r="C1728" s="6">
        <v>6</v>
      </c>
      <c r="D1728" s="6">
        <v>1</v>
      </c>
      <c r="E1728" s="6">
        <v>2011</v>
      </c>
      <c r="F1728" s="15" t="s">
        <v>22</v>
      </c>
      <c r="G1728" s="16" t="s">
        <v>6256</v>
      </c>
      <c r="H1728" s="17" t="s">
        <v>565</v>
      </c>
      <c r="I1728" s="53" t="s">
        <v>2598</v>
      </c>
      <c r="J1728" s="53" t="s">
        <v>3000</v>
      </c>
      <c r="K1728" s="13">
        <v>1</v>
      </c>
      <c r="L1728" s="233">
        <v>1</v>
      </c>
      <c r="M1728" s="13">
        <v>0</v>
      </c>
      <c r="N1728" s="13">
        <v>0</v>
      </c>
      <c r="O1728" s="13">
        <v>0</v>
      </c>
      <c r="P1728" s="13">
        <v>0</v>
      </c>
      <c r="Q1728" s="13">
        <v>0</v>
      </c>
      <c r="R1728" s="26">
        <v>0</v>
      </c>
      <c r="S1728" s="19" t="s">
        <v>115</v>
      </c>
      <c r="T1728" s="257">
        <f t="shared" si="59"/>
        <v>2</v>
      </c>
      <c r="U1728" s="257">
        <f t="shared" si="60"/>
        <v>0</v>
      </c>
      <c r="V1728">
        <v>1</v>
      </c>
      <c r="W1728">
        <v>0</v>
      </c>
    </row>
    <row r="1729" spans="1:23" ht="228" x14ac:dyDescent="0.3">
      <c r="A1729" s="212">
        <v>40779</v>
      </c>
      <c r="B1729" s="212">
        <v>40779</v>
      </c>
      <c r="C1729" s="6">
        <v>8</v>
      </c>
      <c r="D1729" s="6">
        <v>1</v>
      </c>
      <c r="E1729" s="6">
        <v>2011</v>
      </c>
      <c r="F1729" s="15" t="s">
        <v>22</v>
      </c>
      <c r="G1729" s="18" t="s">
        <v>6256</v>
      </c>
      <c r="H1729" s="9" t="s">
        <v>72</v>
      </c>
      <c r="I1729" s="53" t="s">
        <v>3001</v>
      </c>
      <c r="J1729" s="53" t="s">
        <v>3002</v>
      </c>
      <c r="K1729" s="13">
        <v>0</v>
      </c>
      <c r="L1729" s="233">
        <v>1500</v>
      </c>
      <c r="M1729" s="13">
        <v>300</v>
      </c>
      <c r="N1729" s="13">
        <v>0</v>
      </c>
      <c r="O1729" s="13">
        <v>0</v>
      </c>
      <c r="P1729" s="13">
        <v>0</v>
      </c>
      <c r="Q1729" s="13">
        <v>0</v>
      </c>
      <c r="R1729" s="26">
        <v>9.3899999999999997E-2</v>
      </c>
      <c r="S1729" s="19" t="s">
        <v>115</v>
      </c>
      <c r="T1729" s="257">
        <f t="shared" si="59"/>
        <v>1500</v>
      </c>
      <c r="U1729" s="257">
        <f t="shared" si="60"/>
        <v>300</v>
      </c>
      <c r="V1729">
        <v>1</v>
      </c>
      <c r="W1729">
        <v>1</v>
      </c>
    </row>
    <row r="1730" spans="1:23" ht="136.80000000000001" x14ac:dyDescent="0.3">
      <c r="A1730" s="212">
        <v>40718</v>
      </c>
      <c r="B1730" s="212">
        <v>40718</v>
      </c>
      <c r="C1730" s="6">
        <v>6</v>
      </c>
      <c r="D1730" s="6">
        <v>1</v>
      </c>
      <c r="E1730" s="6">
        <v>2011</v>
      </c>
      <c r="F1730" s="15" t="s">
        <v>22</v>
      </c>
      <c r="G1730" s="18" t="s">
        <v>6256</v>
      </c>
      <c r="H1730" s="9" t="s">
        <v>70</v>
      </c>
      <c r="I1730" s="53" t="s">
        <v>3003</v>
      </c>
      <c r="J1730" s="53" t="s">
        <v>3004</v>
      </c>
      <c r="K1730" s="13">
        <v>5</v>
      </c>
      <c r="L1730" s="233">
        <v>538</v>
      </c>
      <c r="M1730" s="13">
        <v>0</v>
      </c>
      <c r="N1730" s="13">
        <v>0</v>
      </c>
      <c r="O1730" s="13">
        <v>0</v>
      </c>
      <c r="P1730" s="13">
        <v>0</v>
      </c>
      <c r="Q1730" s="13">
        <v>0</v>
      </c>
      <c r="R1730" s="26">
        <v>0</v>
      </c>
      <c r="S1730" s="19" t="s">
        <v>115</v>
      </c>
      <c r="T1730" s="257">
        <f t="shared" si="59"/>
        <v>543</v>
      </c>
      <c r="U1730" s="257">
        <f t="shared" si="60"/>
        <v>0</v>
      </c>
      <c r="V1730">
        <v>1</v>
      </c>
      <c r="W1730">
        <v>0</v>
      </c>
    </row>
    <row r="1731" spans="1:23" ht="125.4" x14ac:dyDescent="0.3">
      <c r="A1731" s="212">
        <v>40717</v>
      </c>
      <c r="B1731" s="212">
        <v>40717</v>
      </c>
      <c r="C1731" s="6">
        <v>6</v>
      </c>
      <c r="D1731" s="6">
        <v>1</v>
      </c>
      <c r="E1731" s="6">
        <v>2011</v>
      </c>
      <c r="F1731" s="15" t="s">
        <v>22</v>
      </c>
      <c r="G1731" s="18" t="s">
        <v>6256</v>
      </c>
      <c r="H1731" s="9" t="s">
        <v>66</v>
      </c>
      <c r="I1731" s="53" t="s">
        <v>3005</v>
      </c>
      <c r="J1731" s="53" t="s">
        <v>3006</v>
      </c>
      <c r="K1731" s="13">
        <v>0</v>
      </c>
      <c r="L1731" s="233">
        <v>4</v>
      </c>
      <c r="M1731" s="13">
        <v>1</v>
      </c>
      <c r="N1731" s="13">
        <v>0</v>
      </c>
      <c r="O1731" s="13">
        <v>0</v>
      </c>
      <c r="P1731" s="13">
        <v>0</v>
      </c>
      <c r="Q1731" s="13">
        <v>0</v>
      </c>
      <c r="R1731" s="26">
        <v>5.4999999999999997E-3</v>
      </c>
      <c r="S1731" s="19" t="s">
        <v>115</v>
      </c>
      <c r="T1731" s="257">
        <f t="shared" ref="T1731:T1794" si="61">SUM(K1731:L1731)</f>
        <v>4</v>
      </c>
      <c r="U1731" s="257">
        <f t="shared" ref="U1731:U1794" si="62">SUM(M1731:P1731)</f>
        <v>1</v>
      </c>
      <c r="V1731">
        <v>1</v>
      </c>
      <c r="W1731">
        <v>1</v>
      </c>
    </row>
    <row r="1732" spans="1:23" ht="68.400000000000006" x14ac:dyDescent="0.3">
      <c r="A1732" s="212">
        <v>40717</v>
      </c>
      <c r="B1732" s="212">
        <v>40717</v>
      </c>
      <c r="C1732" s="6">
        <v>6</v>
      </c>
      <c r="D1732" s="6">
        <v>1</v>
      </c>
      <c r="E1732" s="6">
        <v>2011</v>
      </c>
      <c r="F1732" s="15" t="s">
        <v>22</v>
      </c>
      <c r="G1732" s="82" t="s">
        <v>6256</v>
      </c>
      <c r="H1732" s="9" t="s">
        <v>64</v>
      </c>
      <c r="I1732" s="53" t="s">
        <v>3007</v>
      </c>
      <c r="J1732" s="53" t="s">
        <v>3008</v>
      </c>
      <c r="K1732" s="13">
        <v>0</v>
      </c>
      <c r="L1732" s="233">
        <v>11</v>
      </c>
      <c r="M1732" s="13">
        <v>2</v>
      </c>
      <c r="N1732" s="13">
        <v>0</v>
      </c>
      <c r="O1732" s="13">
        <v>0</v>
      </c>
      <c r="P1732" s="13">
        <v>0</v>
      </c>
      <c r="Q1732" s="13">
        <v>0</v>
      </c>
      <c r="R1732" s="26">
        <v>0.42680000000000001</v>
      </c>
      <c r="S1732" s="19" t="s">
        <v>115</v>
      </c>
      <c r="T1732" s="257">
        <f t="shared" si="61"/>
        <v>11</v>
      </c>
      <c r="U1732" s="257">
        <f t="shared" si="62"/>
        <v>2</v>
      </c>
      <c r="V1732">
        <v>1</v>
      </c>
      <c r="W1732">
        <v>1</v>
      </c>
    </row>
    <row r="1733" spans="1:23" ht="34.200000000000003" x14ac:dyDescent="0.3">
      <c r="A1733" s="212">
        <v>40717</v>
      </c>
      <c r="B1733" s="212">
        <v>40717</v>
      </c>
      <c r="C1733" s="6">
        <v>6</v>
      </c>
      <c r="D1733" s="6">
        <v>1</v>
      </c>
      <c r="E1733" s="6">
        <v>2011</v>
      </c>
      <c r="F1733" s="15" t="s">
        <v>22</v>
      </c>
      <c r="G1733" s="18" t="s">
        <v>6256</v>
      </c>
      <c r="H1733" s="9" t="s">
        <v>64</v>
      </c>
      <c r="I1733" s="53" t="s">
        <v>3009</v>
      </c>
      <c r="J1733" s="53" t="s">
        <v>3010</v>
      </c>
      <c r="K1733" s="13">
        <v>0</v>
      </c>
      <c r="L1733" s="233">
        <v>85</v>
      </c>
      <c r="M1733" s="13">
        <v>17</v>
      </c>
      <c r="N1733" s="13">
        <v>0</v>
      </c>
      <c r="O1733" s="13">
        <v>0</v>
      </c>
      <c r="P1733" s="13">
        <v>0</v>
      </c>
      <c r="Q1733" s="13">
        <v>0</v>
      </c>
      <c r="R1733" s="26">
        <v>5.3E-3</v>
      </c>
      <c r="S1733" s="19" t="s">
        <v>115</v>
      </c>
      <c r="T1733" s="257">
        <f t="shared" si="61"/>
        <v>85</v>
      </c>
      <c r="U1733" s="257">
        <f t="shared" si="62"/>
        <v>17</v>
      </c>
      <c r="V1733">
        <v>1</v>
      </c>
      <c r="W1733">
        <v>1</v>
      </c>
    </row>
    <row r="1734" spans="1:23" ht="45.6" x14ac:dyDescent="0.3">
      <c r="A1734" s="212">
        <v>40725</v>
      </c>
      <c r="B1734" s="212">
        <v>40725</v>
      </c>
      <c r="C1734" s="6">
        <v>7</v>
      </c>
      <c r="D1734" s="6">
        <v>1</v>
      </c>
      <c r="E1734" s="6">
        <v>2011</v>
      </c>
      <c r="F1734" s="15" t="s">
        <v>22</v>
      </c>
      <c r="G1734" s="18" t="s">
        <v>6256</v>
      </c>
      <c r="H1734" s="9" t="s">
        <v>64</v>
      </c>
      <c r="I1734" s="53" t="s">
        <v>3011</v>
      </c>
      <c r="J1734" s="53" t="s">
        <v>3012</v>
      </c>
      <c r="K1734" s="13">
        <v>1</v>
      </c>
      <c r="L1734" s="233">
        <v>5</v>
      </c>
      <c r="M1734" s="13">
        <v>0</v>
      </c>
      <c r="N1734" s="13">
        <v>0</v>
      </c>
      <c r="O1734" s="13">
        <v>0</v>
      </c>
      <c r="P1734" s="13">
        <v>0</v>
      </c>
      <c r="Q1734" s="13">
        <v>0</v>
      </c>
      <c r="R1734" s="26">
        <v>2.8000000000000001E-2</v>
      </c>
      <c r="S1734" s="19" t="s">
        <v>115</v>
      </c>
      <c r="T1734" s="257">
        <f t="shared" si="61"/>
        <v>6</v>
      </c>
      <c r="U1734" s="257">
        <f t="shared" si="62"/>
        <v>0</v>
      </c>
      <c r="V1734">
        <v>1</v>
      </c>
      <c r="W1734">
        <v>0</v>
      </c>
    </row>
    <row r="1735" spans="1:23" ht="114" x14ac:dyDescent="0.3">
      <c r="A1735" s="212">
        <v>40695</v>
      </c>
      <c r="B1735" s="212">
        <v>40695</v>
      </c>
      <c r="C1735" s="6">
        <v>6</v>
      </c>
      <c r="D1735" s="6">
        <v>1</v>
      </c>
      <c r="E1735" s="6">
        <v>2011</v>
      </c>
      <c r="F1735" s="15" t="s">
        <v>22</v>
      </c>
      <c r="G1735" s="18" t="s">
        <v>6256</v>
      </c>
      <c r="H1735" s="9" t="s">
        <v>61</v>
      </c>
      <c r="I1735" s="53" t="s">
        <v>3013</v>
      </c>
      <c r="J1735" s="53" t="s">
        <v>3014</v>
      </c>
      <c r="K1735" s="13">
        <v>2</v>
      </c>
      <c r="L1735" s="233">
        <v>7</v>
      </c>
      <c r="M1735" s="13">
        <v>0</v>
      </c>
      <c r="N1735" s="13">
        <v>0</v>
      </c>
      <c r="O1735" s="13">
        <v>0</v>
      </c>
      <c r="P1735" s="13">
        <v>0</v>
      </c>
      <c r="Q1735" s="13">
        <v>0</v>
      </c>
      <c r="R1735" s="26">
        <v>3.6999999999999998E-2</v>
      </c>
      <c r="S1735" s="19" t="s">
        <v>115</v>
      </c>
      <c r="T1735" s="257">
        <f t="shared" si="61"/>
        <v>9</v>
      </c>
      <c r="U1735" s="257">
        <f t="shared" si="62"/>
        <v>0</v>
      </c>
      <c r="V1735">
        <v>1</v>
      </c>
      <c r="W1735">
        <v>0</v>
      </c>
    </row>
    <row r="1736" spans="1:23" ht="285" x14ac:dyDescent="0.3">
      <c r="A1736" s="212">
        <v>40716</v>
      </c>
      <c r="B1736" s="212">
        <v>40716</v>
      </c>
      <c r="C1736" s="6">
        <v>6</v>
      </c>
      <c r="D1736" s="6">
        <v>1</v>
      </c>
      <c r="E1736" s="6">
        <v>2011</v>
      </c>
      <c r="F1736" s="15" t="s">
        <v>22</v>
      </c>
      <c r="G1736" s="18" t="s">
        <v>6256</v>
      </c>
      <c r="H1736" s="9" t="s">
        <v>61</v>
      </c>
      <c r="I1736" s="53" t="s">
        <v>3015</v>
      </c>
      <c r="J1736" s="53" t="s">
        <v>3016</v>
      </c>
      <c r="K1736" s="13">
        <v>0</v>
      </c>
      <c r="L1736" s="233">
        <f>((160*5))*1</f>
        <v>800</v>
      </c>
      <c r="M1736" s="13">
        <v>45</v>
      </c>
      <c r="N1736" s="13">
        <v>0</v>
      </c>
      <c r="O1736" s="13">
        <v>0</v>
      </c>
      <c r="P1736" s="13">
        <v>0</v>
      </c>
      <c r="Q1736" s="13">
        <v>0</v>
      </c>
      <c r="R1736" s="26">
        <v>0.1125</v>
      </c>
      <c r="S1736" s="19" t="s">
        <v>115</v>
      </c>
      <c r="T1736" s="257">
        <f t="shared" si="61"/>
        <v>800</v>
      </c>
      <c r="U1736" s="257">
        <f t="shared" si="62"/>
        <v>45</v>
      </c>
      <c r="V1736">
        <v>1</v>
      </c>
      <c r="W1736">
        <v>1</v>
      </c>
    </row>
    <row r="1737" spans="1:23" ht="68.400000000000006" x14ac:dyDescent="0.3">
      <c r="A1737" s="212">
        <v>40716</v>
      </c>
      <c r="B1737" s="212">
        <v>40716</v>
      </c>
      <c r="C1737" s="6">
        <v>6</v>
      </c>
      <c r="D1737" s="6">
        <v>1</v>
      </c>
      <c r="E1737" s="6">
        <v>2011</v>
      </c>
      <c r="F1737" s="15" t="s">
        <v>22</v>
      </c>
      <c r="G1737" s="18" t="s">
        <v>6256</v>
      </c>
      <c r="H1737" s="9" t="s">
        <v>61</v>
      </c>
      <c r="I1737" s="53" t="s">
        <v>3017</v>
      </c>
      <c r="J1737" s="53" t="s">
        <v>3018</v>
      </c>
      <c r="K1737" s="13">
        <v>3</v>
      </c>
      <c r="L1737" s="233">
        <v>5</v>
      </c>
      <c r="M1737" s="13">
        <v>1</v>
      </c>
      <c r="N1737" s="13">
        <v>0</v>
      </c>
      <c r="O1737" s="13">
        <v>0</v>
      </c>
      <c r="P1737" s="13">
        <v>0</v>
      </c>
      <c r="Q1737" s="13">
        <v>0</v>
      </c>
      <c r="R1737" s="26">
        <v>0.12</v>
      </c>
      <c r="S1737" s="19" t="s">
        <v>115</v>
      </c>
      <c r="T1737" s="257">
        <f t="shared" si="61"/>
        <v>8</v>
      </c>
      <c r="U1737" s="257">
        <f t="shared" si="62"/>
        <v>1</v>
      </c>
      <c r="V1737">
        <v>1</v>
      </c>
      <c r="W1737">
        <v>1</v>
      </c>
    </row>
    <row r="1738" spans="1:23" ht="79.8" x14ac:dyDescent="0.3">
      <c r="A1738" s="212">
        <v>40714</v>
      </c>
      <c r="B1738" s="212">
        <v>40714</v>
      </c>
      <c r="C1738" s="6">
        <v>6</v>
      </c>
      <c r="D1738" s="6">
        <v>1</v>
      </c>
      <c r="E1738" s="6">
        <v>2011</v>
      </c>
      <c r="F1738" s="7" t="s">
        <v>17</v>
      </c>
      <c r="G1738" s="28" t="s">
        <v>6261</v>
      </c>
      <c r="H1738" s="9" t="s">
        <v>55</v>
      </c>
      <c r="I1738" s="53" t="s">
        <v>763</v>
      </c>
      <c r="J1738" s="53" t="s">
        <v>3019</v>
      </c>
      <c r="K1738" s="13">
        <v>0</v>
      </c>
      <c r="L1738" s="233">
        <v>45</v>
      </c>
      <c r="M1738" s="13">
        <v>2</v>
      </c>
      <c r="N1738" s="13">
        <v>0</v>
      </c>
      <c r="O1738" s="13">
        <v>0</v>
      </c>
      <c r="P1738" s="13">
        <v>0</v>
      </c>
      <c r="Q1738" s="13">
        <v>0</v>
      </c>
      <c r="R1738" s="26">
        <v>0.56000000000000005</v>
      </c>
      <c r="S1738" s="19" t="s">
        <v>115</v>
      </c>
      <c r="T1738" s="257">
        <f t="shared" si="61"/>
        <v>45</v>
      </c>
      <c r="U1738" s="257">
        <f t="shared" si="62"/>
        <v>2</v>
      </c>
      <c r="V1738">
        <v>1</v>
      </c>
      <c r="W1738">
        <v>1</v>
      </c>
    </row>
    <row r="1739" spans="1:23" ht="136.80000000000001" x14ac:dyDescent="0.3">
      <c r="A1739" s="212">
        <v>40714</v>
      </c>
      <c r="B1739" s="212">
        <v>40714</v>
      </c>
      <c r="C1739" s="6">
        <v>6</v>
      </c>
      <c r="D1739" s="6">
        <v>1</v>
      </c>
      <c r="E1739" s="6">
        <v>2011</v>
      </c>
      <c r="F1739" s="15" t="s">
        <v>22</v>
      </c>
      <c r="G1739" s="18" t="s">
        <v>6256</v>
      </c>
      <c r="H1739" s="9" t="s">
        <v>55</v>
      </c>
      <c r="I1739" s="53" t="s">
        <v>3020</v>
      </c>
      <c r="J1739" s="53" t="s">
        <v>3021</v>
      </c>
      <c r="K1739" s="13">
        <v>0</v>
      </c>
      <c r="L1739" s="233">
        <f>((62*5))*1</f>
        <v>310</v>
      </c>
      <c r="M1739" s="13">
        <v>62</v>
      </c>
      <c r="N1739" s="13">
        <v>0</v>
      </c>
      <c r="O1739" s="13">
        <v>0</v>
      </c>
      <c r="P1739" s="13">
        <v>0</v>
      </c>
      <c r="Q1739" s="13">
        <v>0</v>
      </c>
      <c r="R1739" s="26">
        <v>6.2E-2</v>
      </c>
      <c r="S1739" s="19" t="s">
        <v>115</v>
      </c>
      <c r="T1739" s="257">
        <f t="shared" si="61"/>
        <v>310</v>
      </c>
      <c r="U1739" s="257">
        <f t="shared" si="62"/>
        <v>62</v>
      </c>
      <c r="V1739">
        <v>1</v>
      </c>
      <c r="W1739">
        <v>1</v>
      </c>
    </row>
    <row r="1740" spans="1:23" ht="216.6" x14ac:dyDescent="0.3">
      <c r="A1740" s="212">
        <v>40725</v>
      </c>
      <c r="B1740" s="212">
        <v>40725</v>
      </c>
      <c r="C1740" s="6">
        <v>7</v>
      </c>
      <c r="D1740" s="6">
        <v>1</v>
      </c>
      <c r="E1740" s="6">
        <v>2011</v>
      </c>
      <c r="F1740" s="15" t="s">
        <v>22</v>
      </c>
      <c r="G1740" s="18" t="s">
        <v>6256</v>
      </c>
      <c r="H1740" s="9" t="s">
        <v>52</v>
      </c>
      <c r="I1740" s="53" t="s">
        <v>3022</v>
      </c>
      <c r="J1740" s="53" t="s">
        <v>3023</v>
      </c>
      <c r="K1740" s="13">
        <v>0</v>
      </c>
      <c r="L1740" s="233">
        <v>50</v>
      </c>
      <c r="M1740" s="13">
        <v>6</v>
      </c>
      <c r="N1740" s="13">
        <v>0</v>
      </c>
      <c r="O1740" s="13">
        <v>0</v>
      </c>
      <c r="P1740" s="13">
        <v>0</v>
      </c>
      <c r="Q1740" s="13">
        <v>0</v>
      </c>
      <c r="R1740" s="26">
        <v>0.83699999999999997</v>
      </c>
      <c r="S1740" s="19" t="s">
        <v>115</v>
      </c>
      <c r="T1740" s="257">
        <f t="shared" si="61"/>
        <v>50</v>
      </c>
      <c r="U1740" s="257">
        <f t="shared" si="62"/>
        <v>6</v>
      </c>
      <c r="V1740">
        <v>1</v>
      </c>
      <c r="W1740">
        <v>1</v>
      </c>
    </row>
    <row r="1741" spans="1:23" ht="136.80000000000001" x14ac:dyDescent="0.3">
      <c r="A1741" s="212">
        <v>40709</v>
      </c>
      <c r="B1741" s="212">
        <v>40709</v>
      </c>
      <c r="C1741" s="6">
        <v>6</v>
      </c>
      <c r="D1741" s="6">
        <v>1</v>
      </c>
      <c r="E1741" s="6">
        <v>2011</v>
      </c>
      <c r="F1741" s="15" t="s">
        <v>22</v>
      </c>
      <c r="G1741" s="18" t="s">
        <v>6256</v>
      </c>
      <c r="H1741" s="9" t="s">
        <v>51</v>
      </c>
      <c r="I1741" s="53" t="s">
        <v>1011</v>
      </c>
      <c r="J1741" s="53" t="s">
        <v>3024</v>
      </c>
      <c r="K1741" s="13">
        <v>0</v>
      </c>
      <c r="L1741" s="233">
        <v>380</v>
      </c>
      <c r="M1741" s="13">
        <v>55</v>
      </c>
      <c r="N1741" s="13">
        <v>0</v>
      </c>
      <c r="O1741" s="13">
        <v>0</v>
      </c>
      <c r="P1741" s="13">
        <v>0</v>
      </c>
      <c r="Q1741" s="13">
        <v>0</v>
      </c>
      <c r="R1741" s="26">
        <v>5.8860000000000001</v>
      </c>
      <c r="S1741" s="19" t="s">
        <v>115</v>
      </c>
      <c r="T1741" s="257">
        <f t="shared" si="61"/>
        <v>380</v>
      </c>
      <c r="U1741" s="257">
        <f t="shared" si="62"/>
        <v>55</v>
      </c>
      <c r="V1741">
        <v>1</v>
      </c>
      <c r="W1741">
        <v>1</v>
      </c>
    </row>
    <row r="1742" spans="1:23" ht="136.80000000000001" x14ac:dyDescent="0.3">
      <c r="A1742" s="212">
        <v>40709</v>
      </c>
      <c r="B1742" s="212">
        <v>40709</v>
      </c>
      <c r="C1742" s="6">
        <v>6</v>
      </c>
      <c r="D1742" s="6">
        <v>1</v>
      </c>
      <c r="E1742" s="6">
        <v>2011</v>
      </c>
      <c r="F1742" s="15" t="s">
        <v>22</v>
      </c>
      <c r="G1742" s="16" t="s">
        <v>6256</v>
      </c>
      <c r="H1742" s="9" t="s">
        <v>121</v>
      </c>
      <c r="I1742" s="53" t="s">
        <v>3025</v>
      </c>
      <c r="J1742" s="53" t="s">
        <v>3026</v>
      </c>
      <c r="K1742" s="13">
        <v>0</v>
      </c>
      <c r="L1742" s="233">
        <v>2250</v>
      </c>
      <c r="M1742" s="13">
        <v>450</v>
      </c>
      <c r="N1742" s="13">
        <v>0</v>
      </c>
      <c r="O1742" s="13">
        <v>0</v>
      </c>
      <c r="P1742" s="13">
        <v>0</v>
      </c>
      <c r="Q1742" s="13">
        <v>0</v>
      </c>
      <c r="R1742" s="26">
        <v>1.125</v>
      </c>
      <c r="S1742" s="19" t="s">
        <v>115</v>
      </c>
      <c r="T1742" s="257">
        <f t="shared" si="61"/>
        <v>2250</v>
      </c>
      <c r="U1742" s="257">
        <f t="shared" si="62"/>
        <v>450</v>
      </c>
      <c r="V1742">
        <v>1</v>
      </c>
      <c r="W1742">
        <v>1</v>
      </c>
    </row>
    <row r="1743" spans="1:23" ht="205.2" x14ac:dyDescent="0.3">
      <c r="A1743" s="212">
        <v>40556</v>
      </c>
      <c r="B1743" s="212">
        <v>40556</v>
      </c>
      <c r="C1743" s="6">
        <v>1</v>
      </c>
      <c r="D1743" s="6">
        <v>1</v>
      </c>
      <c r="E1743" s="6">
        <v>2011</v>
      </c>
      <c r="F1743" s="15" t="s">
        <v>22</v>
      </c>
      <c r="G1743" s="18" t="s">
        <v>6256</v>
      </c>
      <c r="H1743" s="9" t="s">
        <v>48</v>
      </c>
      <c r="I1743" s="53" t="s">
        <v>3027</v>
      </c>
      <c r="J1743" s="53" t="s">
        <v>3028</v>
      </c>
      <c r="K1743" s="13">
        <v>1</v>
      </c>
      <c r="L1743" s="233">
        <v>161</v>
      </c>
      <c r="M1743" s="13">
        <v>22</v>
      </c>
      <c r="N1743" s="13">
        <v>0</v>
      </c>
      <c r="O1743" s="13">
        <v>0</v>
      </c>
      <c r="P1743" s="13">
        <v>0</v>
      </c>
      <c r="Q1743" s="13">
        <v>0</v>
      </c>
      <c r="R1743" s="26">
        <v>0.16250000000000001</v>
      </c>
      <c r="S1743" s="19" t="s">
        <v>115</v>
      </c>
      <c r="T1743" s="257">
        <f t="shared" si="61"/>
        <v>162</v>
      </c>
      <c r="U1743" s="257">
        <f t="shared" si="62"/>
        <v>22</v>
      </c>
      <c r="V1743">
        <v>1</v>
      </c>
      <c r="W1743">
        <v>1</v>
      </c>
    </row>
    <row r="1744" spans="1:23" ht="45.6" x14ac:dyDescent="0.3">
      <c r="A1744" s="220">
        <v>38619</v>
      </c>
      <c r="B1744" s="220">
        <v>38619</v>
      </c>
      <c r="C1744" s="6">
        <v>9</v>
      </c>
      <c r="D1744" s="6">
        <v>1</v>
      </c>
      <c r="E1744" s="76">
        <v>2005</v>
      </c>
      <c r="F1744" s="15" t="s">
        <v>22</v>
      </c>
      <c r="G1744" s="18" t="s">
        <v>6256</v>
      </c>
      <c r="H1744" s="9" t="s">
        <v>48</v>
      </c>
      <c r="I1744" s="77" t="s">
        <v>1035</v>
      </c>
      <c r="J1744" s="90" t="s">
        <v>3029</v>
      </c>
      <c r="K1744" s="79">
        <v>0</v>
      </c>
      <c r="L1744" s="242">
        <v>200</v>
      </c>
      <c r="M1744" s="79">
        <v>40</v>
      </c>
      <c r="N1744" s="79">
        <v>0</v>
      </c>
      <c r="O1744" s="37">
        <v>0</v>
      </c>
      <c r="P1744" s="37">
        <v>0</v>
      </c>
      <c r="Q1744" s="79">
        <v>0</v>
      </c>
      <c r="R1744" s="80">
        <v>0.16200000000000001</v>
      </c>
      <c r="S1744" s="7" t="s">
        <v>115</v>
      </c>
      <c r="T1744" s="257">
        <f t="shared" si="61"/>
        <v>200</v>
      </c>
      <c r="U1744" s="257">
        <f t="shared" si="62"/>
        <v>40</v>
      </c>
      <c r="V1744">
        <v>1</v>
      </c>
      <c r="W1744">
        <v>1</v>
      </c>
    </row>
    <row r="1745" spans="1:23" ht="34.200000000000003" x14ac:dyDescent="0.3">
      <c r="A1745" s="212">
        <v>38121</v>
      </c>
      <c r="B1745" s="212">
        <v>38121</v>
      </c>
      <c r="C1745" s="6">
        <v>5</v>
      </c>
      <c r="D1745" s="6">
        <v>1</v>
      </c>
      <c r="E1745" s="6">
        <v>2004</v>
      </c>
      <c r="F1745" s="15" t="s">
        <v>22</v>
      </c>
      <c r="G1745" s="9" t="s">
        <v>6257</v>
      </c>
      <c r="H1745" s="9" t="s">
        <v>48</v>
      </c>
      <c r="I1745" s="53" t="s">
        <v>1368</v>
      </c>
      <c r="J1745" s="53" t="s">
        <v>3030</v>
      </c>
      <c r="K1745" s="6">
        <v>0</v>
      </c>
      <c r="L1745" s="233">
        <v>200</v>
      </c>
      <c r="M1745" s="13">
        <v>40</v>
      </c>
      <c r="N1745" s="13">
        <v>0</v>
      </c>
      <c r="O1745" s="13">
        <v>0</v>
      </c>
      <c r="P1745" s="13">
        <v>0</v>
      </c>
      <c r="Q1745" s="13">
        <v>0</v>
      </c>
      <c r="R1745" s="26">
        <v>0.16</v>
      </c>
      <c r="S1745" s="7" t="s">
        <v>115</v>
      </c>
      <c r="T1745" s="257">
        <f t="shared" si="61"/>
        <v>200</v>
      </c>
      <c r="U1745" s="257">
        <f t="shared" si="62"/>
        <v>40</v>
      </c>
      <c r="V1745">
        <v>1</v>
      </c>
      <c r="W1745">
        <v>1</v>
      </c>
    </row>
    <row r="1746" spans="1:23" ht="57" x14ac:dyDescent="0.3">
      <c r="A1746" s="212">
        <v>39321</v>
      </c>
      <c r="B1746" s="212">
        <v>39321</v>
      </c>
      <c r="C1746" s="6">
        <v>8</v>
      </c>
      <c r="D1746" s="6">
        <v>1</v>
      </c>
      <c r="E1746" s="6">
        <v>2007</v>
      </c>
      <c r="F1746" s="15" t="s">
        <v>22</v>
      </c>
      <c r="G1746" s="18" t="s">
        <v>6256</v>
      </c>
      <c r="H1746" s="9" t="s">
        <v>48</v>
      </c>
      <c r="I1746" s="17" t="s">
        <v>3031</v>
      </c>
      <c r="J1746" s="17" t="s">
        <v>3032</v>
      </c>
      <c r="K1746" s="13">
        <v>0</v>
      </c>
      <c r="L1746" s="233">
        <v>199</v>
      </c>
      <c r="M1746" s="13">
        <v>35</v>
      </c>
      <c r="N1746" s="13">
        <v>0</v>
      </c>
      <c r="O1746" s="13">
        <v>0</v>
      </c>
      <c r="P1746" s="13">
        <v>0</v>
      </c>
      <c r="Q1746" s="60">
        <v>0</v>
      </c>
      <c r="R1746" s="61">
        <v>0.16</v>
      </c>
      <c r="S1746" s="7" t="s">
        <v>115</v>
      </c>
      <c r="T1746" s="257">
        <f t="shared" si="61"/>
        <v>199</v>
      </c>
      <c r="U1746" s="257">
        <f t="shared" si="62"/>
        <v>35</v>
      </c>
      <c r="V1746">
        <v>1</v>
      </c>
      <c r="W1746">
        <v>1</v>
      </c>
    </row>
    <row r="1747" spans="1:23" ht="114" x14ac:dyDescent="0.3">
      <c r="A1747" s="212">
        <v>40791</v>
      </c>
      <c r="B1747" s="212">
        <v>40791</v>
      </c>
      <c r="C1747" s="6">
        <v>9</v>
      </c>
      <c r="D1747" s="6">
        <v>1</v>
      </c>
      <c r="E1747" s="6">
        <v>2011</v>
      </c>
      <c r="F1747" s="15" t="s">
        <v>22</v>
      </c>
      <c r="G1747" s="18" t="s">
        <v>6256</v>
      </c>
      <c r="H1747" s="9" t="s">
        <v>118</v>
      </c>
      <c r="I1747" s="53" t="s">
        <v>3033</v>
      </c>
      <c r="J1747" s="53" t="s">
        <v>3034</v>
      </c>
      <c r="K1747" s="13">
        <v>0</v>
      </c>
      <c r="L1747" s="233">
        <v>10</v>
      </c>
      <c r="M1747" s="13">
        <v>2</v>
      </c>
      <c r="N1747" s="13">
        <v>0</v>
      </c>
      <c r="O1747" s="13">
        <v>0</v>
      </c>
      <c r="P1747" s="13">
        <v>0</v>
      </c>
      <c r="Q1747" s="13">
        <v>0</v>
      </c>
      <c r="R1747" s="26">
        <v>0.24</v>
      </c>
      <c r="S1747" s="19" t="s">
        <v>115</v>
      </c>
      <c r="T1747" s="257">
        <f t="shared" si="61"/>
        <v>10</v>
      </c>
      <c r="U1747" s="257">
        <f t="shared" si="62"/>
        <v>2</v>
      </c>
      <c r="V1747">
        <v>1</v>
      </c>
      <c r="W1747">
        <v>1</v>
      </c>
    </row>
    <row r="1748" spans="1:23" ht="45.6" x14ac:dyDescent="0.3">
      <c r="A1748" s="212">
        <v>40827</v>
      </c>
      <c r="B1748" s="212">
        <v>40827</v>
      </c>
      <c r="C1748" s="6">
        <v>10</v>
      </c>
      <c r="D1748" s="6">
        <v>1</v>
      </c>
      <c r="E1748" s="6">
        <v>2011</v>
      </c>
      <c r="F1748" s="15" t="s">
        <v>22</v>
      </c>
      <c r="G1748" s="18" t="s">
        <v>6256</v>
      </c>
      <c r="H1748" s="9" t="s">
        <v>31</v>
      </c>
      <c r="I1748" s="53" t="s">
        <v>3035</v>
      </c>
      <c r="J1748" s="53" t="s">
        <v>3036</v>
      </c>
      <c r="K1748" s="13">
        <v>0</v>
      </c>
      <c r="L1748" s="234">
        <v>11585</v>
      </c>
      <c r="M1748" s="13">
        <v>2317</v>
      </c>
      <c r="N1748" s="13" t="s">
        <v>95</v>
      </c>
      <c r="O1748" s="13" t="s">
        <v>95</v>
      </c>
      <c r="P1748" s="13">
        <v>0</v>
      </c>
      <c r="Q1748" s="13"/>
      <c r="R1748" s="24">
        <v>104.85920300000001</v>
      </c>
      <c r="S1748" s="19" t="s">
        <v>149</v>
      </c>
      <c r="T1748" s="257">
        <f t="shared" si="61"/>
        <v>11585</v>
      </c>
      <c r="U1748" s="257">
        <f t="shared" si="62"/>
        <v>2317</v>
      </c>
      <c r="V1748">
        <v>2</v>
      </c>
      <c r="W1748">
        <v>2</v>
      </c>
    </row>
    <row r="1749" spans="1:23" ht="45.6" x14ac:dyDescent="0.3">
      <c r="A1749" s="212">
        <v>40806</v>
      </c>
      <c r="B1749" s="212">
        <v>40806</v>
      </c>
      <c r="C1749" s="6">
        <v>9</v>
      </c>
      <c r="D1749" s="6">
        <v>1</v>
      </c>
      <c r="E1749" s="6">
        <v>2011</v>
      </c>
      <c r="F1749" s="15" t="s">
        <v>22</v>
      </c>
      <c r="G1749" s="18" t="s">
        <v>6256</v>
      </c>
      <c r="H1749" s="9" t="s">
        <v>31</v>
      </c>
      <c r="I1749" s="53" t="s">
        <v>1378</v>
      </c>
      <c r="J1749" s="53" t="s">
        <v>3037</v>
      </c>
      <c r="K1749" s="13">
        <v>0</v>
      </c>
      <c r="L1749" s="234">
        <v>2454</v>
      </c>
      <c r="M1749" s="13">
        <v>21</v>
      </c>
      <c r="N1749" s="13">
        <v>6</v>
      </c>
      <c r="O1749" s="13" t="s">
        <v>95</v>
      </c>
      <c r="P1749" s="13">
        <v>0</v>
      </c>
      <c r="Q1749" s="13"/>
      <c r="R1749" s="24">
        <v>59.015067999999999</v>
      </c>
      <c r="S1749" s="19" t="s">
        <v>149</v>
      </c>
      <c r="T1749" s="257">
        <f t="shared" si="61"/>
        <v>2454</v>
      </c>
      <c r="U1749" s="257">
        <f t="shared" si="62"/>
        <v>27</v>
      </c>
      <c r="V1749">
        <v>1</v>
      </c>
      <c r="W1749">
        <v>1</v>
      </c>
    </row>
    <row r="1750" spans="1:23" ht="91.2" x14ac:dyDescent="0.3">
      <c r="A1750" s="212">
        <v>40697</v>
      </c>
      <c r="B1750" s="212">
        <v>40697</v>
      </c>
      <c r="C1750" s="6">
        <v>6</v>
      </c>
      <c r="D1750" s="6">
        <v>1</v>
      </c>
      <c r="E1750" s="6">
        <v>2011</v>
      </c>
      <c r="F1750" s="15" t="s">
        <v>22</v>
      </c>
      <c r="G1750" s="82" t="s">
        <v>6256</v>
      </c>
      <c r="H1750" s="9" t="s">
        <v>31</v>
      </c>
      <c r="I1750" s="53" t="s">
        <v>1005</v>
      </c>
      <c r="J1750" s="53" t="s">
        <v>3038</v>
      </c>
      <c r="K1750" s="13">
        <v>1</v>
      </c>
      <c r="L1750" s="233">
        <v>2</v>
      </c>
      <c r="M1750" s="13">
        <v>0</v>
      </c>
      <c r="N1750" s="13">
        <v>0</v>
      </c>
      <c r="O1750" s="13">
        <v>0</v>
      </c>
      <c r="P1750" s="13">
        <v>0</v>
      </c>
      <c r="Q1750" s="13">
        <v>0</v>
      </c>
      <c r="R1750" s="26">
        <v>0</v>
      </c>
      <c r="S1750" s="19" t="s">
        <v>115</v>
      </c>
      <c r="T1750" s="257">
        <f t="shared" si="61"/>
        <v>3</v>
      </c>
      <c r="U1750" s="257">
        <f t="shared" si="62"/>
        <v>0</v>
      </c>
      <c r="V1750">
        <v>1</v>
      </c>
      <c r="W1750">
        <v>0</v>
      </c>
    </row>
    <row r="1751" spans="1:23" ht="91.2" x14ac:dyDescent="0.3">
      <c r="A1751" s="212">
        <v>40695</v>
      </c>
      <c r="B1751" s="212">
        <v>40695</v>
      </c>
      <c r="C1751" s="6">
        <v>6</v>
      </c>
      <c r="D1751" s="6">
        <v>1</v>
      </c>
      <c r="E1751" s="6">
        <v>2011</v>
      </c>
      <c r="F1751" s="15" t="s">
        <v>22</v>
      </c>
      <c r="G1751" s="18" t="s">
        <v>6256</v>
      </c>
      <c r="H1751" s="9" t="s">
        <v>57</v>
      </c>
      <c r="I1751" s="53" t="s">
        <v>3039</v>
      </c>
      <c r="J1751" s="53" t="s">
        <v>3040</v>
      </c>
      <c r="K1751" s="13">
        <v>6</v>
      </c>
      <c r="L1751" s="233">
        <v>6</v>
      </c>
      <c r="M1751" s="13">
        <v>0</v>
      </c>
      <c r="N1751" s="13">
        <v>0</v>
      </c>
      <c r="O1751" s="13">
        <v>0</v>
      </c>
      <c r="P1751" s="13">
        <v>0</v>
      </c>
      <c r="Q1751" s="13">
        <v>0</v>
      </c>
      <c r="R1751" s="26">
        <v>7.5600000000000001E-2</v>
      </c>
      <c r="S1751" s="19" t="s">
        <v>115</v>
      </c>
      <c r="T1751" s="257">
        <f t="shared" si="61"/>
        <v>12</v>
      </c>
      <c r="U1751" s="257">
        <f t="shared" si="62"/>
        <v>0</v>
      </c>
      <c r="V1751">
        <v>1</v>
      </c>
      <c r="W1751">
        <v>0</v>
      </c>
    </row>
    <row r="1752" spans="1:23" ht="114" x14ac:dyDescent="0.3">
      <c r="A1752" s="212">
        <v>40695</v>
      </c>
      <c r="B1752" s="212">
        <v>40695</v>
      </c>
      <c r="C1752" s="6">
        <v>6</v>
      </c>
      <c r="D1752" s="6">
        <v>1</v>
      </c>
      <c r="E1752" s="6">
        <v>2011</v>
      </c>
      <c r="F1752" s="15" t="s">
        <v>22</v>
      </c>
      <c r="G1752" s="18" t="s">
        <v>6256</v>
      </c>
      <c r="H1752" s="9" t="s">
        <v>72</v>
      </c>
      <c r="I1752" s="53" t="s">
        <v>1372</v>
      </c>
      <c r="J1752" s="53" t="s">
        <v>3041</v>
      </c>
      <c r="K1752" s="13">
        <v>0</v>
      </c>
      <c r="L1752" s="233">
        <f>((45*5))*1</f>
        <v>225</v>
      </c>
      <c r="M1752" s="13">
        <v>45</v>
      </c>
      <c r="N1752" s="13">
        <v>0</v>
      </c>
      <c r="O1752" s="13">
        <v>0</v>
      </c>
      <c r="P1752" s="13">
        <v>0</v>
      </c>
      <c r="Q1752" s="13">
        <v>0</v>
      </c>
      <c r="R1752" s="26">
        <v>4.4999999999999998E-2</v>
      </c>
      <c r="S1752" s="19" t="s">
        <v>115</v>
      </c>
      <c r="T1752" s="257">
        <f t="shared" si="61"/>
        <v>225</v>
      </c>
      <c r="U1752" s="257">
        <f t="shared" si="62"/>
        <v>45</v>
      </c>
      <c r="V1752">
        <v>1</v>
      </c>
      <c r="W1752">
        <v>1</v>
      </c>
    </row>
    <row r="1753" spans="1:23" ht="57" x14ac:dyDescent="0.3">
      <c r="A1753" s="212">
        <v>40689</v>
      </c>
      <c r="B1753" s="212">
        <v>40689</v>
      </c>
      <c r="C1753" s="6">
        <v>5</v>
      </c>
      <c r="D1753" s="6">
        <v>1</v>
      </c>
      <c r="E1753" s="6">
        <v>2011</v>
      </c>
      <c r="F1753" s="7" t="s">
        <v>17</v>
      </c>
      <c r="G1753" s="28" t="s">
        <v>6261</v>
      </c>
      <c r="H1753" s="9" t="s">
        <v>74</v>
      </c>
      <c r="I1753" s="53" t="s">
        <v>1168</v>
      </c>
      <c r="J1753" s="53" t="s">
        <v>3042</v>
      </c>
      <c r="K1753" s="13">
        <v>1</v>
      </c>
      <c r="L1753" s="233">
        <v>1</v>
      </c>
      <c r="M1753" s="13">
        <v>0</v>
      </c>
      <c r="N1753" s="13">
        <v>0</v>
      </c>
      <c r="O1753" s="13">
        <v>0</v>
      </c>
      <c r="P1753" s="13">
        <v>0</v>
      </c>
      <c r="Q1753" s="13">
        <v>0</v>
      </c>
      <c r="R1753" s="36">
        <v>0</v>
      </c>
      <c r="S1753" s="19" t="s">
        <v>115</v>
      </c>
      <c r="T1753" s="257">
        <f t="shared" si="61"/>
        <v>2</v>
      </c>
      <c r="U1753" s="257">
        <f t="shared" si="62"/>
        <v>0</v>
      </c>
      <c r="V1753">
        <v>1</v>
      </c>
      <c r="W1753">
        <v>0</v>
      </c>
    </row>
    <row r="1754" spans="1:23" ht="114" x14ac:dyDescent="0.3">
      <c r="A1754" s="212">
        <v>40749</v>
      </c>
      <c r="B1754" s="212">
        <v>40749</v>
      </c>
      <c r="C1754" s="6">
        <v>7</v>
      </c>
      <c r="D1754" s="6">
        <v>1</v>
      </c>
      <c r="E1754" s="6">
        <v>2011</v>
      </c>
      <c r="F1754" s="15" t="s">
        <v>22</v>
      </c>
      <c r="G1754" s="18" t="s">
        <v>6256</v>
      </c>
      <c r="H1754" s="9" t="s">
        <v>72</v>
      </c>
      <c r="I1754" s="53" t="s">
        <v>221</v>
      </c>
      <c r="J1754" s="53" t="s">
        <v>3043</v>
      </c>
      <c r="K1754" s="13">
        <v>0</v>
      </c>
      <c r="L1754" s="233">
        <v>50</v>
      </c>
      <c r="M1754" s="13">
        <v>10</v>
      </c>
      <c r="N1754" s="13">
        <v>0</v>
      </c>
      <c r="O1754" s="13">
        <v>0</v>
      </c>
      <c r="P1754" s="13">
        <v>0</v>
      </c>
      <c r="Q1754" s="13">
        <v>0</v>
      </c>
      <c r="R1754" s="26">
        <v>5.0000000000000001E-3</v>
      </c>
      <c r="S1754" s="19" t="s">
        <v>115</v>
      </c>
      <c r="T1754" s="257">
        <f t="shared" si="61"/>
        <v>50</v>
      </c>
      <c r="U1754" s="257">
        <f t="shared" si="62"/>
        <v>10</v>
      </c>
      <c r="V1754">
        <v>1</v>
      </c>
      <c r="W1754">
        <v>1</v>
      </c>
    </row>
    <row r="1755" spans="1:23" ht="239.4" x14ac:dyDescent="0.3">
      <c r="A1755" s="212">
        <v>40687</v>
      </c>
      <c r="B1755" s="212">
        <v>40687</v>
      </c>
      <c r="C1755" s="6">
        <v>5</v>
      </c>
      <c r="D1755" s="6">
        <v>1</v>
      </c>
      <c r="E1755" s="6">
        <v>2011</v>
      </c>
      <c r="F1755" s="15" t="s">
        <v>22</v>
      </c>
      <c r="G1755" s="18" t="s">
        <v>6256</v>
      </c>
      <c r="H1755" s="9" t="s">
        <v>70</v>
      </c>
      <c r="I1755" s="53" t="s">
        <v>3044</v>
      </c>
      <c r="J1755" s="53" t="s">
        <v>3045</v>
      </c>
      <c r="K1755" s="13">
        <v>3</v>
      </c>
      <c r="L1755" s="233">
        <v>340</v>
      </c>
      <c r="M1755" s="13">
        <v>0</v>
      </c>
      <c r="N1755" s="13">
        <v>0</v>
      </c>
      <c r="O1755" s="13">
        <v>0</v>
      </c>
      <c r="P1755" s="13">
        <v>0</v>
      </c>
      <c r="Q1755" s="13">
        <v>0</v>
      </c>
      <c r="R1755" s="26">
        <v>0</v>
      </c>
      <c r="S1755" s="19" t="s">
        <v>115</v>
      </c>
      <c r="T1755" s="257">
        <f t="shared" si="61"/>
        <v>343</v>
      </c>
      <c r="U1755" s="257">
        <f t="shared" si="62"/>
        <v>0</v>
      </c>
      <c r="V1755">
        <v>1</v>
      </c>
      <c r="W1755">
        <v>0</v>
      </c>
    </row>
    <row r="1756" spans="1:23" ht="262.2" x14ac:dyDescent="0.3">
      <c r="A1756" s="212">
        <v>40685</v>
      </c>
      <c r="B1756" s="212">
        <v>40685</v>
      </c>
      <c r="C1756" s="6">
        <v>5</v>
      </c>
      <c r="D1756" s="6">
        <v>1</v>
      </c>
      <c r="E1756" s="6">
        <v>2011</v>
      </c>
      <c r="F1756" s="15" t="s">
        <v>22</v>
      </c>
      <c r="G1756" s="18" t="s">
        <v>6256</v>
      </c>
      <c r="H1756" s="9" t="s">
        <v>61</v>
      </c>
      <c r="I1756" s="53" t="s">
        <v>3046</v>
      </c>
      <c r="J1756" s="53" t="s">
        <v>3047</v>
      </c>
      <c r="K1756" s="13">
        <v>0</v>
      </c>
      <c r="L1756" s="233">
        <v>150</v>
      </c>
      <c r="M1756" s="13">
        <v>50</v>
      </c>
      <c r="N1756" s="13">
        <v>1</v>
      </c>
      <c r="O1756" s="13">
        <v>1</v>
      </c>
      <c r="P1756" s="13">
        <v>0</v>
      </c>
      <c r="Q1756" s="13">
        <v>0</v>
      </c>
      <c r="R1756" s="26">
        <v>0.6</v>
      </c>
      <c r="S1756" s="19" t="s">
        <v>115</v>
      </c>
      <c r="T1756" s="257">
        <f t="shared" si="61"/>
        <v>150</v>
      </c>
      <c r="U1756" s="257">
        <f t="shared" si="62"/>
        <v>52</v>
      </c>
      <c r="V1756">
        <v>1</v>
      </c>
      <c r="W1756">
        <v>1</v>
      </c>
    </row>
    <row r="1757" spans="1:23" ht="319.2" x14ac:dyDescent="0.3">
      <c r="A1757" s="212">
        <v>40650</v>
      </c>
      <c r="B1757" s="212">
        <v>40650</v>
      </c>
      <c r="C1757" s="6">
        <v>4</v>
      </c>
      <c r="D1757" s="6">
        <v>1</v>
      </c>
      <c r="E1757" s="6">
        <v>2011</v>
      </c>
      <c r="F1757" s="15" t="s">
        <v>22</v>
      </c>
      <c r="G1757" s="18" t="s">
        <v>6256</v>
      </c>
      <c r="H1757" s="9" t="s">
        <v>43</v>
      </c>
      <c r="I1757" s="53" t="s">
        <v>3048</v>
      </c>
      <c r="J1757" s="53" t="s">
        <v>3049</v>
      </c>
      <c r="K1757" s="13">
        <v>0</v>
      </c>
      <c r="L1757" s="233">
        <v>1240</v>
      </c>
      <c r="M1757" s="13">
        <v>248</v>
      </c>
      <c r="N1757" s="13">
        <v>0</v>
      </c>
      <c r="O1757" s="13">
        <v>0</v>
      </c>
      <c r="P1757" s="13">
        <v>0</v>
      </c>
      <c r="Q1757" s="13">
        <v>0</v>
      </c>
      <c r="R1757" s="26">
        <v>0</v>
      </c>
      <c r="S1757" s="19" t="s">
        <v>115</v>
      </c>
      <c r="T1757" s="257">
        <f t="shared" si="61"/>
        <v>1240</v>
      </c>
      <c r="U1757" s="257">
        <f t="shared" si="62"/>
        <v>248</v>
      </c>
      <c r="V1757">
        <v>1</v>
      </c>
      <c r="W1757">
        <v>1</v>
      </c>
    </row>
    <row r="1758" spans="1:23" ht="409.6" x14ac:dyDescent="0.3">
      <c r="A1758" s="212">
        <v>40791</v>
      </c>
      <c r="B1758" s="212">
        <v>40791</v>
      </c>
      <c r="C1758" s="6">
        <v>9</v>
      </c>
      <c r="D1758" s="6">
        <v>1</v>
      </c>
      <c r="E1758" s="6">
        <v>2011</v>
      </c>
      <c r="F1758" s="15" t="s">
        <v>22</v>
      </c>
      <c r="G1758" s="18" t="s">
        <v>6256</v>
      </c>
      <c r="H1758" s="9" t="s">
        <v>43</v>
      </c>
      <c r="I1758" s="53" t="s">
        <v>3050</v>
      </c>
      <c r="J1758" s="53" t="s">
        <v>3051</v>
      </c>
      <c r="K1758" s="13">
        <v>3</v>
      </c>
      <c r="L1758" s="233">
        <f>((1200*5))*1</f>
        <v>6000</v>
      </c>
      <c r="M1758" s="13">
        <v>1200</v>
      </c>
      <c r="N1758" s="13">
        <v>2</v>
      </c>
      <c r="O1758" s="13">
        <v>0</v>
      </c>
      <c r="P1758" s="13">
        <v>0</v>
      </c>
      <c r="Q1758" s="13">
        <v>0</v>
      </c>
      <c r="R1758" s="26">
        <v>3</v>
      </c>
      <c r="S1758" s="19" t="s">
        <v>115</v>
      </c>
      <c r="T1758" s="257">
        <f t="shared" si="61"/>
        <v>6003</v>
      </c>
      <c r="U1758" s="257">
        <f t="shared" si="62"/>
        <v>1202</v>
      </c>
      <c r="V1758">
        <v>1</v>
      </c>
      <c r="W1758">
        <v>2</v>
      </c>
    </row>
    <row r="1759" spans="1:23" ht="228" x14ac:dyDescent="0.3">
      <c r="A1759" s="114">
        <v>44807</v>
      </c>
      <c r="B1759" s="114">
        <v>44811</v>
      </c>
      <c r="C1759" s="6">
        <v>9</v>
      </c>
      <c r="D1759" s="6">
        <v>5</v>
      </c>
      <c r="E1759" s="115">
        <v>2022</v>
      </c>
      <c r="F1759" s="15" t="s">
        <v>22</v>
      </c>
      <c r="G1759" s="116" t="s">
        <v>6256</v>
      </c>
      <c r="H1759" s="9" t="s">
        <v>48</v>
      </c>
      <c r="I1759" s="117" t="s">
        <v>3052</v>
      </c>
      <c r="J1759" s="118" t="s">
        <v>3053</v>
      </c>
      <c r="K1759" s="117">
        <v>3</v>
      </c>
      <c r="L1759" s="245">
        <v>44</v>
      </c>
      <c r="M1759" s="119">
        <v>11</v>
      </c>
      <c r="N1759" s="119">
        <v>0</v>
      </c>
      <c r="O1759" s="119">
        <v>0</v>
      </c>
      <c r="P1759" s="119">
        <v>0</v>
      </c>
      <c r="Q1759" s="119">
        <v>0</v>
      </c>
      <c r="R1759" s="120">
        <v>0.15798667499999999</v>
      </c>
      <c r="S1759" s="119" t="s">
        <v>115</v>
      </c>
      <c r="T1759" s="257">
        <f t="shared" si="61"/>
        <v>47</v>
      </c>
      <c r="U1759" s="257">
        <f t="shared" si="62"/>
        <v>11</v>
      </c>
      <c r="V1759">
        <v>1</v>
      </c>
      <c r="W1759">
        <v>1</v>
      </c>
    </row>
    <row r="1760" spans="1:23" ht="68.400000000000006" x14ac:dyDescent="0.3">
      <c r="A1760" s="212">
        <v>40670</v>
      </c>
      <c r="B1760" s="212">
        <v>40670</v>
      </c>
      <c r="C1760" s="6">
        <v>5</v>
      </c>
      <c r="D1760" s="6">
        <v>1</v>
      </c>
      <c r="E1760" s="6">
        <v>2011</v>
      </c>
      <c r="F1760" s="15" t="s">
        <v>22</v>
      </c>
      <c r="G1760" s="18" t="s">
        <v>6256</v>
      </c>
      <c r="H1760" s="9" t="s">
        <v>39</v>
      </c>
      <c r="I1760" s="53" t="s">
        <v>3054</v>
      </c>
      <c r="J1760" s="53" t="s">
        <v>3055</v>
      </c>
      <c r="K1760" s="13">
        <v>1</v>
      </c>
      <c r="L1760" s="233">
        <v>1</v>
      </c>
      <c r="M1760" s="13">
        <v>0</v>
      </c>
      <c r="N1760" s="13">
        <v>0</v>
      </c>
      <c r="O1760" s="13">
        <v>0</v>
      </c>
      <c r="P1760" s="13">
        <v>0</v>
      </c>
      <c r="Q1760" s="13">
        <v>0</v>
      </c>
      <c r="R1760" s="26">
        <v>3.78E-2</v>
      </c>
      <c r="S1760" s="19" t="s">
        <v>115</v>
      </c>
      <c r="T1760" s="257">
        <f t="shared" si="61"/>
        <v>2</v>
      </c>
      <c r="U1760" s="257">
        <f t="shared" si="62"/>
        <v>0</v>
      </c>
      <c r="V1760">
        <v>1</v>
      </c>
      <c r="W1760">
        <v>0</v>
      </c>
    </row>
    <row r="1761" spans="1:23" ht="262.2" x14ac:dyDescent="0.3">
      <c r="A1761" s="210">
        <v>40790</v>
      </c>
      <c r="B1761" s="210">
        <v>40790</v>
      </c>
      <c r="C1761" s="6">
        <v>9</v>
      </c>
      <c r="D1761" s="6">
        <v>1</v>
      </c>
      <c r="E1761" s="7">
        <v>2011</v>
      </c>
      <c r="F1761" s="15" t="s">
        <v>22</v>
      </c>
      <c r="G1761" s="18" t="s">
        <v>6256</v>
      </c>
      <c r="H1761" s="9" t="s">
        <v>31</v>
      </c>
      <c r="I1761" s="34" t="s">
        <v>3056</v>
      </c>
      <c r="J1761" s="34" t="s">
        <v>3057</v>
      </c>
      <c r="K1761" s="33">
        <v>0</v>
      </c>
      <c r="L1761" s="236">
        <v>470</v>
      </c>
      <c r="M1761" s="35">
        <v>94</v>
      </c>
      <c r="N1761" s="35">
        <v>0</v>
      </c>
      <c r="O1761" s="35">
        <v>0</v>
      </c>
      <c r="P1761" s="13">
        <v>0</v>
      </c>
      <c r="Q1761" s="35">
        <v>0</v>
      </c>
      <c r="R1761" s="36">
        <v>2.585</v>
      </c>
      <c r="S1761" s="33" t="s">
        <v>115</v>
      </c>
      <c r="T1761" s="257">
        <f t="shared" si="61"/>
        <v>470</v>
      </c>
      <c r="U1761" s="257">
        <f t="shared" si="62"/>
        <v>94</v>
      </c>
      <c r="V1761">
        <v>1</v>
      </c>
      <c r="W1761">
        <v>1</v>
      </c>
    </row>
    <row r="1762" spans="1:23" ht="250.8" x14ac:dyDescent="0.3">
      <c r="A1762" s="212">
        <v>40546</v>
      </c>
      <c r="B1762" s="212">
        <v>40546</v>
      </c>
      <c r="C1762" s="6">
        <v>1</v>
      </c>
      <c r="D1762" s="6">
        <v>1</v>
      </c>
      <c r="E1762" s="6">
        <v>2011</v>
      </c>
      <c r="F1762" s="15" t="s">
        <v>22</v>
      </c>
      <c r="G1762" s="18" t="s">
        <v>6256</v>
      </c>
      <c r="H1762" s="9" t="s">
        <v>31</v>
      </c>
      <c r="I1762" s="53" t="s">
        <v>196</v>
      </c>
      <c r="J1762" s="53" t="s">
        <v>3058</v>
      </c>
      <c r="K1762" s="13">
        <v>0</v>
      </c>
      <c r="L1762" s="234">
        <v>1330</v>
      </c>
      <c r="M1762" s="13">
        <v>266</v>
      </c>
      <c r="N1762" s="13">
        <v>0</v>
      </c>
      <c r="O1762" s="13">
        <v>0</v>
      </c>
      <c r="P1762" s="13">
        <v>0</v>
      </c>
      <c r="Q1762" s="13">
        <v>0</v>
      </c>
      <c r="R1762" s="24">
        <v>0.70279999999999998</v>
      </c>
      <c r="S1762" s="19" t="s">
        <v>115</v>
      </c>
      <c r="T1762" s="257">
        <f t="shared" si="61"/>
        <v>1330</v>
      </c>
      <c r="U1762" s="257">
        <f t="shared" si="62"/>
        <v>266</v>
      </c>
      <c r="V1762">
        <v>1</v>
      </c>
      <c r="W1762">
        <v>1</v>
      </c>
    </row>
    <row r="1763" spans="1:23" ht="114" x14ac:dyDescent="0.3">
      <c r="A1763" s="212">
        <v>40783</v>
      </c>
      <c r="B1763" s="212">
        <v>40783</v>
      </c>
      <c r="C1763" s="6">
        <v>8</v>
      </c>
      <c r="D1763" s="6">
        <v>1</v>
      </c>
      <c r="E1763" s="6">
        <v>2011</v>
      </c>
      <c r="F1763" s="15" t="s">
        <v>22</v>
      </c>
      <c r="G1763" s="18" t="s">
        <v>6256</v>
      </c>
      <c r="H1763" s="9" t="s">
        <v>31</v>
      </c>
      <c r="I1763" s="53" t="s">
        <v>1900</v>
      </c>
      <c r="J1763" s="53" t="s">
        <v>3059</v>
      </c>
      <c r="K1763" s="13">
        <v>0</v>
      </c>
      <c r="L1763" s="234">
        <v>1400</v>
      </c>
      <c r="M1763" s="13">
        <v>277</v>
      </c>
      <c r="N1763" s="13">
        <v>0</v>
      </c>
      <c r="O1763" s="13">
        <v>0</v>
      </c>
      <c r="P1763" s="13">
        <v>0</v>
      </c>
      <c r="Q1763" s="13">
        <v>0</v>
      </c>
      <c r="R1763" s="24">
        <v>0.6925</v>
      </c>
      <c r="S1763" s="19" t="s">
        <v>115</v>
      </c>
      <c r="T1763" s="257">
        <f t="shared" si="61"/>
        <v>1400</v>
      </c>
      <c r="U1763" s="257">
        <f t="shared" si="62"/>
        <v>277</v>
      </c>
      <c r="V1763">
        <v>1</v>
      </c>
      <c r="W1763">
        <v>1</v>
      </c>
    </row>
    <row r="1764" spans="1:23" ht="57" x14ac:dyDescent="0.3">
      <c r="A1764" s="212">
        <v>40665</v>
      </c>
      <c r="B1764" s="212">
        <v>40665</v>
      </c>
      <c r="C1764" s="6">
        <v>5</v>
      </c>
      <c r="D1764" s="6">
        <v>1</v>
      </c>
      <c r="E1764" s="6">
        <v>2011</v>
      </c>
      <c r="F1764" s="15" t="s">
        <v>22</v>
      </c>
      <c r="G1764" s="9" t="s">
        <v>6257</v>
      </c>
      <c r="H1764" s="9" t="s">
        <v>112</v>
      </c>
      <c r="I1764" s="53" t="s">
        <v>3060</v>
      </c>
      <c r="J1764" s="53" t="s">
        <v>3061</v>
      </c>
      <c r="K1764" s="13">
        <v>3</v>
      </c>
      <c r="L1764" s="233">
        <v>7</v>
      </c>
      <c r="M1764" s="13">
        <v>0</v>
      </c>
      <c r="N1764" s="13">
        <v>0</v>
      </c>
      <c r="O1764" s="13">
        <v>0</v>
      </c>
      <c r="P1764" s="13">
        <v>0</v>
      </c>
      <c r="Q1764" s="13">
        <v>0</v>
      </c>
      <c r="R1764" s="26">
        <v>0</v>
      </c>
      <c r="S1764" s="19" t="s">
        <v>115</v>
      </c>
      <c r="T1764" s="257">
        <f t="shared" si="61"/>
        <v>10</v>
      </c>
      <c r="U1764" s="257">
        <f t="shared" si="62"/>
        <v>0</v>
      </c>
      <c r="V1764">
        <v>1</v>
      </c>
      <c r="W1764">
        <v>0</v>
      </c>
    </row>
    <row r="1765" spans="1:23" ht="91.2" x14ac:dyDescent="0.3">
      <c r="A1765" s="212">
        <v>40664</v>
      </c>
      <c r="B1765" s="212">
        <v>40664</v>
      </c>
      <c r="C1765" s="6">
        <v>5</v>
      </c>
      <c r="D1765" s="6">
        <v>1</v>
      </c>
      <c r="E1765" s="6">
        <v>2011</v>
      </c>
      <c r="F1765" s="15" t="s">
        <v>22</v>
      </c>
      <c r="G1765" s="18" t="s">
        <v>6256</v>
      </c>
      <c r="H1765" s="9" t="s">
        <v>112</v>
      </c>
      <c r="I1765" s="53" t="s">
        <v>3062</v>
      </c>
      <c r="J1765" s="53" t="s">
        <v>3063</v>
      </c>
      <c r="K1765" s="13">
        <v>0</v>
      </c>
      <c r="L1765" s="233">
        <f>((107*5)+75)*1</f>
        <v>610</v>
      </c>
      <c r="M1765" s="13">
        <v>107</v>
      </c>
      <c r="N1765" s="13">
        <v>0</v>
      </c>
      <c r="O1765" s="13">
        <v>0</v>
      </c>
      <c r="P1765" s="13">
        <v>0</v>
      </c>
      <c r="Q1765" s="13">
        <v>0</v>
      </c>
      <c r="R1765" s="26">
        <v>0.107</v>
      </c>
      <c r="S1765" s="19" t="s">
        <v>115</v>
      </c>
      <c r="T1765" s="257">
        <f t="shared" si="61"/>
        <v>610</v>
      </c>
      <c r="U1765" s="257">
        <f t="shared" si="62"/>
        <v>107</v>
      </c>
      <c r="V1765">
        <v>1</v>
      </c>
      <c r="W1765">
        <v>1</v>
      </c>
    </row>
    <row r="1766" spans="1:23" ht="205.2" x14ac:dyDescent="0.3">
      <c r="A1766" s="212">
        <v>40661</v>
      </c>
      <c r="B1766" s="212">
        <v>40661</v>
      </c>
      <c r="C1766" s="6">
        <v>4</v>
      </c>
      <c r="D1766" s="6">
        <v>1</v>
      </c>
      <c r="E1766" s="6">
        <v>2011</v>
      </c>
      <c r="F1766" s="15" t="s">
        <v>22</v>
      </c>
      <c r="G1766" s="82" t="s">
        <v>6256</v>
      </c>
      <c r="H1766" s="9" t="s">
        <v>84</v>
      </c>
      <c r="I1766" s="53" t="s">
        <v>3064</v>
      </c>
      <c r="J1766" s="53" t="s">
        <v>3065</v>
      </c>
      <c r="K1766" s="13">
        <v>0</v>
      </c>
      <c r="L1766" s="233">
        <v>55000</v>
      </c>
      <c r="M1766" s="13">
        <v>11000</v>
      </c>
      <c r="N1766" s="13">
        <v>0</v>
      </c>
      <c r="O1766" s="13">
        <v>0</v>
      </c>
      <c r="P1766" s="13">
        <v>0</v>
      </c>
      <c r="Q1766" s="13">
        <v>0</v>
      </c>
      <c r="R1766" s="26">
        <v>5.3019499999999997</v>
      </c>
      <c r="S1766" s="19" t="s">
        <v>115</v>
      </c>
      <c r="T1766" s="257">
        <f t="shared" si="61"/>
        <v>55000</v>
      </c>
      <c r="U1766" s="257">
        <f t="shared" si="62"/>
        <v>11000</v>
      </c>
      <c r="V1766">
        <v>2</v>
      </c>
      <c r="W1766">
        <v>3</v>
      </c>
    </row>
    <row r="1767" spans="1:23" ht="136.80000000000001" x14ac:dyDescent="0.3">
      <c r="A1767" s="212">
        <v>40690</v>
      </c>
      <c r="B1767" s="212">
        <v>40690</v>
      </c>
      <c r="C1767" s="6">
        <v>5</v>
      </c>
      <c r="D1767" s="6">
        <v>1</v>
      </c>
      <c r="E1767" s="6">
        <v>2011</v>
      </c>
      <c r="F1767" s="15" t="s">
        <v>22</v>
      </c>
      <c r="G1767" s="18" t="s">
        <v>6256</v>
      </c>
      <c r="H1767" s="9" t="s">
        <v>78</v>
      </c>
      <c r="I1767" s="53" t="s">
        <v>3066</v>
      </c>
      <c r="J1767" s="53" t="s">
        <v>3067</v>
      </c>
      <c r="K1767" s="13">
        <v>1</v>
      </c>
      <c r="L1767" s="233">
        <v>44500</v>
      </c>
      <c r="M1767" s="13">
        <v>1</v>
      </c>
      <c r="N1767" s="13">
        <v>0</v>
      </c>
      <c r="O1767" s="13">
        <v>0</v>
      </c>
      <c r="P1767" s="13">
        <v>0</v>
      </c>
      <c r="Q1767" s="13">
        <v>0</v>
      </c>
      <c r="R1767" s="26">
        <v>0.85</v>
      </c>
      <c r="S1767" s="19" t="s">
        <v>115</v>
      </c>
      <c r="T1767" s="257">
        <f t="shared" si="61"/>
        <v>44501</v>
      </c>
      <c r="U1767" s="257">
        <f t="shared" si="62"/>
        <v>1</v>
      </c>
      <c r="V1767">
        <v>2</v>
      </c>
      <c r="W1767">
        <v>1</v>
      </c>
    </row>
    <row r="1768" spans="1:23" ht="91.2" x14ac:dyDescent="0.3">
      <c r="A1768" s="212">
        <v>40660</v>
      </c>
      <c r="B1768" s="212">
        <v>40660</v>
      </c>
      <c r="C1768" s="6">
        <v>4</v>
      </c>
      <c r="D1768" s="6">
        <v>1</v>
      </c>
      <c r="E1768" s="6">
        <v>2011</v>
      </c>
      <c r="F1768" s="15" t="s">
        <v>22</v>
      </c>
      <c r="G1768" s="18" t="s">
        <v>6256</v>
      </c>
      <c r="H1768" s="9" t="s">
        <v>78</v>
      </c>
      <c r="I1768" s="53" t="s">
        <v>3068</v>
      </c>
      <c r="J1768" s="53" t="s">
        <v>3069</v>
      </c>
      <c r="K1768" s="13">
        <v>2</v>
      </c>
      <c r="L1768" s="233">
        <v>2</v>
      </c>
      <c r="M1768" s="13">
        <v>0</v>
      </c>
      <c r="N1768" s="13">
        <v>0</v>
      </c>
      <c r="O1768" s="13">
        <v>0</v>
      </c>
      <c r="P1768" s="13">
        <v>0</v>
      </c>
      <c r="Q1768" s="13">
        <v>0</v>
      </c>
      <c r="R1768" s="26">
        <v>0</v>
      </c>
      <c r="S1768" s="19" t="s">
        <v>115</v>
      </c>
      <c r="T1768" s="257">
        <f t="shared" si="61"/>
        <v>4</v>
      </c>
      <c r="U1768" s="257">
        <f t="shared" si="62"/>
        <v>0</v>
      </c>
      <c r="V1768">
        <v>1</v>
      </c>
      <c r="W1768">
        <v>0</v>
      </c>
    </row>
    <row r="1769" spans="1:23" ht="34.200000000000003" x14ac:dyDescent="0.3">
      <c r="A1769" s="212">
        <v>40658</v>
      </c>
      <c r="B1769" s="212">
        <v>40658</v>
      </c>
      <c r="C1769" s="6">
        <v>4</v>
      </c>
      <c r="D1769" s="6">
        <v>1</v>
      </c>
      <c r="E1769" s="6">
        <v>2011</v>
      </c>
      <c r="F1769" s="15" t="s">
        <v>22</v>
      </c>
      <c r="G1769" s="82" t="s">
        <v>6256</v>
      </c>
      <c r="H1769" s="9" t="s">
        <v>72</v>
      </c>
      <c r="I1769" s="53" t="s">
        <v>3071</v>
      </c>
      <c r="J1769" s="53" t="s">
        <v>3072</v>
      </c>
      <c r="K1769" s="13">
        <v>1</v>
      </c>
      <c r="L1769" s="233">
        <v>1</v>
      </c>
      <c r="M1769" s="13">
        <v>0</v>
      </c>
      <c r="N1769" s="13">
        <v>0</v>
      </c>
      <c r="O1769" s="13">
        <v>0</v>
      </c>
      <c r="P1769" s="13">
        <v>0</v>
      </c>
      <c r="Q1769" s="13">
        <v>0</v>
      </c>
      <c r="R1769" s="26">
        <v>0</v>
      </c>
      <c r="S1769" s="19" t="s">
        <v>115</v>
      </c>
      <c r="T1769" s="257">
        <f t="shared" si="61"/>
        <v>2</v>
      </c>
      <c r="U1769" s="257">
        <f t="shared" si="62"/>
        <v>0</v>
      </c>
      <c r="V1769">
        <v>1</v>
      </c>
      <c r="W1769">
        <v>0</v>
      </c>
    </row>
    <row r="1770" spans="1:23" ht="57" x14ac:dyDescent="0.3">
      <c r="A1770" s="212">
        <v>40653</v>
      </c>
      <c r="B1770" s="212">
        <v>40653</v>
      </c>
      <c r="C1770" s="6">
        <v>4</v>
      </c>
      <c r="D1770" s="6">
        <v>1</v>
      </c>
      <c r="E1770" s="6">
        <v>2011</v>
      </c>
      <c r="F1770" s="15" t="s">
        <v>22</v>
      </c>
      <c r="G1770" s="18" t="s">
        <v>6256</v>
      </c>
      <c r="H1770" s="9" t="s">
        <v>55</v>
      </c>
      <c r="I1770" s="53" t="s">
        <v>926</v>
      </c>
      <c r="J1770" s="53" t="s">
        <v>3073</v>
      </c>
      <c r="K1770" s="13">
        <v>0</v>
      </c>
      <c r="L1770" s="233">
        <v>245</v>
      </c>
      <c r="M1770" s="13">
        <v>49</v>
      </c>
      <c r="N1770" s="13">
        <v>0</v>
      </c>
      <c r="O1770" s="13">
        <v>0</v>
      </c>
      <c r="P1770" s="13">
        <v>0</v>
      </c>
      <c r="Q1770" s="13">
        <v>0</v>
      </c>
      <c r="R1770" s="26">
        <v>4.9000000000000002E-2</v>
      </c>
      <c r="S1770" s="19" t="s">
        <v>115</v>
      </c>
      <c r="T1770" s="257">
        <f t="shared" si="61"/>
        <v>245</v>
      </c>
      <c r="U1770" s="257">
        <f t="shared" si="62"/>
        <v>49</v>
      </c>
      <c r="V1770">
        <v>1</v>
      </c>
      <c r="W1770">
        <v>1</v>
      </c>
    </row>
    <row r="1771" spans="1:23" ht="250.8" x14ac:dyDescent="0.3">
      <c r="A1771" s="212">
        <v>40652</v>
      </c>
      <c r="B1771" s="212">
        <v>40652</v>
      </c>
      <c r="C1771" s="6">
        <v>4</v>
      </c>
      <c r="D1771" s="6">
        <v>1</v>
      </c>
      <c r="E1771" s="6">
        <v>2011</v>
      </c>
      <c r="F1771" s="15" t="s">
        <v>22</v>
      </c>
      <c r="G1771" s="18" t="s">
        <v>6256</v>
      </c>
      <c r="H1771" s="9" t="s">
        <v>52</v>
      </c>
      <c r="I1771" s="53" t="s">
        <v>352</v>
      </c>
      <c r="J1771" s="53" t="s">
        <v>3074</v>
      </c>
      <c r="K1771" s="13">
        <v>1</v>
      </c>
      <c r="L1771" s="233">
        <v>140</v>
      </c>
      <c r="M1771" s="13">
        <v>57</v>
      </c>
      <c r="N1771" s="13">
        <v>0</v>
      </c>
      <c r="O1771" s="13">
        <v>0</v>
      </c>
      <c r="P1771" s="13">
        <v>0</v>
      </c>
      <c r="Q1771" s="13">
        <v>0</v>
      </c>
      <c r="R1771" s="26">
        <v>2.2519999999999998</v>
      </c>
      <c r="S1771" s="19" t="s">
        <v>115</v>
      </c>
      <c r="T1771" s="257">
        <f t="shared" si="61"/>
        <v>141</v>
      </c>
      <c r="U1771" s="257">
        <f t="shared" si="62"/>
        <v>57</v>
      </c>
      <c r="V1771">
        <v>1</v>
      </c>
      <c r="W1771">
        <v>1</v>
      </c>
    </row>
    <row r="1772" spans="1:23" ht="228" x14ac:dyDescent="0.3">
      <c r="A1772" s="212">
        <v>40721</v>
      </c>
      <c r="B1772" s="212">
        <v>40721</v>
      </c>
      <c r="C1772" s="6">
        <v>6</v>
      </c>
      <c r="D1772" s="6">
        <v>1</v>
      </c>
      <c r="E1772" s="6">
        <v>2011</v>
      </c>
      <c r="F1772" s="15" t="s">
        <v>22</v>
      </c>
      <c r="G1772" s="16" t="s">
        <v>6256</v>
      </c>
      <c r="H1772" s="9" t="s">
        <v>43</v>
      </c>
      <c r="I1772" s="53" t="s">
        <v>3075</v>
      </c>
      <c r="J1772" s="53" t="s">
        <v>3076</v>
      </c>
      <c r="K1772" s="13">
        <v>0</v>
      </c>
      <c r="L1772" s="233">
        <v>44000</v>
      </c>
      <c r="M1772" s="13">
        <v>8800</v>
      </c>
      <c r="N1772" s="13">
        <v>2</v>
      </c>
      <c r="O1772" s="13">
        <v>0</v>
      </c>
      <c r="P1772" s="13">
        <v>0</v>
      </c>
      <c r="Q1772" s="13">
        <v>0</v>
      </c>
      <c r="R1772" s="26">
        <v>509.017</v>
      </c>
      <c r="S1772" s="19" t="s">
        <v>2970</v>
      </c>
      <c r="T1772" s="257">
        <f t="shared" si="61"/>
        <v>44000</v>
      </c>
      <c r="U1772" s="257">
        <f t="shared" si="62"/>
        <v>8802</v>
      </c>
      <c r="V1772">
        <v>2</v>
      </c>
      <c r="W1772">
        <v>2</v>
      </c>
    </row>
    <row r="1773" spans="1:23" ht="171" x14ac:dyDescent="0.3">
      <c r="A1773" s="212">
        <v>40651</v>
      </c>
      <c r="B1773" s="212">
        <v>40651</v>
      </c>
      <c r="C1773" s="6">
        <v>4</v>
      </c>
      <c r="D1773" s="6">
        <v>1</v>
      </c>
      <c r="E1773" s="6">
        <v>2011</v>
      </c>
      <c r="F1773" s="15" t="s">
        <v>22</v>
      </c>
      <c r="G1773" s="18" t="s">
        <v>6256</v>
      </c>
      <c r="H1773" s="9" t="s">
        <v>43</v>
      </c>
      <c r="I1773" s="53" t="s">
        <v>3077</v>
      </c>
      <c r="J1773" s="53" t="s">
        <v>3078</v>
      </c>
      <c r="K1773" s="13">
        <v>0</v>
      </c>
      <c r="L1773" s="233">
        <v>83</v>
      </c>
      <c r="M1773" s="13">
        <v>3</v>
      </c>
      <c r="N1773" s="13">
        <v>0</v>
      </c>
      <c r="O1773" s="13">
        <v>0</v>
      </c>
      <c r="P1773" s="13">
        <v>0</v>
      </c>
      <c r="Q1773" s="13">
        <v>0</v>
      </c>
      <c r="R1773" s="26">
        <v>0.23549999999999999</v>
      </c>
      <c r="S1773" s="19" t="s">
        <v>115</v>
      </c>
      <c r="T1773" s="257">
        <f t="shared" si="61"/>
        <v>83</v>
      </c>
      <c r="U1773" s="257">
        <f t="shared" si="62"/>
        <v>3</v>
      </c>
      <c r="V1773">
        <v>1</v>
      </c>
      <c r="W1773">
        <v>1</v>
      </c>
    </row>
    <row r="1774" spans="1:23" ht="171" x14ac:dyDescent="0.3">
      <c r="A1774" s="212">
        <v>40651</v>
      </c>
      <c r="B1774" s="212">
        <v>40651</v>
      </c>
      <c r="C1774" s="6">
        <v>4</v>
      </c>
      <c r="D1774" s="6">
        <v>1</v>
      </c>
      <c r="E1774" s="6">
        <v>2011</v>
      </c>
      <c r="F1774" s="15" t="s">
        <v>22</v>
      </c>
      <c r="G1774" s="18" t="s">
        <v>6256</v>
      </c>
      <c r="H1774" s="9" t="s">
        <v>43</v>
      </c>
      <c r="I1774" s="53" t="s">
        <v>3079</v>
      </c>
      <c r="J1774" s="53" t="s">
        <v>3080</v>
      </c>
      <c r="K1774" s="13">
        <v>0</v>
      </c>
      <c r="L1774" s="233">
        <v>400</v>
      </c>
      <c r="M1774" s="13">
        <v>80</v>
      </c>
      <c r="N1774" s="13">
        <v>0</v>
      </c>
      <c r="O1774" s="13">
        <v>0</v>
      </c>
      <c r="P1774" s="13">
        <v>0</v>
      </c>
      <c r="Q1774" s="13">
        <v>0</v>
      </c>
      <c r="R1774" s="26">
        <v>0.2</v>
      </c>
      <c r="S1774" s="19" t="s">
        <v>115</v>
      </c>
      <c r="T1774" s="257">
        <f t="shared" si="61"/>
        <v>400</v>
      </c>
      <c r="U1774" s="257">
        <f t="shared" si="62"/>
        <v>80</v>
      </c>
      <c r="V1774">
        <v>1</v>
      </c>
      <c r="W1774">
        <v>1</v>
      </c>
    </row>
    <row r="1775" spans="1:23" ht="148.19999999999999" x14ac:dyDescent="0.3">
      <c r="A1775" s="212">
        <v>40650</v>
      </c>
      <c r="B1775" s="212">
        <v>40650</v>
      </c>
      <c r="C1775" s="6">
        <v>4</v>
      </c>
      <c r="D1775" s="6">
        <v>1</v>
      </c>
      <c r="E1775" s="6">
        <v>2011</v>
      </c>
      <c r="F1775" s="15" t="s">
        <v>22</v>
      </c>
      <c r="G1775" s="18" t="s">
        <v>6256</v>
      </c>
      <c r="H1775" s="9" t="s">
        <v>43</v>
      </c>
      <c r="I1775" s="53" t="s">
        <v>3081</v>
      </c>
      <c r="J1775" s="53" t="s">
        <v>3082</v>
      </c>
      <c r="K1775" s="13">
        <v>0</v>
      </c>
      <c r="L1775" s="233">
        <v>250</v>
      </c>
      <c r="M1775" s="13">
        <v>50</v>
      </c>
      <c r="N1775" s="13">
        <v>0</v>
      </c>
      <c r="O1775" s="13">
        <v>0</v>
      </c>
      <c r="P1775" s="13">
        <v>514</v>
      </c>
      <c r="Q1775" s="13">
        <v>0</v>
      </c>
      <c r="R1775" s="26">
        <v>0.05</v>
      </c>
      <c r="S1775" s="19" t="s">
        <v>115</v>
      </c>
      <c r="T1775" s="257">
        <f t="shared" si="61"/>
        <v>250</v>
      </c>
      <c r="U1775" s="257">
        <f t="shared" si="62"/>
        <v>564</v>
      </c>
      <c r="V1775">
        <v>1</v>
      </c>
      <c r="W1775">
        <v>1</v>
      </c>
    </row>
    <row r="1776" spans="1:23" ht="114" x14ac:dyDescent="0.3">
      <c r="A1776" s="212">
        <v>40648</v>
      </c>
      <c r="B1776" s="212">
        <v>40648</v>
      </c>
      <c r="C1776" s="6">
        <v>4</v>
      </c>
      <c r="D1776" s="6">
        <v>1</v>
      </c>
      <c r="E1776" s="6">
        <v>2011</v>
      </c>
      <c r="F1776" s="15" t="s">
        <v>22</v>
      </c>
      <c r="G1776" s="18" t="s">
        <v>6256</v>
      </c>
      <c r="H1776" s="9" t="s">
        <v>51</v>
      </c>
      <c r="I1776" s="53" t="s">
        <v>271</v>
      </c>
      <c r="J1776" s="53" t="s">
        <v>3083</v>
      </c>
      <c r="K1776" s="13">
        <v>2</v>
      </c>
      <c r="L1776" s="233">
        <v>2</v>
      </c>
      <c r="M1776" s="13">
        <v>0</v>
      </c>
      <c r="N1776" s="13">
        <v>0</v>
      </c>
      <c r="O1776" s="13">
        <v>0</v>
      </c>
      <c r="P1776" s="13">
        <v>0</v>
      </c>
      <c r="Q1776" s="13">
        <v>0</v>
      </c>
      <c r="R1776" s="26">
        <v>0</v>
      </c>
      <c r="S1776" s="19" t="s">
        <v>115</v>
      </c>
      <c r="T1776" s="257">
        <f t="shared" si="61"/>
        <v>4</v>
      </c>
      <c r="U1776" s="257">
        <f t="shared" si="62"/>
        <v>0</v>
      </c>
      <c r="V1776">
        <v>1</v>
      </c>
      <c r="W1776">
        <v>0</v>
      </c>
    </row>
    <row r="1777" spans="1:23" ht="45.6" x14ac:dyDescent="0.3">
      <c r="A1777" s="212">
        <v>40648</v>
      </c>
      <c r="B1777" s="212">
        <v>40648</v>
      </c>
      <c r="C1777" s="6">
        <v>4</v>
      </c>
      <c r="D1777" s="6">
        <v>1</v>
      </c>
      <c r="E1777" s="6">
        <v>2011</v>
      </c>
      <c r="F1777" s="15" t="s">
        <v>22</v>
      </c>
      <c r="G1777" s="18" t="s">
        <v>6256</v>
      </c>
      <c r="H1777" s="9" t="s">
        <v>121</v>
      </c>
      <c r="I1777" s="53" t="s">
        <v>3084</v>
      </c>
      <c r="J1777" s="53" t="s">
        <v>3085</v>
      </c>
      <c r="K1777" s="13">
        <v>1</v>
      </c>
      <c r="L1777" s="233">
        <v>1</v>
      </c>
      <c r="M1777" s="13">
        <v>0</v>
      </c>
      <c r="N1777" s="13">
        <v>0</v>
      </c>
      <c r="O1777" s="13">
        <v>0</v>
      </c>
      <c r="P1777" s="13">
        <v>0</v>
      </c>
      <c r="Q1777" s="13">
        <v>0</v>
      </c>
      <c r="R1777" s="26">
        <v>0</v>
      </c>
      <c r="S1777" s="19" t="s">
        <v>115</v>
      </c>
      <c r="T1777" s="257">
        <f t="shared" si="61"/>
        <v>2</v>
      </c>
      <c r="U1777" s="257">
        <f t="shared" si="62"/>
        <v>0</v>
      </c>
      <c r="V1777">
        <v>1</v>
      </c>
      <c r="W1777">
        <v>0</v>
      </c>
    </row>
    <row r="1778" spans="1:23" ht="68.400000000000006" x14ac:dyDescent="0.3">
      <c r="A1778" s="129">
        <v>37767</v>
      </c>
      <c r="B1778" s="129">
        <v>37767</v>
      </c>
      <c r="C1778" s="6">
        <v>5</v>
      </c>
      <c r="D1778" s="6">
        <v>1</v>
      </c>
      <c r="E1778" s="19">
        <v>2003</v>
      </c>
      <c r="F1778" s="15" t="s">
        <v>22</v>
      </c>
      <c r="G1778" s="18" t="s">
        <v>6256</v>
      </c>
      <c r="H1778" s="9" t="s">
        <v>48</v>
      </c>
      <c r="I1778" s="17" t="s">
        <v>3087</v>
      </c>
      <c r="J1778" s="17" t="s">
        <v>3088</v>
      </c>
      <c r="K1778" s="23">
        <v>2</v>
      </c>
      <c r="L1778" s="234">
        <v>254</v>
      </c>
      <c r="M1778" s="23">
        <v>50</v>
      </c>
      <c r="N1778" s="23">
        <v>0</v>
      </c>
      <c r="O1778" s="37">
        <v>0</v>
      </c>
      <c r="P1778" s="37">
        <v>0</v>
      </c>
      <c r="Q1778" s="23">
        <v>0</v>
      </c>
      <c r="R1778" s="24">
        <v>0.14399999999999999</v>
      </c>
      <c r="S1778" s="7" t="s">
        <v>115</v>
      </c>
      <c r="T1778" s="257">
        <f t="shared" si="61"/>
        <v>256</v>
      </c>
      <c r="U1778" s="257">
        <f t="shared" si="62"/>
        <v>50</v>
      </c>
      <c r="V1778">
        <v>1</v>
      </c>
      <c r="W1778">
        <v>1</v>
      </c>
    </row>
    <row r="1779" spans="1:23" ht="102.6" x14ac:dyDescent="0.3">
      <c r="A1779" s="217">
        <v>41897</v>
      </c>
      <c r="B1779" s="217">
        <v>41897</v>
      </c>
      <c r="C1779" s="6">
        <v>9</v>
      </c>
      <c r="D1779" s="6">
        <v>1</v>
      </c>
      <c r="E1779" s="33">
        <v>2014</v>
      </c>
      <c r="F1779" s="15" t="s">
        <v>22</v>
      </c>
      <c r="G1779" s="18" t="s">
        <v>6256</v>
      </c>
      <c r="H1779" s="9" t="s">
        <v>48</v>
      </c>
      <c r="I1779" s="47" t="s">
        <v>3089</v>
      </c>
      <c r="J1779" s="48" t="s">
        <v>3090</v>
      </c>
      <c r="K1779" s="49">
        <v>0</v>
      </c>
      <c r="L1779" s="236">
        <v>125</v>
      </c>
      <c r="M1779" s="35">
        <v>25</v>
      </c>
      <c r="N1779" s="35">
        <v>0</v>
      </c>
      <c r="O1779" s="35">
        <v>0</v>
      </c>
      <c r="P1779" s="35">
        <v>0</v>
      </c>
      <c r="Q1779" s="35">
        <v>0</v>
      </c>
      <c r="R1779" s="36">
        <v>0.13750000000000001</v>
      </c>
      <c r="S1779" s="50" t="s">
        <v>115</v>
      </c>
      <c r="T1779" s="257">
        <f t="shared" si="61"/>
        <v>125</v>
      </c>
      <c r="U1779" s="257">
        <f t="shared" si="62"/>
        <v>25</v>
      </c>
      <c r="V1779">
        <v>1</v>
      </c>
      <c r="W1779">
        <v>1</v>
      </c>
    </row>
    <row r="1780" spans="1:23" ht="193.8" x14ac:dyDescent="0.3">
      <c r="A1780" s="214">
        <v>44274</v>
      </c>
      <c r="B1780" s="214">
        <v>44277</v>
      </c>
      <c r="C1780" s="6">
        <v>3</v>
      </c>
      <c r="D1780" s="6">
        <v>4</v>
      </c>
      <c r="E1780" s="33">
        <v>2021</v>
      </c>
      <c r="F1780" s="7" t="s">
        <v>17</v>
      </c>
      <c r="G1780" s="16" t="s">
        <v>6260</v>
      </c>
      <c r="H1780" s="9" t="s">
        <v>48</v>
      </c>
      <c r="I1780" s="34" t="s">
        <v>2925</v>
      </c>
      <c r="J1780" s="58" t="s">
        <v>3091</v>
      </c>
      <c r="K1780" s="33">
        <v>0</v>
      </c>
      <c r="L1780" s="236">
        <v>400</v>
      </c>
      <c r="M1780" s="35">
        <v>100</v>
      </c>
      <c r="N1780" s="35">
        <v>0</v>
      </c>
      <c r="O1780" s="35">
        <v>0</v>
      </c>
      <c r="P1780" s="35">
        <v>0</v>
      </c>
      <c r="Q1780" s="35">
        <v>0</v>
      </c>
      <c r="R1780" s="42">
        <v>0.13340250000000001</v>
      </c>
      <c r="S1780" s="7" t="s">
        <v>2777</v>
      </c>
      <c r="T1780" s="257">
        <f t="shared" si="61"/>
        <v>400</v>
      </c>
      <c r="U1780" s="257">
        <f t="shared" si="62"/>
        <v>100</v>
      </c>
      <c r="V1780">
        <v>1</v>
      </c>
      <c r="W1780">
        <v>1</v>
      </c>
    </row>
    <row r="1781" spans="1:23" ht="79.8" x14ac:dyDescent="0.3">
      <c r="A1781" s="212">
        <v>40693</v>
      </c>
      <c r="B1781" s="212">
        <v>40693</v>
      </c>
      <c r="C1781" s="6">
        <v>5</v>
      </c>
      <c r="D1781" s="6">
        <v>1</v>
      </c>
      <c r="E1781" s="6">
        <v>2011</v>
      </c>
      <c r="F1781" s="15" t="s">
        <v>22</v>
      </c>
      <c r="G1781" s="9" t="s">
        <v>6257</v>
      </c>
      <c r="H1781" s="9" t="s">
        <v>37</v>
      </c>
      <c r="I1781" s="53" t="s">
        <v>223</v>
      </c>
      <c r="J1781" s="53" t="s">
        <v>3092</v>
      </c>
      <c r="K1781" s="13">
        <v>0</v>
      </c>
      <c r="L1781" s="233">
        <v>70</v>
      </c>
      <c r="M1781" s="13">
        <v>0</v>
      </c>
      <c r="N1781" s="13">
        <v>0</v>
      </c>
      <c r="O1781" s="13">
        <v>0</v>
      </c>
      <c r="P1781" s="13">
        <v>0</v>
      </c>
      <c r="Q1781" s="13">
        <v>0</v>
      </c>
      <c r="R1781" s="36">
        <v>0</v>
      </c>
      <c r="S1781" s="19" t="s">
        <v>115</v>
      </c>
      <c r="T1781" s="257">
        <f t="shared" si="61"/>
        <v>70</v>
      </c>
      <c r="U1781" s="257">
        <f t="shared" si="62"/>
        <v>0</v>
      </c>
      <c r="V1781">
        <v>1</v>
      </c>
      <c r="W1781">
        <v>0</v>
      </c>
    </row>
    <row r="1782" spans="1:23" ht="57" x14ac:dyDescent="0.3">
      <c r="A1782" s="212">
        <v>40637</v>
      </c>
      <c r="B1782" s="212">
        <v>40637</v>
      </c>
      <c r="C1782" s="6">
        <v>4</v>
      </c>
      <c r="D1782" s="6">
        <v>1</v>
      </c>
      <c r="E1782" s="6">
        <v>2011</v>
      </c>
      <c r="F1782" s="7" t="s">
        <v>17</v>
      </c>
      <c r="G1782" s="28" t="s">
        <v>6261</v>
      </c>
      <c r="H1782" s="9" t="s">
        <v>31</v>
      </c>
      <c r="I1782" s="53" t="s">
        <v>1900</v>
      </c>
      <c r="J1782" s="53" t="s">
        <v>3093</v>
      </c>
      <c r="K1782" s="13">
        <v>2</v>
      </c>
      <c r="L1782" s="233">
        <v>3</v>
      </c>
      <c r="M1782" s="13">
        <v>0</v>
      </c>
      <c r="N1782" s="13">
        <v>0</v>
      </c>
      <c r="O1782" s="13">
        <v>0</v>
      </c>
      <c r="P1782" s="13">
        <v>0</v>
      </c>
      <c r="Q1782" s="13">
        <v>0</v>
      </c>
      <c r="R1782" s="26">
        <v>0</v>
      </c>
      <c r="S1782" s="19" t="s">
        <v>115</v>
      </c>
      <c r="T1782" s="257">
        <f t="shared" si="61"/>
        <v>5</v>
      </c>
      <c r="U1782" s="257">
        <f t="shared" si="62"/>
        <v>0</v>
      </c>
      <c r="V1782">
        <v>1</v>
      </c>
      <c r="W1782">
        <v>0</v>
      </c>
    </row>
    <row r="1783" spans="1:23" ht="342" x14ac:dyDescent="0.3">
      <c r="A1783" s="212">
        <v>40606</v>
      </c>
      <c r="B1783" s="212">
        <v>40606</v>
      </c>
      <c r="C1783" s="6">
        <v>3</v>
      </c>
      <c r="D1783" s="6">
        <v>1</v>
      </c>
      <c r="E1783" s="6">
        <v>2011</v>
      </c>
      <c r="F1783" s="15" t="s">
        <v>22</v>
      </c>
      <c r="G1783" s="18" t="s">
        <v>6256</v>
      </c>
      <c r="H1783" s="9" t="s">
        <v>31</v>
      </c>
      <c r="I1783" s="53" t="s">
        <v>3094</v>
      </c>
      <c r="J1783" s="53" t="s">
        <v>3095</v>
      </c>
      <c r="K1783" s="13">
        <v>2</v>
      </c>
      <c r="L1783" s="234">
        <v>80</v>
      </c>
      <c r="M1783" s="13">
        <v>16</v>
      </c>
      <c r="N1783" s="13">
        <v>1</v>
      </c>
      <c r="O1783" s="13">
        <v>0</v>
      </c>
      <c r="P1783" s="13">
        <v>0</v>
      </c>
      <c r="Q1783" s="13">
        <v>0</v>
      </c>
      <c r="R1783" s="24">
        <v>0.44800000000000001</v>
      </c>
      <c r="S1783" s="19" t="s">
        <v>115</v>
      </c>
      <c r="T1783" s="257">
        <f t="shared" si="61"/>
        <v>82</v>
      </c>
      <c r="U1783" s="257">
        <f t="shared" si="62"/>
        <v>17</v>
      </c>
      <c r="V1783">
        <v>1</v>
      </c>
      <c r="W1783">
        <v>1</v>
      </c>
    </row>
    <row r="1784" spans="1:23" ht="182.4" x14ac:dyDescent="0.3">
      <c r="A1784" s="212">
        <v>40639</v>
      </c>
      <c r="B1784" s="212">
        <v>40639</v>
      </c>
      <c r="C1784" s="6">
        <v>4</v>
      </c>
      <c r="D1784" s="6">
        <v>1</v>
      </c>
      <c r="E1784" s="6">
        <v>2011</v>
      </c>
      <c r="F1784" s="15" t="s">
        <v>22</v>
      </c>
      <c r="G1784" s="18" t="s">
        <v>6256</v>
      </c>
      <c r="H1784" s="9" t="s">
        <v>31</v>
      </c>
      <c r="I1784" s="53" t="s">
        <v>1005</v>
      </c>
      <c r="J1784" s="53" t="s">
        <v>3096</v>
      </c>
      <c r="K1784" s="13">
        <v>0</v>
      </c>
      <c r="L1784" s="234">
        <v>500</v>
      </c>
      <c r="M1784" s="13">
        <v>100</v>
      </c>
      <c r="N1784" s="13">
        <v>0</v>
      </c>
      <c r="O1784" s="13">
        <v>0</v>
      </c>
      <c r="P1784" s="13">
        <v>0</v>
      </c>
      <c r="Q1784" s="13">
        <v>0</v>
      </c>
      <c r="R1784" s="24">
        <v>0.37920999999999999</v>
      </c>
      <c r="S1784" s="19" t="s">
        <v>115</v>
      </c>
      <c r="T1784" s="257">
        <f t="shared" si="61"/>
        <v>500</v>
      </c>
      <c r="U1784" s="257">
        <f t="shared" si="62"/>
        <v>100</v>
      </c>
      <c r="V1784">
        <v>1</v>
      </c>
      <c r="W1784">
        <v>1</v>
      </c>
    </row>
    <row r="1785" spans="1:23" ht="250.8" x14ac:dyDescent="0.3">
      <c r="A1785" s="212">
        <v>40728</v>
      </c>
      <c r="B1785" s="212">
        <v>40728</v>
      </c>
      <c r="C1785" s="6">
        <v>7</v>
      </c>
      <c r="D1785" s="6">
        <v>1</v>
      </c>
      <c r="E1785" s="6">
        <v>2011</v>
      </c>
      <c r="F1785" s="15" t="s">
        <v>22</v>
      </c>
      <c r="G1785" s="18" t="s">
        <v>6256</v>
      </c>
      <c r="H1785" s="9" t="s">
        <v>31</v>
      </c>
      <c r="I1785" s="53" t="s">
        <v>3097</v>
      </c>
      <c r="J1785" s="53" t="s">
        <v>3098</v>
      </c>
      <c r="K1785" s="13">
        <v>0</v>
      </c>
      <c r="L1785" s="234">
        <v>895</v>
      </c>
      <c r="M1785" s="13">
        <v>49</v>
      </c>
      <c r="N1785" s="13">
        <v>0</v>
      </c>
      <c r="O1785" s="13">
        <v>0</v>
      </c>
      <c r="P1785" s="13">
        <v>0</v>
      </c>
      <c r="Q1785" s="13">
        <v>0</v>
      </c>
      <c r="R1785" s="24">
        <v>0.35337000000000002</v>
      </c>
      <c r="S1785" s="19" t="s">
        <v>115</v>
      </c>
      <c r="T1785" s="257">
        <f t="shared" si="61"/>
        <v>895</v>
      </c>
      <c r="U1785" s="257">
        <f t="shared" si="62"/>
        <v>49</v>
      </c>
      <c r="V1785">
        <v>1</v>
      </c>
      <c r="W1785">
        <v>1</v>
      </c>
    </row>
    <row r="1786" spans="1:23" ht="148.19999999999999" x14ac:dyDescent="0.3">
      <c r="A1786" s="212">
        <v>40634</v>
      </c>
      <c r="B1786" s="212">
        <v>40634</v>
      </c>
      <c r="C1786" s="6">
        <v>4</v>
      </c>
      <c r="D1786" s="6">
        <v>1</v>
      </c>
      <c r="E1786" s="6">
        <v>2011</v>
      </c>
      <c r="F1786" s="15" t="s">
        <v>22</v>
      </c>
      <c r="G1786" s="18" t="s">
        <v>6256</v>
      </c>
      <c r="H1786" s="9" t="s">
        <v>51</v>
      </c>
      <c r="I1786" s="53" t="s">
        <v>3099</v>
      </c>
      <c r="J1786" s="53" t="s">
        <v>3100</v>
      </c>
      <c r="K1786" s="13">
        <v>0</v>
      </c>
      <c r="L1786" s="233">
        <v>1120</v>
      </c>
      <c r="M1786" s="13">
        <v>0</v>
      </c>
      <c r="N1786" s="13">
        <v>0</v>
      </c>
      <c r="O1786" s="13">
        <v>0</v>
      </c>
      <c r="P1786" s="13">
        <v>0</v>
      </c>
      <c r="Q1786" s="13">
        <v>0</v>
      </c>
      <c r="R1786" s="26">
        <v>0</v>
      </c>
      <c r="S1786" s="19" t="s">
        <v>115</v>
      </c>
      <c r="T1786" s="257">
        <f t="shared" si="61"/>
        <v>1120</v>
      </c>
      <c r="U1786" s="257">
        <f t="shared" si="62"/>
        <v>0</v>
      </c>
      <c r="V1786">
        <v>1</v>
      </c>
      <c r="W1786">
        <v>0</v>
      </c>
    </row>
    <row r="1787" spans="1:23" ht="91.2" x14ac:dyDescent="0.3">
      <c r="A1787" s="212">
        <v>40857</v>
      </c>
      <c r="B1787" s="212">
        <v>40857</v>
      </c>
      <c r="C1787" s="6">
        <v>11</v>
      </c>
      <c r="D1787" s="6">
        <v>1</v>
      </c>
      <c r="E1787" s="6">
        <v>2011</v>
      </c>
      <c r="F1787" s="15" t="s">
        <v>22</v>
      </c>
      <c r="G1787" s="18" t="s">
        <v>6256</v>
      </c>
      <c r="H1787" s="9" t="s">
        <v>174</v>
      </c>
      <c r="I1787" s="53" t="s">
        <v>3101</v>
      </c>
      <c r="J1787" s="53" t="s">
        <v>3102</v>
      </c>
      <c r="K1787" s="13">
        <v>0</v>
      </c>
      <c r="L1787" s="233">
        <v>0</v>
      </c>
      <c r="M1787" s="13">
        <v>0</v>
      </c>
      <c r="N1787" s="13">
        <v>0</v>
      </c>
      <c r="O1787" s="13">
        <v>0</v>
      </c>
      <c r="P1787" s="13">
        <v>0</v>
      </c>
      <c r="Q1787" s="13">
        <v>0</v>
      </c>
      <c r="R1787" s="26">
        <v>0.82199999999999995</v>
      </c>
      <c r="S1787" s="19" t="s">
        <v>115</v>
      </c>
      <c r="T1787" s="257">
        <f t="shared" si="61"/>
        <v>0</v>
      </c>
      <c r="U1787" s="257">
        <f t="shared" si="62"/>
        <v>0</v>
      </c>
      <c r="V1787">
        <v>0</v>
      </c>
      <c r="W1787">
        <v>0</v>
      </c>
    </row>
    <row r="1788" spans="1:23" ht="125.4" x14ac:dyDescent="0.3">
      <c r="A1788" s="212">
        <v>40632</v>
      </c>
      <c r="B1788" s="212">
        <v>40632</v>
      </c>
      <c r="C1788" s="6">
        <v>3</v>
      </c>
      <c r="D1788" s="6">
        <v>1</v>
      </c>
      <c r="E1788" s="6">
        <v>2011</v>
      </c>
      <c r="F1788" s="15" t="s">
        <v>22</v>
      </c>
      <c r="G1788" s="18" t="s">
        <v>6256</v>
      </c>
      <c r="H1788" s="9" t="s">
        <v>174</v>
      </c>
      <c r="I1788" s="53" t="s">
        <v>3103</v>
      </c>
      <c r="J1788" s="53" t="s">
        <v>3104</v>
      </c>
      <c r="K1788" s="13">
        <v>0</v>
      </c>
      <c r="L1788" s="233">
        <v>60</v>
      </c>
      <c r="M1788" s="13">
        <v>12</v>
      </c>
      <c r="N1788" s="13">
        <v>0</v>
      </c>
      <c r="O1788" s="13">
        <v>0</v>
      </c>
      <c r="P1788" s="13">
        <v>0</v>
      </c>
      <c r="Q1788" s="13">
        <v>0</v>
      </c>
      <c r="R1788" s="26">
        <v>3.0000000000000001E-3</v>
      </c>
      <c r="S1788" s="19" t="s">
        <v>115</v>
      </c>
      <c r="T1788" s="257">
        <f t="shared" si="61"/>
        <v>60</v>
      </c>
      <c r="U1788" s="257">
        <f t="shared" si="62"/>
        <v>12</v>
      </c>
      <c r="V1788">
        <v>1</v>
      </c>
      <c r="W1788">
        <v>1</v>
      </c>
    </row>
    <row r="1789" spans="1:23" ht="250.8" x14ac:dyDescent="0.3">
      <c r="A1789" s="212">
        <v>40631</v>
      </c>
      <c r="B1789" s="212">
        <v>40631</v>
      </c>
      <c r="C1789" s="6">
        <v>3</v>
      </c>
      <c r="D1789" s="6">
        <v>1</v>
      </c>
      <c r="E1789" s="6">
        <v>2011</v>
      </c>
      <c r="F1789" s="15" t="s">
        <v>22</v>
      </c>
      <c r="G1789" s="18" t="s">
        <v>6256</v>
      </c>
      <c r="H1789" s="9" t="s">
        <v>174</v>
      </c>
      <c r="I1789" s="53" t="s">
        <v>3105</v>
      </c>
      <c r="J1789" s="53" t="s">
        <v>3106</v>
      </c>
      <c r="K1789" s="13">
        <v>0</v>
      </c>
      <c r="L1789" s="233">
        <f>((1332+4200+99+180+150+800+650+1400))*1</f>
        <v>8811</v>
      </c>
      <c r="M1789" s="13">
        <f>(420+1200+36+80+60+240+130+300)</f>
        <v>2466</v>
      </c>
      <c r="N1789" s="13">
        <v>20</v>
      </c>
      <c r="O1789" s="13">
        <v>0</v>
      </c>
      <c r="P1789" s="13">
        <v>0</v>
      </c>
      <c r="Q1789" s="13">
        <v>0</v>
      </c>
      <c r="R1789" s="26">
        <v>2.7570000000000001</v>
      </c>
      <c r="S1789" s="19" t="s">
        <v>115</v>
      </c>
      <c r="T1789" s="257">
        <f t="shared" si="61"/>
        <v>8811</v>
      </c>
      <c r="U1789" s="257">
        <f t="shared" si="62"/>
        <v>2486</v>
      </c>
      <c r="V1789">
        <v>1</v>
      </c>
      <c r="W1789">
        <v>2</v>
      </c>
    </row>
    <row r="1790" spans="1:23" ht="136.80000000000001" x14ac:dyDescent="0.3">
      <c r="A1790" s="212">
        <v>40631</v>
      </c>
      <c r="B1790" s="212">
        <v>40631</v>
      </c>
      <c r="C1790" s="6">
        <v>3</v>
      </c>
      <c r="D1790" s="6">
        <v>1</v>
      </c>
      <c r="E1790" s="6">
        <v>2011</v>
      </c>
      <c r="F1790" s="15" t="s">
        <v>22</v>
      </c>
      <c r="G1790" s="18" t="s">
        <v>6256</v>
      </c>
      <c r="H1790" s="9" t="s">
        <v>174</v>
      </c>
      <c r="I1790" s="53" t="s">
        <v>2930</v>
      </c>
      <c r="J1790" s="53" t="s">
        <v>3107</v>
      </c>
      <c r="K1790" s="13">
        <v>0</v>
      </c>
      <c r="L1790" s="233">
        <v>1069</v>
      </c>
      <c r="M1790" s="13">
        <v>229</v>
      </c>
      <c r="N1790" s="13">
        <v>0</v>
      </c>
      <c r="O1790" s="13">
        <v>0</v>
      </c>
      <c r="P1790" s="13">
        <v>0</v>
      </c>
      <c r="Q1790" s="13">
        <v>0</v>
      </c>
      <c r="R1790" s="26">
        <v>0.57199999999999995</v>
      </c>
      <c r="S1790" s="19" t="s">
        <v>115</v>
      </c>
      <c r="T1790" s="257">
        <f t="shared" si="61"/>
        <v>1069</v>
      </c>
      <c r="U1790" s="257">
        <f t="shared" si="62"/>
        <v>229</v>
      </c>
      <c r="V1790">
        <v>1</v>
      </c>
      <c r="W1790">
        <v>1</v>
      </c>
    </row>
    <row r="1791" spans="1:23" ht="57" x14ac:dyDescent="0.3">
      <c r="A1791" s="212">
        <v>40631</v>
      </c>
      <c r="B1791" s="212">
        <v>40631</v>
      </c>
      <c r="C1791" s="6">
        <v>3</v>
      </c>
      <c r="D1791" s="6">
        <v>1</v>
      </c>
      <c r="E1791" s="6">
        <v>2011</v>
      </c>
      <c r="F1791" s="15" t="s">
        <v>22</v>
      </c>
      <c r="G1791" s="18" t="s">
        <v>6256</v>
      </c>
      <c r="H1791" s="9" t="s">
        <v>174</v>
      </c>
      <c r="I1791" s="53" t="s">
        <v>3108</v>
      </c>
      <c r="J1791" s="53" t="s">
        <v>3109</v>
      </c>
      <c r="K1791" s="13">
        <v>0</v>
      </c>
      <c r="L1791" s="233">
        <v>537</v>
      </c>
      <c r="M1791" s="13">
        <v>80</v>
      </c>
      <c r="N1791" s="13">
        <v>0</v>
      </c>
      <c r="O1791" s="13">
        <v>0</v>
      </c>
      <c r="P1791" s="13">
        <v>0</v>
      </c>
      <c r="Q1791" s="13">
        <v>0</v>
      </c>
      <c r="R1791" s="26">
        <v>0.2</v>
      </c>
      <c r="S1791" s="19" t="s">
        <v>115</v>
      </c>
      <c r="T1791" s="257">
        <f t="shared" si="61"/>
        <v>537</v>
      </c>
      <c r="U1791" s="257">
        <f t="shared" si="62"/>
        <v>80</v>
      </c>
      <c r="V1791">
        <v>1</v>
      </c>
      <c r="W1791">
        <v>1</v>
      </c>
    </row>
    <row r="1792" spans="1:23" ht="91.2" x14ac:dyDescent="0.3">
      <c r="A1792" s="212">
        <v>40625</v>
      </c>
      <c r="B1792" s="212">
        <v>40625</v>
      </c>
      <c r="C1792" s="6">
        <v>3</v>
      </c>
      <c r="D1792" s="6">
        <v>1</v>
      </c>
      <c r="E1792" s="6">
        <v>2011</v>
      </c>
      <c r="F1792" s="15" t="s">
        <v>22</v>
      </c>
      <c r="G1792" s="9" t="s">
        <v>6257</v>
      </c>
      <c r="H1792" s="9" t="s">
        <v>64</v>
      </c>
      <c r="I1792" s="53" t="s">
        <v>3110</v>
      </c>
      <c r="J1792" s="53" t="s">
        <v>3111</v>
      </c>
      <c r="K1792" s="13">
        <v>0</v>
      </c>
      <c r="L1792" s="233">
        <v>730</v>
      </c>
      <c r="M1792" s="13">
        <v>146</v>
      </c>
      <c r="N1792" s="13">
        <v>0</v>
      </c>
      <c r="O1792" s="13">
        <v>0</v>
      </c>
      <c r="P1792" s="13">
        <v>0</v>
      </c>
      <c r="Q1792" s="13">
        <v>0</v>
      </c>
      <c r="R1792" s="26">
        <v>4.5600000000000002E-2</v>
      </c>
      <c r="S1792" s="19" t="s">
        <v>115</v>
      </c>
      <c r="T1792" s="257">
        <f t="shared" si="61"/>
        <v>730</v>
      </c>
      <c r="U1792" s="257">
        <f t="shared" si="62"/>
        <v>146</v>
      </c>
      <c r="V1792">
        <v>1</v>
      </c>
      <c r="W1792">
        <v>1</v>
      </c>
    </row>
    <row r="1793" spans="1:23" ht="102.6" x14ac:dyDescent="0.3">
      <c r="A1793" s="212">
        <v>40737</v>
      </c>
      <c r="B1793" s="212">
        <v>40737</v>
      </c>
      <c r="C1793" s="6">
        <v>7</v>
      </c>
      <c r="D1793" s="6">
        <v>1</v>
      </c>
      <c r="E1793" s="6">
        <v>2011</v>
      </c>
      <c r="F1793" s="15" t="s">
        <v>22</v>
      </c>
      <c r="G1793" s="18" t="s">
        <v>6256</v>
      </c>
      <c r="H1793" s="9" t="s">
        <v>64</v>
      </c>
      <c r="I1793" s="53" t="s">
        <v>3112</v>
      </c>
      <c r="J1793" s="53" t="s">
        <v>3113</v>
      </c>
      <c r="K1793" s="13">
        <v>2</v>
      </c>
      <c r="L1793" s="233">
        <v>140</v>
      </c>
      <c r="M1793" s="13">
        <v>28</v>
      </c>
      <c r="N1793" s="13">
        <v>0</v>
      </c>
      <c r="O1793" s="13">
        <v>0</v>
      </c>
      <c r="P1793" s="13">
        <v>0</v>
      </c>
      <c r="Q1793" s="13">
        <v>0</v>
      </c>
      <c r="R1793" s="26">
        <v>0.28000000000000003</v>
      </c>
      <c r="S1793" s="19" t="s">
        <v>115</v>
      </c>
      <c r="T1793" s="257">
        <f t="shared" si="61"/>
        <v>142</v>
      </c>
      <c r="U1793" s="257">
        <f t="shared" si="62"/>
        <v>28</v>
      </c>
      <c r="V1793">
        <v>1</v>
      </c>
      <c r="W1793">
        <v>1</v>
      </c>
    </row>
    <row r="1794" spans="1:23" ht="68.400000000000006" x14ac:dyDescent="0.3">
      <c r="A1794" s="212">
        <v>40624</v>
      </c>
      <c r="B1794" s="212">
        <v>40624</v>
      </c>
      <c r="C1794" s="6">
        <v>3</v>
      </c>
      <c r="D1794" s="6">
        <v>1</v>
      </c>
      <c r="E1794" s="6">
        <v>2011</v>
      </c>
      <c r="F1794" s="15" t="s">
        <v>22</v>
      </c>
      <c r="G1794" s="82" t="s">
        <v>6256</v>
      </c>
      <c r="H1794" s="9" t="s">
        <v>61</v>
      </c>
      <c r="I1794" s="53" t="s">
        <v>3114</v>
      </c>
      <c r="J1794" s="53" t="s">
        <v>3115</v>
      </c>
      <c r="K1794" s="13">
        <v>1</v>
      </c>
      <c r="L1794" s="233">
        <v>1</v>
      </c>
      <c r="M1794" s="13">
        <v>0</v>
      </c>
      <c r="N1794" s="13">
        <v>0</v>
      </c>
      <c r="O1794" s="13">
        <v>0</v>
      </c>
      <c r="P1794" s="13">
        <v>0</v>
      </c>
      <c r="Q1794" s="13">
        <v>0</v>
      </c>
      <c r="R1794" s="26">
        <v>0</v>
      </c>
      <c r="S1794" s="19" t="s">
        <v>115</v>
      </c>
      <c r="T1794" s="257">
        <f t="shared" si="61"/>
        <v>2</v>
      </c>
      <c r="U1794" s="257">
        <f t="shared" si="62"/>
        <v>0</v>
      </c>
      <c r="V1794">
        <v>1</v>
      </c>
      <c r="W1794">
        <v>0</v>
      </c>
    </row>
    <row r="1795" spans="1:23" ht="136.80000000000001" x14ac:dyDescent="0.3">
      <c r="A1795" s="212">
        <v>40624</v>
      </c>
      <c r="B1795" s="212">
        <v>40624</v>
      </c>
      <c r="C1795" s="6">
        <v>3</v>
      </c>
      <c r="D1795" s="6">
        <v>1</v>
      </c>
      <c r="E1795" s="6">
        <v>2011</v>
      </c>
      <c r="F1795" s="7" t="s">
        <v>17</v>
      </c>
      <c r="G1795" s="28" t="s">
        <v>6261</v>
      </c>
      <c r="H1795" s="9" t="s">
        <v>61</v>
      </c>
      <c r="I1795" s="53" t="s">
        <v>3116</v>
      </c>
      <c r="J1795" s="53" t="s">
        <v>3117</v>
      </c>
      <c r="K1795" s="13">
        <v>0</v>
      </c>
      <c r="L1795" s="233">
        <v>12000</v>
      </c>
      <c r="M1795" s="13">
        <v>0</v>
      </c>
      <c r="N1795" s="13">
        <v>0</v>
      </c>
      <c r="O1795" s="13">
        <v>0</v>
      </c>
      <c r="P1795" s="13">
        <v>0</v>
      </c>
      <c r="Q1795" s="13">
        <v>0</v>
      </c>
      <c r="R1795" s="36">
        <v>0</v>
      </c>
      <c r="S1795" s="19" t="s">
        <v>115</v>
      </c>
      <c r="T1795" s="257">
        <f t="shared" ref="T1795:T1858" si="63">SUM(K1795:L1795)</f>
        <v>12000</v>
      </c>
      <c r="U1795" s="257">
        <f t="shared" ref="U1795:U1858" si="64">SUM(M1795:P1795)</f>
        <v>0</v>
      </c>
      <c r="V1795">
        <v>2</v>
      </c>
      <c r="W1795">
        <v>0</v>
      </c>
    </row>
    <row r="1796" spans="1:23" ht="148.19999999999999" x14ac:dyDescent="0.3">
      <c r="A1796" s="212">
        <v>40624</v>
      </c>
      <c r="B1796" s="212">
        <v>40624</v>
      </c>
      <c r="C1796" s="6">
        <v>3</v>
      </c>
      <c r="D1796" s="6">
        <v>1</v>
      </c>
      <c r="E1796" s="6">
        <v>2011</v>
      </c>
      <c r="F1796" s="15" t="s">
        <v>22</v>
      </c>
      <c r="G1796" s="18" t="s">
        <v>6256</v>
      </c>
      <c r="H1796" s="9" t="s">
        <v>61</v>
      </c>
      <c r="I1796" s="53" t="s">
        <v>3118</v>
      </c>
      <c r="J1796" s="53" t="s">
        <v>3119</v>
      </c>
      <c r="K1796" s="13">
        <v>0</v>
      </c>
      <c r="L1796" s="233">
        <v>15000</v>
      </c>
      <c r="M1796" s="13">
        <v>34</v>
      </c>
      <c r="N1796" s="13">
        <v>0</v>
      </c>
      <c r="O1796" s="13">
        <v>0</v>
      </c>
      <c r="P1796" s="13">
        <v>0</v>
      </c>
      <c r="Q1796" s="13">
        <v>0</v>
      </c>
      <c r="R1796" s="26">
        <v>8.5000000000000006E-2</v>
      </c>
      <c r="S1796" s="19" t="s">
        <v>115</v>
      </c>
      <c r="T1796" s="257">
        <f t="shared" si="63"/>
        <v>15000</v>
      </c>
      <c r="U1796" s="257">
        <f t="shared" si="64"/>
        <v>34</v>
      </c>
      <c r="V1796">
        <v>2</v>
      </c>
      <c r="W1796">
        <v>1</v>
      </c>
    </row>
    <row r="1797" spans="1:23" ht="91.2" x14ac:dyDescent="0.3">
      <c r="A1797" s="212">
        <v>40617</v>
      </c>
      <c r="B1797" s="212">
        <v>40617</v>
      </c>
      <c r="C1797" s="6">
        <v>3</v>
      </c>
      <c r="D1797" s="6">
        <v>1</v>
      </c>
      <c r="E1797" s="6">
        <v>2011</v>
      </c>
      <c r="F1797" s="7" t="s">
        <v>17</v>
      </c>
      <c r="G1797" s="28" t="s">
        <v>6261</v>
      </c>
      <c r="H1797" s="9" t="s">
        <v>51</v>
      </c>
      <c r="I1797" s="53" t="s">
        <v>2284</v>
      </c>
      <c r="J1797" s="53" t="s">
        <v>3121</v>
      </c>
      <c r="K1797" s="13">
        <v>0</v>
      </c>
      <c r="L1797" s="233">
        <v>65</v>
      </c>
      <c r="M1797" s="13">
        <v>13</v>
      </c>
      <c r="N1797" s="13">
        <v>0</v>
      </c>
      <c r="O1797" s="13">
        <v>0</v>
      </c>
      <c r="P1797" s="13">
        <v>0</v>
      </c>
      <c r="Q1797" s="13">
        <v>0</v>
      </c>
      <c r="R1797" s="26">
        <v>2.0049999999999999</v>
      </c>
      <c r="S1797" s="19" t="s">
        <v>115</v>
      </c>
      <c r="T1797" s="257">
        <f t="shared" si="63"/>
        <v>65</v>
      </c>
      <c r="U1797" s="257">
        <f t="shared" si="64"/>
        <v>13</v>
      </c>
      <c r="V1797">
        <v>1</v>
      </c>
      <c r="W1797">
        <v>1</v>
      </c>
    </row>
    <row r="1798" spans="1:23" ht="125.4" x14ac:dyDescent="0.3">
      <c r="A1798" s="212">
        <v>40617</v>
      </c>
      <c r="B1798" s="212">
        <v>40617</v>
      </c>
      <c r="C1798" s="6">
        <v>3</v>
      </c>
      <c r="D1798" s="6">
        <v>1</v>
      </c>
      <c r="E1798" s="6">
        <v>2011</v>
      </c>
      <c r="F1798" s="15" t="s">
        <v>22</v>
      </c>
      <c r="G1798" s="18" t="s">
        <v>6256</v>
      </c>
      <c r="H1798" s="9" t="s">
        <v>121</v>
      </c>
      <c r="I1798" s="53" t="s">
        <v>3122</v>
      </c>
      <c r="J1798" s="53" t="s">
        <v>3123</v>
      </c>
      <c r="K1798" s="13">
        <v>0</v>
      </c>
      <c r="L1798" s="233">
        <v>900</v>
      </c>
      <c r="M1798" s="13">
        <v>180</v>
      </c>
      <c r="N1798" s="13">
        <v>0</v>
      </c>
      <c r="O1798" s="13">
        <v>0</v>
      </c>
      <c r="P1798" s="13">
        <v>0</v>
      </c>
      <c r="Q1798" s="13">
        <v>0</v>
      </c>
      <c r="R1798" s="26">
        <v>0.56340000000000001</v>
      </c>
      <c r="S1798" s="19" t="s">
        <v>115</v>
      </c>
      <c r="T1798" s="257">
        <f t="shared" si="63"/>
        <v>900</v>
      </c>
      <c r="U1798" s="257">
        <f t="shared" si="64"/>
        <v>180</v>
      </c>
      <c r="V1798">
        <v>1</v>
      </c>
      <c r="W1798">
        <v>1</v>
      </c>
    </row>
    <row r="1799" spans="1:23" ht="57" x14ac:dyDescent="0.3">
      <c r="A1799" s="212">
        <v>40723</v>
      </c>
      <c r="B1799" s="212">
        <v>40723</v>
      </c>
      <c r="C1799" s="6">
        <v>6</v>
      </c>
      <c r="D1799" s="6">
        <v>1</v>
      </c>
      <c r="E1799" s="6">
        <v>2011</v>
      </c>
      <c r="F1799" s="15" t="s">
        <v>22</v>
      </c>
      <c r="G1799" s="16" t="s">
        <v>6254</v>
      </c>
      <c r="H1799" s="9" t="s">
        <v>121</v>
      </c>
      <c r="I1799" s="53" t="s">
        <v>3124</v>
      </c>
      <c r="J1799" s="53" t="s">
        <v>3125</v>
      </c>
      <c r="K1799" s="13">
        <v>5</v>
      </c>
      <c r="L1799" s="233">
        <v>11130</v>
      </c>
      <c r="M1799" s="13">
        <v>2226</v>
      </c>
      <c r="N1799" s="13">
        <v>9</v>
      </c>
      <c r="O1799" s="13">
        <v>3</v>
      </c>
      <c r="P1799" s="13">
        <v>0</v>
      </c>
      <c r="Q1799" s="13">
        <v>37260</v>
      </c>
      <c r="R1799" s="26">
        <v>2848.27</v>
      </c>
      <c r="S1799" s="19" t="s">
        <v>21</v>
      </c>
      <c r="T1799" s="257">
        <f t="shared" si="63"/>
        <v>11135</v>
      </c>
      <c r="U1799" s="257">
        <f t="shared" si="64"/>
        <v>2238</v>
      </c>
      <c r="V1799">
        <v>2</v>
      </c>
      <c r="W1799">
        <v>2</v>
      </c>
    </row>
    <row r="1800" spans="1:23" ht="68.400000000000006" x14ac:dyDescent="0.3">
      <c r="A1800" s="212">
        <v>40611</v>
      </c>
      <c r="B1800" s="212">
        <v>40611</v>
      </c>
      <c r="C1800" s="6">
        <v>3</v>
      </c>
      <c r="D1800" s="6">
        <v>1</v>
      </c>
      <c r="E1800" s="6">
        <v>2011</v>
      </c>
      <c r="F1800" s="15" t="s">
        <v>22</v>
      </c>
      <c r="G1800" s="18" t="s">
        <v>6256</v>
      </c>
      <c r="H1800" s="9" t="s">
        <v>41</v>
      </c>
      <c r="I1800" s="53" t="s">
        <v>41</v>
      </c>
      <c r="J1800" s="53" t="s">
        <v>3126</v>
      </c>
      <c r="K1800" s="13">
        <v>0</v>
      </c>
      <c r="L1800" s="233">
        <v>1000</v>
      </c>
      <c r="M1800" s="13">
        <v>200</v>
      </c>
      <c r="N1800" s="13">
        <v>0</v>
      </c>
      <c r="O1800" s="13">
        <v>0</v>
      </c>
      <c r="P1800" s="13">
        <v>0</v>
      </c>
      <c r="Q1800" s="13">
        <v>0</v>
      </c>
      <c r="R1800" s="26">
        <v>6.2600000000000003E-2</v>
      </c>
      <c r="S1800" s="19" t="s">
        <v>115</v>
      </c>
      <c r="T1800" s="257">
        <f t="shared" si="63"/>
        <v>1000</v>
      </c>
      <c r="U1800" s="257">
        <f t="shared" si="64"/>
        <v>200</v>
      </c>
      <c r="V1800">
        <v>1</v>
      </c>
      <c r="W1800">
        <v>1</v>
      </c>
    </row>
    <row r="1801" spans="1:23" ht="79.8" x14ac:dyDescent="0.3">
      <c r="A1801" s="212">
        <v>40609</v>
      </c>
      <c r="B1801" s="212">
        <v>40609</v>
      </c>
      <c r="C1801" s="6">
        <v>3</v>
      </c>
      <c r="D1801" s="6">
        <v>1</v>
      </c>
      <c r="E1801" s="6">
        <v>2011</v>
      </c>
      <c r="F1801" s="15" t="s">
        <v>22</v>
      </c>
      <c r="G1801" s="18" t="s">
        <v>6256</v>
      </c>
      <c r="H1801" s="9" t="s">
        <v>118</v>
      </c>
      <c r="I1801" s="53" t="s">
        <v>3033</v>
      </c>
      <c r="J1801" s="53" t="s">
        <v>3127</v>
      </c>
      <c r="K1801" s="13">
        <v>0</v>
      </c>
      <c r="L1801" s="233">
        <f>((9*5))*1</f>
        <v>45</v>
      </c>
      <c r="M1801" s="13">
        <v>9</v>
      </c>
      <c r="N1801" s="13">
        <v>0</v>
      </c>
      <c r="O1801" s="13">
        <v>0</v>
      </c>
      <c r="P1801" s="13">
        <v>0</v>
      </c>
      <c r="Q1801" s="13">
        <v>0</v>
      </c>
      <c r="R1801" s="26">
        <v>8.9999999999999993E-3</v>
      </c>
      <c r="S1801" s="19" t="s">
        <v>115</v>
      </c>
      <c r="T1801" s="257">
        <f t="shared" si="63"/>
        <v>45</v>
      </c>
      <c r="U1801" s="257">
        <f t="shared" si="64"/>
        <v>9</v>
      </c>
      <c r="V1801">
        <v>1</v>
      </c>
      <c r="W1801">
        <v>1</v>
      </c>
    </row>
    <row r="1802" spans="1:23" ht="34.200000000000003" x14ac:dyDescent="0.3">
      <c r="A1802" s="212">
        <v>40756</v>
      </c>
      <c r="B1802" s="212">
        <v>40756</v>
      </c>
      <c r="C1802" s="6">
        <v>8</v>
      </c>
      <c r="D1802" s="6">
        <v>1</v>
      </c>
      <c r="E1802" s="6">
        <v>2011</v>
      </c>
      <c r="F1802" s="15" t="s">
        <v>22</v>
      </c>
      <c r="G1802" s="18" t="s">
        <v>6256</v>
      </c>
      <c r="H1802" s="9" t="s">
        <v>31</v>
      </c>
      <c r="I1802" s="53" t="s">
        <v>196</v>
      </c>
      <c r="J1802" s="53" t="s">
        <v>3128</v>
      </c>
      <c r="K1802" s="13">
        <v>0</v>
      </c>
      <c r="L1802" s="234">
        <f>((77*5))*1</f>
        <v>385</v>
      </c>
      <c r="M1802" s="13">
        <v>77</v>
      </c>
      <c r="N1802" s="13">
        <v>0</v>
      </c>
      <c r="O1802" s="13">
        <v>0</v>
      </c>
      <c r="P1802" s="13">
        <v>0</v>
      </c>
      <c r="Q1802" s="13">
        <v>0</v>
      </c>
      <c r="R1802" s="24">
        <v>0.1925</v>
      </c>
      <c r="S1802" s="19" t="s">
        <v>115</v>
      </c>
      <c r="T1802" s="257">
        <f t="shared" si="63"/>
        <v>385</v>
      </c>
      <c r="U1802" s="257">
        <f t="shared" si="64"/>
        <v>77</v>
      </c>
      <c r="V1802">
        <v>1</v>
      </c>
      <c r="W1802">
        <v>1</v>
      </c>
    </row>
    <row r="1803" spans="1:23" ht="409.6" x14ac:dyDescent="0.3">
      <c r="A1803" s="212">
        <v>40697</v>
      </c>
      <c r="B1803" s="212">
        <v>40697</v>
      </c>
      <c r="C1803" s="6">
        <v>6</v>
      </c>
      <c r="D1803" s="6">
        <v>1</v>
      </c>
      <c r="E1803" s="6">
        <v>2011</v>
      </c>
      <c r="F1803" s="15" t="s">
        <v>22</v>
      </c>
      <c r="G1803" s="18" t="s">
        <v>6256</v>
      </c>
      <c r="H1803" s="9" t="s">
        <v>31</v>
      </c>
      <c r="I1803" s="53" t="s">
        <v>3129</v>
      </c>
      <c r="J1803" s="53" t="s">
        <v>3130</v>
      </c>
      <c r="K1803" s="13">
        <v>4</v>
      </c>
      <c r="L1803" s="234">
        <v>365</v>
      </c>
      <c r="M1803" s="13">
        <v>73</v>
      </c>
      <c r="N1803" s="13">
        <v>0</v>
      </c>
      <c r="O1803" s="13">
        <v>0</v>
      </c>
      <c r="P1803" s="13">
        <v>0</v>
      </c>
      <c r="Q1803" s="13">
        <v>0</v>
      </c>
      <c r="R1803" s="24">
        <v>0.1825</v>
      </c>
      <c r="S1803" s="19" t="s">
        <v>115</v>
      </c>
      <c r="T1803" s="257">
        <f t="shared" si="63"/>
        <v>369</v>
      </c>
      <c r="U1803" s="257">
        <f t="shared" si="64"/>
        <v>73</v>
      </c>
      <c r="V1803">
        <v>1</v>
      </c>
      <c r="W1803">
        <v>1</v>
      </c>
    </row>
    <row r="1804" spans="1:23" ht="145.19999999999999" x14ac:dyDescent="0.3">
      <c r="A1804" s="219">
        <v>40407</v>
      </c>
      <c r="B1804" s="219">
        <v>40407</v>
      </c>
      <c r="C1804" s="6">
        <v>8</v>
      </c>
      <c r="D1804" s="6">
        <v>1</v>
      </c>
      <c r="E1804" s="73">
        <v>2010</v>
      </c>
      <c r="F1804" s="15" t="s">
        <v>22</v>
      </c>
      <c r="G1804" s="18" t="s">
        <v>6256</v>
      </c>
      <c r="H1804" s="9" t="s">
        <v>48</v>
      </c>
      <c r="I1804" s="74" t="s">
        <v>310</v>
      </c>
      <c r="J1804" s="74" t="s">
        <v>3131</v>
      </c>
      <c r="K1804" s="75">
        <v>0</v>
      </c>
      <c r="L1804" s="241">
        <v>75</v>
      </c>
      <c r="M1804" s="75">
        <v>15</v>
      </c>
      <c r="N1804" s="75">
        <v>0</v>
      </c>
      <c r="O1804" s="75">
        <v>0</v>
      </c>
      <c r="P1804" s="75">
        <v>0</v>
      </c>
      <c r="Q1804" s="75">
        <v>0</v>
      </c>
      <c r="R1804" s="61">
        <v>0.13106999999999999</v>
      </c>
      <c r="S1804" s="73" t="s">
        <v>115</v>
      </c>
      <c r="T1804" s="257">
        <f t="shared" si="63"/>
        <v>75</v>
      </c>
      <c r="U1804" s="257">
        <f t="shared" si="64"/>
        <v>15</v>
      </c>
      <c r="V1804">
        <v>1</v>
      </c>
      <c r="W1804">
        <v>1</v>
      </c>
    </row>
    <row r="1805" spans="1:23" ht="79.8" x14ac:dyDescent="0.3">
      <c r="A1805" s="212">
        <v>40596</v>
      </c>
      <c r="B1805" s="212">
        <v>40596</v>
      </c>
      <c r="C1805" s="6">
        <v>2</v>
      </c>
      <c r="D1805" s="6">
        <v>1</v>
      </c>
      <c r="E1805" s="6">
        <v>2011</v>
      </c>
      <c r="F1805" s="15" t="s">
        <v>22</v>
      </c>
      <c r="G1805" s="18" t="s">
        <v>6256</v>
      </c>
      <c r="H1805" s="9" t="s">
        <v>64</v>
      </c>
      <c r="I1805" s="53" t="s">
        <v>3132</v>
      </c>
      <c r="J1805" s="53" t="s">
        <v>3133</v>
      </c>
      <c r="K1805" s="13">
        <v>0</v>
      </c>
      <c r="L1805" s="233">
        <v>175</v>
      </c>
      <c r="M1805" s="13">
        <v>35</v>
      </c>
      <c r="N1805" s="13">
        <v>0</v>
      </c>
      <c r="O1805" s="13">
        <v>0</v>
      </c>
      <c r="P1805" s="13">
        <v>0</v>
      </c>
      <c r="Q1805" s="13">
        <v>0</v>
      </c>
      <c r="R1805" s="26">
        <v>0.35</v>
      </c>
      <c r="S1805" s="19" t="s">
        <v>115</v>
      </c>
      <c r="T1805" s="257">
        <f t="shared" si="63"/>
        <v>175</v>
      </c>
      <c r="U1805" s="257">
        <f t="shared" si="64"/>
        <v>35</v>
      </c>
      <c r="V1805">
        <v>1</v>
      </c>
      <c r="W1805">
        <v>1</v>
      </c>
    </row>
    <row r="1806" spans="1:23" ht="205.2" x14ac:dyDescent="0.3">
      <c r="A1806" s="212">
        <v>40596</v>
      </c>
      <c r="B1806" s="212">
        <v>40596</v>
      </c>
      <c r="C1806" s="6">
        <v>2</v>
      </c>
      <c r="D1806" s="6">
        <v>1</v>
      </c>
      <c r="E1806" s="6">
        <v>2011</v>
      </c>
      <c r="F1806" s="15" t="s">
        <v>22</v>
      </c>
      <c r="G1806" s="18" t="s">
        <v>6256</v>
      </c>
      <c r="H1806" s="9" t="s">
        <v>61</v>
      </c>
      <c r="I1806" s="53" t="s">
        <v>3134</v>
      </c>
      <c r="J1806" s="53" t="s">
        <v>3135</v>
      </c>
      <c r="K1806" s="13">
        <v>1</v>
      </c>
      <c r="L1806" s="233">
        <v>3200</v>
      </c>
      <c r="M1806" s="13">
        <v>1</v>
      </c>
      <c r="N1806" s="13">
        <v>0</v>
      </c>
      <c r="O1806" s="13">
        <v>0</v>
      </c>
      <c r="P1806" s="13">
        <v>0</v>
      </c>
      <c r="Q1806" s="13">
        <v>0</v>
      </c>
      <c r="R1806" s="26">
        <v>0.12</v>
      </c>
      <c r="S1806" s="19" t="s">
        <v>115</v>
      </c>
      <c r="T1806" s="257">
        <f t="shared" si="63"/>
        <v>3201</v>
      </c>
      <c r="U1806" s="257">
        <f t="shared" si="64"/>
        <v>1</v>
      </c>
      <c r="V1806">
        <v>1</v>
      </c>
      <c r="W1806">
        <v>1</v>
      </c>
    </row>
    <row r="1807" spans="1:23" ht="91.2" x14ac:dyDescent="0.3">
      <c r="A1807" s="212">
        <v>40595</v>
      </c>
      <c r="B1807" s="212">
        <v>40595</v>
      </c>
      <c r="C1807" s="6">
        <v>2</v>
      </c>
      <c r="D1807" s="6">
        <v>1</v>
      </c>
      <c r="E1807" s="6">
        <v>2011</v>
      </c>
      <c r="F1807" s="7" t="s">
        <v>17</v>
      </c>
      <c r="G1807" s="28" t="s">
        <v>6261</v>
      </c>
      <c r="H1807" s="9" t="s">
        <v>61</v>
      </c>
      <c r="I1807" s="53" t="s">
        <v>3136</v>
      </c>
      <c r="J1807" s="53" t="s">
        <v>3137</v>
      </c>
      <c r="K1807" s="13">
        <v>0</v>
      </c>
      <c r="L1807" s="233">
        <v>40</v>
      </c>
      <c r="M1807" s="13">
        <v>8</v>
      </c>
      <c r="N1807" s="13">
        <v>0</v>
      </c>
      <c r="O1807" s="13">
        <v>0</v>
      </c>
      <c r="P1807" s="13">
        <v>0</v>
      </c>
      <c r="Q1807" s="13">
        <v>0</v>
      </c>
      <c r="R1807" s="26">
        <v>0.59199999999999997</v>
      </c>
      <c r="S1807" s="19" t="s">
        <v>115</v>
      </c>
      <c r="T1807" s="257">
        <f t="shared" si="63"/>
        <v>40</v>
      </c>
      <c r="U1807" s="257">
        <f t="shared" si="64"/>
        <v>8</v>
      </c>
      <c r="V1807">
        <v>1</v>
      </c>
      <c r="W1807">
        <v>1</v>
      </c>
    </row>
    <row r="1808" spans="1:23" ht="376.2" x14ac:dyDescent="0.3">
      <c r="A1808" s="212">
        <v>40595</v>
      </c>
      <c r="B1808" s="212">
        <v>40595</v>
      </c>
      <c r="C1808" s="6">
        <v>2</v>
      </c>
      <c r="D1808" s="6">
        <v>1</v>
      </c>
      <c r="E1808" s="6">
        <v>2011</v>
      </c>
      <c r="F1808" s="15" t="s">
        <v>22</v>
      </c>
      <c r="G1808" s="18" t="s">
        <v>6256</v>
      </c>
      <c r="H1808" s="9" t="s">
        <v>61</v>
      </c>
      <c r="I1808" s="53" t="s">
        <v>3138</v>
      </c>
      <c r="J1808" s="53" t="s">
        <v>3139</v>
      </c>
      <c r="K1808" s="13">
        <v>0</v>
      </c>
      <c r="L1808" s="233">
        <f>((139*5))*1</f>
        <v>695</v>
      </c>
      <c r="M1808" s="13">
        <v>139</v>
      </c>
      <c r="N1808" s="13">
        <v>0</v>
      </c>
      <c r="O1808" s="13">
        <v>0</v>
      </c>
      <c r="P1808" s="13">
        <v>0</v>
      </c>
      <c r="Q1808" s="13">
        <v>0</v>
      </c>
      <c r="R1808" s="26">
        <v>0.34749999999999998</v>
      </c>
      <c r="S1808" s="19" t="s">
        <v>115</v>
      </c>
      <c r="T1808" s="257">
        <f t="shared" si="63"/>
        <v>695</v>
      </c>
      <c r="U1808" s="257">
        <f t="shared" si="64"/>
        <v>139</v>
      </c>
      <c r="V1808">
        <v>1</v>
      </c>
      <c r="W1808">
        <v>1</v>
      </c>
    </row>
    <row r="1809" spans="1:23" ht="45.6" x14ac:dyDescent="0.3">
      <c r="A1809" s="212">
        <v>40589</v>
      </c>
      <c r="B1809" s="212">
        <v>40589</v>
      </c>
      <c r="C1809" s="6">
        <v>2</v>
      </c>
      <c r="D1809" s="6">
        <v>1</v>
      </c>
      <c r="E1809" s="6">
        <v>2011</v>
      </c>
      <c r="F1809" s="7" t="s">
        <v>17</v>
      </c>
      <c r="G1809" s="28" t="s">
        <v>6261</v>
      </c>
      <c r="H1809" s="9" t="s">
        <v>121</v>
      </c>
      <c r="I1809" s="53" t="s">
        <v>2277</v>
      </c>
      <c r="J1809" s="53" t="s">
        <v>3140</v>
      </c>
      <c r="K1809" s="13">
        <v>1</v>
      </c>
      <c r="L1809" s="233">
        <v>1</v>
      </c>
      <c r="M1809" s="13">
        <v>0</v>
      </c>
      <c r="N1809" s="13">
        <v>0</v>
      </c>
      <c r="O1809" s="13">
        <v>0</v>
      </c>
      <c r="P1809" s="13">
        <v>0</v>
      </c>
      <c r="Q1809" s="13">
        <v>0</v>
      </c>
      <c r="R1809" s="26">
        <v>0</v>
      </c>
      <c r="S1809" s="19" t="s">
        <v>115</v>
      </c>
      <c r="T1809" s="257">
        <f t="shared" si="63"/>
        <v>2</v>
      </c>
      <c r="U1809" s="257">
        <f t="shared" si="64"/>
        <v>0</v>
      </c>
      <c r="V1809">
        <v>1</v>
      </c>
      <c r="W1809">
        <v>0</v>
      </c>
    </row>
    <row r="1810" spans="1:23" ht="45.6" x14ac:dyDescent="0.3">
      <c r="A1810" s="129">
        <v>39608</v>
      </c>
      <c r="B1810" s="129">
        <v>39608</v>
      </c>
      <c r="C1810" s="6">
        <v>6</v>
      </c>
      <c r="D1810" s="6">
        <v>1</v>
      </c>
      <c r="E1810" s="19">
        <v>2008</v>
      </c>
      <c r="F1810" s="15" t="s">
        <v>22</v>
      </c>
      <c r="G1810" s="16" t="s">
        <v>6256</v>
      </c>
      <c r="H1810" s="9" t="s">
        <v>48</v>
      </c>
      <c r="I1810" s="17" t="s">
        <v>3141</v>
      </c>
      <c r="J1810" s="17" t="s">
        <v>3142</v>
      </c>
      <c r="K1810" s="23">
        <v>0</v>
      </c>
      <c r="L1810" s="234">
        <v>57</v>
      </c>
      <c r="M1810" s="23">
        <v>11</v>
      </c>
      <c r="N1810" s="23">
        <v>0</v>
      </c>
      <c r="O1810" s="23">
        <v>0</v>
      </c>
      <c r="P1810" s="23">
        <v>0</v>
      </c>
      <c r="Q1810" s="92">
        <v>0</v>
      </c>
      <c r="R1810" s="93">
        <v>0.127916</v>
      </c>
      <c r="S1810" s="19" t="s">
        <v>115</v>
      </c>
      <c r="T1810" s="257">
        <f t="shared" si="63"/>
        <v>57</v>
      </c>
      <c r="U1810" s="257">
        <f t="shared" si="64"/>
        <v>11</v>
      </c>
      <c r="V1810">
        <v>1</v>
      </c>
      <c r="W1810">
        <v>1</v>
      </c>
    </row>
    <row r="1811" spans="1:23" ht="102.6" x14ac:dyDescent="0.3">
      <c r="A1811" s="212">
        <v>40556</v>
      </c>
      <c r="B1811" s="212">
        <v>40556</v>
      </c>
      <c r="C1811" s="6">
        <v>1</v>
      </c>
      <c r="D1811" s="6">
        <v>1</v>
      </c>
      <c r="E1811" s="6">
        <v>2011</v>
      </c>
      <c r="F1811" s="15" t="s">
        <v>22</v>
      </c>
      <c r="G1811" s="18" t="s">
        <v>6256</v>
      </c>
      <c r="H1811" s="9" t="s">
        <v>48</v>
      </c>
      <c r="I1811" s="53" t="s">
        <v>2748</v>
      </c>
      <c r="J1811" s="53" t="s">
        <v>3143</v>
      </c>
      <c r="K1811" s="13">
        <v>0</v>
      </c>
      <c r="L1811" s="233">
        <v>4</v>
      </c>
      <c r="M1811" s="13">
        <v>0</v>
      </c>
      <c r="N1811" s="13">
        <v>0</v>
      </c>
      <c r="O1811" s="13">
        <v>0</v>
      </c>
      <c r="P1811" s="13">
        <v>0</v>
      </c>
      <c r="Q1811" s="13">
        <v>0</v>
      </c>
      <c r="R1811" s="26">
        <v>0.121862</v>
      </c>
      <c r="S1811" s="19" t="s">
        <v>115</v>
      </c>
      <c r="T1811" s="257">
        <f t="shared" si="63"/>
        <v>4</v>
      </c>
      <c r="U1811" s="257">
        <f t="shared" si="64"/>
        <v>0</v>
      </c>
      <c r="V1811">
        <v>1</v>
      </c>
      <c r="W1811">
        <v>0</v>
      </c>
    </row>
    <row r="1812" spans="1:23" ht="148.19999999999999" x14ac:dyDescent="0.3">
      <c r="A1812" s="212">
        <v>40586</v>
      </c>
      <c r="B1812" s="212">
        <v>40586</v>
      </c>
      <c r="C1812" s="6">
        <v>2</v>
      </c>
      <c r="D1812" s="6">
        <v>1</v>
      </c>
      <c r="E1812" s="6">
        <v>2011</v>
      </c>
      <c r="F1812" s="7" t="s">
        <v>17</v>
      </c>
      <c r="G1812" s="28" t="s">
        <v>6261</v>
      </c>
      <c r="H1812" s="9" t="s">
        <v>48</v>
      </c>
      <c r="I1812" s="53" t="s">
        <v>3144</v>
      </c>
      <c r="J1812" s="53" t="s">
        <v>3145</v>
      </c>
      <c r="K1812" s="13">
        <v>0</v>
      </c>
      <c r="L1812" s="233">
        <f>((4*5))*1</f>
        <v>20</v>
      </c>
      <c r="M1812" s="13">
        <v>4</v>
      </c>
      <c r="N1812" s="13">
        <v>0</v>
      </c>
      <c r="O1812" s="13">
        <v>0</v>
      </c>
      <c r="P1812" s="13">
        <v>0</v>
      </c>
      <c r="Q1812" s="13">
        <v>0</v>
      </c>
      <c r="R1812" s="26">
        <v>0.120252</v>
      </c>
      <c r="S1812" s="19" t="s">
        <v>115</v>
      </c>
      <c r="T1812" s="257">
        <f t="shared" si="63"/>
        <v>20</v>
      </c>
      <c r="U1812" s="257">
        <f t="shared" si="64"/>
        <v>4</v>
      </c>
      <c r="V1812">
        <v>1</v>
      </c>
      <c r="W1812">
        <v>1</v>
      </c>
    </row>
    <row r="1813" spans="1:23" ht="137.4" x14ac:dyDescent="0.3">
      <c r="A1813" s="129">
        <v>41107</v>
      </c>
      <c r="B1813" s="129">
        <v>41108</v>
      </c>
      <c r="C1813" s="6">
        <v>7</v>
      </c>
      <c r="D1813" s="6">
        <v>2</v>
      </c>
      <c r="E1813" s="19">
        <v>2012</v>
      </c>
      <c r="F1813" s="15" t="s">
        <v>22</v>
      </c>
      <c r="G1813" s="18" t="s">
        <v>6256</v>
      </c>
      <c r="H1813" s="9" t="s">
        <v>48</v>
      </c>
      <c r="I1813" s="20" t="s">
        <v>3146</v>
      </c>
      <c r="J1813" s="21" t="s">
        <v>3147</v>
      </c>
      <c r="K1813" s="43">
        <v>0</v>
      </c>
      <c r="L1813" s="234">
        <v>80</v>
      </c>
      <c r="M1813" s="23">
        <v>16</v>
      </c>
      <c r="N1813" s="23">
        <v>0</v>
      </c>
      <c r="O1813" s="23">
        <v>0</v>
      </c>
      <c r="P1813" s="23">
        <v>0</v>
      </c>
      <c r="Q1813" s="23">
        <v>0</v>
      </c>
      <c r="R1813" s="24">
        <f>((16*5500)+(19*208)+(19*71)+(13*251)+(19*157)+(8*85)+(34*200))/1000000</f>
        <v>0.107027</v>
      </c>
      <c r="S1813" s="6" t="s">
        <v>115</v>
      </c>
      <c r="T1813" s="257">
        <f t="shared" si="63"/>
        <v>80</v>
      </c>
      <c r="U1813" s="257">
        <f t="shared" si="64"/>
        <v>16</v>
      </c>
      <c r="V1813">
        <v>1</v>
      </c>
      <c r="W1813">
        <v>1</v>
      </c>
    </row>
    <row r="1814" spans="1:23" ht="79.8" x14ac:dyDescent="0.3">
      <c r="A1814" s="212">
        <v>40581</v>
      </c>
      <c r="B1814" s="212">
        <v>40581</v>
      </c>
      <c r="C1814" s="6">
        <v>2</v>
      </c>
      <c r="D1814" s="6">
        <v>1</v>
      </c>
      <c r="E1814" s="6">
        <v>2011</v>
      </c>
      <c r="F1814" s="15" t="s">
        <v>22</v>
      </c>
      <c r="G1814" s="18" t="s">
        <v>6256</v>
      </c>
      <c r="H1814" s="9" t="s">
        <v>118</v>
      </c>
      <c r="I1814" s="53" t="s">
        <v>1896</v>
      </c>
      <c r="J1814" s="53" t="s">
        <v>3148</v>
      </c>
      <c r="K1814" s="13">
        <v>1</v>
      </c>
      <c r="L1814" s="233">
        <v>6</v>
      </c>
      <c r="M1814" s="13">
        <v>0</v>
      </c>
      <c r="N1814" s="13">
        <v>0</v>
      </c>
      <c r="O1814" s="13">
        <v>0</v>
      </c>
      <c r="P1814" s="13">
        <v>0</v>
      </c>
      <c r="Q1814" s="13">
        <v>0</v>
      </c>
      <c r="R1814" s="26">
        <v>0.12</v>
      </c>
      <c r="S1814" s="19" t="s">
        <v>115</v>
      </c>
      <c r="T1814" s="257">
        <f t="shared" si="63"/>
        <v>7</v>
      </c>
      <c r="U1814" s="257">
        <f t="shared" si="64"/>
        <v>0</v>
      </c>
      <c r="V1814">
        <v>1</v>
      </c>
      <c r="W1814">
        <v>0</v>
      </c>
    </row>
    <row r="1815" spans="1:23" ht="57" x14ac:dyDescent="0.3">
      <c r="A1815" s="212">
        <v>40636</v>
      </c>
      <c r="B1815" s="212">
        <v>40636</v>
      </c>
      <c r="C1815" s="6">
        <v>4</v>
      </c>
      <c r="D1815" s="6">
        <v>1</v>
      </c>
      <c r="E1815" s="6">
        <v>2011</v>
      </c>
      <c r="F1815" s="15" t="s">
        <v>22</v>
      </c>
      <c r="G1815" s="18" t="s">
        <v>6256</v>
      </c>
      <c r="H1815" s="9" t="s">
        <v>31</v>
      </c>
      <c r="I1815" s="53" t="s">
        <v>1900</v>
      </c>
      <c r="J1815" s="53" t="s">
        <v>3150</v>
      </c>
      <c r="K1815" s="13">
        <v>0</v>
      </c>
      <c r="L1815" s="234">
        <f>((52*5))*1</f>
        <v>260</v>
      </c>
      <c r="M1815" s="13">
        <v>52</v>
      </c>
      <c r="N1815" s="13">
        <v>0</v>
      </c>
      <c r="O1815" s="13">
        <v>0</v>
      </c>
      <c r="P1815" s="13">
        <v>0</v>
      </c>
      <c r="Q1815" s="13">
        <v>0</v>
      </c>
      <c r="R1815" s="24">
        <v>0.13</v>
      </c>
      <c r="S1815" s="19" t="s">
        <v>115</v>
      </c>
      <c r="T1815" s="257">
        <f t="shared" si="63"/>
        <v>260</v>
      </c>
      <c r="U1815" s="257">
        <f t="shared" si="64"/>
        <v>52</v>
      </c>
      <c r="V1815">
        <v>1</v>
      </c>
      <c r="W1815">
        <v>1</v>
      </c>
    </row>
    <row r="1816" spans="1:23" ht="68.400000000000006" x14ac:dyDescent="0.3">
      <c r="A1816" s="212">
        <v>40606</v>
      </c>
      <c r="B1816" s="212">
        <v>40606</v>
      </c>
      <c r="C1816" s="6">
        <v>3</v>
      </c>
      <c r="D1816" s="6">
        <v>1</v>
      </c>
      <c r="E1816" s="6">
        <v>2011</v>
      </c>
      <c r="F1816" s="15" t="s">
        <v>22</v>
      </c>
      <c r="G1816" s="18" t="s">
        <v>6256</v>
      </c>
      <c r="H1816" s="9" t="s">
        <v>31</v>
      </c>
      <c r="I1816" s="53" t="s">
        <v>3151</v>
      </c>
      <c r="J1816" s="53" t="s">
        <v>3152</v>
      </c>
      <c r="K1816" s="13">
        <v>0</v>
      </c>
      <c r="L1816" s="234">
        <f>((40*5))*1</f>
        <v>200</v>
      </c>
      <c r="M1816" s="13">
        <v>40</v>
      </c>
      <c r="N1816" s="13">
        <v>0</v>
      </c>
      <c r="O1816" s="13">
        <v>0</v>
      </c>
      <c r="P1816" s="13">
        <v>0</v>
      </c>
      <c r="Q1816" s="13">
        <v>0</v>
      </c>
      <c r="R1816" s="24">
        <v>0.1</v>
      </c>
      <c r="S1816" s="19" t="s">
        <v>115</v>
      </c>
      <c r="T1816" s="257">
        <f t="shared" si="63"/>
        <v>200</v>
      </c>
      <c r="U1816" s="257">
        <f t="shared" si="64"/>
        <v>40</v>
      </c>
      <c r="V1816">
        <v>1</v>
      </c>
      <c r="W1816">
        <v>1</v>
      </c>
    </row>
    <row r="1817" spans="1:23" ht="216.6" x14ac:dyDescent="0.3">
      <c r="A1817" s="212">
        <v>40637</v>
      </c>
      <c r="B1817" s="212">
        <v>40637</v>
      </c>
      <c r="C1817" s="6">
        <v>4</v>
      </c>
      <c r="D1817" s="6">
        <v>1</v>
      </c>
      <c r="E1817" s="6">
        <v>2011</v>
      </c>
      <c r="F1817" s="15" t="s">
        <v>22</v>
      </c>
      <c r="G1817" s="18" t="s">
        <v>6256</v>
      </c>
      <c r="H1817" s="9" t="s">
        <v>31</v>
      </c>
      <c r="I1817" s="53" t="s">
        <v>3153</v>
      </c>
      <c r="J1817" s="53" t="s">
        <v>3154</v>
      </c>
      <c r="K1817" s="13">
        <v>0</v>
      </c>
      <c r="L1817" s="234">
        <v>575</v>
      </c>
      <c r="M1817" s="13">
        <v>115</v>
      </c>
      <c r="N1817" s="13">
        <v>0</v>
      </c>
      <c r="O1817" s="13">
        <v>0</v>
      </c>
      <c r="P1817" s="13">
        <v>0</v>
      </c>
      <c r="Q1817" s="13">
        <v>0</v>
      </c>
      <c r="R1817" s="24">
        <v>3.5900000000000001E-2</v>
      </c>
      <c r="S1817" s="19" t="s">
        <v>115</v>
      </c>
      <c r="T1817" s="257">
        <f t="shared" si="63"/>
        <v>575</v>
      </c>
      <c r="U1817" s="257">
        <f t="shared" si="64"/>
        <v>115</v>
      </c>
      <c r="V1817">
        <v>1</v>
      </c>
      <c r="W1817">
        <v>1</v>
      </c>
    </row>
    <row r="1818" spans="1:23" ht="114" x14ac:dyDescent="0.3">
      <c r="A1818" s="212">
        <v>40577</v>
      </c>
      <c r="B1818" s="212">
        <v>40577</v>
      </c>
      <c r="C1818" s="6">
        <v>2</v>
      </c>
      <c r="D1818" s="6">
        <v>1</v>
      </c>
      <c r="E1818" s="6">
        <v>2011</v>
      </c>
      <c r="F1818" s="7" t="s">
        <v>17</v>
      </c>
      <c r="G1818" s="28" t="s">
        <v>6261</v>
      </c>
      <c r="H1818" s="9" t="s">
        <v>31</v>
      </c>
      <c r="I1818" s="53" t="s">
        <v>1900</v>
      </c>
      <c r="J1818" s="53" t="s">
        <v>3155</v>
      </c>
      <c r="K1818" s="13">
        <v>0</v>
      </c>
      <c r="L1818" s="233">
        <f>((12*5))*1</f>
        <v>60</v>
      </c>
      <c r="M1818" s="13">
        <v>12</v>
      </c>
      <c r="N1818" s="13">
        <v>0</v>
      </c>
      <c r="O1818" s="13">
        <v>0</v>
      </c>
      <c r="P1818" s="13">
        <v>0</v>
      </c>
      <c r="Q1818" s="13">
        <v>0</v>
      </c>
      <c r="R1818" s="26">
        <v>0.33600000000000002</v>
      </c>
      <c r="S1818" s="19" t="s">
        <v>115</v>
      </c>
      <c r="T1818" s="257">
        <f t="shared" si="63"/>
        <v>60</v>
      </c>
      <c r="U1818" s="257">
        <f t="shared" si="64"/>
        <v>12</v>
      </c>
      <c r="V1818">
        <v>1</v>
      </c>
      <c r="W1818">
        <v>1</v>
      </c>
    </row>
    <row r="1819" spans="1:23" ht="102.6" x14ac:dyDescent="0.3">
      <c r="A1819" s="212">
        <v>40577</v>
      </c>
      <c r="B1819" s="212">
        <v>40577</v>
      </c>
      <c r="C1819" s="6">
        <v>2</v>
      </c>
      <c r="D1819" s="6">
        <v>1</v>
      </c>
      <c r="E1819" s="6">
        <v>2011</v>
      </c>
      <c r="F1819" s="15" t="s">
        <v>22</v>
      </c>
      <c r="G1819" s="82" t="s">
        <v>6256</v>
      </c>
      <c r="H1819" s="9" t="s">
        <v>31</v>
      </c>
      <c r="I1819" s="53" t="s">
        <v>3156</v>
      </c>
      <c r="J1819" s="53" t="s">
        <v>3157</v>
      </c>
      <c r="K1819" s="13">
        <v>3</v>
      </c>
      <c r="L1819" s="233">
        <v>4</v>
      </c>
      <c r="M1819" s="13">
        <v>0</v>
      </c>
      <c r="N1819" s="13">
        <v>0</v>
      </c>
      <c r="O1819" s="13">
        <v>0</v>
      </c>
      <c r="P1819" s="13">
        <v>0</v>
      </c>
      <c r="Q1819" s="13">
        <v>0</v>
      </c>
      <c r="R1819" s="26">
        <v>0</v>
      </c>
      <c r="S1819" s="19" t="s">
        <v>115</v>
      </c>
      <c r="T1819" s="257">
        <f t="shared" si="63"/>
        <v>7</v>
      </c>
      <c r="U1819" s="257">
        <f t="shared" si="64"/>
        <v>0</v>
      </c>
      <c r="V1819">
        <v>1</v>
      </c>
      <c r="W1819">
        <v>0</v>
      </c>
    </row>
    <row r="1820" spans="1:23" ht="79.8" x14ac:dyDescent="0.3">
      <c r="A1820" s="212">
        <v>40828</v>
      </c>
      <c r="B1820" s="212">
        <v>40828</v>
      </c>
      <c r="C1820" s="6">
        <v>10</v>
      </c>
      <c r="D1820" s="6">
        <v>1</v>
      </c>
      <c r="E1820" s="6">
        <v>2011</v>
      </c>
      <c r="F1820" s="15" t="s">
        <v>22</v>
      </c>
      <c r="G1820" s="16" t="s">
        <v>6254</v>
      </c>
      <c r="H1820" s="9" t="s">
        <v>51</v>
      </c>
      <c r="I1820" s="53" t="s">
        <v>3158</v>
      </c>
      <c r="J1820" s="53" t="s">
        <v>3159</v>
      </c>
      <c r="K1820" s="13">
        <v>5</v>
      </c>
      <c r="L1820" s="233">
        <v>6129</v>
      </c>
      <c r="M1820" s="13">
        <v>29</v>
      </c>
      <c r="N1820" s="13">
        <v>47</v>
      </c>
      <c r="O1820" s="13">
        <v>0</v>
      </c>
      <c r="P1820" s="13">
        <v>0</v>
      </c>
      <c r="Q1820" s="13">
        <v>2977.19</v>
      </c>
      <c r="R1820" s="26">
        <v>1120.3499999999999</v>
      </c>
      <c r="S1820" s="19" t="s">
        <v>2970</v>
      </c>
      <c r="T1820" s="257">
        <f t="shared" si="63"/>
        <v>6134</v>
      </c>
      <c r="U1820" s="257">
        <f t="shared" si="64"/>
        <v>76</v>
      </c>
      <c r="V1820">
        <v>1</v>
      </c>
      <c r="W1820">
        <v>1</v>
      </c>
    </row>
    <row r="1821" spans="1:23" ht="193.8" x14ac:dyDescent="0.3">
      <c r="A1821" s="212">
        <v>40574</v>
      </c>
      <c r="B1821" s="212">
        <v>40574</v>
      </c>
      <c r="C1821" s="6">
        <v>1</v>
      </c>
      <c r="D1821" s="6">
        <v>1</v>
      </c>
      <c r="E1821" s="6">
        <v>2011</v>
      </c>
      <c r="F1821" s="15" t="s">
        <v>22</v>
      </c>
      <c r="G1821" s="18" t="s">
        <v>6256</v>
      </c>
      <c r="H1821" s="9" t="s">
        <v>88</v>
      </c>
      <c r="I1821" s="53" t="s">
        <v>3160</v>
      </c>
      <c r="J1821" s="53" t="s">
        <v>3161</v>
      </c>
      <c r="K1821" s="13">
        <v>1</v>
      </c>
      <c r="L1821" s="233">
        <v>410</v>
      </c>
      <c r="M1821" s="13">
        <v>82</v>
      </c>
      <c r="N1821" s="13">
        <v>0</v>
      </c>
      <c r="O1821" s="13">
        <v>0</v>
      </c>
      <c r="P1821" s="13">
        <v>0</v>
      </c>
      <c r="Q1821" s="13">
        <v>0</v>
      </c>
      <c r="R1821" s="26">
        <v>0.1198</v>
      </c>
      <c r="S1821" s="19" t="s">
        <v>115</v>
      </c>
      <c r="T1821" s="257">
        <f t="shared" si="63"/>
        <v>411</v>
      </c>
      <c r="U1821" s="257">
        <f t="shared" si="64"/>
        <v>82</v>
      </c>
      <c r="V1821">
        <v>1</v>
      </c>
      <c r="W1821">
        <v>1</v>
      </c>
    </row>
    <row r="1822" spans="1:23" ht="68.400000000000006" x14ac:dyDescent="0.3">
      <c r="A1822" s="212">
        <v>40797</v>
      </c>
      <c r="B1822" s="212">
        <v>40797</v>
      </c>
      <c r="C1822" s="6">
        <v>9</v>
      </c>
      <c r="D1822" s="6">
        <v>1</v>
      </c>
      <c r="E1822" s="6">
        <v>2011</v>
      </c>
      <c r="F1822" s="15" t="s">
        <v>22</v>
      </c>
      <c r="G1822" s="18" t="s">
        <v>6256</v>
      </c>
      <c r="H1822" s="9" t="s">
        <v>174</v>
      </c>
      <c r="I1822" s="53" t="s">
        <v>3162</v>
      </c>
      <c r="J1822" s="53" t="s">
        <v>3163</v>
      </c>
      <c r="K1822" s="13">
        <v>1</v>
      </c>
      <c r="L1822" s="233">
        <v>544</v>
      </c>
      <c r="M1822" s="13">
        <v>28</v>
      </c>
      <c r="N1822" s="13">
        <v>0</v>
      </c>
      <c r="O1822" s="13">
        <v>0</v>
      </c>
      <c r="P1822" s="13">
        <v>0</v>
      </c>
      <c r="Q1822" s="13">
        <v>0</v>
      </c>
      <c r="R1822" s="26">
        <v>7.0000000000000007E-2</v>
      </c>
      <c r="S1822" s="19" t="s">
        <v>115</v>
      </c>
      <c r="T1822" s="257">
        <f t="shared" si="63"/>
        <v>545</v>
      </c>
      <c r="U1822" s="257">
        <f t="shared" si="64"/>
        <v>28</v>
      </c>
      <c r="V1822">
        <v>1</v>
      </c>
      <c r="W1822">
        <v>1</v>
      </c>
    </row>
    <row r="1823" spans="1:23" ht="79.8" x14ac:dyDescent="0.3">
      <c r="A1823" s="212">
        <v>40570</v>
      </c>
      <c r="B1823" s="212">
        <v>40570</v>
      </c>
      <c r="C1823" s="6">
        <v>1</v>
      </c>
      <c r="D1823" s="6">
        <v>1</v>
      </c>
      <c r="E1823" s="6">
        <v>2011</v>
      </c>
      <c r="F1823" s="15" t="s">
        <v>22</v>
      </c>
      <c r="G1823" s="18" t="s">
        <v>6256</v>
      </c>
      <c r="H1823" s="9" t="s">
        <v>78</v>
      </c>
      <c r="I1823" s="53" t="s">
        <v>1262</v>
      </c>
      <c r="J1823" s="53" t="s">
        <v>3164</v>
      </c>
      <c r="K1823" s="13">
        <v>0</v>
      </c>
      <c r="L1823" s="233">
        <v>42</v>
      </c>
      <c r="M1823" s="13">
        <v>0</v>
      </c>
      <c r="N1823" s="13">
        <v>0</v>
      </c>
      <c r="O1823" s="13">
        <v>0</v>
      </c>
      <c r="P1823" s="13">
        <v>0</v>
      </c>
      <c r="Q1823" s="13">
        <v>0</v>
      </c>
      <c r="R1823" s="26">
        <v>1.323</v>
      </c>
      <c r="S1823" s="19" t="s">
        <v>115</v>
      </c>
      <c r="T1823" s="257">
        <f t="shared" si="63"/>
        <v>42</v>
      </c>
      <c r="U1823" s="257">
        <f t="shared" si="64"/>
        <v>0</v>
      </c>
      <c r="V1823">
        <v>1</v>
      </c>
      <c r="W1823">
        <v>0</v>
      </c>
    </row>
    <row r="1824" spans="1:23" ht="91.2" x14ac:dyDescent="0.3">
      <c r="A1824" s="212">
        <v>40688</v>
      </c>
      <c r="B1824" s="212">
        <v>40688</v>
      </c>
      <c r="C1824" s="6">
        <v>5</v>
      </c>
      <c r="D1824" s="6">
        <v>1</v>
      </c>
      <c r="E1824" s="6">
        <v>2011</v>
      </c>
      <c r="F1824" s="15" t="s">
        <v>22</v>
      </c>
      <c r="G1824" s="18" t="s">
        <v>6256</v>
      </c>
      <c r="H1824" s="9" t="s">
        <v>72</v>
      </c>
      <c r="I1824" s="53" t="s">
        <v>1143</v>
      </c>
      <c r="J1824" s="53" t="s">
        <v>3165</v>
      </c>
      <c r="K1824" s="13">
        <v>2</v>
      </c>
      <c r="L1824" s="233">
        <v>5</v>
      </c>
      <c r="M1824" s="13">
        <v>0</v>
      </c>
      <c r="N1824" s="13">
        <v>0</v>
      </c>
      <c r="O1824" s="13">
        <v>0</v>
      </c>
      <c r="P1824" s="13">
        <v>0</v>
      </c>
      <c r="Q1824" s="13">
        <v>0</v>
      </c>
      <c r="R1824" s="26">
        <v>0</v>
      </c>
      <c r="S1824" s="19" t="s">
        <v>115</v>
      </c>
      <c r="T1824" s="257">
        <f t="shared" si="63"/>
        <v>7</v>
      </c>
      <c r="U1824" s="257">
        <f t="shared" si="64"/>
        <v>0</v>
      </c>
      <c r="V1824">
        <v>1</v>
      </c>
      <c r="W1824">
        <v>0</v>
      </c>
    </row>
    <row r="1825" spans="1:23" ht="22.8" x14ac:dyDescent="0.3">
      <c r="A1825" s="212">
        <v>40567</v>
      </c>
      <c r="B1825" s="212">
        <v>40567</v>
      </c>
      <c r="C1825" s="6">
        <v>1</v>
      </c>
      <c r="D1825" s="6">
        <v>1</v>
      </c>
      <c r="E1825" s="6">
        <v>2011</v>
      </c>
      <c r="F1825" s="15" t="s">
        <v>22</v>
      </c>
      <c r="G1825" s="9" t="s">
        <v>6258</v>
      </c>
      <c r="H1825" s="9" t="s">
        <v>70</v>
      </c>
      <c r="I1825" s="53" t="s">
        <v>3166</v>
      </c>
      <c r="J1825" s="53" t="s">
        <v>3167</v>
      </c>
      <c r="K1825" s="13">
        <v>3</v>
      </c>
      <c r="L1825" s="233">
        <v>3</v>
      </c>
      <c r="M1825" s="13">
        <v>0</v>
      </c>
      <c r="N1825" s="13">
        <v>0</v>
      </c>
      <c r="O1825" s="13">
        <v>0</v>
      </c>
      <c r="P1825" s="13">
        <v>0</v>
      </c>
      <c r="Q1825" s="13">
        <v>0</v>
      </c>
      <c r="R1825" s="26">
        <v>0</v>
      </c>
      <c r="S1825" s="19" t="s">
        <v>1219</v>
      </c>
      <c r="T1825" s="257">
        <f t="shared" si="63"/>
        <v>6</v>
      </c>
      <c r="U1825" s="257">
        <f t="shared" si="64"/>
        <v>0</v>
      </c>
      <c r="V1825">
        <v>1</v>
      </c>
      <c r="W1825">
        <v>0</v>
      </c>
    </row>
    <row r="1826" spans="1:23" ht="102.6" x14ac:dyDescent="0.3">
      <c r="A1826" s="212">
        <v>40563</v>
      </c>
      <c r="B1826" s="212">
        <v>40563</v>
      </c>
      <c r="C1826" s="6">
        <v>1</v>
      </c>
      <c r="D1826" s="6">
        <v>1</v>
      </c>
      <c r="E1826" s="6">
        <v>2011</v>
      </c>
      <c r="F1826" s="15" t="s">
        <v>22</v>
      </c>
      <c r="G1826" s="18" t="s">
        <v>6256</v>
      </c>
      <c r="H1826" s="9" t="s">
        <v>55</v>
      </c>
      <c r="I1826" s="53" t="s">
        <v>303</v>
      </c>
      <c r="J1826" s="53" t="s">
        <v>3168</v>
      </c>
      <c r="K1826" s="13">
        <v>0</v>
      </c>
      <c r="L1826" s="233">
        <v>197</v>
      </c>
      <c r="M1826" s="13">
        <v>19</v>
      </c>
      <c r="N1826" s="13">
        <v>0</v>
      </c>
      <c r="O1826" s="13">
        <v>0</v>
      </c>
      <c r="P1826" s="13">
        <v>0</v>
      </c>
      <c r="Q1826" s="13">
        <v>0</v>
      </c>
      <c r="R1826" s="26">
        <v>5.8999999999999999E-3</v>
      </c>
      <c r="S1826" s="19" t="s">
        <v>115</v>
      </c>
      <c r="T1826" s="257">
        <f t="shared" si="63"/>
        <v>197</v>
      </c>
      <c r="U1826" s="257">
        <f t="shared" si="64"/>
        <v>19</v>
      </c>
      <c r="V1826">
        <v>1</v>
      </c>
      <c r="W1826">
        <v>1</v>
      </c>
    </row>
    <row r="1827" spans="1:23" ht="79.8" x14ac:dyDescent="0.3">
      <c r="A1827" s="129">
        <v>38974</v>
      </c>
      <c r="B1827" s="129">
        <f>A1827</f>
        <v>38974</v>
      </c>
      <c r="C1827" s="6">
        <v>9</v>
      </c>
      <c r="D1827" s="6">
        <v>1</v>
      </c>
      <c r="E1827" s="103">
        <v>2006</v>
      </c>
      <c r="F1827" s="15" t="s">
        <v>22</v>
      </c>
      <c r="G1827" s="18" t="s">
        <v>6256</v>
      </c>
      <c r="H1827" s="9" t="s">
        <v>48</v>
      </c>
      <c r="I1827" s="17" t="s">
        <v>3170</v>
      </c>
      <c r="J1827" s="111" t="s">
        <v>3171</v>
      </c>
      <c r="K1827" s="23">
        <v>1</v>
      </c>
      <c r="L1827" s="234">
        <v>259</v>
      </c>
      <c r="M1827" s="23">
        <v>102</v>
      </c>
      <c r="N1827" s="23">
        <v>1</v>
      </c>
      <c r="O1827" s="23">
        <v>0</v>
      </c>
      <c r="P1827" s="19">
        <v>0</v>
      </c>
      <c r="Q1827" s="23">
        <v>0</v>
      </c>
      <c r="R1827" s="93">
        <v>0.10199999999999999</v>
      </c>
      <c r="S1827" s="7" t="s">
        <v>115</v>
      </c>
      <c r="T1827" s="257">
        <f t="shared" si="63"/>
        <v>260</v>
      </c>
      <c r="U1827" s="257">
        <f t="shared" si="64"/>
        <v>103</v>
      </c>
      <c r="V1827">
        <v>1</v>
      </c>
      <c r="W1827">
        <v>1</v>
      </c>
    </row>
    <row r="1828" spans="1:23" ht="45.6" x14ac:dyDescent="0.3">
      <c r="A1828" s="220">
        <v>38620</v>
      </c>
      <c r="B1828" s="220">
        <v>38620</v>
      </c>
      <c r="C1828" s="6">
        <v>9</v>
      </c>
      <c r="D1828" s="6">
        <v>1</v>
      </c>
      <c r="E1828" s="76">
        <v>2005</v>
      </c>
      <c r="F1828" s="15" t="s">
        <v>22</v>
      </c>
      <c r="G1828" s="18" t="s">
        <v>6256</v>
      </c>
      <c r="H1828" s="9" t="s">
        <v>48</v>
      </c>
      <c r="I1828" s="83" t="s">
        <v>3172</v>
      </c>
      <c r="J1828" s="90" t="s">
        <v>3173</v>
      </c>
      <c r="K1828" s="79">
        <v>0</v>
      </c>
      <c r="L1828" s="242">
        <v>50</v>
      </c>
      <c r="M1828" s="79">
        <v>10</v>
      </c>
      <c r="N1828" s="79">
        <v>0</v>
      </c>
      <c r="O1828" s="37">
        <v>0</v>
      </c>
      <c r="P1828" s="37">
        <v>0</v>
      </c>
      <c r="Q1828" s="79">
        <v>0</v>
      </c>
      <c r="R1828" s="80">
        <v>0.1</v>
      </c>
      <c r="S1828" s="7" t="s">
        <v>115</v>
      </c>
      <c r="T1828" s="257">
        <f t="shared" si="63"/>
        <v>50</v>
      </c>
      <c r="U1828" s="257">
        <f t="shared" si="64"/>
        <v>10</v>
      </c>
      <c r="V1828">
        <v>1</v>
      </c>
      <c r="W1828">
        <v>1</v>
      </c>
    </row>
    <row r="1829" spans="1:23" ht="114" x14ac:dyDescent="0.3">
      <c r="A1829" s="212">
        <v>40550</v>
      </c>
      <c r="B1829" s="212">
        <v>40550</v>
      </c>
      <c r="C1829" s="6">
        <v>1</v>
      </c>
      <c r="D1829" s="6">
        <v>1</v>
      </c>
      <c r="E1829" s="6">
        <v>2011</v>
      </c>
      <c r="F1829" s="7" t="s">
        <v>17</v>
      </c>
      <c r="G1829" s="28" t="s">
        <v>6261</v>
      </c>
      <c r="H1829" s="9" t="s">
        <v>118</v>
      </c>
      <c r="I1829" s="53" t="s">
        <v>2964</v>
      </c>
      <c r="J1829" s="53" t="s">
        <v>3174</v>
      </c>
      <c r="K1829" s="13">
        <v>0</v>
      </c>
      <c r="L1829" s="233">
        <v>30</v>
      </c>
      <c r="M1829" s="13">
        <v>0</v>
      </c>
      <c r="N1829" s="13">
        <v>0</v>
      </c>
      <c r="O1829" s="13">
        <v>0</v>
      </c>
      <c r="P1829" s="13">
        <v>0</v>
      </c>
      <c r="Q1829" s="13">
        <v>0</v>
      </c>
      <c r="R1829" s="26">
        <v>0</v>
      </c>
      <c r="S1829" s="19" t="s">
        <v>115</v>
      </c>
      <c r="T1829" s="257">
        <f t="shared" si="63"/>
        <v>30</v>
      </c>
      <c r="U1829" s="257">
        <f t="shared" si="64"/>
        <v>0</v>
      </c>
      <c r="V1829">
        <v>1</v>
      </c>
      <c r="W1829">
        <v>0</v>
      </c>
    </row>
    <row r="1830" spans="1:23" ht="68.400000000000006" x14ac:dyDescent="0.3">
      <c r="A1830" s="212">
        <v>40547</v>
      </c>
      <c r="B1830" s="212">
        <v>40547</v>
      </c>
      <c r="C1830" s="6">
        <v>1</v>
      </c>
      <c r="D1830" s="6">
        <v>1</v>
      </c>
      <c r="E1830" s="6">
        <v>2011</v>
      </c>
      <c r="F1830" s="15" t="s">
        <v>22</v>
      </c>
      <c r="G1830" s="18" t="s">
        <v>6256</v>
      </c>
      <c r="H1830" s="9" t="s">
        <v>34</v>
      </c>
      <c r="I1830" s="53" t="s">
        <v>1046</v>
      </c>
      <c r="J1830" s="53" t="s">
        <v>3176</v>
      </c>
      <c r="K1830" s="13">
        <v>0</v>
      </c>
      <c r="L1830" s="233">
        <v>12</v>
      </c>
      <c r="M1830" s="13">
        <v>0</v>
      </c>
      <c r="N1830" s="13">
        <v>0</v>
      </c>
      <c r="O1830" s="13">
        <v>0</v>
      </c>
      <c r="P1830" s="13">
        <v>0</v>
      </c>
      <c r="Q1830" s="13">
        <v>0</v>
      </c>
      <c r="R1830" s="26">
        <v>0</v>
      </c>
      <c r="S1830" s="19" t="s">
        <v>115</v>
      </c>
      <c r="T1830" s="257">
        <f t="shared" si="63"/>
        <v>12</v>
      </c>
      <c r="U1830" s="257">
        <f t="shared" si="64"/>
        <v>0</v>
      </c>
      <c r="V1830">
        <v>1</v>
      </c>
      <c r="W1830">
        <v>0</v>
      </c>
    </row>
    <row r="1831" spans="1:23" ht="171" x14ac:dyDescent="0.3">
      <c r="A1831" s="212">
        <v>40728</v>
      </c>
      <c r="B1831" s="212">
        <v>40728</v>
      </c>
      <c r="C1831" s="6">
        <v>7</v>
      </c>
      <c r="D1831" s="6">
        <v>1</v>
      </c>
      <c r="E1831" s="6">
        <v>2011</v>
      </c>
      <c r="F1831" s="15" t="s">
        <v>22</v>
      </c>
      <c r="G1831" s="18" t="s">
        <v>6256</v>
      </c>
      <c r="H1831" s="9" t="s">
        <v>31</v>
      </c>
      <c r="I1831" s="53" t="s">
        <v>3177</v>
      </c>
      <c r="J1831" s="53" t="s">
        <v>3178</v>
      </c>
      <c r="K1831" s="13">
        <v>0</v>
      </c>
      <c r="L1831" s="234">
        <v>55</v>
      </c>
      <c r="M1831" s="13">
        <v>11</v>
      </c>
      <c r="N1831" s="13">
        <v>0</v>
      </c>
      <c r="O1831" s="13">
        <v>0</v>
      </c>
      <c r="P1831" s="13">
        <v>0</v>
      </c>
      <c r="Q1831" s="13">
        <v>0</v>
      </c>
      <c r="R1831" s="24">
        <v>2.75E-2</v>
      </c>
      <c r="S1831" s="19" t="s">
        <v>115</v>
      </c>
      <c r="T1831" s="257">
        <f t="shared" si="63"/>
        <v>55</v>
      </c>
      <c r="U1831" s="257">
        <f t="shared" si="64"/>
        <v>11</v>
      </c>
      <c r="V1831">
        <v>1</v>
      </c>
      <c r="W1831">
        <v>1</v>
      </c>
    </row>
    <row r="1832" spans="1:23" ht="114" x14ac:dyDescent="0.3">
      <c r="A1832" s="212">
        <v>40817</v>
      </c>
      <c r="B1832" s="212">
        <v>40837</v>
      </c>
      <c r="C1832" s="6">
        <v>10</v>
      </c>
      <c r="D1832" s="6">
        <v>21</v>
      </c>
      <c r="E1832" s="6">
        <v>2011</v>
      </c>
      <c r="F1832" s="15" t="s">
        <v>22</v>
      </c>
      <c r="G1832" s="16" t="s">
        <v>6256</v>
      </c>
      <c r="H1832" s="9" t="s">
        <v>112</v>
      </c>
      <c r="I1832" s="53" t="s">
        <v>3179</v>
      </c>
      <c r="J1832" s="53" t="s">
        <v>3180</v>
      </c>
      <c r="K1832" s="13">
        <v>0</v>
      </c>
      <c r="L1832" s="233">
        <v>5188</v>
      </c>
      <c r="M1832" s="13">
        <v>794</v>
      </c>
      <c r="N1832" s="13" t="s">
        <v>95</v>
      </c>
      <c r="O1832" s="13">
        <v>20</v>
      </c>
      <c r="P1832" s="13">
        <v>0</v>
      </c>
      <c r="Q1832" s="13"/>
      <c r="R1832" s="26">
        <v>437.27721500000001</v>
      </c>
      <c r="S1832" s="19" t="s">
        <v>111</v>
      </c>
      <c r="T1832" s="257">
        <f t="shared" si="63"/>
        <v>5188</v>
      </c>
      <c r="U1832" s="257">
        <f t="shared" si="64"/>
        <v>814</v>
      </c>
      <c r="V1832">
        <v>1</v>
      </c>
      <c r="W1832">
        <v>1</v>
      </c>
    </row>
    <row r="1833" spans="1:23" ht="57" x14ac:dyDescent="0.3">
      <c r="A1833" s="212">
        <v>40637</v>
      </c>
      <c r="B1833" s="212">
        <v>40637</v>
      </c>
      <c r="C1833" s="6">
        <v>4</v>
      </c>
      <c r="D1833" s="6">
        <v>1</v>
      </c>
      <c r="E1833" s="6">
        <v>2011</v>
      </c>
      <c r="F1833" s="15" t="s">
        <v>22</v>
      </c>
      <c r="G1833" s="18" t="s">
        <v>6256</v>
      </c>
      <c r="H1833" s="9" t="s">
        <v>31</v>
      </c>
      <c r="I1833" s="53" t="s">
        <v>3181</v>
      </c>
      <c r="J1833" s="53" t="s">
        <v>3182</v>
      </c>
      <c r="K1833" s="13">
        <v>0</v>
      </c>
      <c r="L1833" s="234">
        <v>55</v>
      </c>
      <c r="M1833" s="13">
        <v>11</v>
      </c>
      <c r="N1833" s="13">
        <v>0</v>
      </c>
      <c r="O1833" s="13">
        <v>0</v>
      </c>
      <c r="P1833" s="13">
        <v>0</v>
      </c>
      <c r="Q1833" s="13">
        <v>0</v>
      </c>
      <c r="R1833" s="24">
        <v>2.75E-2</v>
      </c>
      <c r="S1833" s="19" t="s">
        <v>115</v>
      </c>
      <c r="T1833" s="257">
        <f t="shared" si="63"/>
        <v>55</v>
      </c>
      <c r="U1833" s="257">
        <f t="shared" si="64"/>
        <v>11</v>
      </c>
      <c r="V1833">
        <v>1</v>
      </c>
      <c r="W1833">
        <v>1</v>
      </c>
    </row>
    <row r="1834" spans="1:23" ht="148.19999999999999" x14ac:dyDescent="0.3">
      <c r="A1834" s="212">
        <v>40577</v>
      </c>
      <c r="B1834" s="212">
        <v>40577</v>
      </c>
      <c r="C1834" s="6">
        <v>2</v>
      </c>
      <c r="D1834" s="6">
        <v>1</v>
      </c>
      <c r="E1834" s="6">
        <v>2011</v>
      </c>
      <c r="F1834" s="15" t="s">
        <v>22</v>
      </c>
      <c r="G1834" s="18" t="s">
        <v>6256</v>
      </c>
      <c r="H1834" s="9" t="s">
        <v>31</v>
      </c>
      <c r="I1834" s="53" t="s">
        <v>3183</v>
      </c>
      <c r="J1834" s="53" t="s">
        <v>3184</v>
      </c>
      <c r="K1834" s="13">
        <v>0</v>
      </c>
      <c r="L1834" s="234">
        <f>((11*5))*1</f>
        <v>55</v>
      </c>
      <c r="M1834" s="13">
        <v>11</v>
      </c>
      <c r="N1834" s="13">
        <v>0</v>
      </c>
      <c r="O1834" s="13">
        <v>0</v>
      </c>
      <c r="P1834" s="13">
        <v>0</v>
      </c>
      <c r="Q1834" s="13">
        <v>0</v>
      </c>
      <c r="R1834" s="24">
        <v>2.75E-2</v>
      </c>
      <c r="S1834" s="19" t="s">
        <v>115</v>
      </c>
      <c r="T1834" s="257">
        <f t="shared" si="63"/>
        <v>55</v>
      </c>
      <c r="U1834" s="257">
        <f t="shared" si="64"/>
        <v>11</v>
      </c>
      <c r="V1834">
        <v>1</v>
      </c>
      <c r="W1834">
        <v>1</v>
      </c>
    </row>
    <row r="1835" spans="1:23" ht="114" x14ac:dyDescent="0.3">
      <c r="A1835" s="212">
        <v>40577</v>
      </c>
      <c r="B1835" s="212">
        <v>40577</v>
      </c>
      <c r="C1835" s="6">
        <v>2</v>
      </c>
      <c r="D1835" s="6">
        <v>1</v>
      </c>
      <c r="E1835" s="6">
        <v>2011</v>
      </c>
      <c r="F1835" s="15" t="s">
        <v>22</v>
      </c>
      <c r="G1835" s="18" t="s">
        <v>6256</v>
      </c>
      <c r="H1835" s="9" t="s">
        <v>31</v>
      </c>
      <c r="I1835" s="53" t="s">
        <v>1448</v>
      </c>
      <c r="J1835" s="53" t="s">
        <v>3185</v>
      </c>
      <c r="K1835" s="13">
        <v>0</v>
      </c>
      <c r="L1835" s="234">
        <f>((5*5))*1</f>
        <v>25</v>
      </c>
      <c r="M1835" s="13">
        <v>5</v>
      </c>
      <c r="N1835" s="13">
        <v>0</v>
      </c>
      <c r="O1835" s="13">
        <v>0</v>
      </c>
      <c r="P1835" s="13">
        <v>0</v>
      </c>
      <c r="Q1835" s="13">
        <v>0</v>
      </c>
      <c r="R1835" s="24">
        <v>1.2500000000000001E-2</v>
      </c>
      <c r="S1835" s="19" t="s">
        <v>115</v>
      </c>
      <c r="T1835" s="257">
        <f t="shared" si="63"/>
        <v>25</v>
      </c>
      <c r="U1835" s="257">
        <f t="shared" si="64"/>
        <v>5</v>
      </c>
      <c r="V1835">
        <v>1</v>
      </c>
      <c r="W1835">
        <v>1</v>
      </c>
    </row>
    <row r="1836" spans="1:23" ht="57" x14ac:dyDescent="0.3">
      <c r="A1836" s="212">
        <v>40814</v>
      </c>
      <c r="B1836" s="212">
        <v>40814</v>
      </c>
      <c r="C1836" s="6">
        <v>9</v>
      </c>
      <c r="D1836" s="6">
        <v>1</v>
      </c>
      <c r="E1836" s="6">
        <v>2011</v>
      </c>
      <c r="F1836" s="15" t="s">
        <v>22</v>
      </c>
      <c r="G1836" s="18" t="s">
        <v>6256</v>
      </c>
      <c r="H1836" s="9" t="s">
        <v>43</v>
      </c>
      <c r="I1836" s="53" t="s">
        <v>3186</v>
      </c>
      <c r="J1836" s="53" t="s">
        <v>3187</v>
      </c>
      <c r="K1836" s="13">
        <v>3</v>
      </c>
      <c r="L1836" s="233" t="s">
        <v>95</v>
      </c>
      <c r="M1836" s="13" t="s">
        <v>95</v>
      </c>
      <c r="N1836" s="13" t="s">
        <v>95</v>
      </c>
      <c r="O1836" s="13" t="s">
        <v>95</v>
      </c>
      <c r="P1836" s="13">
        <v>0</v>
      </c>
      <c r="Q1836" s="13"/>
      <c r="R1836" s="26">
        <v>58.503590000000003</v>
      </c>
      <c r="S1836" s="19" t="s">
        <v>149</v>
      </c>
      <c r="T1836" s="257">
        <f t="shared" si="63"/>
        <v>3</v>
      </c>
      <c r="U1836" s="257">
        <f t="shared" si="64"/>
        <v>0</v>
      </c>
      <c r="V1836">
        <v>1</v>
      </c>
      <c r="W1836">
        <v>0</v>
      </c>
    </row>
    <row r="1837" spans="1:23" ht="57" x14ac:dyDescent="0.3">
      <c r="A1837" s="212">
        <v>40789</v>
      </c>
      <c r="B1837" s="212">
        <v>40789</v>
      </c>
      <c r="C1837" s="6">
        <v>9</v>
      </c>
      <c r="D1837" s="6">
        <v>1</v>
      </c>
      <c r="E1837" s="6">
        <v>2011</v>
      </c>
      <c r="F1837" s="15" t="s">
        <v>22</v>
      </c>
      <c r="G1837" s="18" t="s">
        <v>6256</v>
      </c>
      <c r="H1837" s="9" t="s">
        <v>43</v>
      </c>
      <c r="I1837" s="53" t="s">
        <v>3188</v>
      </c>
      <c r="J1837" s="53" t="s">
        <v>3189</v>
      </c>
      <c r="K1837" s="13">
        <v>1</v>
      </c>
      <c r="L1837" s="233" t="s">
        <v>95</v>
      </c>
      <c r="M1837" s="13" t="s">
        <v>95</v>
      </c>
      <c r="N1837" s="13" t="s">
        <v>95</v>
      </c>
      <c r="O1837" s="13" t="s">
        <v>95</v>
      </c>
      <c r="P1837" s="13">
        <v>0</v>
      </c>
      <c r="Q1837" s="13"/>
      <c r="R1837" s="26">
        <v>21.779174000000001</v>
      </c>
      <c r="S1837" s="19" t="s">
        <v>149</v>
      </c>
      <c r="T1837" s="257">
        <f t="shared" si="63"/>
        <v>1</v>
      </c>
      <c r="U1837" s="257">
        <f t="shared" si="64"/>
        <v>0</v>
      </c>
      <c r="V1837">
        <v>1</v>
      </c>
      <c r="W1837">
        <v>0</v>
      </c>
    </row>
    <row r="1838" spans="1:23" ht="34.200000000000003" x14ac:dyDescent="0.3">
      <c r="A1838" s="212">
        <v>40719</v>
      </c>
      <c r="B1838" s="212">
        <v>40719</v>
      </c>
      <c r="C1838" s="6">
        <v>6</v>
      </c>
      <c r="D1838" s="6">
        <v>1</v>
      </c>
      <c r="E1838" s="6">
        <v>2011</v>
      </c>
      <c r="F1838" s="15" t="s">
        <v>22</v>
      </c>
      <c r="G1838" s="18" t="s">
        <v>6256</v>
      </c>
      <c r="H1838" s="9" t="s">
        <v>51</v>
      </c>
      <c r="I1838" s="53" t="s">
        <v>2284</v>
      </c>
      <c r="J1838" s="53" t="s">
        <v>3190</v>
      </c>
      <c r="K1838" s="13">
        <v>0</v>
      </c>
      <c r="L1838" s="233" t="s">
        <v>95</v>
      </c>
      <c r="M1838" s="13" t="s">
        <v>95</v>
      </c>
      <c r="N1838" s="13" t="s">
        <v>95</v>
      </c>
      <c r="O1838" s="13" t="s">
        <v>95</v>
      </c>
      <c r="P1838" s="13">
        <v>0</v>
      </c>
      <c r="Q1838" s="13"/>
      <c r="R1838" s="26">
        <v>7.0820730000000003</v>
      </c>
      <c r="S1838" s="19" t="s">
        <v>149</v>
      </c>
      <c r="T1838" s="257">
        <f t="shared" si="63"/>
        <v>0</v>
      </c>
      <c r="U1838" s="257">
        <f t="shared" si="64"/>
        <v>0</v>
      </c>
      <c r="V1838">
        <v>0</v>
      </c>
      <c r="W1838">
        <v>0</v>
      </c>
    </row>
    <row r="1839" spans="1:23" ht="45.6" x14ac:dyDescent="0.3">
      <c r="A1839" s="212">
        <v>40738</v>
      </c>
      <c r="B1839" s="212">
        <v>40739</v>
      </c>
      <c r="C1839" s="6">
        <v>7</v>
      </c>
      <c r="D1839" s="6">
        <v>2</v>
      </c>
      <c r="E1839" s="6">
        <v>2011</v>
      </c>
      <c r="F1839" s="15" t="s">
        <v>22</v>
      </c>
      <c r="G1839" s="18" t="s">
        <v>6256</v>
      </c>
      <c r="H1839" s="9" t="s">
        <v>61</v>
      </c>
      <c r="I1839" s="53" t="s">
        <v>3191</v>
      </c>
      <c r="J1839" s="53" t="s">
        <v>3192</v>
      </c>
      <c r="K1839" s="13">
        <v>2</v>
      </c>
      <c r="L1839" s="233">
        <v>10119</v>
      </c>
      <c r="M1839" s="13">
        <v>73</v>
      </c>
      <c r="N1839" s="13" t="s">
        <v>95</v>
      </c>
      <c r="O1839" s="13" t="s">
        <v>95</v>
      </c>
      <c r="P1839" s="13">
        <v>0</v>
      </c>
      <c r="Q1839" s="13"/>
      <c r="R1839" s="26">
        <v>252.39732900000001</v>
      </c>
      <c r="S1839" s="19" t="s">
        <v>149</v>
      </c>
      <c r="T1839" s="257">
        <f t="shared" si="63"/>
        <v>10121</v>
      </c>
      <c r="U1839" s="257">
        <f t="shared" si="64"/>
        <v>73</v>
      </c>
      <c r="V1839">
        <v>2</v>
      </c>
      <c r="W1839">
        <v>1</v>
      </c>
    </row>
    <row r="1840" spans="1:23" ht="68.400000000000006" x14ac:dyDescent="0.3">
      <c r="A1840" s="212">
        <v>40776</v>
      </c>
      <c r="B1840" s="212">
        <v>40776</v>
      </c>
      <c r="C1840" s="6">
        <v>8</v>
      </c>
      <c r="D1840" s="6">
        <v>1</v>
      </c>
      <c r="E1840" s="6">
        <v>2011</v>
      </c>
      <c r="F1840" s="15" t="s">
        <v>22</v>
      </c>
      <c r="G1840" s="18" t="s">
        <v>6256</v>
      </c>
      <c r="H1840" s="9" t="s">
        <v>61</v>
      </c>
      <c r="I1840" s="53" t="s">
        <v>3193</v>
      </c>
      <c r="J1840" s="53" t="s">
        <v>3194</v>
      </c>
      <c r="K1840" s="13">
        <v>4</v>
      </c>
      <c r="L1840" s="233">
        <v>1729</v>
      </c>
      <c r="M1840" s="13">
        <v>46</v>
      </c>
      <c r="N1840" s="13" t="s">
        <v>95</v>
      </c>
      <c r="O1840" s="13" t="s">
        <v>95</v>
      </c>
      <c r="P1840" s="13">
        <v>0</v>
      </c>
      <c r="Q1840" s="13"/>
      <c r="R1840" s="26">
        <v>87.239120999999997</v>
      </c>
      <c r="S1840" s="19" t="s">
        <v>149</v>
      </c>
      <c r="T1840" s="257">
        <f t="shared" si="63"/>
        <v>1733</v>
      </c>
      <c r="U1840" s="257">
        <f t="shared" si="64"/>
        <v>46</v>
      </c>
      <c r="V1840">
        <v>1</v>
      </c>
      <c r="W1840">
        <v>1</v>
      </c>
    </row>
    <row r="1841" spans="1:23" ht="22.8" x14ac:dyDescent="0.3">
      <c r="A1841" s="212">
        <v>40776</v>
      </c>
      <c r="B1841" s="212">
        <v>40776</v>
      </c>
      <c r="C1841" s="6">
        <v>8</v>
      </c>
      <c r="D1841" s="6">
        <v>1</v>
      </c>
      <c r="E1841" s="6">
        <v>2011</v>
      </c>
      <c r="F1841" s="15" t="s">
        <v>22</v>
      </c>
      <c r="G1841" s="18" t="s">
        <v>6256</v>
      </c>
      <c r="H1841" s="9" t="s">
        <v>61</v>
      </c>
      <c r="I1841" s="53" t="s">
        <v>3195</v>
      </c>
      <c r="J1841" s="53" t="s">
        <v>3196</v>
      </c>
      <c r="K1841" s="13">
        <v>0</v>
      </c>
      <c r="L1841" s="233" t="s">
        <v>95</v>
      </c>
      <c r="M1841" s="13">
        <v>11</v>
      </c>
      <c r="N1841" s="13" t="s">
        <v>95</v>
      </c>
      <c r="O1841" s="13">
        <v>4</v>
      </c>
      <c r="P1841" s="13">
        <v>0</v>
      </c>
      <c r="Q1841" s="13"/>
      <c r="R1841" s="26">
        <v>42.894120000000001</v>
      </c>
      <c r="S1841" s="19" t="s">
        <v>149</v>
      </c>
      <c r="T1841" s="257">
        <f t="shared" si="63"/>
        <v>0</v>
      </c>
      <c r="U1841" s="257">
        <f t="shared" si="64"/>
        <v>15</v>
      </c>
      <c r="V1841">
        <v>0</v>
      </c>
      <c r="W1841">
        <v>1</v>
      </c>
    </row>
    <row r="1842" spans="1:23" ht="34.200000000000003" x14ac:dyDescent="0.3">
      <c r="A1842" s="212">
        <v>40782</v>
      </c>
      <c r="B1842" s="212">
        <v>40782</v>
      </c>
      <c r="C1842" s="6">
        <v>8</v>
      </c>
      <c r="D1842" s="6">
        <v>1</v>
      </c>
      <c r="E1842" s="6">
        <v>2011</v>
      </c>
      <c r="F1842" s="7" t="s">
        <v>17</v>
      </c>
      <c r="G1842" s="28" t="s">
        <v>6261</v>
      </c>
      <c r="H1842" s="9" t="s">
        <v>61</v>
      </c>
      <c r="I1842" s="53" t="s">
        <v>3197</v>
      </c>
      <c r="J1842" s="53" t="s">
        <v>3198</v>
      </c>
      <c r="K1842" s="13">
        <v>3</v>
      </c>
      <c r="L1842" s="233">
        <v>10048</v>
      </c>
      <c r="M1842" s="13">
        <v>303</v>
      </c>
      <c r="N1842" s="13" t="s">
        <v>95</v>
      </c>
      <c r="O1842" s="13" t="s">
        <v>95</v>
      </c>
      <c r="P1842" s="13">
        <v>0</v>
      </c>
      <c r="Q1842" s="13"/>
      <c r="R1842" s="26">
        <v>255.16598000000002</v>
      </c>
      <c r="S1842" s="19" t="s">
        <v>149</v>
      </c>
      <c r="T1842" s="257">
        <f t="shared" si="63"/>
        <v>10051</v>
      </c>
      <c r="U1842" s="257">
        <f t="shared" si="64"/>
        <v>303</v>
      </c>
      <c r="V1842">
        <v>2</v>
      </c>
      <c r="W1842">
        <v>1</v>
      </c>
    </row>
    <row r="1843" spans="1:23" ht="45.6" x14ac:dyDescent="0.3">
      <c r="A1843" s="212">
        <v>40786</v>
      </c>
      <c r="B1843" s="212">
        <v>40787</v>
      </c>
      <c r="C1843" s="6">
        <v>8</v>
      </c>
      <c r="D1843" s="6">
        <v>2</v>
      </c>
      <c r="E1843" s="6">
        <v>2011</v>
      </c>
      <c r="F1843" s="15" t="s">
        <v>22</v>
      </c>
      <c r="G1843" s="18" t="s">
        <v>6256</v>
      </c>
      <c r="H1843" s="9" t="s">
        <v>61</v>
      </c>
      <c r="I1843" s="53" t="s">
        <v>3199</v>
      </c>
      <c r="J1843" s="53" t="s">
        <v>3200</v>
      </c>
      <c r="K1843" s="13">
        <v>0</v>
      </c>
      <c r="L1843" s="233">
        <v>2332</v>
      </c>
      <c r="M1843" s="13">
        <v>12</v>
      </c>
      <c r="N1843" s="13" t="s">
        <v>95</v>
      </c>
      <c r="O1843" s="13" t="s">
        <v>95</v>
      </c>
      <c r="P1843" s="13">
        <v>0</v>
      </c>
      <c r="Q1843" s="13"/>
      <c r="R1843" s="26">
        <v>69.886206000000001</v>
      </c>
      <c r="S1843" s="19" t="s">
        <v>149</v>
      </c>
      <c r="T1843" s="257">
        <f t="shared" si="63"/>
        <v>2332</v>
      </c>
      <c r="U1843" s="257">
        <f t="shared" si="64"/>
        <v>12</v>
      </c>
      <c r="V1843">
        <v>1</v>
      </c>
      <c r="W1843">
        <v>1</v>
      </c>
    </row>
    <row r="1844" spans="1:23" ht="45.6" x14ac:dyDescent="0.3">
      <c r="A1844" s="212">
        <v>40787</v>
      </c>
      <c r="B1844" s="212">
        <v>40787</v>
      </c>
      <c r="C1844" s="6">
        <v>9</v>
      </c>
      <c r="D1844" s="6">
        <v>1</v>
      </c>
      <c r="E1844" s="6">
        <v>2011</v>
      </c>
      <c r="F1844" s="15" t="s">
        <v>22</v>
      </c>
      <c r="G1844" s="18" t="s">
        <v>6256</v>
      </c>
      <c r="H1844" s="9" t="s">
        <v>61</v>
      </c>
      <c r="I1844" s="53" t="s">
        <v>2769</v>
      </c>
      <c r="J1844" s="53" t="s">
        <v>3201</v>
      </c>
      <c r="K1844" s="13">
        <v>0</v>
      </c>
      <c r="L1844" s="233">
        <v>1795</v>
      </c>
      <c r="M1844" s="13" t="s">
        <v>95</v>
      </c>
      <c r="N1844" s="13" t="s">
        <v>95</v>
      </c>
      <c r="O1844" s="13" t="s">
        <v>95</v>
      </c>
      <c r="P1844" s="13">
        <v>0</v>
      </c>
      <c r="Q1844" s="13"/>
      <c r="R1844" s="26">
        <v>302.79186100000004</v>
      </c>
      <c r="S1844" s="19" t="s">
        <v>149</v>
      </c>
      <c r="T1844" s="257">
        <f t="shared" si="63"/>
        <v>1795</v>
      </c>
      <c r="U1844" s="257">
        <f t="shared" si="64"/>
        <v>0</v>
      </c>
      <c r="V1844">
        <v>1</v>
      </c>
      <c r="W1844">
        <v>0</v>
      </c>
    </row>
    <row r="1845" spans="1:23" ht="45.6" x14ac:dyDescent="0.3">
      <c r="A1845" s="212">
        <v>40803</v>
      </c>
      <c r="B1845" s="212">
        <v>40808</v>
      </c>
      <c r="C1845" s="6">
        <v>9</v>
      </c>
      <c r="D1845" s="6">
        <v>6</v>
      </c>
      <c r="E1845" s="6">
        <v>2011</v>
      </c>
      <c r="F1845" s="7" t="s">
        <v>17</v>
      </c>
      <c r="G1845" s="28" t="s">
        <v>6261</v>
      </c>
      <c r="H1845" s="9" t="s">
        <v>61</v>
      </c>
      <c r="I1845" s="53" t="s">
        <v>3202</v>
      </c>
      <c r="J1845" s="53" t="s">
        <v>3203</v>
      </c>
      <c r="K1845" s="13">
        <v>0</v>
      </c>
      <c r="L1845" s="233">
        <v>965</v>
      </c>
      <c r="M1845" s="13">
        <v>193</v>
      </c>
      <c r="N1845" s="13" t="s">
        <v>95</v>
      </c>
      <c r="O1845" s="13" t="s">
        <v>95</v>
      </c>
      <c r="P1845" s="13">
        <v>0</v>
      </c>
      <c r="Q1845" s="13"/>
      <c r="R1845" s="26">
        <v>82.454712999999998</v>
      </c>
      <c r="S1845" s="19" t="s">
        <v>149</v>
      </c>
      <c r="T1845" s="257">
        <f t="shared" si="63"/>
        <v>965</v>
      </c>
      <c r="U1845" s="257">
        <f t="shared" si="64"/>
        <v>193</v>
      </c>
      <c r="V1845">
        <v>1</v>
      </c>
      <c r="W1845">
        <v>1</v>
      </c>
    </row>
    <row r="1846" spans="1:23" ht="45.6" x14ac:dyDescent="0.3">
      <c r="A1846" s="212">
        <v>40777</v>
      </c>
      <c r="B1846" s="212">
        <v>40777</v>
      </c>
      <c r="C1846" s="6">
        <v>8</v>
      </c>
      <c r="D1846" s="6">
        <v>1</v>
      </c>
      <c r="E1846" s="6">
        <v>2011</v>
      </c>
      <c r="F1846" s="15" t="s">
        <v>22</v>
      </c>
      <c r="G1846" s="18" t="s">
        <v>6256</v>
      </c>
      <c r="H1846" s="9" t="s">
        <v>64</v>
      </c>
      <c r="I1846" s="53" t="s">
        <v>3204</v>
      </c>
      <c r="J1846" s="53" t="s">
        <v>3205</v>
      </c>
      <c r="K1846" s="13">
        <v>1</v>
      </c>
      <c r="L1846" s="233">
        <v>95</v>
      </c>
      <c r="M1846" s="13">
        <v>19</v>
      </c>
      <c r="N1846" s="13" t="s">
        <v>95</v>
      </c>
      <c r="O1846" s="13" t="s">
        <v>95</v>
      </c>
      <c r="P1846" s="13">
        <v>0</v>
      </c>
      <c r="Q1846" s="13"/>
      <c r="R1846" s="26">
        <v>706.37943199999995</v>
      </c>
      <c r="S1846" s="19" t="s">
        <v>149</v>
      </c>
      <c r="T1846" s="257">
        <f t="shared" si="63"/>
        <v>96</v>
      </c>
      <c r="U1846" s="257">
        <f t="shared" si="64"/>
        <v>19</v>
      </c>
      <c r="V1846">
        <v>1</v>
      </c>
      <c r="W1846">
        <v>1</v>
      </c>
    </row>
    <row r="1847" spans="1:23" ht="45.6" x14ac:dyDescent="0.3">
      <c r="A1847" s="212">
        <v>40738</v>
      </c>
      <c r="B1847" s="212">
        <v>40738</v>
      </c>
      <c r="C1847" s="6">
        <v>7</v>
      </c>
      <c r="D1847" s="6">
        <v>1</v>
      </c>
      <c r="E1847" s="6">
        <v>2011</v>
      </c>
      <c r="F1847" s="15" t="s">
        <v>22</v>
      </c>
      <c r="G1847" s="18" t="s">
        <v>6256</v>
      </c>
      <c r="H1847" s="9" t="s">
        <v>70</v>
      </c>
      <c r="I1847" s="53" t="s">
        <v>154</v>
      </c>
      <c r="J1847" s="53" t="s">
        <v>3206</v>
      </c>
      <c r="K1847" s="13">
        <v>0</v>
      </c>
      <c r="L1847" s="233">
        <v>1031</v>
      </c>
      <c r="M1847" s="13" t="s">
        <v>95</v>
      </c>
      <c r="N1847" s="13" t="s">
        <v>95</v>
      </c>
      <c r="O1847" s="13" t="s">
        <v>95</v>
      </c>
      <c r="P1847" s="13">
        <v>0</v>
      </c>
      <c r="Q1847" s="13"/>
      <c r="R1847" s="26">
        <v>0.47521999999999998</v>
      </c>
      <c r="S1847" s="19" t="s">
        <v>149</v>
      </c>
      <c r="T1847" s="257">
        <f t="shared" si="63"/>
        <v>1031</v>
      </c>
      <c r="U1847" s="257">
        <f t="shared" si="64"/>
        <v>0</v>
      </c>
      <c r="V1847">
        <v>1</v>
      </c>
      <c r="W1847">
        <v>0</v>
      </c>
    </row>
    <row r="1848" spans="1:23" ht="57" x14ac:dyDescent="0.3">
      <c r="A1848" s="212">
        <v>40727</v>
      </c>
      <c r="B1848" s="212">
        <v>40731</v>
      </c>
      <c r="C1848" s="6">
        <v>7</v>
      </c>
      <c r="D1848" s="6">
        <v>5</v>
      </c>
      <c r="E1848" s="6">
        <v>2011</v>
      </c>
      <c r="F1848" s="15" t="s">
        <v>22</v>
      </c>
      <c r="G1848" s="16" t="s">
        <v>6256</v>
      </c>
      <c r="H1848" s="9" t="s">
        <v>70</v>
      </c>
      <c r="I1848" s="53" t="s">
        <v>3207</v>
      </c>
      <c r="J1848" s="53" t="s">
        <v>3208</v>
      </c>
      <c r="K1848" s="13">
        <v>2</v>
      </c>
      <c r="L1848" s="233">
        <v>2</v>
      </c>
      <c r="M1848" s="13" t="s">
        <v>95</v>
      </c>
      <c r="N1848" s="13" t="s">
        <v>95</v>
      </c>
      <c r="O1848" s="13" t="s">
        <v>95</v>
      </c>
      <c r="P1848" s="13">
        <v>0</v>
      </c>
      <c r="Q1848" s="13"/>
      <c r="R1848" s="26">
        <v>115.788917</v>
      </c>
      <c r="S1848" s="19" t="s">
        <v>149</v>
      </c>
      <c r="T1848" s="257">
        <f t="shared" si="63"/>
        <v>4</v>
      </c>
      <c r="U1848" s="257">
        <f t="shared" si="64"/>
        <v>0</v>
      </c>
      <c r="V1848">
        <v>1</v>
      </c>
      <c r="W1848">
        <v>0</v>
      </c>
    </row>
    <row r="1849" spans="1:23" ht="91.2" x14ac:dyDescent="0.3">
      <c r="A1849" s="210">
        <v>40780</v>
      </c>
      <c r="B1849" s="210">
        <v>40780</v>
      </c>
      <c r="C1849" s="6">
        <v>8</v>
      </c>
      <c r="D1849" s="6">
        <v>1</v>
      </c>
      <c r="E1849" s="7">
        <v>2011</v>
      </c>
      <c r="F1849" s="15" t="s">
        <v>22</v>
      </c>
      <c r="G1849" s="18" t="s">
        <v>6256</v>
      </c>
      <c r="H1849" s="9" t="s">
        <v>72</v>
      </c>
      <c r="I1849" s="34" t="s">
        <v>1027</v>
      </c>
      <c r="J1849" s="34" t="s">
        <v>3209</v>
      </c>
      <c r="K1849" s="33">
        <v>0</v>
      </c>
      <c r="L1849" s="236">
        <v>4</v>
      </c>
      <c r="M1849" s="35">
        <v>0</v>
      </c>
      <c r="N1849" s="35">
        <v>0</v>
      </c>
      <c r="O1849" s="35">
        <v>0</v>
      </c>
      <c r="P1849" s="13">
        <v>0</v>
      </c>
      <c r="Q1849" s="35">
        <v>0</v>
      </c>
      <c r="R1849" s="36">
        <v>0</v>
      </c>
      <c r="S1849" s="33" t="s">
        <v>115</v>
      </c>
      <c r="T1849" s="257">
        <f t="shared" si="63"/>
        <v>4</v>
      </c>
      <c r="U1849" s="257">
        <f t="shared" si="64"/>
        <v>0</v>
      </c>
      <c r="V1849">
        <v>1</v>
      </c>
      <c r="W1849">
        <v>0</v>
      </c>
    </row>
    <row r="1850" spans="1:23" ht="22.8" x14ac:dyDescent="0.3">
      <c r="A1850" s="210">
        <v>40811</v>
      </c>
      <c r="B1850" s="210">
        <v>40811</v>
      </c>
      <c r="C1850" s="6">
        <v>9</v>
      </c>
      <c r="D1850" s="6">
        <v>1</v>
      </c>
      <c r="E1850" s="7">
        <v>2011</v>
      </c>
      <c r="F1850" s="15" t="s">
        <v>22</v>
      </c>
      <c r="G1850" s="18" t="s">
        <v>6256</v>
      </c>
      <c r="H1850" s="9" t="s">
        <v>72</v>
      </c>
      <c r="I1850" s="34" t="s">
        <v>1899</v>
      </c>
      <c r="J1850" s="34" t="s">
        <v>3210</v>
      </c>
      <c r="K1850" s="33">
        <v>1</v>
      </c>
      <c r="L1850" s="236">
        <v>1</v>
      </c>
      <c r="M1850" s="35">
        <v>0</v>
      </c>
      <c r="N1850" s="35">
        <v>0</v>
      </c>
      <c r="O1850" s="35">
        <v>0</v>
      </c>
      <c r="P1850" s="13">
        <v>0</v>
      </c>
      <c r="Q1850" s="35">
        <v>0</v>
      </c>
      <c r="R1850" s="36">
        <v>0</v>
      </c>
      <c r="S1850" s="33" t="s">
        <v>115</v>
      </c>
      <c r="T1850" s="257">
        <f t="shared" si="63"/>
        <v>2</v>
      </c>
      <c r="U1850" s="257">
        <f t="shared" si="64"/>
        <v>0</v>
      </c>
      <c r="V1850">
        <v>1</v>
      </c>
      <c r="W1850">
        <v>0</v>
      </c>
    </row>
    <row r="1851" spans="1:23" ht="45.6" x14ac:dyDescent="0.3">
      <c r="A1851" s="212">
        <v>40724</v>
      </c>
      <c r="B1851" s="212">
        <v>40724</v>
      </c>
      <c r="C1851" s="6">
        <v>6</v>
      </c>
      <c r="D1851" s="6">
        <v>1</v>
      </c>
      <c r="E1851" s="6">
        <v>2011</v>
      </c>
      <c r="F1851" s="15" t="s">
        <v>22</v>
      </c>
      <c r="G1851" s="18" t="s">
        <v>6256</v>
      </c>
      <c r="H1851" s="9" t="s">
        <v>78</v>
      </c>
      <c r="I1851" s="53" t="s">
        <v>3211</v>
      </c>
      <c r="J1851" s="53" t="s">
        <v>3212</v>
      </c>
      <c r="K1851" s="13">
        <v>0</v>
      </c>
      <c r="L1851" s="233">
        <v>22673</v>
      </c>
      <c r="M1851" s="13">
        <v>259</v>
      </c>
      <c r="N1851" s="13" t="s">
        <v>95</v>
      </c>
      <c r="O1851" s="13" t="s">
        <v>95</v>
      </c>
      <c r="P1851" s="13">
        <v>0</v>
      </c>
      <c r="Q1851" s="13"/>
      <c r="R1851" s="26">
        <v>71.640325999999988</v>
      </c>
      <c r="S1851" s="19" t="s">
        <v>149</v>
      </c>
      <c r="T1851" s="257">
        <f t="shared" si="63"/>
        <v>22673</v>
      </c>
      <c r="U1851" s="257">
        <f t="shared" si="64"/>
        <v>259</v>
      </c>
      <c r="V1851">
        <v>2</v>
      </c>
      <c r="W1851">
        <v>1</v>
      </c>
    </row>
    <row r="1852" spans="1:23" ht="57" x14ac:dyDescent="0.3">
      <c r="A1852" s="212">
        <v>40738</v>
      </c>
      <c r="B1852" s="212">
        <v>40738</v>
      </c>
      <c r="C1852" s="6">
        <v>7</v>
      </c>
      <c r="D1852" s="6">
        <v>1</v>
      </c>
      <c r="E1852" s="6">
        <v>2011</v>
      </c>
      <c r="F1852" s="15" t="s">
        <v>22</v>
      </c>
      <c r="G1852" s="16" t="s">
        <v>6256</v>
      </c>
      <c r="H1852" s="9" t="s">
        <v>174</v>
      </c>
      <c r="I1852" s="53" t="s">
        <v>3213</v>
      </c>
      <c r="J1852" s="53" t="s">
        <v>3214</v>
      </c>
      <c r="K1852" s="13">
        <v>0</v>
      </c>
      <c r="L1852" s="233">
        <v>2105</v>
      </c>
      <c r="M1852" s="13">
        <v>101</v>
      </c>
      <c r="N1852" s="13" t="s">
        <v>95</v>
      </c>
      <c r="O1852" s="13" t="s">
        <v>95</v>
      </c>
      <c r="P1852" s="13">
        <v>0</v>
      </c>
      <c r="Q1852" s="13"/>
      <c r="R1852" s="26">
        <v>511.29445099999998</v>
      </c>
      <c r="S1852" s="19" t="s">
        <v>149</v>
      </c>
      <c r="T1852" s="257">
        <f t="shared" si="63"/>
        <v>2105</v>
      </c>
      <c r="U1852" s="257">
        <f t="shared" si="64"/>
        <v>101</v>
      </c>
      <c r="V1852">
        <v>1</v>
      </c>
      <c r="W1852">
        <v>1</v>
      </c>
    </row>
    <row r="1853" spans="1:23" ht="57" x14ac:dyDescent="0.3">
      <c r="A1853" s="212">
        <v>40776</v>
      </c>
      <c r="B1853" s="212">
        <v>40776</v>
      </c>
      <c r="C1853" s="6">
        <v>8</v>
      </c>
      <c r="D1853" s="6">
        <v>1</v>
      </c>
      <c r="E1853" s="6">
        <v>2011</v>
      </c>
      <c r="F1853" s="15" t="s">
        <v>22</v>
      </c>
      <c r="G1853" s="18" t="s">
        <v>6256</v>
      </c>
      <c r="H1853" s="9" t="s">
        <v>174</v>
      </c>
      <c r="I1853" s="53" t="s">
        <v>3215</v>
      </c>
      <c r="J1853" s="53" t="s">
        <v>3216</v>
      </c>
      <c r="K1853" s="13">
        <v>0</v>
      </c>
      <c r="L1853" s="233">
        <v>17154</v>
      </c>
      <c r="M1853" s="13">
        <v>57</v>
      </c>
      <c r="N1853" s="13">
        <v>2</v>
      </c>
      <c r="O1853" s="13" t="s">
        <v>95</v>
      </c>
      <c r="P1853" s="13">
        <v>0</v>
      </c>
      <c r="Q1853" s="13"/>
      <c r="R1853" s="26">
        <v>41.062848000000002</v>
      </c>
      <c r="S1853" s="19" t="s">
        <v>149</v>
      </c>
      <c r="T1853" s="257">
        <f t="shared" si="63"/>
        <v>17154</v>
      </c>
      <c r="U1853" s="257">
        <f t="shared" si="64"/>
        <v>59</v>
      </c>
      <c r="V1853">
        <v>2</v>
      </c>
      <c r="W1853">
        <v>1</v>
      </c>
    </row>
    <row r="1854" spans="1:23" ht="102.6" x14ac:dyDescent="0.3">
      <c r="A1854" s="212">
        <v>40787</v>
      </c>
      <c r="B1854" s="212">
        <v>40787</v>
      </c>
      <c r="C1854" s="6">
        <v>9</v>
      </c>
      <c r="D1854" s="6">
        <v>1</v>
      </c>
      <c r="E1854" s="6">
        <v>2011</v>
      </c>
      <c r="F1854" s="15" t="s">
        <v>22</v>
      </c>
      <c r="G1854" s="18" t="s">
        <v>6256</v>
      </c>
      <c r="H1854" s="9" t="s">
        <v>174</v>
      </c>
      <c r="I1854" s="53" t="s">
        <v>3217</v>
      </c>
      <c r="J1854" s="53" t="s">
        <v>3218</v>
      </c>
      <c r="K1854" s="13">
        <v>0</v>
      </c>
      <c r="L1854" s="233">
        <v>2135</v>
      </c>
      <c r="M1854" s="13">
        <v>427</v>
      </c>
      <c r="N1854" s="13" t="s">
        <v>95</v>
      </c>
      <c r="O1854" s="13" t="s">
        <v>95</v>
      </c>
      <c r="P1854" s="13">
        <v>0</v>
      </c>
      <c r="Q1854" s="13"/>
      <c r="R1854" s="26">
        <v>414.96927199999999</v>
      </c>
      <c r="S1854" s="19" t="s">
        <v>149</v>
      </c>
      <c r="T1854" s="257">
        <f t="shared" si="63"/>
        <v>2135</v>
      </c>
      <c r="U1854" s="257">
        <f t="shared" si="64"/>
        <v>427</v>
      </c>
      <c r="V1854">
        <v>1</v>
      </c>
      <c r="W1854">
        <v>1</v>
      </c>
    </row>
    <row r="1855" spans="1:23" ht="45.6" x14ac:dyDescent="0.3">
      <c r="A1855" s="212">
        <v>40799</v>
      </c>
      <c r="B1855" s="212">
        <v>40799</v>
      </c>
      <c r="C1855" s="6">
        <v>9</v>
      </c>
      <c r="D1855" s="6">
        <v>1</v>
      </c>
      <c r="E1855" s="6">
        <v>2011</v>
      </c>
      <c r="F1855" s="15" t="s">
        <v>22</v>
      </c>
      <c r="G1855" s="18" t="s">
        <v>6256</v>
      </c>
      <c r="H1855" s="9" t="s">
        <v>174</v>
      </c>
      <c r="I1855" s="53" t="s">
        <v>3219</v>
      </c>
      <c r="J1855" s="53" t="s">
        <v>3220</v>
      </c>
      <c r="K1855" s="13">
        <v>0</v>
      </c>
      <c r="L1855" s="233">
        <v>240</v>
      </c>
      <c r="M1855" s="13">
        <v>48</v>
      </c>
      <c r="N1855" s="13">
        <v>2</v>
      </c>
      <c r="O1855" s="13" t="s">
        <v>95</v>
      </c>
      <c r="P1855" s="13">
        <v>0</v>
      </c>
      <c r="Q1855" s="13"/>
      <c r="R1855" s="26">
        <v>230.470156</v>
      </c>
      <c r="S1855" s="19" t="s">
        <v>149</v>
      </c>
      <c r="T1855" s="257">
        <f t="shared" si="63"/>
        <v>240</v>
      </c>
      <c r="U1855" s="257">
        <f t="shared" si="64"/>
        <v>50</v>
      </c>
      <c r="V1855">
        <v>1</v>
      </c>
      <c r="W1855">
        <v>1</v>
      </c>
    </row>
    <row r="1856" spans="1:23" ht="57" x14ac:dyDescent="0.3">
      <c r="A1856" s="212">
        <v>40832</v>
      </c>
      <c r="B1856" s="212">
        <v>40832</v>
      </c>
      <c r="C1856" s="6">
        <v>10</v>
      </c>
      <c r="D1856" s="6">
        <v>1</v>
      </c>
      <c r="E1856" s="6">
        <v>2011</v>
      </c>
      <c r="F1856" s="15" t="s">
        <v>22</v>
      </c>
      <c r="G1856" s="18" t="s">
        <v>6256</v>
      </c>
      <c r="H1856" s="9" t="s">
        <v>174</v>
      </c>
      <c r="I1856" s="53" t="s">
        <v>3221</v>
      </c>
      <c r="J1856" s="53" t="s">
        <v>3222</v>
      </c>
      <c r="K1856" s="13">
        <v>0</v>
      </c>
      <c r="L1856" s="233">
        <v>19891</v>
      </c>
      <c r="M1856" s="13">
        <v>101</v>
      </c>
      <c r="N1856" s="13" t="s">
        <v>95</v>
      </c>
      <c r="O1856" s="13" t="s">
        <v>95</v>
      </c>
      <c r="P1856" s="13">
        <v>0</v>
      </c>
      <c r="Q1856" s="13"/>
      <c r="R1856" s="26">
        <v>323.69134300000002</v>
      </c>
      <c r="S1856" s="19" t="s">
        <v>149</v>
      </c>
      <c r="T1856" s="257">
        <f t="shared" si="63"/>
        <v>19891</v>
      </c>
      <c r="U1856" s="257">
        <f t="shared" si="64"/>
        <v>101</v>
      </c>
      <c r="V1856">
        <v>2</v>
      </c>
      <c r="W1856">
        <v>1</v>
      </c>
    </row>
    <row r="1857" spans="1:23" ht="57" x14ac:dyDescent="0.3">
      <c r="A1857" s="212">
        <v>40664</v>
      </c>
      <c r="B1857" s="212">
        <v>40664</v>
      </c>
      <c r="C1857" s="6">
        <v>5</v>
      </c>
      <c r="D1857" s="6">
        <v>1</v>
      </c>
      <c r="E1857" s="6">
        <v>2011</v>
      </c>
      <c r="F1857" s="15" t="s">
        <v>22</v>
      </c>
      <c r="G1857" s="16" t="s">
        <v>23</v>
      </c>
      <c r="H1857" s="9" t="s">
        <v>24</v>
      </c>
      <c r="I1857" s="53" t="s">
        <v>3223</v>
      </c>
      <c r="J1857" s="53" t="s">
        <v>3224</v>
      </c>
      <c r="K1857" s="13">
        <v>0</v>
      </c>
      <c r="L1857" s="233" t="s">
        <v>95</v>
      </c>
      <c r="M1857" s="13">
        <v>0</v>
      </c>
      <c r="N1857" s="13">
        <v>0</v>
      </c>
      <c r="O1857" s="13">
        <v>0</v>
      </c>
      <c r="P1857" s="13">
        <v>0</v>
      </c>
      <c r="Q1857" s="13"/>
      <c r="R1857" s="26">
        <v>47.216000000000001</v>
      </c>
      <c r="S1857" s="19" t="s">
        <v>149</v>
      </c>
      <c r="T1857" s="257">
        <f t="shared" si="63"/>
        <v>0</v>
      </c>
      <c r="U1857" s="257">
        <f t="shared" si="64"/>
        <v>0</v>
      </c>
      <c r="V1857">
        <v>0</v>
      </c>
      <c r="W1857">
        <v>0</v>
      </c>
    </row>
    <row r="1858" spans="1:23" ht="45.6" x14ac:dyDescent="0.3">
      <c r="A1858" s="212">
        <v>40829</v>
      </c>
      <c r="B1858" s="212">
        <v>40830</v>
      </c>
      <c r="C1858" s="6">
        <v>10</v>
      </c>
      <c r="D1858" s="6">
        <v>2</v>
      </c>
      <c r="E1858" s="6">
        <v>2011</v>
      </c>
      <c r="F1858" s="7" t="s">
        <v>17</v>
      </c>
      <c r="G1858" s="28" t="s">
        <v>6261</v>
      </c>
      <c r="H1858" s="9" t="s">
        <v>31</v>
      </c>
      <c r="I1858" s="53" t="s">
        <v>3225</v>
      </c>
      <c r="J1858" s="53" t="s">
        <v>3226</v>
      </c>
      <c r="K1858" s="13">
        <v>0</v>
      </c>
      <c r="L1858" s="233">
        <v>9112</v>
      </c>
      <c r="M1858" s="13">
        <v>9</v>
      </c>
      <c r="N1858" s="13" t="s">
        <v>95</v>
      </c>
      <c r="O1858" s="13" t="s">
        <v>95</v>
      </c>
      <c r="P1858" s="13">
        <v>0</v>
      </c>
      <c r="Q1858" s="13"/>
      <c r="R1858" s="26">
        <v>38.874074</v>
      </c>
      <c r="S1858" s="19" t="s">
        <v>149</v>
      </c>
      <c r="T1858" s="257">
        <f t="shared" si="63"/>
        <v>9112</v>
      </c>
      <c r="U1858" s="257">
        <f t="shared" si="64"/>
        <v>9</v>
      </c>
      <c r="V1858">
        <v>1</v>
      </c>
      <c r="W1858">
        <v>1</v>
      </c>
    </row>
    <row r="1859" spans="1:23" ht="45.6" x14ac:dyDescent="0.3">
      <c r="A1859" s="212">
        <v>40666</v>
      </c>
      <c r="B1859" s="212">
        <v>40666</v>
      </c>
      <c r="C1859" s="6">
        <v>5</v>
      </c>
      <c r="D1859" s="6">
        <v>1</v>
      </c>
      <c r="E1859" s="6">
        <v>2011</v>
      </c>
      <c r="F1859" s="15" t="s">
        <v>22</v>
      </c>
      <c r="G1859" s="18" t="s">
        <v>6256</v>
      </c>
      <c r="H1859" s="9" t="s">
        <v>31</v>
      </c>
      <c r="I1859" s="53" t="s">
        <v>1257</v>
      </c>
      <c r="J1859" s="53" t="s">
        <v>3227</v>
      </c>
      <c r="K1859" s="13">
        <v>2</v>
      </c>
      <c r="L1859" s="234">
        <v>3</v>
      </c>
      <c r="M1859" s="13">
        <v>0</v>
      </c>
      <c r="N1859" s="13">
        <v>0</v>
      </c>
      <c r="O1859" s="13">
        <v>0</v>
      </c>
      <c r="P1859" s="13">
        <v>0</v>
      </c>
      <c r="Q1859" s="13">
        <v>0</v>
      </c>
      <c r="R1859" s="24">
        <v>1E-3</v>
      </c>
      <c r="S1859" s="19" t="s">
        <v>115</v>
      </c>
      <c r="T1859" s="257">
        <f t="shared" ref="T1859:T1922" si="65">SUM(K1859:L1859)</f>
        <v>5</v>
      </c>
      <c r="U1859" s="257">
        <f t="shared" ref="U1859:U1922" si="66">SUM(M1859:P1859)</f>
        <v>0</v>
      </c>
      <c r="V1859">
        <v>1</v>
      </c>
      <c r="W1859">
        <v>0</v>
      </c>
    </row>
    <row r="1860" spans="1:23" ht="34.200000000000003" x14ac:dyDescent="0.3">
      <c r="A1860" s="212">
        <v>40664</v>
      </c>
      <c r="B1860" s="212">
        <v>40877</v>
      </c>
      <c r="C1860" s="6">
        <v>5</v>
      </c>
      <c r="D1860" s="6">
        <v>214</v>
      </c>
      <c r="E1860" s="6">
        <v>2011</v>
      </c>
      <c r="F1860" s="15" t="s">
        <v>22</v>
      </c>
      <c r="G1860" s="16" t="s">
        <v>23</v>
      </c>
      <c r="H1860" s="9" t="s">
        <v>34</v>
      </c>
      <c r="I1860" s="53" t="s">
        <v>3228</v>
      </c>
      <c r="J1860" s="53" t="s">
        <v>3229</v>
      </c>
      <c r="K1860" s="13">
        <v>0</v>
      </c>
      <c r="L1860" s="233" t="s">
        <v>95</v>
      </c>
      <c r="M1860" s="13" t="s">
        <v>95</v>
      </c>
      <c r="N1860" s="13" t="s">
        <v>95</v>
      </c>
      <c r="O1860" s="13" t="s">
        <v>95</v>
      </c>
      <c r="P1860" s="13">
        <v>0</v>
      </c>
      <c r="Q1860" s="13"/>
      <c r="R1860" s="26">
        <v>476.20408200000003</v>
      </c>
      <c r="S1860" s="19" t="s">
        <v>149</v>
      </c>
      <c r="T1860" s="257">
        <f t="shared" si="65"/>
        <v>0</v>
      </c>
      <c r="U1860" s="257">
        <f t="shared" si="66"/>
        <v>0</v>
      </c>
      <c r="V1860">
        <v>0</v>
      </c>
      <c r="W1860">
        <v>0</v>
      </c>
    </row>
    <row r="1861" spans="1:23" ht="34.200000000000003" x14ac:dyDescent="0.3">
      <c r="A1861" s="212">
        <v>40664</v>
      </c>
      <c r="B1861" s="212">
        <v>40877</v>
      </c>
      <c r="C1861" s="6">
        <v>5</v>
      </c>
      <c r="D1861" s="6">
        <v>214</v>
      </c>
      <c r="E1861" s="6">
        <v>2011</v>
      </c>
      <c r="F1861" s="15" t="s">
        <v>22</v>
      </c>
      <c r="G1861" s="16" t="s">
        <v>23</v>
      </c>
      <c r="H1861" s="9" t="s">
        <v>37</v>
      </c>
      <c r="I1861" s="53" t="s">
        <v>3204</v>
      </c>
      <c r="J1861" s="53" t="s">
        <v>3230</v>
      </c>
      <c r="K1861" s="13">
        <v>0</v>
      </c>
      <c r="L1861" s="233" t="s">
        <v>95</v>
      </c>
      <c r="M1861" s="13" t="s">
        <v>95</v>
      </c>
      <c r="N1861" s="13" t="s">
        <v>95</v>
      </c>
      <c r="O1861" s="13" t="s">
        <v>95</v>
      </c>
      <c r="P1861" s="13">
        <v>0</v>
      </c>
      <c r="Q1861" s="13"/>
      <c r="R1861" s="26">
        <v>9.1819400000000009</v>
      </c>
      <c r="S1861" s="19" t="s">
        <v>149</v>
      </c>
      <c r="T1861" s="257">
        <f t="shared" si="65"/>
        <v>0</v>
      </c>
      <c r="U1861" s="257">
        <f t="shared" si="66"/>
        <v>0</v>
      </c>
      <c r="V1861">
        <v>0</v>
      </c>
      <c r="W1861">
        <v>0</v>
      </c>
    </row>
    <row r="1862" spans="1:23" ht="34.200000000000003" x14ac:dyDescent="0.3">
      <c r="A1862" s="212">
        <v>40664</v>
      </c>
      <c r="B1862" s="212">
        <v>40877</v>
      </c>
      <c r="C1862" s="6">
        <v>5</v>
      </c>
      <c r="D1862" s="6">
        <v>214</v>
      </c>
      <c r="E1862" s="6">
        <v>2011</v>
      </c>
      <c r="F1862" s="15" t="s">
        <v>22</v>
      </c>
      <c r="G1862" s="16" t="s">
        <v>23</v>
      </c>
      <c r="H1862" s="9" t="s">
        <v>41</v>
      </c>
      <c r="I1862" s="53" t="s">
        <v>3231</v>
      </c>
      <c r="J1862" s="53" t="s">
        <v>3232</v>
      </c>
      <c r="K1862" s="13">
        <v>0</v>
      </c>
      <c r="L1862" s="233" t="s">
        <v>95</v>
      </c>
      <c r="M1862" s="13" t="s">
        <v>95</v>
      </c>
      <c r="N1862" s="13" t="s">
        <v>95</v>
      </c>
      <c r="O1862" s="13" t="s">
        <v>95</v>
      </c>
      <c r="P1862" s="13">
        <v>0</v>
      </c>
      <c r="Q1862" s="13"/>
      <c r="R1862" s="26">
        <v>185.8604</v>
      </c>
      <c r="S1862" s="19" t="s">
        <v>149</v>
      </c>
      <c r="T1862" s="257">
        <f t="shared" si="65"/>
        <v>0</v>
      </c>
      <c r="U1862" s="257">
        <f t="shared" si="66"/>
        <v>0</v>
      </c>
      <c r="V1862">
        <v>0</v>
      </c>
      <c r="W1862">
        <v>0</v>
      </c>
    </row>
    <row r="1863" spans="1:23" ht="34.200000000000003" x14ac:dyDescent="0.3">
      <c r="A1863" s="129">
        <v>39014</v>
      </c>
      <c r="B1863" s="129">
        <f>A1863</f>
        <v>39014</v>
      </c>
      <c r="C1863" s="6">
        <v>10</v>
      </c>
      <c r="D1863" s="6">
        <v>1</v>
      </c>
      <c r="E1863" s="103">
        <v>2006</v>
      </c>
      <c r="F1863" s="15" t="s">
        <v>22</v>
      </c>
      <c r="G1863" s="18" t="s">
        <v>6256</v>
      </c>
      <c r="H1863" s="9" t="s">
        <v>48</v>
      </c>
      <c r="I1863" s="17" t="s">
        <v>685</v>
      </c>
      <c r="J1863" s="110" t="s">
        <v>3233</v>
      </c>
      <c r="K1863" s="23">
        <v>0</v>
      </c>
      <c r="L1863" s="234">
        <v>105</v>
      </c>
      <c r="M1863" s="23">
        <v>21</v>
      </c>
      <c r="N1863" s="23">
        <v>0</v>
      </c>
      <c r="O1863" s="23">
        <v>0</v>
      </c>
      <c r="P1863" s="19">
        <v>0</v>
      </c>
      <c r="Q1863" s="23">
        <v>0</v>
      </c>
      <c r="R1863" s="93">
        <v>9.7944000000000003E-2</v>
      </c>
      <c r="S1863" s="7" t="s">
        <v>115</v>
      </c>
      <c r="T1863" s="257">
        <f t="shared" si="65"/>
        <v>105</v>
      </c>
      <c r="U1863" s="257">
        <f t="shared" si="66"/>
        <v>21</v>
      </c>
      <c r="V1863">
        <v>1</v>
      </c>
      <c r="W1863">
        <v>1</v>
      </c>
    </row>
    <row r="1864" spans="1:23" ht="34.200000000000003" x14ac:dyDescent="0.3">
      <c r="A1864" s="212">
        <v>40664</v>
      </c>
      <c r="B1864" s="212">
        <v>40877</v>
      </c>
      <c r="C1864" s="6">
        <v>5</v>
      </c>
      <c r="D1864" s="6">
        <v>214</v>
      </c>
      <c r="E1864" s="6">
        <v>2011</v>
      </c>
      <c r="F1864" s="15" t="s">
        <v>22</v>
      </c>
      <c r="G1864" s="16" t="s">
        <v>23</v>
      </c>
      <c r="H1864" s="9" t="s">
        <v>51</v>
      </c>
      <c r="I1864" s="53" t="s">
        <v>3215</v>
      </c>
      <c r="J1864" s="53" t="s">
        <v>3234</v>
      </c>
      <c r="K1864" s="13">
        <v>0</v>
      </c>
      <c r="L1864" s="233" t="s">
        <v>95</v>
      </c>
      <c r="M1864" s="13" t="s">
        <v>95</v>
      </c>
      <c r="N1864" s="13" t="s">
        <v>95</v>
      </c>
      <c r="O1864" s="13" t="s">
        <v>95</v>
      </c>
      <c r="P1864" s="13">
        <v>0</v>
      </c>
      <c r="Q1864" s="13"/>
      <c r="R1864" s="26">
        <v>16.684075</v>
      </c>
      <c r="S1864" s="19" t="s">
        <v>149</v>
      </c>
      <c r="T1864" s="257">
        <f t="shared" si="65"/>
        <v>0</v>
      </c>
      <c r="U1864" s="257">
        <f t="shared" si="66"/>
        <v>0</v>
      </c>
      <c r="V1864">
        <v>0</v>
      </c>
      <c r="W1864">
        <v>0</v>
      </c>
    </row>
    <row r="1865" spans="1:23" ht="34.200000000000003" x14ac:dyDescent="0.3">
      <c r="A1865" s="212">
        <v>40664</v>
      </c>
      <c r="B1865" s="212">
        <v>40877</v>
      </c>
      <c r="C1865" s="6">
        <v>5</v>
      </c>
      <c r="D1865" s="6">
        <v>214</v>
      </c>
      <c r="E1865" s="6">
        <v>2011</v>
      </c>
      <c r="F1865" s="15" t="s">
        <v>22</v>
      </c>
      <c r="G1865" s="16" t="s">
        <v>23</v>
      </c>
      <c r="H1865" s="9" t="s">
        <v>74</v>
      </c>
      <c r="I1865" s="53" t="s">
        <v>3235</v>
      </c>
      <c r="J1865" s="53" t="s">
        <v>3236</v>
      </c>
      <c r="K1865" s="13">
        <v>0</v>
      </c>
      <c r="L1865" s="233" t="s">
        <v>95</v>
      </c>
      <c r="M1865" s="13" t="s">
        <v>95</v>
      </c>
      <c r="N1865" s="13" t="s">
        <v>95</v>
      </c>
      <c r="O1865" s="13" t="s">
        <v>95</v>
      </c>
      <c r="P1865" s="13">
        <v>0</v>
      </c>
      <c r="Q1865" s="13"/>
      <c r="R1865" s="26">
        <v>32.936999</v>
      </c>
      <c r="S1865" s="19" t="s">
        <v>149</v>
      </c>
      <c r="T1865" s="257">
        <f t="shared" si="65"/>
        <v>0</v>
      </c>
      <c r="U1865" s="257">
        <f t="shared" si="66"/>
        <v>0</v>
      </c>
      <c r="V1865">
        <v>0</v>
      </c>
      <c r="W1865">
        <v>0</v>
      </c>
    </row>
    <row r="1866" spans="1:23" ht="45.6" x14ac:dyDescent="0.3">
      <c r="A1866" s="212">
        <v>40664</v>
      </c>
      <c r="B1866" s="212">
        <v>40877</v>
      </c>
      <c r="C1866" s="6">
        <v>5</v>
      </c>
      <c r="D1866" s="6">
        <v>214</v>
      </c>
      <c r="E1866" s="6">
        <v>2011</v>
      </c>
      <c r="F1866" s="15" t="s">
        <v>22</v>
      </c>
      <c r="G1866" s="16" t="s">
        <v>23</v>
      </c>
      <c r="H1866" s="9" t="s">
        <v>88</v>
      </c>
      <c r="I1866" s="53" t="s">
        <v>3237</v>
      </c>
      <c r="J1866" s="53" t="s">
        <v>3238</v>
      </c>
      <c r="K1866" s="13">
        <v>0</v>
      </c>
      <c r="L1866" s="233" t="s">
        <v>95</v>
      </c>
      <c r="M1866" s="13" t="s">
        <v>95</v>
      </c>
      <c r="N1866" s="13" t="s">
        <v>95</v>
      </c>
      <c r="O1866" s="13" t="s">
        <v>95</v>
      </c>
      <c r="P1866" s="13">
        <v>0</v>
      </c>
      <c r="Q1866" s="13"/>
      <c r="R1866" s="26">
        <v>62.352941999999999</v>
      </c>
      <c r="S1866" s="19" t="s">
        <v>149</v>
      </c>
      <c r="T1866" s="257">
        <f t="shared" si="65"/>
        <v>0</v>
      </c>
      <c r="U1866" s="257">
        <f t="shared" si="66"/>
        <v>0</v>
      </c>
      <c r="V1866">
        <v>0</v>
      </c>
      <c r="W1866">
        <v>0</v>
      </c>
    </row>
    <row r="1867" spans="1:23" ht="45.6" x14ac:dyDescent="0.3">
      <c r="A1867" s="212">
        <v>40664</v>
      </c>
      <c r="B1867" s="212">
        <v>40877</v>
      </c>
      <c r="C1867" s="6">
        <v>5</v>
      </c>
      <c r="D1867" s="6">
        <v>214</v>
      </c>
      <c r="E1867" s="6">
        <v>2011</v>
      </c>
      <c r="F1867" s="15" t="s">
        <v>22</v>
      </c>
      <c r="G1867" s="16" t="s">
        <v>23</v>
      </c>
      <c r="H1867" s="9" t="s">
        <v>74</v>
      </c>
      <c r="I1867" s="53" t="s">
        <v>3239</v>
      </c>
      <c r="J1867" s="53" t="s">
        <v>3240</v>
      </c>
      <c r="K1867" s="13">
        <v>0</v>
      </c>
      <c r="L1867" s="233" t="s">
        <v>95</v>
      </c>
      <c r="M1867" s="13" t="s">
        <v>95</v>
      </c>
      <c r="N1867" s="13" t="s">
        <v>95</v>
      </c>
      <c r="O1867" s="13" t="s">
        <v>95</v>
      </c>
      <c r="P1867" s="13">
        <v>0</v>
      </c>
      <c r="Q1867" s="13"/>
      <c r="R1867" s="26">
        <v>43.945262</v>
      </c>
      <c r="S1867" s="19" t="s">
        <v>149</v>
      </c>
      <c r="T1867" s="257">
        <f t="shared" si="65"/>
        <v>0</v>
      </c>
      <c r="U1867" s="257">
        <f t="shared" si="66"/>
        <v>0</v>
      </c>
      <c r="V1867">
        <v>0</v>
      </c>
      <c r="W1867">
        <v>0</v>
      </c>
    </row>
    <row r="1868" spans="1:23" ht="34.200000000000003" x14ac:dyDescent="0.3">
      <c r="A1868" s="212">
        <v>40577</v>
      </c>
      <c r="B1868" s="212">
        <v>40577</v>
      </c>
      <c r="C1868" s="6">
        <v>2</v>
      </c>
      <c r="D1868" s="6">
        <v>1</v>
      </c>
      <c r="E1868" s="6">
        <v>2011</v>
      </c>
      <c r="F1868" s="15" t="s">
        <v>22</v>
      </c>
      <c r="G1868" s="9" t="s">
        <v>6258</v>
      </c>
      <c r="H1868" s="9" t="s">
        <v>174</v>
      </c>
      <c r="I1868" s="53" t="s">
        <v>2520</v>
      </c>
      <c r="J1868" s="53" t="s">
        <v>3241</v>
      </c>
      <c r="K1868" s="13">
        <v>0</v>
      </c>
      <c r="L1868" s="233">
        <v>6427</v>
      </c>
      <c r="M1868" s="13">
        <v>0</v>
      </c>
      <c r="N1868" s="13">
        <v>0</v>
      </c>
      <c r="O1868" s="13">
        <v>0</v>
      </c>
      <c r="P1868" s="13">
        <v>0</v>
      </c>
      <c r="Q1868" s="13">
        <v>0</v>
      </c>
      <c r="R1868" s="26">
        <v>1.7769999999999999</v>
      </c>
      <c r="S1868" s="19" t="s">
        <v>149</v>
      </c>
      <c r="T1868" s="257">
        <f t="shared" si="65"/>
        <v>6427</v>
      </c>
      <c r="U1868" s="257">
        <f t="shared" si="66"/>
        <v>0</v>
      </c>
      <c r="V1868">
        <v>1</v>
      </c>
      <c r="W1868">
        <v>0</v>
      </c>
    </row>
    <row r="1869" spans="1:23" ht="34.200000000000003" x14ac:dyDescent="0.3">
      <c r="A1869" s="212">
        <v>40577</v>
      </c>
      <c r="B1869" s="212">
        <v>40577</v>
      </c>
      <c r="C1869" s="6">
        <v>2</v>
      </c>
      <c r="D1869" s="6">
        <v>1</v>
      </c>
      <c r="E1869" s="6">
        <v>2011</v>
      </c>
      <c r="F1869" s="15" t="s">
        <v>22</v>
      </c>
      <c r="G1869" s="18" t="s">
        <v>6255</v>
      </c>
      <c r="H1869" s="9" t="s">
        <v>88</v>
      </c>
      <c r="I1869" s="53" t="s">
        <v>3242</v>
      </c>
      <c r="J1869" s="53" t="s">
        <v>3241</v>
      </c>
      <c r="K1869" s="13">
        <v>0</v>
      </c>
      <c r="L1869" s="233">
        <v>40903</v>
      </c>
      <c r="M1869" s="13" t="s">
        <v>95</v>
      </c>
      <c r="N1869" s="13" t="s">
        <v>95</v>
      </c>
      <c r="O1869" s="13" t="s">
        <v>95</v>
      </c>
      <c r="P1869" s="13">
        <v>0</v>
      </c>
      <c r="Q1869" s="13"/>
      <c r="R1869" s="26">
        <v>1.5116750000000001</v>
      </c>
      <c r="S1869" s="19" t="s">
        <v>149</v>
      </c>
      <c r="T1869" s="257">
        <f t="shared" si="65"/>
        <v>40903</v>
      </c>
      <c r="U1869" s="257">
        <f t="shared" si="66"/>
        <v>0</v>
      </c>
      <c r="V1869">
        <v>2</v>
      </c>
      <c r="W1869">
        <v>0</v>
      </c>
    </row>
    <row r="1870" spans="1:23" ht="45.6" x14ac:dyDescent="0.3">
      <c r="A1870" s="212">
        <v>40678</v>
      </c>
      <c r="B1870" s="212">
        <v>40678</v>
      </c>
      <c r="C1870" s="6">
        <v>5</v>
      </c>
      <c r="D1870" s="6">
        <v>1</v>
      </c>
      <c r="E1870" s="6">
        <v>2011</v>
      </c>
      <c r="F1870" s="15" t="s">
        <v>22</v>
      </c>
      <c r="G1870" s="82" t="s">
        <v>6256</v>
      </c>
      <c r="H1870" s="9" t="s">
        <v>84</v>
      </c>
      <c r="I1870" s="53" t="s">
        <v>3243</v>
      </c>
      <c r="J1870" s="53" t="s">
        <v>3244</v>
      </c>
      <c r="K1870" s="13">
        <v>0</v>
      </c>
      <c r="L1870" s="233">
        <v>2666</v>
      </c>
      <c r="M1870" s="13" t="s">
        <v>95</v>
      </c>
      <c r="N1870" s="13" t="s">
        <v>95</v>
      </c>
      <c r="O1870" s="13" t="s">
        <v>95</v>
      </c>
      <c r="P1870" s="13">
        <v>0</v>
      </c>
      <c r="Q1870" s="13"/>
      <c r="R1870" s="26">
        <v>1.966</v>
      </c>
      <c r="S1870" s="19" t="s">
        <v>149</v>
      </c>
      <c r="T1870" s="257">
        <f t="shared" si="65"/>
        <v>2666</v>
      </c>
      <c r="U1870" s="257">
        <f t="shared" si="66"/>
        <v>0</v>
      </c>
      <c r="V1870">
        <v>1</v>
      </c>
      <c r="W1870">
        <v>0</v>
      </c>
    </row>
    <row r="1871" spans="1:23" ht="22.8" x14ac:dyDescent="0.3">
      <c r="A1871" s="212">
        <v>40739</v>
      </c>
      <c r="B1871" s="212">
        <v>40739</v>
      </c>
      <c r="C1871" s="6">
        <v>7</v>
      </c>
      <c r="D1871" s="6">
        <v>1</v>
      </c>
      <c r="E1871" s="6">
        <v>2011</v>
      </c>
      <c r="F1871" s="15" t="s">
        <v>22</v>
      </c>
      <c r="G1871" s="18" t="s">
        <v>6256</v>
      </c>
      <c r="H1871" s="9" t="s">
        <v>61</v>
      </c>
      <c r="I1871" s="53" t="s">
        <v>3245</v>
      </c>
      <c r="J1871" s="53" t="s">
        <v>3246</v>
      </c>
      <c r="K1871" s="13">
        <v>0</v>
      </c>
      <c r="L1871" s="233">
        <v>567</v>
      </c>
      <c r="M1871" s="13" t="s">
        <v>95</v>
      </c>
      <c r="N1871" s="13" t="s">
        <v>95</v>
      </c>
      <c r="O1871" s="13" t="s">
        <v>95</v>
      </c>
      <c r="P1871" s="13">
        <v>0</v>
      </c>
      <c r="Q1871" s="13"/>
      <c r="R1871" s="26">
        <v>0.159</v>
      </c>
      <c r="S1871" s="19" t="s">
        <v>149</v>
      </c>
      <c r="T1871" s="257">
        <f t="shared" si="65"/>
        <v>567</v>
      </c>
      <c r="U1871" s="257">
        <f t="shared" si="66"/>
        <v>0</v>
      </c>
      <c r="V1871">
        <v>1</v>
      </c>
      <c r="W1871">
        <v>0</v>
      </c>
    </row>
    <row r="1872" spans="1:23" ht="45.6" x14ac:dyDescent="0.3">
      <c r="A1872" s="212">
        <v>40740</v>
      </c>
      <c r="B1872" s="212">
        <v>40740</v>
      </c>
      <c r="C1872" s="6">
        <v>7</v>
      </c>
      <c r="D1872" s="6">
        <v>1</v>
      </c>
      <c r="E1872" s="6">
        <v>2011</v>
      </c>
      <c r="F1872" s="15" t="s">
        <v>22</v>
      </c>
      <c r="G1872" s="18" t="s">
        <v>6256</v>
      </c>
      <c r="H1872" s="9" t="s">
        <v>61</v>
      </c>
      <c r="I1872" s="53" t="s">
        <v>3247</v>
      </c>
      <c r="J1872" s="53" t="s">
        <v>3248</v>
      </c>
      <c r="K1872" s="13">
        <v>0</v>
      </c>
      <c r="L1872" s="233">
        <v>5816</v>
      </c>
      <c r="M1872" s="13" t="s">
        <v>95</v>
      </c>
      <c r="N1872" s="13" t="s">
        <v>95</v>
      </c>
      <c r="O1872" s="13" t="s">
        <v>95</v>
      </c>
      <c r="P1872" s="13">
        <v>0</v>
      </c>
      <c r="Q1872" s="13"/>
      <c r="R1872" s="26">
        <v>1.7370000000000001</v>
      </c>
      <c r="S1872" s="19" t="s">
        <v>149</v>
      </c>
      <c r="T1872" s="257">
        <f t="shared" si="65"/>
        <v>5816</v>
      </c>
      <c r="U1872" s="257">
        <f t="shared" si="66"/>
        <v>0</v>
      </c>
      <c r="V1872">
        <v>1</v>
      </c>
      <c r="W1872">
        <v>0</v>
      </c>
    </row>
    <row r="1873" spans="1:23" ht="34.200000000000003" x14ac:dyDescent="0.3">
      <c r="A1873" s="212">
        <v>40829</v>
      </c>
      <c r="B1873" s="212">
        <v>40829</v>
      </c>
      <c r="C1873" s="6">
        <v>10</v>
      </c>
      <c r="D1873" s="6">
        <v>1</v>
      </c>
      <c r="E1873" s="6">
        <v>2011</v>
      </c>
      <c r="F1873" s="15" t="s">
        <v>22</v>
      </c>
      <c r="G1873" s="18" t="s">
        <v>6256</v>
      </c>
      <c r="H1873" s="9" t="s">
        <v>112</v>
      </c>
      <c r="I1873" s="53" t="s">
        <v>892</v>
      </c>
      <c r="J1873" s="53" t="s">
        <v>3249</v>
      </c>
      <c r="K1873" s="13">
        <v>0</v>
      </c>
      <c r="L1873" s="233" t="s">
        <v>95</v>
      </c>
      <c r="M1873" s="13" t="s">
        <v>95</v>
      </c>
      <c r="N1873" s="13" t="s">
        <v>95</v>
      </c>
      <c r="O1873" s="13" t="s">
        <v>95</v>
      </c>
      <c r="P1873" s="13">
        <v>0</v>
      </c>
      <c r="Q1873" s="13"/>
      <c r="R1873" s="26">
        <v>3.36</v>
      </c>
      <c r="S1873" s="19" t="s">
        <v>149</v>
      </c>
      <c r="T1873" s="257">
        <f t="shared" si="65"/>
        <v>0</v>
      </c>
      <c r="U1873" s="257">
        <f t="shared" si="66"/>
        <v>0</v>
      </c>
      <c r="V1873">
        <v>0</v>
      </c>
      <c r="W1873">
        <v>0</v>
      </c>
    </row>
    <row r="1874" spans="1:23" ht="45.6" x14ac:dyDescent="0.3">
      <c r="A1874" s="212">
        <v>40554</v>
      </c>
      <c r="B1874" s="212">
        <v>40554</v>
      </c>
      <c r="C1874" s="6">
        <v>1</v>
      </c>
      <c r="D1874" s="6">
        <v>1</v>
      </c>
      <c r="E1874" s="6">
        <v>2011</v>
      </c>
      <c r="F1874" s="15" t="s">
        <v>22</v>
      </c>
      <c r="G1874" s="18" t="s">
        <v>6256</v>
      </c>
      <c r="H1874" s="9" t="s">
        <v>174</v>
      </c>
      <c r="I1874" s="53" t="s">
        <v>3250</v>
      </c>
      <c r="J1874" s="53" t="s">
        <v>3251</v>
      </c>
      <c r="K1874" s="13">
        <v>0</v>
      </c>
      <c r="L1874" s="233">
        <v>1901</v>
      </c>
      <c r="M1874" s="13">
        <v>0</v>
      </c>
      <c r="N1874" s="13">
        <v>0</v>
      </c>
      <c r="O1874" s="13">
        <v>0</v>
      </c>
      <c r="P1874" s="13">
        <v>0</v>
      </c>
      <c r="Q1874" s="13">
        <v>3448.25</v>
      </c>
      <c r="R1874" s="26">
        <v>130.84700000000001</v>
      </c>
      <c r="S1874" s="19" t="s">
        <v>1235</v>
      </c>
      <c r="T1874" s="257">
        <f t="shared" si="65"/>
        <v>1901</v>
      </c>
      <c r="U1874" s="257">
        <f t="shared" si="66"/>
        <v>0</v>
      </c>
      <c r="V1874">
        <v>1</v>
      </c>
      <c r="W1874">
        <v>0</v>
      </c>
    </row>
    <row r="1875" spans="1:23" ht="57" x14ac:dyDescent="0.3">
      <c r="A1875" s="212">
        <v>40544</v>
      </c>
      <c r="B1875" s="212">
        <v>40602</v>
      </c>
      <c r="C1875" s="6">
        <v>1</v>
      </c>
      <c r="D1875" s="6">
        <v>59</v>
      </c>
      <c r="E1875" s="6">
        <v>2011</v>
      </c>
      <c r="F1875" s="15" t="s">
        <v>22</v>
      </c>
      <c r="G1875" s="16" t="s">
        <v>23</v>
      </c>
      <c r="H1875" s="9" t="s">
        <v>28</v>
      </c>
      <c r="I1875" s="53" t="s">
        <v>3252</v>
      </c>
      <c r="J1875" s="53" t="s">
        <v>3253</v>
      </c>
      <c r="K1875" s="13">
        <v>0</v>
      </c>
      <c r="L1875" s="233">
        <v>2447</v>
      </c>
      <c r="M1875" s="13">
        <v>0</v>
      </c>
      <c r="N1875" s="13">
        <v>0</v>
      </c>
      <c r="O1875" s="13">
        <v>0</v>
      </c>
      <c r="P1875" s="13">
        <v>0</v>
      </c>
      <c r="Q1875" s="13">
        <v>0</v>
      </c>
      <c r="R1875" s="26">
        <v>30.870999999999999</v>
      </c>
      <c r="S1875" s="19" t="s">
        <v>327</v>
      </c>
      <c r="T1875" s="257">
        <f t="shared" si="65"/>
        <v>2447</v>
      </c>
      <c r="U1875" s="257">
        <f t="shared" si="66"/>
        <v>0</v>
      </c>
      <c r="V1875">
        <v>1</v>
      </c>
      <c r="W1875">
        <v>0</v>
      </c>
    </row>
    <row r="1876" spans="1:23" ht="45.6" x14ac:dyDescent="0.3">
      <c r="A1876" s="212">
        <v>40544</v>
      </c>
      <c r="B1876" s="212">
        <v>40602</v>
      </c>
      <c r="C1876" s="6">
        <v>1</v>
      </c>
      <c r="D1876" s="6">
        <v>59</v>
      </c>
      <c r="E1876" s="6">
        <v>2011</v>
      </c>
      <c r="F1876" s="15" t="s">
        <v>22</v>
      </c>
      <c r="G1876" s="16" t="s">
        <v>23</v>
      </c>
      <c r="H1876" s="9" t="s">
        <v>41</v>
      </c>
      <c r="I1876" s="53" t="s">
        <v>1355</v>
      </c>
      <c r="J1876" s="53" t="s">
        <v>3254</v>
      </c>
      <c r="K1876" s="13">
        <v>0</v>
      </c>
      <c r="L1876" s="233">
        <v>1363</v>
      </c>
      <c r="M1876" s="13">
        <v>0</v>
      </c>
      <c r="N1876" s="13">
        <v>0</v>
      </c>
      <c r="O1876" s="13">
        <v>0</v>
      </c>
      <c r="P1876" s="13">
        <v>0</v>
      </c>
      <c r="Q1876" s="13">
        <v>0</v>
      </c>
      <c r="R1876" s="26">
        <v>2.851</v>
      </c>
      <c r="S1876" s="19" t="s">
        <v>327</v>
      </c>
      <c r="T1876" s="257">
        <f t="shared" si="65"/>
        <v>1363</v>
      </c>
      <c r="U1876" s="257">
        <f t="shared" si="66"/>
        <v>0</v>
      </c>
      <c r="V1876">
        <v>1</v>
      </c>
      <c r="W1876">
        <v>0</v>
      </c>
    </row>
    <row r="1877" spans="1:23" ht="45.6" x14ac:dyDescent="0.3">
      <c r="A1877" s="212">
        <v>40544</v>
      </c>
      <c r="B1877" s="212">
        <v>40633</v>
      </c>
      <c r="C1877" s="6">
        <v>1</v>
      </c>
      <c r="D1877" s="6">
        <v>90</v>
      </c>
      <c r="E1877" s="6">
        <v>2011</v>
      </c>
      <c r="F1877" s="15" t="s">
        <v>22</v>
      </c>
      <c r="G1877" s="16" t="s">
        <v>23</v>
      </c>
      <c r="H1877" s="9" t="s">
        <v>70</v>
      </c>
      <c r="I1877" s="53" t="s">
        <v>3215</v>
      </c>
      <c r="J1877" s="53" t="s">
        <v>3255</v>
      </c>
      <c r="K1877" s="13">
        <v>0</v>
      </c>
      <c r="L1877" s="233">
        <v>6886</v>
      </c>
      <c r="M1877" s="13">
        <v>0</v>
      </c>
      <c r="N1877" s="13">
        <v>0</v>
      </c>
      <c r="O1877" s="13">
        <v>0</v>
      </c>
      <c r="P1877" s="13">
        <v>0</v>
      </c>
      <c r="Q1877" s="13">
        <v>0</v>
      </c>
      <c r="R1877" s="26">
        <v>19.126999999999999</v>
      </c>
      <c r="S1877" s="19" t="s">
        <v>327</v>
      </c>
      <c r="T1877" s="257">
        <f t="shared" si="65"/>
        <v>6886</v>
      </c>
      <c r="U1877" s="257">
        <f t="shared" si="66"/>
        <v>0</v>
      </c>
      <c r="V1877">
        <v>1</v>
      </c>
      <c r="W1877">
        <v>0</v>
      </c>
    </row>
    <row r="1878" spans="1:23" ht="45.6" x14ac:dyDescent="0.3">
      <c r="A1878" s="212">
        <v>40544</v>
      </c>
      <c r="B1878" s="212">
        <v>40633</v>
      </c>
      <c r="C1878" s="6">
        <v>1</v>
      </c>
      <c r="D1878" s="6">
        <v>90</v>
      </c>
      <c r="E1878" s="6">
        <v>2011</v>
      </c>
      <c r="F1878" s="15" t="s">
        <v>22</v>
      </c>
      <c r="G1878" s="16" t="s">
        <v>23</v>
      </c>
      <c r="H1878" s="9" t="s">
        <v>174</v>
      </c>
      <c r="I1878" s="53" t="s">
        <v>3256</v>
      </c>
      <c r="J1878" s="53" t="s">
        <v>3257</v>
      </c>
      <c r="K1878" s="13">
        <v>0</v>
      </c>
      <c r="L1878" s="233">
        <v>12577</v>
      </c>
      <c r="M1878" s="13">
        <v>0</v>
      </c>
      <c r="N1878" s="13">
        <v>0</v>
      </c>
      <c r="O1878" s="13">
        <v>0</v>
      </c>
      <c r="P1878" s="13">
        <v>0</v>
      </c>
      <c r="Q1878" s="13">
        <v>31342.400000000001</v>
      </c>
      <c r="R1878" s="26">
        <v>484.291</v>
      </c>
      <c r="S1878" s="19" t="s">
        <v>1235</v>
      </c>
      <c r="T1878" s="257">
        <f t="shared" si="65"/>
        <v>12577</v>
      </c>
      <c r="U1878" s="257">
        <f t="shared" si="66"/>
        <v>0</v>
      </c>
      <c r="V1878">
        <v>2</v>
      </c>
      <c r="W1878">
        <v>0</v>
      </c>
    </row>
    <row r="1879" spans="1:23" ht="34.200000000000003" x14ac:dyDescent="0.3">
      <c r="A1879" s="212">
        <v>40634</v>
      </c>
      <c r="B1879" s="212">
        <v>40634</v>
      </c>
      <c r="C1879" s="6">
        <v>4</v>
      </c>
      <c r="D1879" s="6">
        <v>1</v>
      </c>
      <c r="E1879" s="6">
        <v>2011</v>
      </c>
      <c r="F1879" s="15" t="s">
        <v>22</v>
      </c>
      <c r="G1879" s="16" t="s">
        <v>23</v>
      </c>
      <c r="H1879" s="9" t="s">
        <v>70</v>
      </c>
      <c r="I1879" s="53" t="s">
        <v>3258</v>
      </c>
      <c r="J1879" s="53" t="s">
        <v>3259</v>
      </c>
      <c r="K1879" s="13">
        <v>0</v>
      </c>
      <c r="L1879" s="233">
        <v>265</v>
      </c>
      <c r="M1879" s="13">
        <v>0</v>
      </c>
      <c r="N1879" s="13">
        <v>0</v>
      </c>
      <c r="O1879" s="13"/>
      <c r="P1879" s="13">
        <v>0</v>
      </c>
      <c r="Q1879" s="13">
        <v>266.75</v>
      </c>
      <c r="R1879" s="26">
        <v>12.372419466549999</v>
      </c>
      <c r="S1879" s="19" t="s">
        <v>1235</v>
      </c>
      <c r="T1879" s="257">
        <f t="shared" si="65"/>
        <v>265</v>
      </c>
      <c r="U1879" s="257">
        <f t="shared" si="66"/>
        <v>0</v>
      </c>
      <c r="V1879">
        <v>1</v>
      </c>
      <c r="W1879">
        <v>0</v>
      </c>
    </row>
    <row r="1880" spans="1:23" ht="57" x14ac:dyDescent="0.3">
      <c r="A1880" s="212">
        <v>40575</v>
      </c>
      <c r="B1880" s="212">
        <v>40575</v>
      </c>
      <c r="C1880" s="6">
        <v>2</v>
      </c>
      <c r="D1880" s="6">
        <v>1</v>
      </c>
      <c r="E1880" s="6">
        <v>2011</v>
      </c>
      <c r="F1880" s="15" t="s">
        <v>22</v>
      </c>
      <c r="G1880" s="16" t="s">
        <v>23</v>
      </c>
      <c r="H1880" s="9" t="s">
        <v>64</v>
      </c>
      <c r="I1880" s="53" t="s">
        <v>3260</v>
      </c>
      <c r="J1880" s="53" t="s">
        <v>3261</v>
      </c>
      <c r="K1880" s="13">
        <v>0</v>
      </c>
      <c r="L1880" s="233">
        <v>6022</v>
      </c>
      <c r="M1880" s="13">
        <v>0</v>
      </c>
      <c r="N1880" s="13">
        <v>0</v>
      </c>
      <c r="O1880" s="13">
        <v>0</v>
      </c>
      <c r="P1880" s="13">
        <v>0</v>
      </c>
      <c r="Q1880" s="13">
        <v>5341.14</v>
      </c>
      <c r="R1880" s="26">
        <v>24.84</v>
      </c>
      <c r="S1880" s="19" t="s">
        <v>1235</v>
      </c>
      <c r="T1880" s="257">
        <f t="shared" si="65"/>
        <v>6022</v>
      </c>
      <c r="U1880" s="257">
        <f t="shared" si="66"/>
        <v>0</v>
      </c>
      <c r="V1880">
        <v>1</v>
      </c>
      <c r="W1880">
        <v>0</v>
      </c>
    </row>
    <row r="1881" spans="1:23" ht="57" x14ac:dyDescent="0.3">
      <c r="A1881" s="212">
        <v>40664</v>
      </c>
      <c r="B1881" s="212">
        <v>40664</v>
      </c>
      <c r="C1881" s="6">
        <v>5</v>
      </c>
      <c r="D1881" s="6">
        <v>1</v>
      </c>
      <c r="E1881" s="6">
        <v>2011</v>
      </c>
      <c r="F1881" s="15" t="s">
        <v>22</v>
      </c>
      <c r="G1881" s="16" t="s">
        <v>23</v>
      </c>
      <c r="H1881" s="9" t="s">
        <v>64</v>
      </c>
      <c r="I1881" s="53" t="s">
        <v>3262</v>
      </c>
      <c r="J1881" s="53" t="s">
        <v>3263</v>
      </c>
      <c r="K1881" s="13">
        <v>0</v>
      </c>
      <c r="L1881" s="233">
        <v>259</v>
      </c>
      <c r="M1881" s="13">
        <v>0</v>
      </c>
      <c r="N1881" s="13">
        <v>0</v>
      </c>
      <c r="O1881" s="13">
        <v>0</v>
      </c>
      <c r="P1881" s="13">
        <v>0</v>
      </c>
      <c r="Q1881" s="13">
        <v>0</v>
      </c>
      <c r="R1881" s="26">
        <v>2.4180000000000001</v>
      </c>
      <c r="S1881" s="19" t="s">
        <v>3264</v>
      </c>
      <c r="T1881" s="257">
        <f t="shared" si="65"/>
        <v>259</v>
      </c>
      <c r="U1881" s="257">
        <f t="shared" si="66"/>
        <v>0</v>
      </c>
      <c r="V1881">
        <v>1</v>
      </c>
      <c r="W1881">
        <v>0</v>
      </c>
    </row>
    <row r="1882" spans="1:23" ht="57" x14ac:dyDescent="0.3">
      <c r="A1882" s="212">
        <v>40664</v>
      </c>
      <c r="B1882" s="212">
        <v>40664</v>
      </c>
      <c r="C1882" s="6">
        <v>5</v>
      </c>
      <c r="D1882" s="6">
        <v>1</v>
      </c>
      <c r="E1882" s="6">
        <v>2011</v>
      </c>
      <c r="F1882" s="15" t="s">
        <v>22</v>
      </c>
      <c r="G1882" s="16" t="s">
        <v>23</v>
      </c>
      <c r="H1882" s="9" t="s">
        <v>70</v>
      </c>
      <c r="I1882" s="53" t="s">
        <v>3265</v>
      </c>
      <c r="J1882" s="53" t="s">
        <v>3263</v>
      </c>
      <c r="K1882" s="13">
        <v>0</v>
      </c>
      <c r="L1882" s="233">
        <v>5610</v>
      </c>
      <c r="M1882" s="13">
        <v>0</v>
      </c>
      <c r="N1882" s="13">
        <v>0</v>
      </c>
      <c r="O1882" s="13">
        <v>0</v>
      </c>
      <c r="P1882" s="13">
        <v>0</v>
      </c>
      <c r="Q1882" s="13">
        <v>0</v>
      </c>
      <c r="R1882" s="26">
        <v>14.895</v>
      </c>
      <c r="S1882" s="19" t="s">
        <v>3264</v>
      </c>
      <c r="T1882" s="257">
        <f t="shared" si="65"/>
        <v>5610</v>
      </c>
      <c r="U1882" s="257">
        <f t="shared" si="66"/>
        <v>0</v>
      </c>
      <c r="V1882">
        <v>1</v>
      </c>
      <c r="W1882">
        <v>0</v>
      </c>
    </row>
    <row r="1883" spans="1:23" ht="57" x14ac:dyDescent="0.3">
      <c r="A1883" s="212">
        <v>40603</v>
      </c>
      <c r="B1883" s="212">
        <v>40603</v>
      </c>
      <c r="C1883" s="6">
        <v>3</v>
      </c>
      <c r="D1883" s="6">
        <v>1</v>
      </c>
      <c r="E1883" s="6">
        <v>2011</v>
      </c>
      <c r="F1883" s="15" t="s">
        <v>22</v>
      </c>
      <c r="G1883" s="16" t="s">
        <v>23</v>
      </c>
      <c r="H1883" s="9" t="s">
        <v>57</v>
      </c>
      <c r="I1883" s="53" t="s">
        <v>3266</v>
      </c>
      <c r="J1883" s="53" t="s">
        <v>3263</v>
      </c>
      <c r="K1883" s="13">
        <v>0</v>
      </c>
      <c r="L1883" s="233">
        <v>12206</v>
      </c>
      <c r="M1883" s="13">
        <v>0</v>
      </c>
      <c r="N1883" s="13">
        <v>0</v>
      </c>
      <c r="O1883" s="13">
        <v>0</v>
      </c>
      <c r="P1883" s="13">
        <v>0</v>
      </c>
      <c r="Q1883" s="13">
        <v>0</v>
      </c>
      <c r="R1883" s="26">
        <v>12.811</v>
      </c>
      <c r="S1883" s="19" t="s">
        <v>3264</v>
      </c>
      <c r="T1883" s="257">
        <f t="shared" si="65"/>
        <v>12206</v>
      </c>
      <c r="U1883" s="257">
        <f t="shared" si="66"/>
        <v>0</v>
      </c>
      <c r="V1883">
        <v>2</v>
      </c>
      <c r="W1883">
        <v>0</v>
      </c>
    </row>
    <row r="1884" spans="1:23" ht="34.200000000000003" x14ac:dyDescent="0.3">
      <c r="A1884" s="212">
        <v>40697</v>
      </c>
      <c r="B1884" s="212">
        <v>40697</v>
      </c>
      <c r="C1884" s="6">
        <v>6</v>
      </c>
      <c r="D1884" s="6">
        <v>1</v>
      </c>
      <c r="E1884" s="6">
        <v>2011</v>
      </c>
      <c r="F1884" s="15" t="s">
        <v>22</v>
      </c>
      <c r="G1884" s="18" t="s">
        <v>6255</v>
      </c>
      <c r="H1884" s="9" t="s">
        <v>174</v>
      </c>
      <c r="I1884" s="53" t="s">
        <v>3267</v>
      </c>
      <c r="J1884" s="53" t="s">
        <v>3268</v>
      </c>
      <c r="K1884" s="13">
        <v>0</v>
      </c>
      <c r="L1884" s="233">
        <v>2839</v>
      </c>
      <c r="M1884" s="13">
        <v>0</v>
      </c>
      <c r="N1884" s="13">
        <v>0</v>
      </c>
      <c r="O1884" s="13">
        <v>0</v>
      </c>
      <c r="P1884" s="13">
        <v>0</v>
      </c>
      <c r="Q1884" s="13">
        <v>9282.52</v>
      </c>
      <c r="R1884" s="26">
        <v>76.867000000000004</v>
      </c>
      <c r="S1884" s="19" t="s">
        <v>1235</v>
      </c>
      <c r="T1884" s="257">
        <f t="shared" si="65"/>
        <v>2839</v>
      </c>
      <c r="U1884" s="257">
        <f t="shared" si="66"/>
        <v>0</v>
      </c>
      <c r="V1884">
        <v>1</v>
      </c>
      <c r="W1884">
        <v>0</v>
      </c>
    </row>
    <row r="1885" spans="1:23" ht="45.6" x14ac:dyDescent="0.3">
      <c r="A1885" s="212">
        <v>40696</v>
      </c>
      <c r="B1885" s="212">
        <v>40696</v>
      </c>
      <c r="C1885" s="6">
        <v>6</v>
      </c>
      <c r="D1885" s="6">
        <v>1</v>
      </c>
      <c r="E1885" s="6">
        <v>2011</v>
      </c>
      <c r="F1885" s="15" t="s">
        <v>22</v>
      </c>
      <c r="G1885" s="18" t="s">
        <v>6255</v>
      </c>
      <c r="H1885" s="9" t="s">
        <v>64</v>
      </c>
      <c r="I1885" s="53" t="s">
        <v>3269</v>
      </c>
      <c r="J1885" s="53" t="s">
        <v>3270</v>
      </c>
      <c r="K1885" s="13">
        <v>0</v>
      </c>
      <c r="L1885" s="233">
        <v>483</v>
      </c>
      <c r="M1885" s="13">
        <v>0</v>
      </c>
      <c r="N1885" s="13">
        <v>0</v>
      </c>
      <c r="O1885" s="13">
        <v>0</v>
      </c>
      <c r="P1885" s="13">
        <v>0</v>
      </c>
      <c r="Q1885" s="13">
        <v>1582.15</v>
      </c>
      <c r="R1885" s="26">
        <v>11.606493552140002</v>
      </c>
      <c r="S1885" s="19" t="s">
        <v>1235</v>
      </c>
      <c r="T1885" s="257">
        <f t="shared" si="65"/>
        <v>483</v>
      </c>
      <c r="U1885" s="257">
        <f t="shared" si="66"/>
        <v>0</v>
      </c>
      <c r="V1885">
        <v>1</v>
      </c>
      <c r="W1885">
        <v>0</v>
      </c>
    </row>
    <row r="1886" spans="1:23" ht="45.6" x14ac:dyDescent="0.3">
      <c r="A1886" s="212">
        <v>40696</v>
      </c>
      <c r="B1886" s="212">
        <v>40696</v>
      </c>
      <c r="C1886" s="6">
        <v>6</v>
      </c>
      <c r="D1886" s="6">
        <v>1</v>
      </c>
      <c r="E1886" s="6">
        <v>2011</v>
      </c>
      <c r="F1886" s="15" t="s">
        <v>22</v>
      </c>
      <c r="G1886" s="18" t="s">
        <v>6255</v>
      </c>
      <c r="H1886" s="9" t="s">
        <v>84</v>
      </c>
      <c r="I1886" s="53" t="s">
        <v>1857</v>
      </c>
      <c r="J1886" s="53" t="s">
        <v>3271</v>
      </c>
      <c r="K1886" s="13">
        <v>0</v>
      </c>
      <c r="L1886" s="233">
        <v>1152</v>
      </c>
      <c r="M1886" s="13">
        <v>0</v>
      </c>
      <c r="N1886" s="13">
        <v>0</v>
      </c>
      <c r="O1886" s="13">
        <v>0</v>
      </c>
      <c r="P1886" s="13">
        <v>0</v>
      </c>
      <c r="Q1886" s="13">
        <v>3648.25</v>
      </c>
      <c r="R1886" s="26">
        <v>29.992000000000001</v>
      </c>
      <c r="S1886" s="19" t="s">
        <v>1235</v>
      </c>
      <c r="T1886" s="257">
        <f t="shared" si="65"/>
        <v>1152</v>
      </c>
      <c r="U1886" s="257">
        <f t="shared" si="66"/>
        <v>0</v>
      </c>
      <c r="V1886">
        <v>1</v>
      </c>
      <c r="W1886">
        <v>0</v>
      </c>
    </row>
    <row r="1887" spans="1:23" ht="68.400000000000006" x14ac:dyDescent="0.3">
      <c r="A1887" s="212">
        <v>40664</v>
      </c>
      <c r="B1887" s="212">
        <v>40664</v>
      </c>
      <c r="C1887" s="6">
        <v>5</v>
      </c>
      <c r="D1887" s="6">
        <v>1</v>
      </c>
      <c r="E1887" s="6">
        <v>2011</v>
      </c>
      <c r="F1887" s="15" t="s">
        <v>22</v>
      </c>
      <c r="G1887" s="16" t="s">
        <v>23</v>
      </c>
      <c r="H1887" s="9" t="s">
        <v>174</v>
      </c>
      <c r="I1887" s="53" t="s">
        <v>3272</v>
      </c>
      <c r="J1887" s="53" t="s">
        <v>3273</v>
      </c>
      <c r="K1887" s="13">
        <v>0</v>
      </c>
      <c r="L1887" s="233">
        <v>1796</v>
      </c>
      <c r="M1887" s="13">
        <v>0</v>
      </c>
      <c r="N1887" s="13">
        <v>0</v>
      </c>
      <c r="O1887" s="13">
        <v>0</v>
      </c>
      <c r="P1887" s="13">
        <v>0</v>
      </c>
      <c r="Q1887" s="13">
        <v>3447</v>
      </c>
      <c r="R1887" s="26">
        <v>45.786999999999999</v>
      </c>
      <c r="S1887" s="19" t="s">
        <v>1235</v>
      </c>
      <c r="T1887" s="257">
        <f t="shared" si="65"/>
        <v>1796</v>
      </c>
      <c r="U1887" s="257">
        <f t="shared" si="66"/>
        <v>0</v>
      </c>
      <c r="V1887">
        <v>1</v>
      </c>
      <c r="W1887">
        <v>0</v>
      </c>
    </row>
    <row r="1888" spans="1:23" ht="45.6" x14ac:dyDescent="0.3">
      <c r="A1888" s="212">
        <v>40696</v>
      </c>
      <c r="B1888" s="212">
        <v>40696</v>
      </c>
      <c r="C1888" s="6">
        <v>6</v>
      </c>
      <c r="D1888" s="6">
        <v>1</v>
      </c>
      <c r="E1888" s="6">
        <v>2011</v>
      </c>
      <c r="F1888" s="15" t="s">
        <v>22</v>
      </c>
      <c r="G1888" s="18" t="s">
        <v>6255</v>
      </c>
      <c r="H1888" s="9" t="s">
        <v>64</v>
      </c>
      <c r="I1888" s="53" t="s">
        <v>3274</v>
      </c>
      <c r="J1888" s="53" t="s">
        <v>3275</v>
      </c>
      <c r="K1888" s="13">
        <v>0</v>
      </c>
      <c r="L1888" s="233">
        <v>2575</v>
      </c>
      <c r="M1888" s="13">
        <v>0</v>
      </c>
      <c r="N1888" s="13">
        <v>0</v>
      </c>
      <c r="O1888" s="13">
        <v>0</v>
      </c>
      <c r="P1888" s="13">
        <v>0</v>
      </c>
      <c r="Q1888" s="13">
        <v>6987.5</v>
      </c>
      <c r="R1888" s="26">
        <v>51.259</v>
      </c>
      <c r="S1888" s="19" t="s">
        <v>1235</v>
      </c>
      <c r="T1888" s="257">
        <f t="shared" si="65"/>
        <v>2575</v>
      </c>
      <c r="U1888" s="257">
        <f t="shared" si="66"/>
        <v>0</v>
      </c>
      <c r="V1888">
        <v>1</v>
      </c>
      <c r="W1888">
        <v>0</v>
      </c>
    </row>
    <row r="1889" spans="1:23" ht="45.6" x14ac:dyDescent="0.3">
      <c r="A1889" s="212">
        <v>40664</v>
      </c>
      <c r="B1889" s="212">
        <v>40664</v>
      </c>
      <c r="C1889" s="6">
        <v>5</v>
      </c>
      <c r="D1889" s="6">
        <v>1</v>
      </c>
      <c r="E1889" s="6">
        <v>2011</v>
      </c>
      <c r="F1889" s="15" t="s">
        <v>22</v>
      </c>
      <c r="G1889" s="16" t="s">
        <v>23</v>
      </c>
      <c r="H1889" s="9" t="s">
        <v>174</v>
      </c>
      <c r="I1889" s="53" t="s">
        <v>3276</v>
      </c>
      <c r="J1889" s="53" t="s">
        <v>3277</v>
      </c>
      <c r="K1889" s="13">
        <v>0</v>
      </c>
      <c r="L1889" s="233">
        <v>1979</v>
      </c>
      <c r="M1889" s="13">
        <v>0</v>
      </c>
      <c r="N1889" s="13">
        <v>0</v>
      </c>
      <c r="O1889" s="13">
        <v>0</v>
      </c>
      <c r="P1889" s="13">
        <v>0</v>
      </c>
      <c r="Q1889" s="13">
        <v>7072.14</v>
      </c>
      <c r="R1889" s="26">
        <v>66.852000000000004</v>
      </c>
      <c r="S1889" s="19" t="s">
        <v>1235</v>
      </c>
      <c r="T1889" s="257">
        <f t="shared" si="65"/>
        <v>1979</v>
      </c>
      <c r="U1889" s="257">
        <f t="shared" si="66"/>
        <v>0</v>
      </c>
      <c r="V1889">
        <v>1</v>
      </c>
      <c r="W1889">
        <v>0</v>
      </c>
    </row>
    <row r="1890" spans="1:23" ht="79.8" x14ac:dyDescent="0.3">
      <c r="A1890" s="212">
        <v>40715</v>
      </c>
      <c r="B1890" s="212">
        <v>40715</v>
      </c>
      <c r="C1890" s="6">
        <v>6</v>
      </c>
      <c r="D1890" s="6">
        <v>1</v>
      </c>
      <c r="E1890" s="6">
        <v>2011</v>
      </c>
      <c r="F1890" s="15" t="s">
        <v>22</v>
      </c>
      <c r="G1890" s="18" t="s">
        <v>6256</v>
      </c>
      <c r="H1890" s="9" t="s">
        <v>52</v>
      </c>
      <c r="I1890" s="53" t="s">
        <v>3022</v>
      </c>
      <c r="J1890" s="53" t="s">
        <v>3278</v>
      </c>
      <c r="K1890" s="13">
        <v>0</v>
      </c>
      <c r="L1890" s="233">
        <v>598</v>
      </c>
      <c r="M1890" s="13">
        <v>0</v>
      </c>
      <c r="N1890" s="13">
        <v>0</v>
      </c>
      <c r="O1890" s="13">
        <v>0</v>
      </c>
      <c r="P1890" s="13">
        <v>0</v>
      </c>
      <c r="Q1890" s="13">
        <v>1591.99</v>
      </c>
      <c r="R1890" s="26">
        <v>81.253</v>
      </c>
      <c r="S1890" s="19" t="s">
        <v>1235</v>
      </c>
      <c r="T1890" s="257">
        <f t="shared" si="65"/>
        <v>598</v>
      </c>
      <c r="U1890" s="257">
        <f t="shared" si="66"/>
        <v>0</v>
      </c>
      <c r="V1890">
        <v>1</v>
      </c>
      <c r="W1890">
        <v>0</v>
      </c>
    </row>
    <row r="1891" spans="1:23" ht="57" x14ac:dyDescent="0.3">
      <c r="A1891" s="212">
        <v>40664</v>
      </c>
      <c r="B1891" s="212">
        <v>40664</v>
      </c>
      <c r="C1891" s="6">
        <v>5</v>
      </c>
      <c r="D1891" s="6">
        <v>1</v>
      </c>
      <c r="E1891" s="6">
        <v>2011</v>
      </c>
      <c r="F1891" s="15" t="s">
        <v>22</v>
      </c>
      <c r="G1891" s="16" t="s">
        <v>23</v>
      </c>
      <c r="H1891" s="9" t="s">
        <v>51</v>
      </c>
      <c r="I1891" s="53" t="s">
        <v>3279</v>
      </c>
      <c r="J1891" s="53" t="s">
        <v>3280</v>
      </c>
      <c r="K1891" s="13">
        <v>0</v>
      </c>
      <c r="L1891" s="233">
        <v>4437</v>
      </c>
      <c r="M1891" s="13">
        <v>0</v>
      </c>
      <c r="N1891" s="13">
        <v>0</v>
      </c>
      <c r="O1891" s="13">
        <v>0</v>
      </c>
      <c r="P1891" s="13">
        <v>0</v>
      </c>
      <c r="Q1891" s="13">
        <v>0</v>
      </c>
      <c r="R1891" s="26">
        <v>10.375999999999999</v>
      </c>
      <c r="S1891" s="19" t="s">
        <v>3264</v>
      </c>
      <c r="T1891" s="257">
        <f t="shared" si="65"/>
        <v>4437</v>
      </c>
      <c r="U1891" s="257">
        <f t="shared" si="66"/>
        <v>0</v>
      </c>
      <c r="V1891">
        <v>1</v>
      </c>
      <c r="W1891">
        <v>0</v>
      </c>
    </row>
    <row r="1892" spans="1:23" ht="45.6" x14ac:dyDescent="0.3">
      <c r="A1892" s="212">
        <v>40634</v>
      </c>
      <c r="B1892" s="212">
        <v>40634</v>
      </c>
      <c r="C1892" s="6">
        <v>4</v>
      </c>
      <c r="D1892" s="6">
        <v>1</v>
      </c>
      <c r="E1892" s="6">
        <v>2011</v>
      </c>
      <c r="F1892" s="15" t="s">
        <v>22</v>
      </c>
      <c r="G1892" s="16" t="s">
        <v>23</v>
      </c>
      <c r="H1892" s="9" t="s">
        <v>64</v>
      </c>
      <c r="I1892" s="53" t="s">
        <v>3281</v>
      </c>
      <c r="J1892" s="53" t="s">
        <v>3282</v>
      </c>
      <c r="K1892" s="13">
        <v>0</v>
      </c>
      <c r="L1892" s="233">
        <v>670</v>
      </c>
      <c r="M1892" s="13">
        <v>0</v>
      </c>
      <c r="N1892" s="13">
        <v>0</v>
      </c>
      <c r="O1892" s="13">
        <v>0</v>
      </c>
      <c r="P1892" s="13">
        <v>0</v>
      </c>
      <c r="Q1892" s="13">
        <v>407</v>
      </c>
      <c r="R1892" s="26">
        <v>4.7189999999999994</v>
      </c>
      <c r="S1892" s="19" t="s">
        <v>1235</v>
      </c>
      <c r="T1892" s="257">
        <f t="shared" si="65"/>
        <v>670</v>
      </c>
      <c r="U1892" s="257">
        <f t="shared" si="66"/>
        <v>0</v>
      </c>
      <c r="V1892">
        <v>1</v>
      </c>
      <c r="W1892">
        <v>0</v>
      </c>
    </row>
    <row r="1893" spans="1:23" ht="45.6" x14ac:dyDescent="0.3">
      <c r="A1893" s="212">
        <v>40634</v>
      </c>
      <c r="B1893" s="212">
        <v>40634</v>
      </c>
      <c r="C1893" s="6">
        <v>4</v>
      </c>
      <c r="D1893" s="6">
        <v>1</v>
      </c>
      <c r="E1893" s="6">
        <v>2011</v>
      </c>
      <c r="F1893" s="15" t="s">
        <v>22</v>
      </c>
      <c r="G1893" s="16" t="s">
        <v>23</v>
      </c>
      <c r="H1893" s="9" t="s">
        <v>52</v>
      </c>
      <c r="I1893" s="53" t="s">
        <v>3283</v>
      </c>
      <c r="J1893" s="53" t="s">
        <v>3284</v>
      </c>
      <c r="K1893" s="13">
        <v>0</v>
      </c>
      <c r="L1893" s="233">
        <v>1749</v>
      </c>
      <c r="M1893" s="13">
        <v>0</v>
      </c>
      <c r="N1893" s="13">
        <v>0</v>
      </c>
      <c r="O1893" s="13">
        <v>0</v>
      </c>
      <c r="P1893" s="13">
        <v>0</v>
      </c>
      <c r="Q1893" s="13">
        <v>1172.6300000000001</v>
      </c>
      <c r="R1893" s="26">
        <v>47.408999999999999</v>
      </c>
      <c r="S1893" s="19" t="s">
        <v>1235</v>
      </c>
      <c r="T1893" s="257">
        <f t="shared" si="65"/>
        <v>1749</v>
      </c>
      <c r="U1893" s="257">
        <f t="shared" si="66"/>
        <v>0</v>
      </c>
      <c r="V1893">
        <v>1</v>
      </c>
      <c r="W1893">
        <v>0</v>
      </c>
    </row>
    <row r="1894" spans="1:23" ht="45.6" x14ac:dyDescent="0.3">
      <c r="A1894" s="212">
        <v>40634</v>
      </c>
      <c r="B1894" s="212">
        <v>40634</v>
      </c>
      <c r="C1894" s="6">
        <v>4</v>
      </c>
      <c r="D1894" s="6">
        <v>1</v>
      </c>
      <c r="E1894" s="6">
        <v>2011</v>
      </c>
      <c r="F1894" s="15" t="s">
        <v>22</v>
      </c>
      <c r="G1894" s="16" t="s">
        <v>23</v>
      </c>
      <c r="H1894" s="9" t="s">
        <v>174</v>
      </c>
      <c r="I1894" s="53" t="s">
        <v>3285</v>
      </c>
      <c r="J1894" s="53" t="s">
        <v>3286</v>
      </c>
      <c r="K1894" s="13">
        <v>0</v>
      </c>
      <c r="L1894" s="233">
        <v>1823</v>
      </c>
      <c r="M1894" s="13">
        <v>0</v>
      </c>
      <c r="N1894" s="13">
        <v>0</v>
      </c>
      <c r="O1894" s="13">
        <v>0</v>
      </c>
      <c r="P1894" s="13">
        <v>0</v>
      </c>
      <c r="Q1894" s="13">
        <v>4517.5</v>
      </c>
      <c r="R1894" s="26">
        <v>31.843</v>
      </c>
      <c r="S1894" s="19" t="s">
        <v>1235</v>
      </c>
      <c r="T1894" s="257">
        <f t="shared" si="65"/>
        <v>1823</v>
      </c>
      <c r="U1894" s="257">
        <f t="shared" si="66"/>
        <v>0</v>
      </c>
      <c r="V1894">
        <v>1</v>
      </c>
      <c r="W1894">
        <v>0</v>
      </c>
    </row>
    <row r="1895" spans="1:23" ht="57" x14ac:dyDescent="0.3">
      <c r="A1895" s="212">
        <v>40723</v>
      </c>
      <c r="B1895" s="212">
        <v>40723</v>
      </c>
      <c r="C1895" s="6">
        <v>6</v>
      </c>
      <c r="D1895" s="6">
        <v>1</v>
      </c>
      <c r="E1895" s="6">
        <v>2011</v>
      </c>
      <c r="F1895" s="15" t="s">
        <v>22</v>
      </c>
      <c r="G1895" s="18" t="s">
        <v>6256</v>
      </c>
      <c r="H1895" s="9" t="s">
        <v>174</v>
      </c>
      <c r="I1895" s="53" t="s">
        <v>3287</v>
      </c>
      <c r="J1895" s="53" t="s">
        <v>3288</v>
      </c>
      <c r="K1895" s="13">
        <v>0</v>
      </c>
      <c r="L1895" s="233">
        <v>361</v>
      </c>
      <c r="M1895" s="13">
        <v>0</v>
      </c>
      <c r="N1895" s="13">
        <v>0</v>
      </c>
      <c r="O1895" s="13">
        <v>0</v>
      </c>
      <c r="P1895" s="13">
        <v>0</v>
      </c>
      <c r="Q1895" s="13">
        <v>249</v>
      </c>
      <c r="R1895" s="26">
        <v>3.9339999999999997</v>
      </c>
      <c r="S1895" s="19" t="s">
        <v>1235</v>
      </c>
      <c r="T1895" s="257">
        <f t="shared" si="65"/>
        <v>361</v>
      </c>
      <c r="U1895" s="257">
        <f t="shared" si="66"/>
        <v>0</v>
      </c>
      <c r="V1895">
        <v>1</v>
      </c>
      <c r="W1895">
        <v>0</v>
      </c>
    </row>
    <row r="1896" spans="1:23" ht="45.6" x14ac:dyDescent="0.3">
      <c r="A1896" s="212">
        <v>40724</v>
      </c>
      <c r="B1896" s="212">
        <v>40724</v>
      </c>
      <c r="C1896" s="6">
        <v>6</v>
      </c>
      <c r="D1896" s="6">
        <v>1</v>
      </c>
      <c r="E1896" s="6">
        <v>2011</v>
      </c>
      <c r="F1896" s="15" t="s">
        <v>22</v>
      </c>
      <c r="G1896" s="18" t="s">
        <v>6256</v>
      </c>
      <c r="H1896" s="9" t="s">
        <v>70</v>
      </c>
      <c r="I1896" s="53" t="s">
        <v>3289</v>
      </c>
      <c r="J1896" s="53" t="s">
        <v>3290</v>
      </c>
      <c r="K1896" s="13">
        <v>0</v>
      </c>
      <c r="L1896" s="233">
        <v>1913</v>
      </c>
      <c r="M1896" s="13">
        <v>0</v>
      </c>
      <c r="N1896" s="13">
        <v>0</v>
      </c>
      <c r="O1896" s="13">
        <v>0</v>
      </c>
      <c r="P1896" s="13">
        <v>0</v>
      </c>
      <c r="Q1896" s="13">
        <v>6476.45</v>
      </c>
      <c r="R1896" s="26">
        <v>18.483000000000001</v>
      </c>
      <c r="S1896" s="19" t="s">
        <v>1235</v>
      </c>
      <c r="T1896" s="257">
        <f t="shared" si="65"/>
        <v>1913</v>
      </c>
      <c r="U1896" s="257">
        <f t="shared" si="66"/>
        <v>0</v>
      </c>
      <c r="V1896">
        <v>1</v>
      </c>
      <c r="W1896">
        <v>0</v>
      </c>
    </row>
    <row r="1897" spans="1:23" ht="34.200000000000003" x14ac:dyDescent="0.3">
      <c r="A1897" s="212">
        <v>40695</v>
      </c>
      <c r="B1897" s="212">
        <v>40695</v>
      </c>
      <c r="C1897" s="6">
        <v>6</v>
      </c>
      <c r="D1897" s="6">
        <v>1</v>
      </c>
      <c r="E1897" s="6">
        <v>2011</v>
      </c>
      <c r="F1897" s="15" t="s">
        <v>22</v>
      </c>
      <c r="G1897" s="16" t="s">
        <v>23</v>
      </c>
      <c r="H1897" s="9" t="s">
        <v>51</v>
      </c>
      <c r="I1897" s="53" t="s">
        <v>3291</v>
      </c>
      <c r="J1897" s="53" t="s">
        <v>3292</v>
      </c>
      <c r="K1897" s="13">
        <v>0</v>
      </c>
      <c r="L1897" s="233">
        <v>1002</v>
      </c>
      <c r="M1897" s="13">
        <v>0</v>
      </c>
      <c r="N1897" s="13">
        <v>0</v>
      </c>
      <c r="O1897" s="13">
        <v>0</v>
      </c>
      <c r="P1897" s="13">
        <v>0</v>
      </c>
      <c r="Q1897" s="13">
        <v>0</v>
      </c>
      <c r="R1897" s="26">
        <v>3.8319999999999999</v>
      </c>
      <c r="S1897" s="19" t="s">
        <v>3264</v>
      </c>
      <c r="T1897" s="257">
        <f t="shared" si="65"/>
        <v>1002</v>
      </c>
      <c r="U1897" s="257">
        <f t="shared" si="66"/>
        <v>0</v>
      </c>
      <c r="V1897">
        <v>1</v>
      </c>
      <c r="W1897">
        <v>0</v>
      </c>
    </row>
    <row r="1898" spans="1:23" ht="34.200000000000003" x14ac:dyDescent="0.3">
      <c r="A1898" s="212">
        <v>40664</v>
      </c>
      <c r="B1898" s="212">
        <v>40664</v>
      </c>
      <c r="C1898" s="6">
        <v>5</v>
      </c>
      <c r="D1898" s="6">
        <v>1</v>
      </c>
      <c r="E1898" s="6">
        <v>2011</v>
      </c>
      <c r="F1898" s="15" t="s">
        <v>22</v>
      </c>
      <c r="G1898" s="16" t="s">
        <v>23</v>
      </c>
      <c r="H1898" s="9" t="s">
        <v>51</v>
      </c>
      <c r="I1898" s="53" t="s">
        <v>3293</v>
      </c>
      <c r="J1898" s="53" t="s">
        <v>3292</v>
      </c>
      <c r="K1898" s="13">
        <v>0</v>
      </c>
      <c r="L1898" s="233">
        <v>1171</v>
      </c>
      <c r="M1898" s="13">
        <v>0</v>
      </c>
      <c r="N1898" s="13">
        <v>0</v>
      </c>
      <c r="O1898" s="13">
        <v>0</v>
      </c>
      <c r="P1898" s="13">
        <v>0</v>
      </c>
      <c r="Q1898" s="13">
        <v>0</v>
      </c>
      <c r="R1898" s="26">
        <v>4.2889999999999997</v>
      </c>
      <c r="S1898" s="19" t="s">
        <v>3264</v>
      </c>
      <c r="T1898" s="257">
        <f t="shared" si="65"/>
        <v>1171</v>
      </c>
      <c r="U1898" s="257">
        <f t="shared" si="66"/>
        <v>0</v>
      </c>
      <c r="V1898">
        <v>1</v>
      </c>
      <c r="W1898">
        <v>0</v>
      </c>
    </row>
    <row r="1899" spans="1:23" ht="34.200000000000003" x14ac:dyDescent="0.3">
      <c r="A1899" s="212">
        <v>40664</v>
      </c>
      <c r="B1899" s="212">
        <v>40664</v>
      </c>
      <c r="C1899" s="6">
        <v>5</v>
      </c>
      <c r="D1899" s="6">
        <v>1</v>
      </c>
      <c r="E1899" s="6">
        <v>2011</v>
      </c>
      <c r="F1899" s="15" t="s">
        <v>22</v>
      </c>
      <c r="G1899" s="16" t="s">
        <v>23</v>
      </c>
      <c r="H1899" s="9" t="s">
        <v>34</v>
      </c>
      <c r="I1899" s="53" t="s">
        <v>3294</v>
      </c>
      <c r="J1899" s="53" t="s">
        <v>3292</v>
      </c>
      <c r="K1899" s="13">
        <v>0</v>
      </c>
      <c r="L1899" s="233">
        <v>3458</v>
      </c>
      <c r="M1899" s="13">
        <v>0</v>
      </c>
      <c r="N1899" s="13">
        <v>0</v>
      </c>
      <c r="O1899" s="13">
        <v>0</v>
      </c>
      <c r="P1899" s="13">
        <v>0</v>
      </c>
      <c r="Q1899" s="13">
        <v>0</v>
      </c>
      <c r="R1899" s="26">
        <v>28.988</v>
      </c>
      <c r="S1899" s="19" t="s">
        <v>3264</v>
      </c>
      <c r="T1899" s="257">
        <f t="shared" si="65"/>
        <v>3458</v>
      </c>
      <c r="U1899" s="257">
        <f t="shared" si="66"/>
        <v>0</v>
      </c>
      <c r="V1899">
        <v>1</v>
      </c>
      <c r="W1899">
        <v>0</v>
      </c>
    </row>
    <row r="1900" spans="1:23" ht="34.200000000000003" x14ac:dyDescent="0.3">
      <c r="A1900" s="212">
        <v>40664</v>
      </c>
      <c r="B1900" s="212">
        <v>40664</v>
      </c>
      <c r="C1900" s="6">
        <v>5</v>
      </c>
      <c r="D1900" s="6">
        <v>1</v>
      </c>
      <c r="E1900" s="6">
        <v>2011</v>
      </c>
      <c r="F1900" s="15" t="s">
        <v>22</v>
      </c>
      <c r="G1900" s="16" t="s">
        <v>23</v>
      </c>
      <c r="H1900" s="9" t="s">
        <v>51</v>
      </c>
      <c r="I1900" s="53" t="s">
        <v>3295</v>
      </c>
      <c r="J1900" s="53" t="s">
        <v>3292</v>
      </c>
      <c r="K1900" s="13">
        <v>0</v>
      </c>
      <c r="L1900" s="233">
        <v>540</v>
      </c>
      <c r="M1900" s="13">
        <v>0</v>
      </c>
      <c r="N1900" s="13">
        <v>0</v>
      </c>
      <c r="O1900" s="13">
        <v>0</v>
      </c>
      <c r="P1900" s="13">
        <v>0</v>
      </c>
      <c r="Q1900" s="13">
        <v>0</v>
      </c>
      <c r="R1900" s="26">
        <v>1.498</v>
      </c>
      <c r="S1900" s="19" t="s">
        <v>3264</v>
      </c>
      <c r="T1900" s="257">
        <f t="shared" si="65"/>
        <v>540</v>
      </c>
      <c r="U1900" s="257">
        <f t="shared" si="66"/>
        <v>0</v>
      </c>
      <c r="V1900">
        <v>1</v>
      </c>
      <c r="W1900">
        <v>0</v>
      </c>
    </row>
    <row r="1901" spans="1:23" ht="57" x14ac:dyDescent="0.3">
      <c r="A1901" s="212">
        <v>40695</v>
      </c>
      <c r="B1901" s="212">
        <v>40695</v>
      </c>
      <c r="C1901" s="6">
        <v>6</v>
      </c>
      <c r="D1901" s="6">
        <v>1</v>
      </c>
      <c r="E1901" s="6">
        <v>2011</v>
      </c>
      <c r="F1901" s="15" t="s">
        <v>22</v>
      </c>
      <c r="G1901" s="16" t="s">
        <v>23</v>
      </c>
      <c r="H1901" s="9" t="s">
        <v>24</v>
      </c>
      <c r="I1901" s="53" t="s">
        <v>3296</v>
      </c>
      <c r="J1901" s="53" t="s">
        <v>3297</v>
      </c>
      <c r="K1901" s="13">
        <v>0</v>
      </c>
      <c r="L1901" s="233">
        <v>8980</v>
      </c>
      <c r="M1901" s="13">
        <v>0</v>
      </c>
      <c r="N1901" s="13">
        <v>0</v>
      </c>
      <c r="O1901" s="13">
        <v>0</v>
      </c>
      <c r="P1901" s="13">
        <v>0</v>
      </c>
      <c r="Q1901" s="13">
        <v>24680</v>
      </c>
      <c r="R1901" s="26">
        <v>447.65800000000002</v>
      </c>
      <c r="S1901" s="19" t="s">
        <v>1235</v>
      </c>
      <c r="T1901" s="257">
        <f t="shared" si="65"/>
        <v>8980</v>
      </c>
      <c r="U1901" s="257">
        <f t="shared" si="66"/>
        <v>0</v>
      </c>
      <c r="V1901">
        <v>1</v>
      </c>
      <c r="W1901">
        <v>0</v>
      </c>
    </row>
    <row r="1902" spans="1:23" ht="45.6" x14ac:dyDescent="0.3">
      <c r="A1902" s="212">
        <v>40695</v>
      </c>
      <c r="B1902" s="212">
        <v>40695</v>
      </c>
      <c r="C1902" s="6">
        <v>6</v>
      </c>
      <c r="D1902" s="6">
        <v>1</v>
      </c>
      <c r="E1902" s="6">
        <v>2011</v>
      </c>
      <c r="F1902" s="15" t="s">
        <v>22</v>
      </c>
      <c r="G1902" s="16" t="s">
        <v>23</v>
      </c>
      <c r="H1902" s="9" t="s">
        <v>88</v>
      </c>
      <c r="I1902" s="53" t="s">
        <v>3266</v>
      </c>
      <c r="J1902" s="53" t="s">
        <v>3298</v>
      </c>
      <c r="K1902" s="13">
        <v>0</v>
      </c>
      <c r="L1902" s="233">
        <v>62098</v>
      </c>
      <c r="M1902" s="13">
        <v>0</v>
      </c>
      <c r="N1902" s="13">
        <v>0</v>
      </c>
      <c r="O1902" s="13">
        <v>0</v>
      </c>
      <c r="P1902" s="13">
        <v>0</v>
      </c>
      <c r="Q1902" s="13">
        <v>267243.69</v>
      </c>
      <c r="R1902" s="26">
        <v>1700.04</v>
      </c>
      <c r="S1902" s="19" t="s">
        <v>1235</v>
      </c>
      <c r="T1902" s="257">
        <f t="shared" si="65"/>
        <v>62098</v>
      </c>
      <c r="U1902" s="257">
        <f t="shared" si="66"/>
        <v>0</v>
      </c>
      <c r="V1902">
        <v>2</v>
      </c>
      <c r="W1902">
        <v>0</v>
      </c>
    </row>
    <row r="1903" spans="1:23" ht="45.6" x14ac:dyDescent="0.3">
      <c r="A1903" s="212">
        <v>40695</v>
      </c>
      <c r="B1903" s="212">
        <v>40695</v>
      </c>
      <c r="C1903" s="6">
        <v>6</v>
      </c>
      <c r="D1903" s="6">
        <v>1</v>
      </c>
      <c r="E1903" s="6">
        <v>2011</v>
      </c>
      <c r="F1903" s="15" t="s">
        <v>22</v>
      </c>
      <c r="G1903" s="16" t="s">
        <v>23</v>
      </c>
      <c r="H1903" s="9" t="s">
        <v>41</v>
      </c>
      <c r="I1903" s="53" t="s">
        <v>3299</v>
      </c>
      <c r="J1903" s="53" t="s">
        <v>3300</v>
      </c>
      <c r="K1903" s="13">
        <v>0</v>
      </c>
      <c r="L1903" s="233">
        <v>73940</v>
      </c>
      <c r="M1903" s="13">
        <v>0</v>
      </c>
      <c r="N1903" s="13">
        <v>0</v>
      </c>
      <c r="O1903" s="13">
        <v>0</v>
      </c>
      <c r="P1903" s="13">
        <v>0</v>
      </c>
      <c r="Q1903" s="13">
        <v>204855.32</v>
      </c>
      <c r="R1903" s="26">
        <v>1412.8090000000002</v>
      </c>
      <c r="S1903" s="19" t="s">
        <v>1235</v>
      </c>
      <c r="T1903" s="257">
        <f t="shared" si="65"/>
        <v>73940</v>
      </c>
      <c r="U1903" s="257">
        <f t="shared" si="66"/>
        <v>0</v>
      </c>
      <c r="V1903">
        <v>2</v>
      </c>
      <c r="W1903">
        <v>0</v>
      </c>
    </row>
    <row r="1904" spans="1:23" ht="45.6" x14ac:dyDescent="0.3">
      <c r="A1904" s="212">
        <v>40756</v>
      </c>
      <c r="B1904" s="212">
        <v>40756</v>
      </c>
      <c r="C1904" s="6">
        <v>8</v>
      </c>
      <c r="D1904" s="6">
        <v>1</v>
      </c>
      <c r="E1904" s="6">
        <v>2011</v>
      </c>
      <c r="F1904" s="15" t="s">
        <v>22</v>
      </c>
      <c r="G1904" s="16" t="s">
        <v>23</v>
      </c>
      <c r="H1904" s="9" t="s">
        <v>51</v>
      </c>
      <c r="I1904" s="53" t="s">
        <v>3301</v>
      </c>
      <c r="J1904" s="53" t="s">
        <v>3302</v>
      </c>
      <c r="K1904" s="13">
        <v>0</v>
      </c>
      <c r="L1904" s="233">
        <v>471</v>
      </c>
      <c r="M1904" s="13">
        <v>0</v>
      </c>
      <c r="N1904" s="13">
        <v>0</v>
      </c>
      <c r="O1904" s="13">
        <v>0</v>
      </c>
      <c r="P1904" s="13">
        <v>0</v>
      </c>
      <c r="Q1904" s="13">
        <v>0</v>
      </c>
      <c r="R1904" s="26">
        <v>1.744</v>
      </c>
      <c r="S1904" s="19" t="s">
        <v>3264</v>
      </c>
      <c r="T1904" s="257">
        <f t="shared" si="65"/>
        <v>471</v>
      </c>
      <c r="U1904" s="257">
        <f t="shared" si="66"/>
        <v>0</v>
      </c>
      <c r="V1904">
        <v>1</v>
      </c>
      <c r="W1904">
        <v>0</v>
      </c>
    </row>
    <row r="1905" spans="1:23" ht="45.6" x14ac:dyDescent="0.3">
      <c r="A1905" s="212">
        <v>40695</v>
      </c>
      <c r="B1905" s="212">
        <v>40695</v>
      </c>
      <c r="C1905" s="6">
        <v>6</v>
      </c>
      <c r="D1905" s="6">
        <v>1</v>
      </c>
      <c r="E1905" s="6">
        <v>2011</v>
      </c>
      <c r="F1905" s="15" t="s">
        <v>22</v>
      </c>
      <c r="G1905" s="16" t="s">
        <v>23</v>
      </c>
      <c r="H1905" s="9" t="s">
        <v>56</v>
      </c>
      <c r="I1905" s="53" t="s">
        <v>3303</v>
      </c>
      <c r="J1905" s="53" t="s">
        <v>3304</v>
      </c>
      <c r="K1905" s="13">
        <v>0</v>
      </c>
      <c r="L1905" s="233">
        <v>8409</v>
      </c>
      <c r="M1905" s="13">
        <v>0</v>
      </c>
      <c r="N1905" s="13">
        <v>0</v>
      </c>
      <c r="O1905" s="13">
        <v>0</v>
      </c>
      <c r="P1905" s="13">
        <v>0</v>
      </c>
      <c r="Q1905" s="13">
        <v>18486</v>
      </c>
      <c r="R1905" s="26">
        <v>24.847999999999999</v>
      </c>
      <c r="S1905" s="19" t="s">
        <v>1235</v>
      </c>
      <c r="T1905" s="257">
        <f t="shared" si="65"/>
        <v>8409</v>
      </c>
      <c r="U1905" s="257">
        <f t="shared" si="66"/>
        <v>0</v>
      </c>
      <c r="V1905">
        <v>1</v>
      </c>
      <c r="W1905">
        <v>0</v>
      </c>
    </row>
    <row r="1906" spans="1:23" ht="114" x14ac:dyDescent="0.3">
      <c r="A1906" s="212">
        <v>40793</v>
      </c>
      <c r="B1906" s="212">
        <v>40795</v>
      </c>
      <c r="C1906" s="6">
        <v>9</v>
      </c>
      <c r="D1906" s="6">
        <v>3</v>
      </c>
      <c r="E1906" s="6">
        <v>2011</v>
      </c>
      <c r="F1906" s="15" t="s">
        <v>22</v>
      </c>
      <c r="G1906" s="18" t="s">
        <v>6255</v>
      </c>
      <c r="H1906" s="9" t="s">
        <v>84</v>
      </c>
      <c r="I1906" s="53" t="s">
        <v>3215</v>
      </c>
      <c r="J1906" s="53" t="s">
        <v>3305</v>
      </c>
      <c r="K1906" s="13">
        <v>0</v>
      </c>
      <c r="L1906" s="233">
        <v>21861</v>
      </c>
      <c r="M1906" s="13">
        <v>0</v>
      </c>
      <c r="N1906" s="13">
        <v>0</v>
      </c>
      <c r="O1906" s="13">
        <v>0</v>
      </c>
      <c r="P1906" s="13">
        <v>0</v>
      </c>
      <c r="Q1906" s="13">
        <v>86405.93</v>
      </c>
      <c r="R1906" s="26">
        <v>614.47199999999998</v>
      </c>
      <c r="S1906" s="19" t="s">
        <v>1235</v>
      </c>
      <c r="T1906" s="257">
        <f t="shared" si="65"/>
        <v>21861</v>
      </c>
      <c r="U1906" s="257">
        <f t="shared" si="66"/>
        <v>0</v>
      </c>
      <c r="V1906">
        <v>2</v>
      </c>
      <c r="W1906">
        <v>0</v>
      </c>
    </row>
    <row r="1907" spans="1:23" ht="57" x14ac:dyDescent="0.3">
      <c r="A1907" s="212">
        <v>40725</v>
      </c>
      <c r="B1907" s="212">
        <v>40725</v>
      </c>
      <c r="C1907" s="6">
        <v>7</v>
      </c>
      <c r="D1907" s="6">
        <v>1</v>
      </c>
      <c r="E1907" s="6">
        <v>2011</v>
      </c>
      <c r="F1907" s="15" t="s">
        <v>22</v>
      </c>
      <c r="G1907" s="16" t="s">
        <v>23</v>
      </c>
      <c r="H1907" s="9" t="s">
        <v>46</v>
      </c>
      <c r="I1907" s="53" t="s">
        <v>3306</v>
      </c>
      <c r="J1907" s="53" t="s">
        <v>3307</v>
      </c>
      <c r="K1907" s="13">
        <v>0</v>
      </c>
      <c r="L1907" s="233">
        <v>36019</v>
      </c>
      <c r="M1907" s="13">
        <v>0</v>
      </c>
      <c r="N1907" s="13">
        <v>0</v>
      </c>
      <c r="O1907" s="13">
        <v>0</v>
      </c>
      <c r="P1907" s="13">
        <v>0</v>
      </c>
      <c r="Q1907" s="13">
        <v>123902.15</v>
      </c>
      <c r="R1907" s="26">
        <v>1551.2190000000001</v>
      </c>
      <c r="S1907" s="19" t="s">
        <v>1235</v>
      </c>
      <c r="T1907" s="257">
        <f t="shared" si="65"/>
        <v>36019</v>
      </c>
      <c r="U1907" s="257">
        <f t="shared" si="66"/>
        <v>0</v>
      </c>
      <c r="V1907">
        <v>2</v>
      </c>
      <c r="W1907">
        <v>0</v>
      </c>
    </row>
    <row r="1908" spans="1:23" ht="45.6" x14ac:dyDescent="0.3">
      <c r="A1908" s="212">
        <v>40794</v>
      </c>
      <c r="B1908" s="212">
        <v>40795</v>
      </c>
      <c r="C1908" s="6">
        <v>9</v>
      </c>
      <c r="D1908" s="6">
        <v>2</v>
      </c>
      <c r="E1908" s="6">
        <v>2011</v>
      </c>
      <c r="F1908" s="15" t="s">
        <v>22</v>
      </c>
      <c r="G1908" s="18" t="s">
        <v>6255</v>
      </c>
      <c r="H1908" s="9" t="s">
        <v>174</v>
      </c>
      <c r="I1908" s="53" t="s">
        <v>3308</v>
      </c>
      <c r="J1908" s="53" t="s">
        <v>3309</v>
      </c>
      <c r="K1908" s="13">
        <v>0</v>
      </c>
      <c r="L1908" s="233">
        <v>614</v>
      </c>
      <c r="M1908" s="13">
        <v>0</v>
      </c>
      <c r="N1908" s="13">
        <v>0</v>
      </c>
      <c r="O1908" s="13">
        <v>0</v>
      </c>
      <c r="P1908" s="13">
        <v>0</v>
      </c>
      <c r="Q1908" s="13">
        <v>1766.5</v>
      </c>
      <c r="R1908" s="26">
        <v>12.082000000000001</v>
      </c>
      <c r="S1908" s="19" t="s">
        <v>1235</v>
      </c>
      <c r="T1908" s="257">
        <f t="shared" si="65"/>
        <v>614</v>
      </c>
      <c r="U1908" s="257">
        <f t="shared" si="66"/>
        <v>0</v>
      </c>
      <c r="V1908">
        <v>1</v>
      </c>
      <c r="W1908">
        <v>0</v>
      </c>
    </row>
    <row r="1909" spans="1:23" ht="34.200000000000003" x14ac:dyDescent="0.3">
      <c r="A1909" s="212">
        <v>40796</v>
      </c>
      <c r="B1909" s="212">
        <v>40796</v>
      </c>
      <c r="C1909" s="6">
        <v>9</v>
      </c>
      <c r="D1909" s="6">
        <v>1</v>
      </c>
      <c r="E1909" s="6">
        <v>2011</v>
      </c>
      <c r="F1909" s="15" t="s">
        <v>22</v>
      </c>
      <c r="G1909" s="18" t="s">
        <v>6255</v>
      </c>
      <c r="H1909" s="9" t="s">
        <v>52</v>
      </c>
      <c r="I1909" s="53" t="s">
        <v>3310</v>
      </c>
      <c r="J1909" s="53" t="s">
        <v>3311</v>
      </c>
      <c r="K1909" s="13">
        <v>0</v>
      </c>
      <c r="L1909" s="233">
        <v>2178</v>
      </c>
      <c r="M1909" s="13">
        <v>0</v>
      </c>
      <c r="N1909" s="13">
        <v>0</v>
      </c>
      <c r="O1909" s="13">
        <v>0</v>
      </c>
      <c r="P1909" s="13">
        <v>0</v>
      </c>
      <c r="Q1909" s="13">
        <v>5968.73</v>
      </c>
      <c r="R1909" s="26">
        <v>20.89</v>
      </c>
      <c r="S1909" s="19" t="s">
        <v>1235</v>
      </c>
      <c r="T1909" s="257">
        <f t="shared" si="65"/>
        <v>2178</v>
      </c>
      <c r="U1909" s="257">
        <f t="shared" si="66"/>
        <v>0</v>
      </c>
      <c r="V1909">
        <v>1</v>
      </c>
      <c r="W1909">
        <v>0</v>
      </c>
    </row>
    <row r="1910" spans="1:23" ht="34.200000000000003" x14ac:dyDescent="0.3">
      <c r="A1910" s="212">
        <v>40795</v>
      </c>
      <c r="B1910" s="212">
        <v>40795</v>
      </c>
      <c r="C1910" s="6">
        <v>9</v>
      </c>
      <c r="D1910" s="6">
        <v>1</v>
      </c>
      <c r="E1910" s="6">
        <v>2011</v>
      </c>
      <c r="F1910" s="15" t="s">
        <v>22</v>
      </c>
      <c r="G1910" s="18" t="s">
        <v>6255</v>
      </c>
      <c r="H1910" s="9" t="s">
        <v>64</v>
      </c>
      <c r="I1910" s="53" t="s">
        <v>1190</v>
      </c>
      <c r="J1910" s="53" t="s">
        <v>3311</v>
      </c>
      <c r="K1910" s="13">
        <v>0</v>
      </c>
      <c r="L1910" s="233">
        <v>10957</v>
      </c>
      <c r="M1910" s="13">
        <v>0</v>
      </c>
      <c r="N1910" s="13">
        <v>0</v>
      </c>
      <c r="O1910" s="13">
        <v>0</v>
      </c>
      <c r="P1910" s="13">
        <v>0</v>
      </c>
      <c r="Q1910" s="13">
        <v>24818.75</v>
      </c>
      <c r="R1910" s="26">
        <v>182.06800000000001</v>
      </c>
      <c r="S1910" s="19" t="s">
        <v>1235</v>
      </c>
      <c r="T1910" s="257">
        <f t="shared" si="65"/>
        <v>10957</v>
      </c>
      <c r="U1910" s="257">
        <f t="shared" si="66"/>
        <v>0</v>
      </c>
      <c r="V1910">
        <v>2</v>
      </c>
      <c r="W1910">
        <v>0</v>
      </c>
    </row>
    <row r="1911" spans="1:23" ht="45.6" x14ac:dyDescent="0.3">
      <c r="A1911" s="212">
        <v>40795</v>
      </c>
      <c r="B1911" s="212">
        <v>40795</v>
      </c>
      <c r="C1911" s="6">
        <v>9</v>
      </c>
      <c r="D1911" s="6">
        <v>1</v>
      </c>
      <c r="E1911" s="6">
        <v>2011</v>
      </c>
      <c r="F1911" s="15" t="s">
        <v>22</v>
      </c>
      <c r="G1911" s="18" t="s">
        <v>6255</v>
      </c>
      <c r="H1911" s="9" t="s">
        <v>118</v>
      </c>
      <c r="I1911" s="53" t="s">
        <v>119</v>
      </c>
      <c r="J1911" s="53" t="s">
        <v>3312</v>
      </c>
      <c r="K1911" s="13">
        <v>0</v>
      </c>
      <c r="L1911" s="233">
        <v>883</v>
      </c>
      <c r="M1911" s="13">
        <v>0</v>
      </c>
      <c r="N1911" s="13">
        <v>0</v>
      </c>
      <c r="O1911" s="13">
        <v>0</v>
      </c>
      <c r="P1911" s="13">
        <v>0</v>
      </c>
      <c r="Q1911" s="13">
        <v>1353.12</v>
      </c>
      <c r="R1911" s="26">
        <v>7.9749999999999996</v>
      </c>
      <c r="S1911" s="19" t="s">
        <v>1235</v>
      </c>
      <c r="T1911" s="257">
        <f t="shared" si="65"/>
        <v>883</v>
      </c>
      <c r="U1911" s="257">
        <f t="shared" si="66"/>
        <v>0</v>
      </c>
      <c r="V1911">
        <v>1</v>
      </c>
      <c r="W1911">
        <v>0</v>
      </c>
    </row>
    <row r="1912" spans="1:23" ht="68.400000000000006" x14ac:dyDescent="0.3">
      <c r="A1912" s="212">
        <v>40795</v>
      </c>
      <c r="B1912" s="212">
        <v>40795</v>
      </c>
      <c r="C1912" s="6">
        <v>9</v>
      </c>
      <c r="D1912" s="6">
        <v>1</v>
      </c>
      <c r="E1912" s="6">
        <v>2011</v>
      </c>
      <c r="F1912" s="15" t="s">
        <v>22</v>
      </c>
      <c r="G1912" s="18" t="s">
        <v>6255</v>
      </c>
      <c r="H1912" s="9" t="s">
        <v>121</v>
      </c>
      <c r="I1912" s="53" t="s">
        <v>3313</v>
      </c>
      <c r="J1912" s="53" t="s">
        <v>3314</v>
      </c>
      <c r="K1912" s="13">
        <v>0</v>
      </c>
      <c r="L1912" s="233">
        <v>1568</v>
      </c>
      <c r="M1912" s="13">
        <v>0</v>
      </c>
      <c r="N1912" s="13">
        <v>0</v>
      </c>
      <c r="O1912" s="13">
        <v>0</v>
      </c>
      <c r="P1912" s="13">
        <v>0</v>
      </c>
      <c r="Q1912" s="13">
        <v>4455.1099999999997</v>
      </c>
      <c r="R1912" s="26">
        <v>37.149000000000001</v>
      </c>
      <c r="S1912" s="19" t="s">
        <v>1235</v>
      </c>
      <c r="T1912" s="257">
        <f t="shared" si="65"/>
        <v>1568</v>
      </c>
      <c r="U1912" s="257">
        <f t="shared" si="66"/>
        <v>0</v>
      </c>
      <c r="V1912">
        <v>1</v>
      </c>
      <c r="W1912">
        <v>0</v>
      </c>
    </row>
    <row r="1913" spans="1:23" ht="68.400000000000006" x14ac:dyDescent="0.3">
      <c r="A1913" s="212">
        <v>40756</v>
      </c>
      <c r="B1913" s="212">
        <v>40756</v>
      </c>
      <c r="C1913" s="6">
        <v>8</v>
      </c>
      <c r="D1913" s="6">
        <v>1</v>
      </c>
      <c r="E1913" s="6">
        <v>2011</v>
      </c>
      <c r="F1913" s="15" t="s">
        <v>22</v>
      </c>
      <c r="G1913" s="16" t="s">
        <v>23</v>
      </c>
      <c r="H1913" s="9" t="s">
        <v>41</v>
      </c>
      <c r="I1913" s="53" t="s">
        <v>3315</v>
      </c>
      <c r="J1913" s="53" t="s">
        <v>3316</v>
      </c>
      <c r="K1913" s="13">
        <v>0</v>
      </c>
      <c r="L1913" s="233">
        <v>10016</v>
      </c>
      <c r="M1913" s="13">
        <v>0</v>
      </c>
      <c r="N1913" s="13">
        <v>0</v>
      </c>
      <c r="O1913" s="13">
        <v>0</v>
      </c>
      <c r="P1913" s="13">
        <v>0</v>
      </c>
      <c r="Q1913" s="13">
        <v>26446.75</v>
      </c>
      <c r="R1913" s="26">
        <v>181.553</v>
      </c>
      <c r="S1913" s="19" t="s">
        <v>1235</v>
      </c>
      <c r="T1913" s="257">
        <f t="shared" si="65"/>
        <v>10016</v>
      </c>
      <c r="U1913" s="257">
        <f t="shared" si="66"/>
        <v>0</v>
      </c>
      <c r="V1913">
        <v>2</v>
      </c>
      <c r="W1913">
        <v>0</v>
      </c>
    </row>
    <row r="1914" spans="1:23" ht="136.80000000000001" x14ac:dyDescent="0.3">
      <c r="A1914" s="212">
        <v>40725</v>
      </c>
      <c r="B1914" s="212">
        <v>40725</v>
      </c>
      <c r="C1914" s="6">
        <v>7</v>
      </c>
      <c r="D1914" s="6">
        <v>1</v>
      </c>
      <c r="E1914" s="6">
        <v>2011</v>
      </c>
      <c r="F1914" s="15" t="s">
        <v>22</v>
      </c>
      <c r="G1914" s="16" t="s">
        <v>23</v>
      </c>
      <c r="H1914" s="9" t="s">
        <v>78</v>
      </c>
      <c r="I1914" s="53" t="s">
        <v>3317</v>
      </c>
      <c r="J1914" s="53" t="s">
        <v>3318</v>
      </c>
      <c r="K1914" s="13">
        <v>0</v>
      </c>
      <c r="L1914" s="233">
        <v>8431</v>
      </c>
      <c r="M1914" s="13">
        <v>0</v>
      </c>
      <c r="N1914" s="13">
        <v>0</v>
      </c>
      <c r="O1914" s="13">
        <v>0</v>
      </c>
      <c r="P1914" s="13">
        <v>0</v>
      </c>
      <c r="Q1914" s="13">
        <v>17637.919999999998</v>
      </c>
      <c r="R1914" s="26">
        <v>164.346</v>
      </c>
      <c r="S1914" s="19" t="s">
        <v>1235</v>
      </c>
      <c r="T1914" s="257">
        <f t="shared" si="65"/>
        <v>8431</v>
      </c>
      <c r="U1914" s="257">
        <f t="shared" si="66"/>
        <v>0</v>
      </c>
      <c r="V1914">
        <v>1</v>
      </c>
      <c r="W1914">
        <v>0</v>
      </c>
    </row>
    <row r="1915" spans="1:23" ht="102.6" x14ac:dyDescent="0.3">
      <c r="A1915" s="212">
        <v>40756</v>
      </c>
      <c r="B1915" s="212">
        <v>40756</v>
      </c>
      <c r="C1915" s="6">
        <v>8</v>
      </c>
      <c r="D1915" s="6">
        <v>1</v>
      </c>
      <c r="E1915" s="6">
        <v>2011</v>
      </c>
      <c r="F1915" s="15" t="s">
        <v>22</v>
      </c>
      <c r="G1915" s="16" t="s">
        <v>23</v>
      </c>
      <c r="H1915" s="9" t="s">
        <v>52</v>
      </c>
      <c r="I1915" s="53" t="s">
        <v>3319</v>
      </c>
      <c r="J1915" s="53" t="s">
        <v>3320</v>
      </c>
      <c r="K1915" s="13">
        <v>0</v>
      </c>
      <c r="L1915" s="233">
        <v>13477</v>
      </c>
      <c r="M1915" s="13">
        <v>0</v>
      </c>
      <c r="N1915" s="13">
        <v>0</v>
      </c>
      <c r="O1915" s="13">
        <v>0</v>
      </c>
      <c r="P1915" s="13">
        <v>0</v>
      </c>
      <c r="Q1915" s="13">
        <v>28849.119999999999</v>
      </c>
      <c r="R1915" s="26">
        <v>257.57100000000003</v>
      </c>
      <c r="S1915" s="19" t="s">
        <v>1235</v>
      </c>
      <c r="T1915" s="257">
        <f t="shared" si="65"/>
        <v>13477</v>
      </c>
      <c r="U1915" s="257">
        <f t="shared" si="66"/>
        <v>0</v>
      </c>
      <c r="V1915">
        <v>2</v>
      </c>
      <c r="W1915">
        <v>0</v>
      </c>
    </row>
    <row r="1916" spans="1:23" ht="45.6" x14ac:dyDescent="0.3">
      <c r="A1916" s="212">
        <v>40787</v>
      </c>
      <c r="B1916" s="212">
        <v>40787</v>
      </c>
      <c r="C1916" s="6">
        <v>9</v>
      </c>
      <c r="D1916" s="6">
        <v>1</v>
      </c>
      <c r="E1916" s="6">
        <v>2011</v>
      </c>
      <c r="F1916" s="15" t="s">
        <v>22</v>
      </c>
      <c r="G1916" s="16" t="s">
        <v>23</v>
      </c>
      <c r="H1916" s="9" t="s">
        <v>70</v>
      </c>
      <c r="I1916" s="53" t="s">
        <v>3321</v>
      </c>
      <c r="J1916" s="53" t="s">
        <v>3322</v>
      </c>
      <c r="K1916" s="13">
        <v>0</v>
      </c>
      <c r="L1916" s="233">
        <v>546</v>
      </c>
      <c r="M1916" s="13">
        <v>0</v>
      </c>
      <c r="N1916" s="13">
        <v>0</v>
      </c>
      <c r="O1916" s="13">
        <v>0</v>
      </c>
      <c r="P1916" s="13">
        <v>0</v>
      </c>
      <c r="Q1916" s="13">
        <v>502.3</v>
      </c>
      <c r="R1916" s="26">
        <v>2.3359999999999999</v>
      </c>
      <c r="S1916" s="19" t="s">
        <v>1235</v>
      </c>
      <c r="T1916" s="257">
        <f t="shared" si="65"/>
        <v>546</v>
      </c>
      <c r="U1916" s="257">
        <f t="shared" si="66"/>
        <v>0</v>
      </c>
      <c r="V1916">
        <v>1</v>
      </c>
      <c r="W1916">
        <v>0</v>
      </c>
    </row>
    <row r="1917" spans="1:23" ht="45.6" x14ac:dyDescent="0.3">
      <c r="A1917" s="212">
        <v>40756</v>
      </c>
      <c r="B1917" s="212">
        <v>40756</v>
      </c>
      <c r="C1917" s="6">
        <v>8</v>
      </c>
      <c r="D1917" s="6">
        <v>1</v>
      </c>
      <c r="E1917" s="6">
        <v>2011</v>
      </c>
      <c r="F1917" s="15" t="s">
        <v>22</v>
      </c>
      <c r="G1917" s="16" t="s">
        <v>23</v>
      </c>
      <c r="H1917" s="9" t="s">
        <v>52</v>
      </c>
      <c r="I1917" s="53" t="s">
        <v>3323</v>
      </c>
      <c r="J1917" s="53" t="s">
        <v>3324</v>
      </c>
      <c r="K1917" s="13">
        <v>0</v>
      </c>
      <c r="L1917" s="233">
        <v>4490</v>
      </c>
      <c r="M1917" s="13">
        <v>0</v>
      </c>
      <c r="N1917" s="13">
        <v>0</v>
      </c>
      <c r="O1917" s="13">
        <v>0</v>
      </c>
      <c r="P1917" s="13">
        <v>0</v>
      </c>
      <c r="Q1917" s="13">
        <v>13436.77</v>
      </c>
      <c r="R1917" s="26">
        <v>119.96680000000001</v>
      </c>
      <c r="S1917" s="19" t="s">
        <v>1235</v>
      </c>
      <c r="T1917" s="257">
        <f t="shared" si="65"/>
        <v>4490</v>
      </c>
      <c r="U1917" s="257">
        <f t="shared" si="66"/>
        <v>0</v>
      </c>
      <c r="V1917">
        <v>1</v>
      </c>
      <c r="W1917">
        <v>0</v>
      </c>
    </row>
    <row r="1918" spans="1:23" ht="45.6" x14ac:dyDescent="0.3">
      <c r="A1918" s="212">
        <v>40848</v>
      </c>
      <c r="B1918" s="212">
        <v>40848</v>
      </c>
      <c r="C1918" s="6">
        <v>11</v>
      </c>
      <c r="D1918" s="6">
        <v>1</v>
      </c>
      <c r="E1918" s="6">
        <v>2011</v>
      </c>
      <c r="F1918" s="15" t="s">
        <v>22</v>
      </c>
      <c r="G1918" s="16" t="s">
        <v>23</v>
      </c>
      <c r="H1918" s="9" t="s">
        <v>52</v>
      </c>
      <c r="I1918" s="53" t="s">
        <v>2256</v>
      </c>
      <c r="J1918" s="53" t="s">
        <v>3322</v>
      </c>
      <c r="K1918" s="13">
        <v>0</v>
      </c>
      <c r="L1918" s="233">
        <v>229</v>
      </c>
      <c r="M1918" s="13">
        <v>0</v>
      </c>
      <c r="N1918" s="13">
        <v>0</v>
      </c>
      <c r="O1918" s="13">
        <v>0</v>
      </c>
      <c r="P1918" s="13">
        <v>0</v>
      </c>
      <c r="Q1918" s="13">
        <v>394.44</v>
      </c>
      <c r="R1918" s="26">
        <v>3.5209999999999999</v>
      </c>
      <c r="S1918" s="19" t="s">
        <v>1235</v>
      </c>
      <c r="T1918" s="257">
        <f t="shared" si="65"/>
        <v>229</v>
      </c>
      <c r="U1918" s="257">
        <f t="shared" si="66"/>
        <v>0</v>
      </c>
      <c r="V1918">
        <v>1</v>
      </c>
      <c r="W1918">
        <v>0</v>
      </c>
    </row>
    <row r="1919" spans="1:23" ht="45.6" x14ac:dyDescent="0.3">
      <c r="A1919" s="212">
        <v>40848</v>
      </c>
      <c r="B1919" s="212">
        <v>40848</v>
      </c>
      <c r="C1919" s="6">
        <v>11</v>
      </c>
      <c r="D1919" s="6">
        <v>1</v>
      </c>
      <c r="E1919" s="6">
        <v>2011</v>
      </c>
      <c r="F1919" s="15" t="s">
        <v>22</v>
      </c>
      <c r="G1919" s="16" t="s">
        <v>23</v>
      </c>
      <c r="H1919" s="9" t="s">
        <v>37</v>
      </c>
      <c r="I1919" s="53" t="s">
        <v>3325</v>
      </c>
      <c r="J1919" s="53" t="s">
        <v>3324</v>
      </c>
      <c r="K1919" s="13">
        <v>0</v>
      </c>
      <c r="L1919" s="233">
        <v>9045</v>
      </c>
      <c r="M1919" s="13">
        <v>0</v>
      </c>
      <c r="N1919" s="13">
        <v>0</v>
      </c>
      <c r="O1919" s="13">
        <v>0</v>
      </c>
      <c r="P1919" s="13">
        <v>0</v>
      </c>
      <c r="Q1919" s="13">
        <v>18102.03</v>
      </c>
      <c r="R1919" s="26">
        <v>101.15819999999999</v>
      </c>
      <c r="S1919" s="19" t="s">
        <v>1235</v>
      </c>
      <c r="T1919" s="257">
        <f t="shared" si="65"/>
        <v>9045</v>
      </c>
      <c r="U1919" s="257">
        <f t="shared" si="66"/>
        <v>0</v>
      </c>
      <c r="V1919">
        <v>1</v>
      </c>
      <c r="W1919">
        <v>0</v>
      </c>
    </row>
    <row r="1920" spans="1:23" ht="182.4" x14ac:dyDescent="0.3">
      <c r="A1920" s="212">
        <v>40878</v>
      </c>
      <c r="B1920" s="212">
        <v>40878</v>
      </c>
      <c r="C1920" s="6">
        <v>12</v>
      </c>
      <c r="D1920" s="6">
        <v>1</v>
      </c>
      <c r="E1920" s="6">
        <v>2011</v>
      </c>
      <c r="F1920" s="15" t="s">
        <v>22</v>
      </c>
      <c r="G1920" s="16" t="s">
        <v>23</v>
      </c>
      <c r="H1920" s="9" t="s">
        <v>37</v>
      </c>
      <c r="I1920" s="53" t="s">
        <v>3326</v>
      </c>
      <c r="J1920" s="53" t="s">
        <v>3327</v>
      </c>
      <c r="K1920" s="13">
        <v>0</v>
      </c>
      <c r="L1920" s="233">
        <v>5207</v>
      </c>
      <c r="M1920" s="13">
        <v>0</v>
      </c>
      <c r="N1920" s="13">
        <v>0</v>
      </c>
      <c r="O1920" s="13">
        <v>0</v>
      </c>
      <c r="P1920" s="13">
        <v>0</v>
      </c>
      <c r="Q1920" s="13">
        <v>6937.76</v>
      </c>
      <c r="R1920" s="26">
        <v>57.286000000000001</v>
      </c>
      <c r="S1920" s="19" t="s">
        <v>1235</v>
      </c>
      <c r="T1920" s="257">
        <f t="shared" si="65"/>
        <v>5207</v>
      </c>
      <c r="U1920" s="257">
        <f t="shared" si="66"/>
        <v>0</v>
      </c>
      <c r="V1920">
        <v>1</v>
      </c>
      <c r="W1920">
        <v>0</v>
      </c>
    </row>
    <row r="1921" spans="1:23" ht="22.8" x14ac:dyDescent="0.3">
      <c r="A1921" s="212">
        <v>40575</v>
      </c>
      <c r="B1921" s="212">
        <v>40575</v>
      </c>
      <c r="C1921" s="6">
        <v>2</v>
      </c>
      <c r="D1921" s="6">
        <v>1</v>
      </c>
      <c r="E1921" s="6">
        <v>2011</v>
      </c>
      <c r="F1921" s="15" t="s">
        <v>22</v>
      </c>
      <c r="G1921" s="18" t="s">
        <v>6255</v>
      </c>
      <c r="H1921" s="9" t="s">
        <v>86</v>
      </c>
      <c r="I1921" s="53" t="s">
        <v>3328</v>
      </c>
      <c r="J1921" s="53" t="s">
        <v>3329</v>
      </c>
      <c r="K1921" s="13">
        <v>0</v>
      </c>
      <c r="L1921" s="233">
        <v>506016</v>
      </c>
      <c r="M1921" s="13">
        <v>0</v>
      </c>
      <c r="N1921" s="13">
        <v>0</v>
      </c>
      <c r="O1921" s="13">
        <v>0</v>
      </c>
      <c r="P1921" s="13">
        <v>0</v>
      </c>
      <c r="Q1921" s="13">
        <v>186685.8</v>
      </c>
      <c r="R1921" s="26">
        <v>5652.165</v>
      </c>
      <c r="S1921" s="19" t="s">
        <v>21</v>
      </c>
      <c r="T1921" s="257">
        <f t="shared" si="65"/>
        <v>506016</v>
      </c>
      <c r="U1921" s="257">
        <f t="shared" si="66"/>
        <v>0</v>
      </c>
      <c r="V1921">
        <v>4</v>
      </c>
      <c r="W1921">
        <v>0</v>
      </c>
    </row>
    <row r="1922" spans="1:23" ht="34.200000000000003" x14ac:dyDescent="0.3">
      <c r="A1922" s="212">
        <v>40544</v>
      </c>
      <c r="B1922" s="212">
        <v>40544</v>
      </c>
      <c r="C1922" s="6">
        <v>1</v>
      </c>
      <c r="D1922" s="6">
        <v>1</v>
      </c>
      <c r="E1922" s="6">
        <v>2011</v>
      </c>
      <c r="F1922" s="15" t="s">
        <v>22</v>
      </c>
      <c r="G1922" s="9" t="s">
        <v>6258</v>
      </c>
      <c r="H1922" s="9" t="s">
        <v>27</v>
      </c>
      <c r="I1922" s="53" t="s">
        <v>671</v>
      </c>
      <c r="J1922" s="53" t="s">
        <v>3330</v>
      </c>
      <c r="K1922" s="13">
        <v>1</v>
      </c>
      <c r="L1922" s="233">
        <v>1</v>
      </c>
      <c r="M1922" s="13">
        <v>0</v>
      </c>
      <c r="N1922" s="13">
        <v>0</v>
      </c>
      <c r="O1922" s="13">
        <v>0</v>
      </c>
      <c r="P1922" s="13">
        <v>0</v>
      </c>
      <c r="Q1922" s="13">
        <v>0</v>
      </c>
      <c r="R1922" s="26">
        <v>0</v>
      </c>
      <c r="S1922" s="19" t="s">
        <v>1219</v>
      </c>
      <c r="T1922" s="257">
        <f t="shared" si="65"/>
        <v>2</v>
      </c>
      <c r="U1922" s="257">
        <f t="shared" si="66"/>
        <v>0</v>
      </c>
      <c r="V1922">
        <v>1</v>
      </c>
      <c r="W1922">
        <v>0</v>
      </c>
    </row>
    <row r="1923" spans="1:23" ht="34.200000000000003" x14ac:dyDescent="0.3">
      <c r="A1923" s="212">
        <v>40544</v>
      </c>
      <c r="B1923" s="212">
        <v>40544</v>
      </c>
      <c r="C1923" s="6">
        <v>1</v>
      </c>
      <c r="D1923" s="6">
        <v>1</v>
      </c>
      <c r="E1923" s="6">
        <v>2011</v>
      </c>
      <c r="F1923" s="15" t="s">
        <v>22</v>
      </c>
      <c r="G1923" s="9" t="s">
        <v>6258</v>
      </c>
      <c r="H1923" s="9" t="s">
        <v>37</v>
      </c>
      <c r="I1923" s="53" t="s">
        <v>3331</v>
      </c>
      <c r="J1923" s="53" t="s">
        <v>3332</v>
      </c>
      <c r="K1923" s="13">
        <v>2</v>
      </c>
      <c r="L1923" s="233">
        <v>2</v>
      </c>
      <c r="M1923" s="13">
        <v>0</v>
      </c>
      <c r="N1923" s="13">
        <v>0</v>
      </c>
      <c r="O1923" s="13">
        <v>0</v>
      </c>
      <c r="P1923" s="13">
        <v>0</v>
      </c>
      <c r="Q1923" s="13">
        <v>0</v>
      </c>
      <c r="R1923" s="26">
        <v>0</v>
      </c>
      <c r="S1923" s="19" t="s">
        <v>1219</v>
      </c>
      <c r="T1923" s="257">
        <f t="shared" ref="T1923:T1986" si="67">SUM(K1923:L1923)</f>
        <v>4</v>
      </c>
      <c r="U1923" s="257">
        <f t="shared" ref="U1923:U1986" si="68">SUM(M1923:P1923)</f>
        <v>0</v>
      </c>
      <c r="V1923">
        <v>1</v>
      </c>
      <c r="W1923">
        <v>0</v>
      </c>
    </row>
    <row r="1924" spans="1:23" ht="45.6" x14ac:dyDescent="0.3">
      <c r="A1924" s="212">
        <v>40544</v>
      </c>
      <c r="B1924" s="212">
        <v>40908</v>
      </c>
      <c r="C1924" s="6">
        <v>1</v>
      </c>
      <c r="D1924" s="6">
        <v>365</v>
      </c>
      <c r="E1924" s="6">
        <v>2011</v>
      </c>
      <c r="F1924" s="15" t="s">
        <v>22</v>
      </c>
      <c r="G1924" s="9" t="s">
        <v>6258</v>
      </c>
      <c r="H1924" s="9" t="s">
        <v>34</v>
      </c>
      <c r="I1924" s="53" t="s">
        <v>3333</v>
      </c>
      <c r="J1924" s="53" t="s">
        <v>3334</v>
      </c>
      <c r="K1924" s="13">
        <v>20</v>
      </c>
      <c r="L1924" s="233">
        <v>20</v>
      </c>
      <c r="M1924" s="13">
        <v>0</v>
      </c>
      <c r="N1924" s="13">
        <v>0</v>
      </c>
      <c r="O1924" s="13">
        <v>0</v>
      </c>
      <c r="P1924" s="13">
        <v>0</v>
      </c>
      <c r="Q1924" s="13">
        <v>0</v>
      </c>
      <c r="R1924" s="26">
        <v>0</v>
      </c>
      <c r="S1924" s="19" t="s">
        <v>1219</v>
      </c>
      <c r="T1924" s="257">
        <f t="shared" si="67"/>
        <v>40</v>
      </c>
      <c r="U1924" s="257">
        <f t="shared" si="68"/>
        <v>0</v>
      </c>
      <c r="V1924">
        <v>1</v>
      </c>
      <c r="W1924">
        <v>0</v>
      </c>
    </row>
    <row r="1925" spans="1:23" ht="34.200000000000003" x14ac:dyDescent="0.3">
      <c r="A1925" s="212">
        <v>40544</v>
      </c>
      <c r="B1925" s="212">
        <v>40908</v>
      </c>
      <c r="C1925" s="6">
        <v>1</v>
      </c>
      <c r="D1925" s="6">
        <v>365</v>
      </c>
      <c r="E1925" s="6">
        <v>2011</v>
      </c>
      <c r="F1925" s="15" t="s">
        <v>22</v>
      </c>
      <c r="G1925" s="9" t="s">
        <v>6258</v>
      </c>
      <c r="H1925" s="9" t="s">
        <v>41</v>
      </c>
      <c r="I1925" s="53" t="s">
        <v>3335</v>
      </c>
      <c r="J1925" s="53" t="s">
        <v>3336</v>
      </c>
      <c r="K1925" s="13">
        <v>7</v>
      </c>
      <c r="L1925" s="233">
        <v>7</v>
      </c>
      <c r="M1925" s="13">
        <v>0</v>
      </c>
      <c r="N1925" s="13">
        <v>0</v>
      </c>
      <c r="O1925" s="13">
        <v>0</v>
      </c>
      <c r="P1925" s="13">
        <v>0</v>
      </c>
      <c r="Q1925" s="13">
        <v>0</v>
      </c>
      <c r="R1925" s="26">
        <v>0</v>
      </c>
      <c r="S1925" s="19" t="s">
        <v>1219</v>
      </c>
      <c r="T1925" s="257">
        <f t="shared" si="67"/>
        <v>14</v>
      </c>
      <c r="U1925" s="257">
        <f t="shared" si="68"/>
        <v>0</v>
      </c>
      <c r="V1925">
        <v>1</v>
      </c>
      <c r="W1925">
        <v>0</v>
      </c>
    </row>
    <row r="1926" spans="1:23" ht="22.8" x14ac:dyDescent="0.3">
      <c r="A1926" s="212">
        <v>40544</v>
      </c>
      <c r="B1926" s="212">
        <v>40908</v>
      </c>
      <c r="C1926" s="6">
        <v>1</v>
      </c>
      <c r="D1926" s="6">
        <v>365</v>
      </c>
      <c r="E1926" s="6">
        <v>2011</v>
      </c>
      <c r="F1926" s="15" t="s">
        <v>22</v>
      </c>
      <c r="G1926" s="9" t="s">
        <v>6258</v>
      </c>
      <c r="H1926" s="9" t="s">
        <v>121</v>
      </c>
      <c r="I1926" s="53" t="s">
        <v>227</v>
      </c>
      <c r="J1926" s="53" t="s">
        <v>3337</v>
      </c>
      <c r="K1926" s="13">
        <v>1</v>
      </c>
      <c r="L1926" s="233">
        <v>1</v>
      </c>
      <c r="M1926" s="13">
        <v>0</v>
      </c>
      <c r="N1926" s="13">
        <v>0</v>
      </c>
      <c r="O1926" s="13">
        <v>0</v>
      </c>
      <c r="P1926" s="13">
        <v>0</v>
      </c>
      <c r="Q1926" s="13">
        <v>0</v>
      </c>
      <c r="R1926" s="26">
        <v>0</v>
      </c>
      <c r="S1926" s="19" t="s">
        <v>1219</v>
      </c>
      <c r="T1926" s="257">
        <f t="shared" si="67"/>
        <v>2</v>
      </c>
      <c r="U1926" s="257">
        <f t="shared" si="68"/>
        <v>0</v>
      </c>
      <c r="V1926">
        <v>1</v>
      </c>
      <c r="W1926">
        <v>0</v>
      </c>
    </row>
    <row r="1927" spans="1:23" ht="22.8" x14ac:dyDescent="0.3">
      <c r="A1927" s="212">
        <v>40544</v>
      </c>
      <c r="B1927" s="212">
        <v>40908</v>
      </c>
      <c r="C1927" s="6">
        <v>1</v>
      </c>
      <c r="D1927" s="6">
        <v>365</v>
      </c>
      <c r="E1927" s="6">
        <v>2011</v>
      </c>
      <c r="F1927" s="15" t="s">
        <v>22</v>
      </c>
      <c r="G1927" s="9" t="s">
        <v>6258</v>
      </c>
      <c r="H1927" s="9" t="s">
        <v>70</v>
      </c>
      <c r="I1927" s="53" t="s">
        <v>3338</v>
      </c>
      <c r="J1927" s="53" t="s">
        <v>3339</v>
      </c>
      <c r="K1927" s="13">
        <v>1</v>
      </c>
      <c r="L1927" s="233">
        <v>1</v>
      </c>
      <c r="M1927" s="13">
        <v>0</v>
      </c>
      <c r="N1927" s="13">
        <v>0</v>
      </c>
      <c r="O1927" s="13">
        <v>0</v>
      </c>
      <c r="P1927" s="13">
        <v>0</v>
      </c>
      <c r="Q1927" s="13">
        <v>0</v>
      </c>
      <c r="R1927" s="26">
        <v>0</v>
      </c>
      <c r="S1927" s="19" t="s">
        <v>1219</v>
      </c>
      <c r="T1927" s="257">
        <f t="shared" si="67"/>
        <v>2</v>
      </c>
      <c r="U1927" s="257">
        <f t="shared" si="68"/>
        <v>0</v>
      </c>
      <c r="V1927">
        <v>1</v>
      </c>
      <c r="W1927">
        <v>0</v>
      </c>
    </row>
    <row r="1928" spans="1:23" ht="45.6" x14ac:dyDescent="0.3">
      <c r="A1928" s="212">
        <v>40544</v>
      </c>
      <c r="B1928" s="212">
        <v>40908</v>
      </c>
      <c r="C1928" s="6">
        <v>1</v>
      </c>
      <c r="D1928" s="6">
        <v>365</v>
      </c>
      <c r="E1928" s="6">
        <v>2011</v>
      </c>
      <c r="F1928" s="15" t="s">
        <v>22</v>
      </c>
      <c r="G1928" s="9" t="s">
        <v>6258</v>
      </c>
      <c r="H1928" s="9" t="s">
        <v>74</v>
      </c>
      <c r="I1928" s="53" t="s">
        <v>3340</v>
      </c>
      <c r="J1928" s="53" t="s">
        <v>3341</v>
      </c>
      <c r="K1928" s="13">
        <v>12</v>
      </c>
      <c r="L1928" s="233">
        <v>12</v>
      </c>
      <c r="M1928" s="13">
        <v>0</v>
      </c>
      <c r="N1928" s="13">
        <v>0</v>
      </c>
      <c r="O1928" s="13">
        <v>0</v>
      </c>
      <c r="P1928" s="13">
        <v>0</v>
      </c>
      <c r="Q1928" s="13">
        <v>0</v>
      </c>
      <c r="R1928" s="26">
        <v>0</v>
      </c>
      <c r="S1928" s="19" t="s">
        <v>1219</v>
      </c>
      <c r="T1928" s="257">
        <f t="shared" si="67"/>
        <v>24</v>
      </c>
      <c r="U1928" s="257">
        <f t="shared" si="68"/>
        <v>0</v>
      </c>
      <c r="V1928">
        <v>1</v>
      </c>
      <c r="W1928">
        <v>0</v>
      </c>
    </row>
    <row r="1929" spans="1:23" ht="45.6" x14ac:dyDescent="0.3">
      <c r="A1929" s="211">
        <v>40909</v>
      </c>
      <c r="B1929" s="211">
        <v>40909</v>
      </c>
      <c r="C1929" s="6">
        <v>1</v>
      </c>
      <c r="D1929" s="6">
        <v>1</v>
      </c>
      <c r="E1929" s="19">
        <v>2012</v>
      </c>
      <c r="F1929" s="15" t="s">
        <v>22</v>
      </c>
      <c r="G1929" s="18" t="s">
        <v>6256</v>
      </c>
      <c r="H1929" s="9" t="s">
        <v>61</v>
      </c>
      <c r="I1929" s="20" t="s">
        <v>1042</v>
      </c>
      <c r="J1929" s="21" t="s">
        <v>3342</v>
      </c>
      <c r="K1929" s="22">
        <v>0</v>
      </c>
      <c r="L1929" s="234">
        <v>325</v>
      </c>
      <c r="M1929" s="23">
        <v>0</v>
      </c>
      <c r="N1929" s="23">
        <v>0</v>
      </c>
      <c r="O1929" s="23">
        <v>0</v>
      </c>
      <c r="P1929" s="23">
        <v>0</v>
      </c>
      <c r="Q1929" s="23">
        <v>325</v>
      </c>
      <c r="R1929" s="24">
        <v>11.478999999999999</v>
      </c>
      <c r="S1929" s="19" t="s">
        <v>1235</v>
      </c>
      <c r="T1929" s="257">
        <f t="shared" si="67"/>
        <v>325</v>
      </c>
      <c r="U1929" s="257">
        <f t="shared" si="68"/>
        <v>0</v>
      </c>
      <c r="V1929">
        <v>1</v>
      </c>
      <c r="W1929">
        <v>0</v>
      </c>
    </row>
    <row r="1930" spans="1:23" ht="57" x14ac:dyDescent="0.3">
      <c r="A1930" s="211">
        <v>40909</v>
      </c>
      <c r="B1930" s="211">
        <v>40909</v>
      </c>
      <c r="C1930" s="6">
        <v>1</v>
      </c>
      <c r="D1930" s="6">
        <v>1</v>
      </c>
      <c r="E1930" s="19">
        <v>2012</v>
      </c>
      <c r="F1930" s="15" t="s">
        <v>22</v>
      </c>
      <c r="G1930" s="18" t="s">
        <v>6256</v>
      </c>
      <c r="H1930" s="9" t="s">
        <v>61</v>
      </c>
      <c r="I1930" s="20" t="s">
        <v>3343</v>
      </c>
      <c r="J1930" s="21" t="s">
        <v>3344</v>
      </c>
      <c r="K1930" s="22">
        <v>0</v>
      </c>
      <c r="L1930" s="234">
        <v>449</v>
      </c>
      <c r="M1930" s="23">
        <v>0</v>
      </c>
      <c r="N1930" s="23">
        <v>0</v>
      </c>
      <c r="O1930" s="23">
        <v>0</v>
      </c>
      <c r="P1930" s="23">
        <v>0</v>
      </c>
      <c r="Q1930" s="23">
        <v>438</v>
      </c>
      <c r="R1930" s="24">
        <v>2.2839999999999998</v>
      </c>
      <c r="S1930" s="19" t="s">
        <v>1235</v>
      </c>
      <c r="T1930" s="257">
        <f t="shared" si="67"/>
        <v>449</v>
      </c>
      <c r="U1930" s="257">
        <f t="shared" si="68"/>
        <v>0</v>
      </c>
      <c r="V1930">
        <v>1</v>
      </c>
      <c r="W1930">
        <v>0</v>
      </c>
    </row>
    <row r="1931" spans="1:23" ht="79.8" x14ac:dyDescent="0.3">
      <c r="A1931" s="211">
        <v>40909</v>
      </c>
      <c r="B1931" s="211">
        <v>40939</v>
      </c>
      <c r="C1931" s="6">
        <v>1</v>
      </c>
      <c r="D1931" s="6">
        <v>31</v>
      </c>
      <c r="E1931" s="19">
        <v>2012</v>
      </c>
      <c r="F1931" s="15" t="s">
        <v>22</v>
      </c>
      <c r="G1931" s="16" t="s">
        <v>23</v>
      </c>
      <c r="H1931" s="9" t="s">
        <v>37</v>
      </c>
      <c r="I1931" s="20" t="s">
        <v>3345</v>
      </c>
      <c r="J1931" s="21" t="s">
        <v>3346</v>
      </c>
      <c r="K1931" s="22">
        <v>0</v>
      </c>
      <c r="L1931" s="234">
        <v>1408</v>
      </c>
      <c r="M1931" s="23">
        <v>0</v>
      </c>
      <c r="N1931" s="23">
        <v>0</v>
      </c>
      <c r="O1931" s="23">
        <v>0</v>
      </c>
      <c r="P1931" s="23">
        <v>0</v>
      </c>
      <c r="Q1931" s="23">
        <v>872.72</v>
      </c>
      <c r="R1931" s="24">
        <v>17.693999999999999</v>
      </c>
      <c r="S1931" s="19" t="s">
        <v>1235</v>
      </c>
      <c r="T1931" s="257">
        <f t="shared" si="67"/>
        <v>1408</v>
      </c>
      <c r="U1931" s="257">
        <f t="shared" si="68"/>
        <v>0</v>
      </c>
      <c r="V1931">
        <v>1</v>
      </c>
      <c r="W1931">
        <v>0</v>
      </c>
    </row>
    <row r="1932" spans="1:23" ht="79.8" x14ac:dyDescent="0.3">
      <c r="A1932" s="211">
        <v>40950</v>
      </c>
      <c r="B1932" s="211">
        <v>40951</v>
      </c>
      <c r="C1932" s="6">
        <v>2</v>
      </c>
      <c r="D1932" s="6">
        <v>2</v>
      </c>
      <c r="E1932" s="19">
        <v>2012</v>
      </c>
      <c r="F1932" s="15" t="s">
        <v>22</v>
      </c>
      <c r="G1932" s="18" t="s">
        <v>6256</v>
      </c>
      <c r="H1932" s="9" t="s">
        <v>52</v>
      </c>
      <c r="I1932" s="20" t="s">
        <v>3347</v>
      </c>
      <c r="J1932" s="21" t="s">
        <v>3348</v>
      </c>
      <c r="K1932" s="22">
        <v>0</v>
      </c>
      <c r="L1932" s="234">
        <v>208</v>
      </c>
      <c r="M1932" s="23">
        <v>0</v>
      </c>
      <c r="N1932" s="23">
        <v>0</v>
      </c>
      <c r="O1932" s="23">
        <v>0</v>
      </c>
      <c r="P1932" s="23">
        <v>0</v>
      </c>
      <c r="Q1932" s="23">
        <v>436.65</v>
      </c>
      <c r="R1932" s="24">
        <v>87.608000000000004</v>
      </c>
      <c r="S1932" s="19" t="s">
        <v>1235</v>
      </c>
      <c r="T1932" s="257">
        <f t="shared" si="67"/>
        <v>208</v>
      </c>
      <c r="U1932" s="257">
        <f t="shared" si="68"/>
        <v>0</v>
      </c>
      <c r="V1932">
        <v>1</v>
      </c>
      <c r="W1932">
        <v>0</v>
      </c>
    </row>
    <row r="1933" spans="1:23" ht="34.200000000000003" x14ac:dyDescent="0.3">
      <c r="A1933" s="211">
        <v>40949</v>
      </c>
      <c r="B1933" s="211">
        <v>40950</v>
      </c>
      <c r="C1933" s="6">
        <v>2</v>
      </c>
      <c r="D1933" s="6">
        <v>2</v>
      </c>
      <c r="E1933" s="19">
        <v>2012</v>
      </c>
      <c r="F1933" s="15" t="s">
        <v>22</v>
      </c>
      <c r="G1933" s="18" t="s">
        <v>6256</v>
      </c>
      <c r="H1933" s="9" t="s">
        <v>52</v>
      </c>
      <c r="I1933" s="20" t="s">
        <v>1163</v>
      </c>
      <c r="J1933" s="21" t="s">
        <v>3349</v>
      </c>
      <c r="K1933" s="22">
        <v>0</v>
      </c>
      <c r="L1933" s="234">
        <v>12</v>
      </c>
      <c r="M1933" s="23">
        <v>0</v>
      </c>
      <c r="N1933" s="23">
        <v>0</v>
      </c>
      <c r="O1933" s="23">
        <v>0</v>
      </c>
      <c r="P1933" s="23">
        <v>0</v>
      </c>
      <c r="Q1933" s="23">
        <v>16</v>
      </c>
      <c r="R1933" s="24">
        <v>0.27400000000000002</v>
      </c>
      <c r="S1933" s="19" t="s">
        <v>1235</v>
      </c>
      <c r="T1933" s="257">
        <f t="shared" si="67"/>
        <v>12</v>
      </c>
      <c r="U1933" s="257">
        <f t="shared" si="68"/>
        <v>0</v>
      </c>
      <c r="V1933">
        <v>1</v>
      </c>
      <c r="W1933">
        <v>0</v>
      </c>
    </row>
    <row r="1934" spans="1:23" ht="57" x14ac:dyDescent="0.3">
      <c r="A1934" s="211">
        <v>40978</v>
      </c>
      <c r="B1934" s="211">
        <v>40978</v>
      </c>
      <c r="C1934" s="6">
        <v>3</v>
      </c>
      <c r="D1934" s="6">
        <v>1</v>
      </c>
      <c r="E1934" s="19">
        <v>2012</v>
      </c>
      <c r="F1934" s="15" t="s">
        <v>22</v>
      </c>
      <c r="G1934" s="82" t="s">
        <v>6256</v>
      </c>
      <c r="H1934" s="9" t="s">
        <v>52</v>
      </c>
      <c r="I1934" s="20" t="s">
        <v>3350</v>
      </c>
      <c r="J1934" s="21" t="s">
        <v>3351</v>
      </c>
      <c r="K1934" s="22">
        <v>0</v>
      </c>
      <c r="L1934" s="234">
        <v>103</v>
      </c>
      <c r="M1934" s="23">
        <v>0</v>
      </c>
      <c r="N1934" s="23">
        <v>0</v>
      </c>
      <c r="O1934" s="23">
        <v>0</v>
      </c>
      <c r="P1934" s="23">
        <v>0</v>
      </c>
      <c r="Q1934" s="23">
        <v>248.96</v>
      </c>
      <c r="R1934" s="24">
        <v>24.896000000000001</v>
      </c>
      <c r="S1934" s="19" t="s">
        <v>1235</v>
      </c>
      <c r="T1934" s="257">
        <f t="shared" si="67"/>
        <v>103</v>
      </c>
      <c r="U1934" s="257">
        <f t="shared" si="68"/>
        <v>0</v>
      </c>
      <c r="V1934">
        <v>1</v>
      </c>
      <c r="W1934">
        <v>0</v>
      </c>
    </row>
    <row r="1935" spans="1:23" ht="57" x14ac:dyDescent="0.3">
      <c r="A1935" s="211">
        <v>40988</v>
      </c>
      <c r="B1935" s="211">
        <v>40988</v>
      </c>
      <c r="C1935" s="6">
        <v>3</v>
      </c>
      <c r="D1935" s="6">
        <v>1</v>
      </c>
      <c r="E1935" s="19">
        <v>2012</v>
      </c>
      <c r="F1935" s="15" t="s">
        <v>22</v>
      </c>
      <c r="G1935" s="82" t="s">
        <v>6256</v>
      </c>
      <c r="H1935" s="9" t="s">
        <v>34</v>
      </c>
      <c r="I1935" s="20" t="s">
        <v>3352</v>
      </c>
      <c r="J1935" s="21" t="s">
        <v>3353</v>
      </c>
      <c r="K1935" s="22">
        <v>0</v>
      </c>
      <c r="L1935" s="234">
        <v>38</v>
      </c>
      <c r="M1935" s="23">
        <v>0</v>
      </c>
      <c r="N1935" s="23">
        <v>0</v>
      </c>
      <c r="O1935" s="23">
        <v>0</v>
      </c>
      <c r="P1935" s="23">
        <v>0</v>
      </c>
      <c r="Q1935" s="23">
        <v>215.4</v>
      </c>
      <c r="R1935" s="24">
        <v>8.6430000000000007</v>
      </c>
      <c r="S1935" s="19" t="s">
        <v>1235</v>
      </c>
      <c r="T1935" s="257">
        <f t="shared" si="67"/>
        <v>38</v>
      </c>
      <c r="U1935" s="257">
        <f t="shared" si="68"/>
        <v>0</v>
      </c>
      <c r="V1935">
        <v>1</v>
      </c>
      <c r="W1935">
        <v>0</v>
      </c>
    </row>
    <row r="1936" spans="1:23" ht="45.6" x14ac:dyDescent="0.3">
      <c r="A1936" s="211">
        <v>40999</v>
      </c>
      <c r="B1936" s="211">
        <v>40999</v>
      </c>
      <c r="C1936" s="6">
        <v>3</v>
      </c>
      <c r="D1936" s="6">
        <v>1</v>
      </c>
      <c r="E1936" s="19">
        <v>2012</v>
      </c>
      <c r="F1936" s="15" t="s">
        <v>22</v>
      </c>
      <c r="G1936" s="18" t="s">
        <v>6256</v>
      </c>
      <c r="H1936" s="9" t="s">
        <v>61</v>
      </c>
      <c r="I1936" s="20" t="s">
        <v>3207</v>
      </c>
      <c r="J1936" s="21" t="s">
        <v>3354</v>
      </c>
      <c r="K1936" s="22">
        <v>0</v>
      </c>
      <c r="L1936" s="234">
        <v>466</v>
      </c>
      <c r="M1936" s="23">
        <v>0</v>
      </c>
      <c r="N1936" s="23">
        <v>0</v>
      </c>
      <c r="O1936" s="23">
        <v>0</v>
      </c>
      <c r="P1936" s="23">
        <v>0</v>
      </c>
      <c r="Q1936" s="23">
        <v>466</v>
      </c>
      <c r="R1936" s="24">
        <v>2.4300000000000002</v>
      </c>
      <c r="S1936" s="19" t="s">
        <v>1235</v>
      </c>
      <c r="T1936" s="257">
        <f t="shared" si="67"/>
        <v>466</v>
      </c>
      <c r="U1936" s="257">
        <f t="shared" si="68"/>
        <v>0</v>
      </c>
      <c r="V1936">
        <v>1</v>
      </c>
      <c r="W1936">
        <v>0</v>
      </c>
    </row>
    <row r="1937" spans="1:23" ht="182.4" x14ac:dyDescent="0.3">
      <c r="A1937" s="211">
        <v>40969</v>
      </c>
      <c r="B1937" s="211">
        <v>40999</v>
      </c>
      <c r="C1937" s="6">
        <v>3</v>
      </c>
      <c r="D1937" s="6">
        <v>31</v>
      </c>
      <c r="E1937" s="19">
        <v>2012</v>
      </c>
      <c r="F1937" s="15" t="s">
        <v>22</v>
      </c>
      <c r="G1937" s="16" t="s">
        <v>23</v>
      </c>
      <c r="H1937" s="9" t="s">
        <v>37</v>
      </c>
      <c r="I1937" s="20" t="s">
        <v>3355</v>
      </c>
      <c r="J1937" s="21" t="s">
        <v>3356</v>
      </c>
      <c r="K1937" s="22">
        <v>0</v>
      </c>
      <c r="L1937" s="234">
        <v>767</v>
      </c>
      <c r="M1937" s="23">
        <v>0</v>
      </c>
      <c r="N1937" s="23">
        <v>0</v>
      </c>
      <c r="O1937" s="23">
        <v>0</v>
      </c>
      <c r="P1937" s="23">
        <v>0</v>
      </c>
      <c r="Q1937" s="23">
        <v>0</v>
      </c>
      <c r="R1937" s="24">
        <v>7.8390000000000004</v>
      </c>
      <c r="S1937" s="19" t="s">
        <v>1235</v>
      </c>
      <c r="T1937" s="257">
        <f t="shared" si="67"/>
        <v>767</v>
      </c>
      <c r="U1937" s="257">
        <f t="shared" si="68"/>
        <v>0</v>
      </c>
      <c r="V1937">
        <v>1</v>
      </c>
      <c r="W1937">
        <v>0</v>
      </c>
    </row>
    <row r="1938" spans="1:23" ht="45.6" x14ac:dyDescent="0.3">
      <c r="A1938" s="211">
        <v>40999</v>
      </c>
      <c r="B1938" s="211">
        <v>40999</v>
      </c>
      <c r="C1938" s="6">
        <v>3</v>
      </c>
      <c r="D1938" s="6">
        <v>1</v>
      </c>
      <c r="E1938" s="19">
        <v>2012</v>
      </c>
      <c r="F1938" s="15" t="s">
        <v>22</v>
      </c>
      <c r="G1938" s="18" t="s">
        <v>6256</v>
      </c>
      <c r="H1938" s="9" t="s">
        <v>174</v>
      </c>
      <c r="I1938" s="20" t="s">
        <v>679</v>
      </c>
      <c r="J1938" s="21" t="s">
        <v>3357</v>
      </c>
      <c r="K1938" s="22">
        <v>0</v>
      </c>
      <c r="L1938" s="234">
        <v>334</v>
      </c>
      <c r="M1938" s="23">
        <v>0</v>
      </c>
      <c r="N1938" s="23">
        <v>0</v>
      </c>
      <c r="O1938" s="23">
        <v>0</v>
      </c>
      <c r="P1938" s="23">
        <v>0</v>
      </c>
      <c r="Q1938" s="23">
        <v>915</v>
      </c>
      <c r="R1938" s="24">
        <v>90.1</v>
      </c>
      <c r="S1938" s="19" t="s">
        <v>1235</v>
      </c>
      <c r="T1938" s="257">
        <f t="shared" si="67"/>
        <v>334</v>
      </c>
      <c r="U1938" s="257">
        <f t="shared" si="68"/>
        <v>0</v>
      </c>
      <c r="V1938">
        <v>1</v>
      </c>
      <c r="W1938">
        <v>0</v>
      </c>
    </row>
    <row r="1939" spans="1:23" ht="45.6" x14ac:dyDescent="0.3">
      <c r="A1939" s="211">
        <v>40998</v>
      </c>
      <c r="B1939" s="211">
        <v>40998</v>
      </c>
      <c r="C1939" s="6">
        <v>3</v>
      </c>
      <c r="D1939" s="6">
        <v>1</v>
      </c>
      <c r="E1939" s="19">
        <v>2012</v>
      </c>
      <c r="F1939" s="15" t="s">
        <v>22</v>
      </c>
      <c r="G1939" s="82" t="s">
        <v>6256</v>
      </c>
      <c r="H1939" s="9" t="s">
        <v>174</v>
      </c>
      <c r="I1939" s="20" t="s">
        <v>3358</v>
      </c>
      <c r="J1939" s="21" t="s">
        <v>3359</v>
      </c>
      <c r="K1939" s="22">
        <v>0</v>
      </c>
      <c r="L1939" s="234">
        <v>405</v>
      </c>
      <c r="M1939" s="23">
        <v>0</v>
      </c>
      <c r="N1939" s="23">
        <v>0</v>
      </c>
      <c r="O1939" s="23">
        <v>0</v>
      </c>
      <c r="P1939" s="23">
        <v>0</v>
      </c>
      <c r="Q1939" s="23">
        <v>541</v>
      </c>
      <c r="R1939" s="24">
        <v>59.530999999999999</v>
      </c>
      <c r="S1939" s="19" t="s">
        <v>1235</v>
      </c>
      <c r="T1939" s="257">
        <f t="shared" si="67"/>
        <v>405</v>
      </c>
      <c r="U1939" s="257">
        <f t="shared" si="68"/>
        <v>0</v>
      </c>
      <c r="V1939">
        <v>1</v>
      </c>
      <c r="W1939">
        <v>0</v>
      </c>
    </row>
    <row r="1940" spans="1:23" ht="45.6" x14ac:dyDescent="0.3">
      <c r="A1940" s="211">
        <v>41015</v>
      </c>
      <c r="B1940" s="211">
        <v>41015</v>
      </c>
      <c r="C1940" s="6">
        <v>4</v>
      </c>
      <c r="D1940" s="6">
        <v>1</v>
      </c>
      <c r="E1940" s="19">
        <v>2012</v>
      </c>
      <c r="F1940" s="15" t="s">
        <v>22</v>
      </c>
      <c r="G1940" s="82" t="s">
        <v>6256</v>
      </c>
      <c r="H1940" s="9" t="s">
        <v>34</v>
      </c>
      <c r="I1940" s="20" t="s">
        <v>3360</v>
      </c>
      <c r="J1940" s="21" t="s">
        <v>3361</v>
      </c>
      <c r="K1940" s="22">
        <v>0</v>
      </c>
      <c r="L1940" s="234">
        <v>127</v>
      </c>
      <c r="M1940" s="23">
        <v>0</v>
      </c>
      <c r="N1940" s="23">
        <v>0</v>
      </c>
      <c r="O1940" s="23">
        <v>0</v>
      </c>
      <c r="P1940" s="23">
        <v>0</v>
      </c>
      <c r="Q1940" s="23">
        <v>258.33</v>
      </c>
      <c r="R1940" s="24">
        <v>26.766999999999999</v>
      </c>
      <c r="S1940" s="19" t="s">
        <v>1235</v>
      </c>
      <c r="T1940" s="257">
        <f t="shared" si="67"/>
        <v>127</v>
      </c>
      <c r="U1940" s="257">
        <f t="shared" si="68"/>
        <v>0</v>
      </c>
      <c r="V1940">
        <v>1</v>
      </c>
      <c r="W1940">
        <v>0</v>
      </c>
    </row>
    <row r="1941" spans="1:23" ht="57" x14ac:dyDescent="0.3">
      <c r="A1941" s="211">
        <v>41023</v>
      </c>
      <c r="B1941" s="211">
        <v>41024</v>
      </c>
      <c r="C1941" s="6">
        <v>4</v>
      </c>
      <c r="D1941" s="6">
        <v>2</v>
      </c>
      <c r="E1941" s="19">
        <v>2012</v>
      </c>
      <c r="F1941" s="15" t="s">
        <v>22</v>
      </c>
      <c r="G1941" s="82" t="s">
        <v>6256</v>
      </c>
      <c r="H1941" s="9" t="s">
        <v>174</v>
      </c>
      <c r="I1941" s="20" t="s">
        <v>3362</v>
      </c>
      <c r="J1941" s="21" t="s">
        <v>3363</v>
      </c>
      <c r="K1941" s="22">
        <v>0</v>
      </c>
      <c r="L1941" s="234">
        <v>2139</v>
      </c>
      <c r="M1941" s="23">
        <v>0</v>
      </c>
      <c r="N1941" s="23">
        <v>0</v>
      </c>
      <c r="O1941" s="23">
        <v>0</v>
      </c>
      <c r="P1941" s="23">
        <v>0</v>
      </c>
      <c r="Q1941" s="23">
        <v>7437</v>
      </c>
      <c r="R1941" s="24">
        <v>84.081000000000003</v>
      </c>
      <c r="S1941" s="19" t="s">
        <v>1235</v>
      </c>
      <c r="T1941" s="257">
        <f t="shared" si="67"/>
        <v>2139</v>
      </c>
      <c r="U1941" s="257">
        <f t="shared" si="68"/>
        <v>0</v>
      </c>
      <c r="V1941">
        <v>1</v>
      </c>
      <c r="W1941">
        <v>0</v>
      </c>
    </row>
    <row r="1942" spans="1:23" ht="34.200000000000003" x14ac:dyDescent="0.3">
      <c r="A1942" s="211">
        <v>41016</v>
      </c>
      <c r="B1942" s="211">
        <v>41016</v>
      </c>
      <c r="C1942" s="6">
        <v>4</v>
      </c>
      <c r="D1942" s="6">
        <v>1</v>
      </c>
      <c r="E1942" s="19">
        <v>2012</v>
      </c>
      <c r="F1942" s="15" t="s">
        <v>22</v>
      </c>
      <c r="G1942" s="18" t="s">
        <v>6256</v>
      </c>
      <c r="H1942" s="9" t="s">
        <v>174</v>
      </c>
      <c r="I1942" s="20" t="s">
        <v>3101</v>
      </c>
      <c r="J1942" s="21" t="s">
        <v>3364</v>
      </c>
      <c r="K1942" s="22">
        <v>0</v>
      </c>
      <c r="L1942" s="234">
        <v>387</v>
      </c>
      <c r="M1942" s="23">
        <v>0</v>
      </c>
      <c r="N1942" s="23">
        <v>0</v>
      </c>
      <c r="O1942" s="23">
        <v>0</v>
      </c>
      <c r="P1942" s="23">
        <v>0</v>
      </c>
      <c r="Q1942" s="23">
        <v>546</v>
      </c>
      <c r="R1942" s="24">
        <v>4.1429999999999998</v>
      </c>
      <c r="S1942" s="19" t="s">
        <v>1235</v>
      </c>
      <c r="T1942" s="257">
        <f t="shared" si="67"/>
        <v>387</v>
      </c>
      <c r="U1942" s="257">
        <f t="shared" si="68"/>
        <v>0</v>
      </c>
      <c r="V1942">
        <v>1</v>
      </c>
      <c r="W1942">
        <v>0</v>
      </c>
    </row>
    <row r="1943" spans="1:23" ht="34.200000000000003" x14ac:dyDescent="0.3">
      <c r="A1943" s="211">
        <v>41022</v>
      </c>
      <c r="B1943" s="211">
        <v>41026</v>
      </c>
      <c r="C1943" s="6">
        <v>4</v>
      </c>
      <c r="D1943" s="6">
        <v>5</v>
      </c>
      <c r="E1943" s="19">
        <v>2012</v>
      </c>
      <c r="F1943" s="15" t="s">
        <v>22</v>
      </c>
      <c r="G1943" s="82" t="s">
        <v>6256</v>
      </c>
      <c r="H1943" s="9" t="s">
        <v>174</v>
      </c>
      <c r="I1943" s="20" t="s">
        <v>3365</v>
      </c>
      <c r="J1943" s="21" t="s">
        <v>3366</v>
      </c>
      <c r="K1943" s="22">
        <v>0</v>
      </c>
      <c r="L1943" s="234">
        <v>110</v>
      </c>
      <c r="M1943" s="23">
        <v>0</v>
      </c>
      <c r="N1943" s="23">
        <v>0</v>
      </c>
      <c r="O1943" s="23">
        <v>0</v>
      </c>
      <c r="P1943" s="23">
        <v>0</v>
      </c>
      <c r="Q1943" s="23">
        <v>263.5</v>
      </c>
      <c r="R1943" s="24">
        <v>2.972</v>
      </c>
      <c r="S1943" s="19" t="s">
        <v>1235</v>
      </c>
      <c r="T1943" s="257">
        <f t="shared" si="67"/>
        <v>110</v>
      </c>
      <c r="U1943" s="257">
        <f t="shared" si="68"/>
        <v>0</v>
      </c>
      <c r="V1943">
        <v>1</v>
      </c>
      <c r="W1943">
        <v>0</v>
      </c>
    </row>
    <row r="1944" spans="1:23" ht="45.6" x14ac:dyDescent="0.3">
      <c r="A1944" s="211">
        <v>41045</v>
      </c>
      <c r="B1944" s="211">
        <v>41046</v>
      </c>
      <c r="C1944" s="6">
        <v>5</v>
      </c>
      <c r="D1944" s="6">
        <v>2</v>
      </c>
      <c r="E1944" s="19">
        <v>2012</v>
      </c>
      <c r="F1944" s="15" t="s">
        <v>22</v>
      </c>
      <c r="G1944" s="18" t="s">
        <v>6256</v>
      </c>
      <c r="H1944" s="9" t="s">
        <v>52</v>
      </c>
      <c r="I1944" s="20" t="s">
        <v>1163</v>
      </c>
      <c r="J1944" s="21" t="s">
        <v>3367</v>
      </c>
      <c r="K1944" s="22">
        <v>0</v>
      </c>
      <c r="L1944" s="234">
        <v>8</v>
      </c>
      <c r="M1944" s="23">
        <v>0</v>
      </c>
      <c r="N1944" s="23">
        <v>0</v>
      </c>
      <c r="O1944" s="23">
        <v>0</v>
      </c>
      <c r="P1944" s="23">
        <v>0</v>
      </c>
      <c r="Q1944" s="23">
        <v>30</v>
      </c>
      <c r="R1944" s="24">
        <v>0.51300000000000001</v>
      </c>
      <c r="S1944" s="19" t="s">
        <v>1235</v>
      </c>
      <c r="T1944" s="257">
        <f t="shared" si="67"/>
        <v>8</v>
      </c>
      <c r="U1944" s="257">
        <f t="shared" si="68"/>
        <v>0</v>
      </c>
      <c r="V1944">
        <v>1</v>
      </c>
      <c r="W1944">
        <v>0</v>
      </c>
    </row>
    <row r="1945" spans="1:23" ht="45.6" x14ac:dyDescent="0.3">
      <c r="A1945" s="211">
        <v>41061</v>
      </c>
      <c r="B1945" s="211">
        <v>41061</v>
      </c>
      <c r="C1945" s="6">
        <v>6</v>
      </c>
      <c r="D1945" s="6">
        <v>1</v>
      </c>
      <c r="E1945" s="19">
        <v>2012</v>
      </c>
      <c r="F1945" s="15" t="s">
        <v>22</v>
      </c>
      <c r="G1945" s="82" t="s">
        <v>6256</v>
      </c>
      <c r="H1945" s="9" t="s">
        <v>34</v>
      </c>
      <c r="I1945" s="20" t="s">
        <v>3368</v>
      </c>
      <c r="J1945" s="21" t="s">
        <v>3369</v>
      </c>
      <c r="K1945" s="22">
        <v>0</v>
      </c>
      <c r="L1945" s="234">
        <v>387</v>
      </c>
      <c r="M1945" s="23">
        <v>0</v>
      </c>
      <c r="N1945" s="23">
        <v>0</v>
      </c>
      <c r="O1945" s="23">
        <v>0</v>
      </c>
      <c r="P1945" s="23">
        <v>0</v>
      </c>
      <c r="Q1945" s="23">
        <v>1520.83</v>
      </c>
      <c r="R1945" s="24">
        <v>161.36000000000001</v>
      </c>
      <c r="S1945" s="19" t="s">
        <v>1235</v>
      </c>
      <c r="T1945" s="257">
        <f t="shared" si="67"/>
        <v>387</v>
      </c>
      <c r="U1945" s="257">
        <f t="shared" si="68"/>
        <v>0</v>
      </c>
      <c r="V1945">
        <v>1</v>
      </c>
      <c r="W1945">
        <v>0</v>
      </c>
    </row>
    <row r="1946" spans="1:23" ht="45.6" x14ac:dyDescent="0.3">
      <c r="A1946" s="211">
        <v>41000</v>
      </c>
      <c r="B1946" s="211">
        <v>41060</v>
      </c>
      <c r="C1946" s="6">
        <v>4</v>
      </c>
      <c r="D1946" s="6">
        <v>61</v>
      </c>
      <c r="E1946" s="19">
        <v>2012</v>
      </c>
      <c r="F1946" s="15" t="s">
        <v>22</v>
      </c>
      <c r="G1946" s="16" t="s">
        <v>23</v>
      </c>
      <c r="H1946" s="9" t="s">
        <v>52</v>
      </c>
      <c r="I1946" s="20" t="s">
        <v>3370</v>
      </c>
      <c r="J1946" s="21" t="s">
        <v>3371</v>
      </c>
      <c r="K1946" s="22">
        <v>0</v>
      </c>
      <c r="L1946" s="234">
        <v>55</v>
      </c>
      <c r="M1946" s="23">
        <v>0</v>
      </c>
      <c r="N1946" s="23">
        <v>0</v>
      </c>
      <c r="O1946" s="23">
        <v>0</v>
      </c>
      <c r="P1946" s="23">
        <v>0</v>
      </c>
      <c r="Q1946" s="23">
        <v>154.55000000000001</v>
      </c>
      <c r="R1946" s="24">
        <v>2.097</v>
      </c>
      <c r="S1946" s="19" t="s">
        <v>1235</v>
      </c>
      <c r="T1946" s="257">
        <f t="shared" si="67"/>
        <v>55</v>
      </c>
      <c r="U1946" s="257">
        <f t="shared" si="68"/>
        <v>0</v>
      </c>
      <c r="V1946">
        <v>1</v>
      </c>
      <c r="W1946">
        <v>0</v>
      </c>
    </row>
    <row r="1947" spans="1:23" ht="91.2" x14ac:dyDescent="0.3">
      <c r="A1947" s="211">
        <v>41076</v>
      </c>
      <c r="B1947" s="211">
        <v>41077</v>
      </c>
      <c r="C1947" s="6">
        <v>6</v>
      </c>
      <c r="D1947" s="6">
        <v>2</v>
      </c>
      <c r="E1947" s="19">
        <v>2012</v>
      </c>
      <c r="F1947" s="15" t="s">
        <v>22</v>
      </c>
      <c r="G1947" s="18" t="s">
        <v>6256</v>
      </c>
      <c r="H1947" s="9" t="s">
        <v>61</v>
      </c>
      <c r="I1947" s="20" t="s">
        <v>3372</v>
      </c>
      <c r="J1947" s="21" t="s">
        <v>3373</v>
      </c>
      <c r="K1947" s="22">
        <v>0</v>
      </c>
      <c r="L1947" s="234">
        <v>2598</v>
      </c>
      <c r="M1947" s="23">
        <v>0</v>
      </c>
      <c r="N1947" s="23">
        <v>0</v>
      </c>
      <c r="O1947" s="23">
        <v>0</v>
      </c>
      <c r="P1947" s="23">
        <v>12</v>
      </c>
      <c r="Q1947" s="23">
        <v>4627.3999999999996</v>
      </c>
      <c r="R1947" s="24">
        <v>175.90600000000001</v>
      </c>
      <c r="S1947" s="19" t="s">
        <v>1235</v>
      </c>
      <c r="T1947" s="257">
        <f t="shared" si="67"/>
        <v>2598</v>
      </c>
      <c r="U1947" s="257">
        <f t="shared" si="68"/>
        <v>12</v>
      </c>
      <c r="V1947">
        <v>1</v>
      </c>
      <c r="W1947">
        <v>1</v>
      </c>
    </row>
    <row r="1948" spans="1:23" ht="57" x14ac:dyDescent="0.3">
      <c r="A1948" s="211">
        <v>41077</v>
      </c>
      <c r="B1948" s="211">
        <v>41077</v>
      </c>
      <c r="C1948" s="6">
        <v>6</v>
      </c>
      <c r="D1948" s="6">
        <v>1</v>
      </c>
      <c r="E1948" s="19">
        <v>2012</v>
      </c>
      <c r="F1948" s="15" t="s">
        <v>22</v>
      </c>
      <c r="G1948" s="18" t="s">
        <v>6256</v>
      </c>
      <c r="H1948" s="9" t="s">
        <v>174</v>
      </c>
      <c r="I1948" s="20" t="s">
        <v>3374</v>
      </c>
      <c r="J1948" s="21" t="s">
        <v>3375</v>
      </c>
      <c r="K1948" s="22">
        <v>0</v>
      </c>
      <c r="L1948" s="234">
        <v>303</v>
      </c>
      <c r="M1948" s="23">
        <v>0</v>
      </c>
      <c r="N1948" s="23">
        <v>0</v>
      </c>
      <c r="O1948" s="23">
        <v>0</v>
      </c>
      <c r="P1948" s="23">
        <v>0</v>
      </c>
      <c r="Q1948" s="23">
        <v>948</v>
      </c>
      <c r="R1948" s="24">
        <v>9.7040000000000006</v>
      </c>
      <c r="S1948" s="19" t="s">
        <v>1235</v>
      </c>
      <c r="T1948" s="257">
        <f t="shared" si="67"/>
        <v>303</v>
      </c>
      <c r="U1948" s="257">
        <f t="shared" si="68"/>
        <v>0</v>
      </c>
      <c r="V1948">
        <v>1</v>
      </c>
      <c r="W1948">
        <v>0</v>
      </c>
    </row>
    <row r="1949" spans="1:23" ht="45.6" x14ac:dyDescent="0.3">
      <c r="A1949" s="212">
        <v>41002</v>
      </c>
      <c r="B1949" s="212">
        <v>41002</v>
      </c>
      <c r="C1949" s="6">
        <v>4</v>
      </c>
      <c r="D1949" s="6">
        <v>1</v>
      </c>
      <c r="E1949" s="19">
        <v>2012</v>
      </c>
      <c r="F1949" s="15" t="s">
        <v>22</v>
      </c>
      <c r="G1949" s="82" t="s">
        <v>6256</v>
      </c>
      <c r="H1949" s="9" t="s">
        <v>34</v>
      </c>
      <c r="I1949" s="20" t="s">
        <v>3376</v>
      </c>
      <c r="J1949" s="21" t="s">
        <v>3377</v>
      </c>
      <c r="K1949" s="22">
        <v>0</v>
      </c>
      <c r="L1949" s="234">
        <v>926</v>
      </c>
      <c r="M1949" s="23">
        <v>0</v>
      </c>
      <c r="N1949" s="23">
        <v>0</v>
      </c>
      <c r="O1949" s="23">
        <v>0</v>
      </c>
      <c r="P1949" s="23">
        <v>0</v>
      </c>
      <c r="Q1949" s="23">
        <v>4649.74</v>
      </c>
      <c r="R1949" s="24">
        <v>481.78399999999999</v>
      </c>
      <c r="S1949" s="19" t="s">
        <v>1235</v>
      </c>
      <c r="T1949" s="257">
        <f t="shared" si="67"/>
        <v>926</v>
      </c>
      <c r="U1949" s="257">
        <f t="shared" si="68"/>
        <v>0</v>
      </c>
      <c r="V1949">
        <v>1</v>
      </c>
      <c r="W1949">
        <v>0</v>
      </c>
    </row>
    <row r="1950" spans="1:23" ht="171" x14ac:dyDescent="0.3">
      <c r="A1950" s="211">
        <v>41061</v>
      </c>
      <c r="B1950" s="211">
        <v>41090</v>
      </c>
      <c r="C1950" s="6">
        <v>6</v>
      </c>
      <c r="D1950" s="6">
        <v>30</v>
      </c>
      <c r="E1950" s="19">
        <v>2012</v>
      </c>
      <c r="F1950" s="15" t="s">
        <v>22</v>
      </c>
      <c r="G1950" s="16" t="s">
        <v>23</v>
      </c>
      <c r="H1950" s="9" t="s">
        <v>37</v>
      </c>
      <c r="I1950" s="20" t="s">
        <v>3378</v>
      </c>
      <c r="J1950" s="21" t="s">
        <v>3379</v>
      </c>
      <c r="K1950" s="22">
        <v>0</v>
      </c>
      <c r="L1950" s="234">
        <v>979</v>
      </c>
      <c r="M1950" s="23">
        <v>0</v>
      </c>
      <c r="N1950" s="23">
        <v>0</v>
      </c>
      <c r="O1950" s="23">
        <v>0</v>
      </c>
      <c r="P1950" s="23">
        <v>0</v>
      </c>
      <c r="Q1950" s="23">
        <v>0</v>
      </c>
      <c r="R1950" s="24">
        <v>8.8569999999999993</v>
      </c>
      <c r="S1950" s="19" t="s">
        <v>1235</v>
      </c>
      <c r="T1950" s="257">
        <f t="shared" si="67"/>
        <v>979</v>
      </c>
      <c r="U1950" s="257">
        <f t="shared" si="68"/>
        <v>0</v>
      </c>
      <c r="V1950">
        <v>1</v>
      </c>
      <c r="W1950">
        <v>0</v>
      </c>
    </row>
    <row r="1951" spans="1:23" ht="79.8" x14ac:dyDescent="0.3">
      <c r="A1951" s="211">
        <v>41030</v>
      </c>
      <c r="B1951" s="211">
        <v>41121</v>
      </c>
      <c r="C1951" s="6">
        <v>5</v>
      </c>
      <c r="D1951" s="6">
        <v>92</v>
      </c>
      <c r="E1951" s="19">
        <v>2012</v>
      </c>
      <c r="F1951" s="15" t="s">
        <v>22</v>
      </c>
      <c r="G1951" s="16" t="s">
        <v>23</v>
      </c>
      <c r="H1951" s="9" t="s">
        <v>41</v>
      </c>
      <c r="I1951" s="20" t="s">
        <v>3380</v>
      </c>
      <c r="J1951" s="21" t="s">
        <v>3381</v>
      </c>
      <c r="K1951" s="22">
        <v>0</v>
      </c>
      <c r="L1951" s="234">
        <v>4228</v>
      </c>
      <c r="M1951" s="23">
        <v>0</v>
      </c>
      <c r="N1951" s="23">
        <v>0</v>
      </c>
      <c r="O1951" s="23">
        <v>0</v>
      </c>
      <c r="P1951" s="23">
        <v>0</v>
      </c>
      <c r="Q1951" s="23">
        <v>6010.36</v>
      </c>
      <c r="R1951" s="24">
        <v>147.33799999999999</v>
      </c>
      <c r="S1951" s="19" t="s">
        <v>1235</v>
      </c>
      <c r="T1951" s="257">
        <f t="shared" si="67"/>
        <v>4228</v>
      </c>
      <c r="U1951" s="257">
        <f t="shared" si="68"/>
        <v>0</v>
      </c>
      <c r="V1951">
        <v>1</v>
      </c>
      <c r="W1951">
        <v>0</v>
      </c>
    </row>
    <row r="1952" spans="1:23" ht="68.400000000000006" x14ac:dyDescent="0.3">
      <c r="A1952" s="211">
        <v>41130</v>
      </c>
      <c r="B1952" s="211">
        <v>41133</v>
      </c>
      <c r="C1952" s="6">
        <v>8</v>
      </c>
      <c r="D1952" s="6">
        <v>4</v>
      </c>
      <c r="E1952" s="19">
        <v>2012</v>
      </c>
      <c r="F1952" s="15" t="s">
        <v>22</v>
      </c>
      <c r="G1952" s="18" t="s">
        <v>6256</v>
      </c>
      <c r="H1952" s="9" t="s">
        <v>174</v>
      </c>
      <c r="I1952" s="20" t="s">
        <v>3382</v>
      </c>
      <c r="J1952" s="21" t="s">
        <v>3383</v>
      </c>
      <c r="K1952" s="22">
        <v>0</v>
      </c>
      <c r="L1952" s="234">
        <v>2406</v>
      </c>
      <c r="M1952" s="23">
        <v>0</v>
      </c>
      <c r="N1952" s="23">
        <v>0</v>
      </c>
      <c r="O1952" s="23">
        <v>0</v>
      </c>
      <c r="P1952" s="23">
        <v>12</v>
      </c>
      <c r="Q1952" s="23">
        <v>5517</v>
      </c>
      <c r="R1952" s="24">
        <v>147.84399999999999</v>
      </c>
      <c r="S1952" s="19" t="s">
        <v>1235</v>
      </c>
      <c r="T1952" s="257">
        <f t="shared" si="67"/>
        <v>2406</v>
      </c>
      <c r="U1952" s="257">
        <f t="shared" si="68"/>
        <v>12</v>
      </c>
      <c r="V1952">
        <v>1</v>
      </c>
      <c r="W1952">
        <v>1</v>
      </c>
    </row>
    <row r="1953" spans="1:23" ht="57" x14ac:dyDescent="0.3">
      <c r="A1953" s="211">
        <v>41137</v>
      </c>
      <c r="B1953" s="211">
        <v>41137</v>
      </c>
      <c r="C1953" s="6">
        <v>8</v>
      </c>
      <c r="D1953" s="6">
        <v>1</v>
      </c>
      <c r="E1953" s="19">
        <v>2012</v>
      </c>
      <c r="F1953" s="15" t="s">
        <v>22</v>
      </c>
      <c r="G1953" s="82" t="s">
        <v>6256</v>
      </c>
      <c r="H1953" s="9" t="s">
        <v>52</v>
      </c>
      <c r="I1953" s="20" t="s">
        <v>2606</v>
      </c>
      <c r="J1953" s="21" t="s">
        <v>3384</v>
      </c>
      <c r="K1953" s="22">
        <v>0</v>
      </c>
      <c r="L1953" s="234">
        <v>111</v>
      </c>
      <c r="M1953" s="23">
        <v>0</v>
      </c>
      <c r="N1953" s="23">
        <v>0</v>
      </c>
      <c r="O1953" s="23">
        <v>0</v>
      </c>
      <c r="P1953" s="23">
        <v>0</v>
      </c>
      <c r="Q1953" s="23">
        <v>416.52</v>
      </c>
      <c r="R1953" s="24">
        <v>6.5339999999999998</v>
      </c>
      <c r="S1953" s="19" t="s">
        <v>1235</v>
      </c>
      <c r="T1953" s="257">
        <f t="shared" si="67"/>
        <v>111</v>
      </c>
      <c r="U1953" s="257">
        <f t="shared" si="68"/>
        <v>0</v>
      </c>
      <c r="V1953">
        <v>1</v>
      </c>
      <c r="W1953">
        <v>0</v>
      </c>
    </row>
    <row r="1954" spans="1:23" ht="45.6" x14ac:dyDescent="0.3">
      <c r="A1954" s="211">
        <v>41153</v>
      </c>
      <c r="B1954" s="211">
        <v>41182</v>
      </c>
      <c r="C1954" s="6">
        <v>9</v>
      </c>
      <c r="D1954" s="6">
        <v>30</v>
      </c>
      <c r="E1954" s="19">
        <v>2012</v>
      </c>
      <c r="F1954" s="15" t="s">
        <v>22</v>
      </c>
      <c r="G1954" s="16" t="s">
        <v>23</v>
      </c>
      <c r="H1954" s="9" t="s">
        <v>52</v>
      </c>
      <c r="I1954" s="20" t="s">
        <v>995</v>
      </c>
      <c r="J1954" s="21" t="s">
        <v>3385</v>
      </c>
      <c r="K1954" s="22">
        <v>0</v>
      </c>
      <c r="L1954" s="234">
        <v>4133</v>
      </c>
      <c r="M1954" s="23">
        <v>0</v>
      </c>
      <c r="N1954" s="23">
        <v>0</v>
      </c>
      <c r="O1954" s="23">
        <v>0</v>
      </c>
      <c r="P1954" s="23">
        <v>0</v>
      </c>
      <c r="Q1954" s="23">
        <v>12601.13</v>
      </c>
      <c r="R1954" s="24">
        <v>177.93100000000001</v>
      </c>
      <c r="S1954" s="19" t="s">
        <v>1235</v>
      </c>
      <c r="T1954" s="257">
        <f t="shared" si="67"/>
        <v>4133</v>
      </c>
      <c r="U1954" s="257">
        <f t="shared" si="68"/>
        <v>0</v>
      </c>
      <c r="V1954">
        <v>1</v>
      </c>
      <c r="W1954">
        <v>0</v>
      </c>
    </row>
    <row r="1955" spans="1:23" ht="57" x14ac:dyDescent="0.3">
      <c r="A1955" s="211">
        <v>41122</v>
      </c>
      <c r="B1955" s="211">
        <v>41213</v>
      </c>
      <c r="C1955" s="6">
        <v>8</v>
      </c>
      <c r="D1955" s="6">
        <v>92</v>
      </c>
      <c r="E1955" s="19">
        <v>2012</v>
      </c>
      <c r="F1955" s="15" t="s">
        <v>22</v>
      </c>
      <c r="G1955" s="16" t="s">
        <v>23</v>
      </c>
      <c r="H1955" s="9" t="s">
        <v>52</v>
      </c>
      <c r="I1955" s="20" t="s">
        <v>3386</v>
      </c>
      <c r="J1955" s="21" t="s">
        <v>3387</v>
      </c>
      <c r="K1955" s="22">
        <v>0</v>
      </c>
      <c r="L1955" s="234">
        <v>2526</v>
      </c>
      <c r="M1955" s="23">
        <v>0</v>
      </c>
      <c r="N1955" s="23">
        <v>0</v>
      </c>
      <c r="O1955" s="23">
        <v>0</v>
      </c>
      <c r="P1955" s="23">
        <v>0</v>
      </c>
      <c r="Q1955" s="23">
        <v>7209.03</v>
      </c>
      <c r="R1955" s="24">
        <v>100.104</v>
      </c>
      <c r="S1955" s="19" t="s">
        <v>1235</v>
      </c>
      <c r="T1955" s="257">
        <f t="shared" si="67"/>
        <v>2526</v>
      </c>
      <c r="U1955" s="257">
        <f t="shared" si="68"/>
        <v>0</v>
      </c>
      <c r="V1955">
        <v>1</v>
      </c>
      <c r="W1955">
        <v>0</v>
      </c>
    </row>
    <row r="1956" spans="1:23" ht="45.6" x14ac:dyDescent="0.3">
      <c r="A1956" s="211">
        <v>41215</v>
      </c>
      <c r="B1956" s="211">
        <v>41218</v>
      </c>
      <c r="C1956" s="6">
        <v>11</v>
      </c>
      <c r="D1956" s="6">
        <v>4</v>
      </c>
      <c r="E1956" s="19">
        <v>2012</v>
      </c>
      <c r="F1956" s="15" t="s">
        <v>22</v>
      </c>
      <c r="G1956" s="18" t="s">
        <v>6256</v>
      </c>
      <c r="H1956" s="9" t="s">
        <v>52</v>
      </c>
      <c r="I1956" s="20" t="s">
        <v>3388</v>
      </c>
      <c r="J1956" s="21" t="s">
        <v>3389</v>
      </c>
      <c r="K1956" s="22">
        <v>0</v>
      </c>
      <c r="L1956" s="234">
        <v>125</v>
      </c>
      <c r="M1956" s="23">
        <v>0</v>
      </c>
      <c r="N1956" s="23">
        <v>0</v>
      </c>
      <c r="O1956" s="23">
        <v>0</v>
      </c>
      <c r="P1956" s="23">
        <v>0</v>
      </c>
      <c r="Q1956" s="23">
        <v>395.52</v>
      </c>
      <c r="R1956" s="24">
        <v>5.5190000000000001</v>
      </c>
      <c r="S1956" s="19" t="s">
        <v>1235</v>
      </c>
      <c r="T1956" s="257">
        <f t="shared" si="67"/>
        <v>125</v>
      </c>
      <c r="U1956" s="257">
        <f t="shared" si="68"/>
        <v>0</v>
      </c>
      <c r="V1956">
        <v>1</v>
      </c>
      <c r="W1956">
        <v>0</v>
      </c>
    </row>
    <row r="1957" spans="1:23" ht="22.8" x14ac:dyDescent="0.3">
      <c r="A1957" s="211">
        <v>40909</v>
      </c>
      <c r="B1957" s="211">
        <v>40909</v>
      </c>
      <c r="C1957" s="6">
        <v>1</v>
      </c>
      <c r="D1957" s="6">
        <v>1</v>
      </c>
      <c r="E1957" s="19">
        <v>2012</v>
      </c>
      <c r="F1957" s="15" t="s">
        <v>22</v>
      </c>
      <c r="G1957" s="18" t="s">
        <v>6256</v>
      </c>
      <c r="H1957" s="9" t="s">
        <v>174</v>
      </c>
      <c r="I1957" s="20" t="s">
        <v>1712</v>
      </c>
      <c r="J1957" s="21" t="s">
        <v>3390</v>
      </c>
      <c r="K1957" s="43">
        <v>0</v>
      </c>
      <c r="L1957" s="234">
        <v>24771</v>
      </c>
      <c r="M1957" s="23">
        <v>0</v>
      </c>
      <c r="N1957" s="23">
        <v>0</v>
      </c>
      <c r="O1957" s="23">
        <v>0</v>
      </c>
      <c r="P1957" s="23">
        <v>0</v>
      </c>
      <c r="Q1957" s="23">
        <v>0</v>
      </c>
      <c r="R1957" s="24">
        <v>19.8</v>
      </c>
      <c r="S1957" s="25" t="s">
        <v>149</v>
      </c>
      <c r="T1957" s="257">
        <f t="shared" si="67"/>
        <v>24771</v>
      </c>
      <c r="U1957" s="257">
        <f t="shared" si="68"/>
        <v>0</v>
      </c>
      <c r="V1957">
        <v>2</v>
      </c>
      <c r="W1957">
        <v>0</v>
      </c>
    </row>
    <row r="1958" spans="1:23" ht="79.8" x14ac:dyDescent="0.3">
      <c r="A1958" s="220">
        <v>38562</v>
      </c>
      <c r="B1958" s="220">
        <v>38562</v>
      </c>
      <c r="C1958" s="6">
        <v>7</v>
      </c>
      <c r="D1958" s="6">
        <v>1</v>
      </c>
      <c r="E1958" s="76">
        <v>2005</v>
      </c>
      <c r="F1958" s="15" t="s">
        <v>22</v>
      </c>
      <c r="G1958" s="18" t="s">
        <v>6256</v>
      </c>
      <c r="H1958" s="9" t="s">
        <v>48</v>
      </c>
      <c r="I1958" s="77" t="s">
        <v>3391</v>
      </c>
      <c r="J1958" s="81" t="s">
        <v>3392</v>
      </c>
      <c r="K1958" s="79">
        <v>0</v>
      </c>
      <c r="L1958" s="242">
        <v>50</v>
      </c>
      <c r="M1958" s="79">
        <v>16</v>
      </c>
      <c r="N1958" s="79">
        <v>0</v>
      </c>
      <c r="O1958" s="37">
        <v>0</v>
      </c>
      <c r="P1958" s="37">
        <v>0</v>
      </c>
      <c r="Q1958" s="79">
        <v>2</v>
      </c>
      <c r="R1958" s="80">
        <f>0.076896+0.00576</f>
        <v>8.2656000000000007E-2</v>
      </c>
      <c r="S1958" s="7" t="s">
        <v>115</v>
      </c>
      <c r="T1958" s="257">
        <f t="shared" si="67"/>
        <v>50</v>
      </c>
      <c r="U1958" s="257">
        <f t="shared" si="68"/>
        <v>16</v>
      </c>
      <c r="V1958">
        <v>1</v>
      </c>
      <c r="W1958">
        <v>1</v>
      </c>
    </row>
    <row r="1959" spans="1:23" ht="57" x14ac:dyDescent="0.3">
      <c r="A1959" s="211">
        <v>40988</v>
      </c>
      <c r="B1959" s="211">
        <v>40988</v>
      </c>
      <c r="C1959" s="6">
        <v>3</v>
      </c>
      <c r="D1959" s="6">
        <v>1</v>
      </c>
      <c r="E1959" s="19">
        <v>2012</v>
      </c>
      <c r="F1959" s="7" t="s">
        <v>17</v>
      </c>
      <c r="G1959" s="16" t="s">
        <v>6260</v>
      </c>
      <c r="H1959" s="9" t="s">
        <v>61</v>
      </c>
      <c r="I1959" s="20" t="s">
        <v>3393</v>
      </c>
      <c r="J1959" s="21" t="s">
        <v>3394</v>
      </c>
      <c r="K1959" s="43">
        <v>0</v>
      </c>
      <c r="L1959" s="234">
        <v>46242</v>
      </c>
      <c r="M1959" s="23">
        <v>3045</v>
      </c>
      <c r="N1959" s="23">
        <v>8</v>
      </c>
      <c r="O1959" s="23">
        <v>1</v>
      </c>
      <c r="P1959" s="23">
        <v>2610</v>
      </c>
      <c r="Q1959" s="23">
        <v>0</v>
      </c>
      <c r="R1959" s="24">
        <v>686.5</v>
      </c>
      <c r="S1959" s="25" t="s">
        <v>21</v>
      </c>
      <c r="T1959" s="257">
        <f t="shared" si="67"/>
        <v>46242</v>
      </c>
      <c r="U1959" s="257">
        <f t="shared" si="68"/>
        <v>5664</v>
      </c>
      <c r="V1959">
        <v>2</v>
      </c>
      <c r="W1959">
        <v>2</v>
      </c>
    </row>
    <row r="1960" spans="1:23" ht="34.200000000000003" x14ac:dyDescent="0.3">
      <c r="A1960" s="211">
        <v>40987</v>
      </c>
      <c r="B1960" s="211">
        <v>40987</v>
      </c>
      <c r="C1960" s="6">
        <v>3</v>
      </c>
      <c r="D1960" s="6">
        <v>1</v>
      </c>
      <c r="E1960" s="19">
        <v>2012</v>
      </c>
      <c r="F1960" s="15" t="s">
        <v>22</v>
      </c>
      <c r="G1960" s="18" t="s">
        <v>6255</v>
      </c>
      <c r="H1960" s="9" t="s">
        <v>34</v>
      </c>
      <c r="I1960" s="20" t="s">
        <v>2244</v>
      </c>
      <c r="J1960" s="21" t="s">
        <v>3395</v>
      </c>
      <c r="K1960" s="43">
        <v>0</v>
      </c>
      <c r="L1960" s="234">
        <v>1888</v>
      </c>
      <c r="M1960" s="23">
        <v>0</v>
      </c>
      <c r="N1960" s="23">
        <v>0</v>
      </c>
      <c r="O1960" s="23">
        <v>0</v>
      </c>
      <c r="P1960" s="23">
        <v>0</v>
      </c>
      <c r="Q1960" s="23">
        <v>0</v>
      </c>
      <c r="R1960" s="24">
        <v>1.78</v>
      </c>
      <c r="S1960" s="25" t="s">
        <v>149</v>
      </c>
      <c r="T1960" s="257">
        <f t="shared" si="67"/>
        <v>1888</v>
      </c>
      <c r="U1960" s="257">
        <f t="shared" si="68"/>
        <v>0</v>
      </c>
      <c r="V1960">
        <v>1</v>
      </c>
      <c r="W1960">
        <v>0</v>
      </c>
    </row>
    <row r="1961" spans="1:23" ht="22.8" x14ac:dyDescent="0.3">
      <c r="A1961" s="211">
        <v>40999</v>
      </c>
      <c r="B1961" s="211">
        <v>40999</v>
      </c>
      <c r="C1961" s="6">
        <v>3</v>
      </c>
      <c r="D1961" s="6">
        <v>1</v>
      </c>
      <c r="E1961" s="19">
        <v>2012</v>
      </c>
      <c r="F1961" s="15" t="s">
        <v>22</v>
      </c>
      <c r="G1961" s="82" t="s">
        <v>6256</v>
      </c>
      <c r="H1961" s="9" t="s">
        <v>174</v>
      </c>
      <c r="I1961" s="20" t="s">
        <v>3396</v>
      </c>
      <c r="J1961" s="21" t="s">
        <v>3397</v>
      </c>
      <c r="K1961" s="43">
        <v>0</v>
      </c>
      <c r="L1961" s="234">
        <v>2676</v>
      </c>
      <c r="M1961" s="23">
        <v>0</v>
      </c>
      <c r="N1961" s="23">
        <v>0</v>
      </c>
      <c r="O1961" s="23">
        <v>0</v>
      </c>
      <c r="P1961" s="23">
        <v>0</v>
      </c>
      <c r="Q1961" s="23">
        <v>0</v>
      </c>
      <c r="R1961" s="24">
        <v>1.06</v>
      </c>
      <c r="S1961" s="25" t="s">
        <v>149</v>
      </c>
      <c r="T1961" s="257">
        <f t="shared" si="67"/>
        <v>2676</v>
      </c>
      <c r="U1961" s="257">
        <f t="shared" si="68"/>
        <v>0</v>
      </c>
      <c r="V1961">
        <v>1</v>
      </c>
      <c r="W1961">
        <v>0</v>
      </c>
    </row>
    <row r="1962" spans="1:23" ht="22.8" x14ac:dyDescent="0.3">
      <c r="A1962" s="211">
        <v>41007</v>
      </c>
      <c r="B1962" s="211">
        <v>41007</v>
      </c>
      <c r="C1962" s="6">
        <v>4</v>
      </c>
      <c r="D1962" s="6">
        <v>1</v>
      </c>
      <c r="E1962" s="19">
        <v>2012</v>
      </c>
      <c r="F1962" s="15" t="s">
        <v>22</v>
      </c>
      <c r="G1962" s="18" t="s">
        <v>6256</v>
      </c>
      <c r="H1962" s="9" t="s">
        <v>174</v>
      </c>
      <c r="I1962" s="20" t="s">
        <v>3398</v>
      </c>
      <c r="J1962" s="21" t="s">
        <v>3399</v>
      </c>
      <c r="K1962" s="43">
        <v>0</v>
      </c>
      <c r="L1962" s="234">
        <v>4589</v>
      </c>
      <c r="M1962" s="23">
        <v>123</v>
      </c>
      <c r="N1962" s="23">
        <v>0</v>
      </c>
      <c r="O1962" s="23">
        <v>0</v>
      </c>
      <c r="P1962" s="23">
        <v>0</v>
      </c>
      <c r="Q1962" s="23">
        <v>0</v>
      </c>
      <c r="R1962" s="24">
        <v>137.01</v>
      </c>
      <c r="S1962" s="25" t="s">
        <v>149</v>
      </c>
      <c r="T1962" s="257">
        <f t="shared" si="67"/>
        <v>4589</v>
      </c>
      <c r="U1962" s="257">
        <f t="shared" si="68"/>
        <v>123</v>
      </c>
      <c r="V1962">
        <v>1</v>
      </c>
      <c r="W1962">
        <v>1</v>
      </c>
    </row>
    <row r="1963" spans="1:23" ht="34.200000000000003" x14ac:dyDescent="0.3">
      <c r="A1963" s="211">
        <v>40998</v>
      </c>
      <c r="B1963" s="211">
        <v>40998</v>
      </c>
      <c r="C1963" s="6">
        <v>3</v>
      </c>
      <c r="D1963" s="6">
        <v>1</v>
      </c>
      <c r="E1963" s="19">
        <v>2012</v>
      </c>
      <c r="F1963" s="15" t="s">
        <v>22</v>
      </c>
      <c r="G1963" s="82" t="s">
        <v>6256</v>
      </c>
      <c r="H1963" s="9" t="s">
        <v>174</v>
      </c>
      <c r="I1963" s="20" t="s">
        <v>3400</v>
      </c>
      <c r="J1963" s="21" t="s">
        <v>3401</v>
      </c>
      <c r="K1963" s="43">
        <v>0</v>
      </c>
      <c r="L1963" s="234">
        <v>3047</v>
      </c>
      <c r="M1963" s="23">
        <v>0</v>
      </c>
      <c r="N1963" s="23">
        <v>0</v>
      </c>
      <c r="O1963" s="23">
        <v>0</v>
      </c>
      <c r="P1963" s="23">
        <v>0</v>
      </c>
      <c r="Q1963" s="23">
        <v>0</v>
      </c>
      <c r="R1963" s="24">
        <v>1.5580000000000001</v>
      </c>
      <c r="S1963" s="25" t="s">
        <v>149</v>
      </c>
      <c r="T1963" s="257">
        <f t="shared" si="67"/>
        <v>3047</v>
      </c>
      <c r="U1963" s="257">
        <f t="shared" si="68"/>
        <v>0</v>
      </c>
      <c r="V1963">
        <v>1</v>
      </c>
      <c r="W1963">
        <v>0</v>
      </c>
    </row>
    <row r="1964" spans="1:23" ht="34.200000000000003" x14ac:dyDescent="0.3">
      <c r="A1964" s="211">
        <v>41016</v>
      </c>
      <c r="B1964" s="211">
        <v>41016</v>
      </c>
      <c r="C1964" s="6">
        <v>4</v>
      </c>
      <c r="D1964" s="6">
        <v>1</v>
      </c>
      <c r="E1964" s="19">
        <v>2012</v>
      </c>
      <c r="F1964" s="15" t="s">
        <v>22</v>
      </c>
      <c r="G1964" s="18" t="s">
        <v>6256</v>
      </c>
      <c r="H1964" s="9" t="s">
        <v>174</v>
      </c>
      <c r="I1964" s="20" t="s">
        <v>3402</v>
      </c>
      <c r="J1964" s="21" t="s">
        <v>3403</v>
      </c>
      <c r="K1964" s="43">
        <v>0</v>
      </c>
      <c r="L1964" s="234">
        <v>17455</v>
      </c>
      <c r="M1964" s="23">
        <v>87</v>
      </c>
      <c r="N1964" s="23">
        <v>0</v>
      </c>
      <c r="O1964" s="23">
        <v>0</v>
      </c>
      <c r="P1964" s="23">
        <v>0</v>
      </c>
      <c r="Q1964" s="23">
        <v>0</v>
      </c>
      <c r="R1964" s="24">
        <v>52.49</v>
      </c>
      <c r="S1964" s="25" t="s">
        <v>149</v>
      </c>
      <c r="T1964" s="257">
        <f t="shared" si="67"/>
        <v>17455</v>
      </c>
      <c r="U1964" s="257">
        <f t="shared" si="68"/>
        <v>87</v>
      </c>
      <c r="V1964">
        <v>2</v>
      </c>
      <c r="W1964">
        <v>1</v>
      </c>
    </row>
    <row r="1965" spans="1:23" ht="45.6" x14ac:dyDescent="0.3">
      <c r="A1965" s="211">
        <v>41011</v>
      </c>
      <c r="B1965" s="211">
        <v>41011</v>
      </c>
      <c r="C1965" s="6">
        <v>4</v>
      </c>
      <c r="D1965" s="6">
        <v>1</v>
      </c>
      <c r="E1965" s="19">
        <v>2012</v>
      </c>
      <c r="F1965" s="15" t="s">
        <v>22</v>
      </c>
      <c r="G1965" s="18" t="s">
        <v>6256</v>
      </c>
      <c r="H1965" s="9" t="s">
        <v>174</v>
      </c>
      <c r="I1965" s="20" t="s">
        <v>3404</v>
      </c>
      <c r="J1965" s="21" t="s">
        <v>3405</v>
      </c>
      <c r="K1965" s="43">
        <v>0</v>
      </c>
      <c r="L1965" s="234">
        <v>14303</v>
      </c>
      <c r="M1965" s="23">
        <v>0</v>
      </c>
      <c r="N1965" s="23">
        <v>0</v>
      </c>
      <c r="O1965" s="23">
        <v>0</v>
      </c>
      <c r="P1965" s="23">
        <v>0</v>
      </c>
      <c r="Q1965" s="23">
        <v>0</v>
      </c>
      <c r="R1965" s="24">
        <v>3.55</v>
      </c>
      <c r="S1965" s="25" t="s">
        <v>149</v>
      </c>
      <c r="T1965" s="257">
        <f t="shared" si="67"/>
        <v>14303</v>
      </c>
      <c r="U1965" s="257">
        <f t="shared" si="68"/>
        <v>0</v>
      </c>
      <c r="V1965">
        <v>2</v>
      </c>
      <c r="W1965">
        <v>0</v>
      </c>
    </row>
    <row r="1966" spans="1:23" ht="22.8" x14ac:dyDescent="0.3">
      <c r="A1966" s="211">
        <v>41061</v>
      </c>
      <c r="B1966" s="211">
        <v>41061</v>
      </c>
      <c r="C1966" s="6">
        <v>6</v>
      </c>
      <c r="D1966" s="6">
        <v>1</v>
      </c>
      <c r="E1966" s="19">
        <v>2012</v>
      </c>
      <c r="F1966" s="15" t="s">
        <v>22</v>
      </c>
      <c r="G1966" s="9" t="s">
        <v>6257</v>
      </c>
      <c r="H1966" s="9" t="s">
        <v>34</v>
      </c>
      <c r="I1966" s="20" t="s">
        <v>3368</v>
      </c>
      <c r="J1966" s="21" t="s">
        <v>3406</v>
      </c>
      <c r="K1966" s="43">
        <v>0</v>
      </c>
      <c r="L1966" s="234">
        <v>500</v>
      </c>
      <c r="M1966" s="23">
        <v>0</v>
      </c>
      <c r="N1966" s="23">
        <v>0</v>
      </c>
      <c r="O1966" s="23">
        <v>0</v>
      </c>
      <c r="P1966" s="23">
        <v>0</v>
      </c>
      <c r="Q1966" s="23">
        <v>0</v>
      </c>
      <c r="R1966" s="24">
        <v>0.56000000000000005</v>
      </c>
      <c r="S1966" s="25" t="s">
        <v>149</v>
      </c>
      <c r="T1966" s="257">
        <f t="shared" si="67"/>
        <v>500</v>
      </c>
      <c r="U1966" s="257">
        <f t="shared" si="68"/>
        <v>0</v>
      </c>
      <c r="V1966">
        <v>1</v>
      </c>
      <c r="W1966">
        <v>0</v>
      </c>
    </row>
    <row r="1967" spans="1:23" ht="409.6" x14ac:dyDescent="0.3">
      <c r="A1967" s="219">
        <v>40412</v>
      </c>
      <c r="B1967" s="219">
        <v>40412</v>
      </c>
      <c r="C1967" s="6">
        <v>8</v>
      </c>
      <c r="D1967" s="6">
        <v>1</v>
      </c>
      <c r="E1967" s="73">
        <v>2010</v>
      </c>
      <c r="F1967" s="15" t="s">
        <v>22</v>
      </c>
      <c r="G1967" s="18" t="s">
        <v>6256</v>
      </c>
      <c r="H1967" s="9" t="s">
        <v>48</v>
      </c>
      <c r="I1967" s="74" t="s">
        <v>3407</v>
      </c>
      <c r="J1967" s="74" t="s">
        <v>3408</v>
      </c>
      <c r="K1967" s="75">
        <v>0</v>
      </c>
      <c r="L1967" s="241">
        <v>114</v>
      </c>
      <c r="M1967" s="75">
        <v>15</v>
      </c>
      <c r="N1967" s="75">
        <v>0</v>
      </c>
      <c r="O1967" s="75">
        <v>0</v>
      </c>
      <c r="P1967" s="75">
        <v>0</v>
      </c>
      <c r="Q1967" s="75">
        <v>0</v>
      </c>
      <c r="R1967" s="61">
        <v>7.6799999999999993E-2</v>
      </c>
      <c r="S1967" s="73" t="s">
        <v>115</v>
      </c>
      <c r="T1967" s="257">
        <f t="shared" si="67"/>
        <v>114</v>
      </c>
      <c r="U1967" s="257">
        <f t="shared" si="68"/>
        <v>15</v>
      </c>
      <c r="V1967">
        <v>1</v>
      </c>
      <c r="W1967">
        <v>1</v>
      </c>
    </row>
    <row r="1968" spans="1:23" ht="45.6" x14ac:dyDescent="0.3">
      <c r="A1968" s="211">
        <v>41075</v>
      </c>
      <c r="B1968" s="211">
        <v>41077</v>
      </c>
      <c r="C1968" s="6">
        <v>6</v>
      </c>
      <c r="D1968" s="6">
        <v>3</v>
      </c>
      <c r="E1968" s="19">
        <v>2012</v>
      </c>
      <c r="F1968" s="15" t="s">
        <v>22</v>
      </c>
      <c r="G1968" s="16" t="s">
        <v>6254</v>
      </c>
      <c r="H1968" s="9" t="s">
        <v>61</v>
      </c>
      <c r="I1968" s="20" t="s">
        <v>3409</v>
      </c>
      <c r="J1968" s="21" t="s">
        <v>3410</v>
      </c>
      <c r="K1968" s="43">
        <v>5</v>
      </c>
      <c r="L1968" s="234">
        <v>110385</v>
      </c>
      <c r="M1968" s="23">
        <v>12500</v>
      </c>
      <c r="N1968" s="23">
        <v>337</v>
      </c>
      <c r="O1968" s="23">
        <v>8</v>
      </c>
      <c r="P1968" s="23">
        <v>2722</v>
      </c>
      <c r="Q1968" s="23">
        <v>79667.100000000006</v>
      </c>
      <c r="R1968" s="24">
        <v>2666.2449999999999</v>
      </c>
      <c r="S1968" s="25" t="s">
        <v>21</v>
      </c>
      <c r="T1968" s="257">
        <f t="shared" si="67"/>
        <v>110390</v>
      </c>
      <c r="U1968" s="257">
        <f t="shared" si="68"/>
        <v>15567</v>
      </c>
      <c r="V1968">
        <v>3</v>
      </c>
      <c r="W1968">
        <v>3</v>
      </c>
    </row>
    <row r="1969" spans="1:23" ht="22.8" x14ac:dyDescent="0.3">
      <c r="A1969" s="211">
        <v>41085</v>
      </c>
      <c r="B1969" s="211">
        <v>41085</v>
      </c>
      <c r="C1969" s="6">
        <v>6</v>
      </c>
      <c r="D1969" s="6">
        <v>1</v>
      </c>
      <c r="E1969" s="19">
        <v>2012</v>
      </c>
      <c r="F1969" s="15" t="s">
        <v>22</v>
      </c>
      <c r="G1969" s="16" t="s">
        <v>6256</v>
      </c>
      <c r="H1969" s="9" t="s">
        <v>64</v>
      </c>
      <c r="I1969" s="20" t="s">
        <v>3411</v>
      </c>
      <c r="J1969" s="21" t="s">
        <v>3412</v>
      </c>
      <c r="K1969" s="43">
        <v>0</v>
      </c>
      <c r="L1969" s="234">
        <v>895</v>
      </c>
      <c r="M1969" s="23">
        <v>0</v>
      </c>
      <c r="N1969" s="23">
        <v>1</v>
      </c>
      <c r="O1969" s="23">
        <v>0</v>
      </c>
      <c r="P1969" s="23">
        <v>0</v>
      </c>
      <c r="Q1969" s="23">
        <v>0</v>
      </c>
      <c r="R1969" s="24">
        <v>14.13</v>
      </c>
      <c r="S1969" s="25" t="s">
        <v>149</v>
      </c>
      <c r="T1969" s="257">
        <f t="shared" si="67"/>
        <v>895</v>
      </c>
      <c r="U1969" s="257">
        <f t="shared" si="68"/>
        <v>1</v>
      </c>
      <c r="V1969">
        <v>1</v>
      </c>
      <c r="W1969">
        <v>1</v>
      </c>
    </row>
    <row r="1970" spans="1:23" ht="45.6" x14ac:dyDescent="0.3">
      <c r="A1970" s="211">
        <v>41082</v>
      </c>
      <c r="B1970" s="211">
        <v>41082</v>
      </c>
      <c r="C1970" s="6">
        <v>6</v>
      </c>
      <c r="D1970" s="6">
        <v>1</v>
      </c>
      <c r="E1970" s="19">
        <v>2012</v>
      </c>
      <c r="F1970" s="15" t="s">
        <v>22</v>
      </c>
      <c r="G1970" s="18" t="s">
        <v>6256</v>
      </c>
      <c r="H1970" s="9" t="s">
        <v>61</v>
      </c>
      <c r="I1970" s="20" t="s">
        <v>3413</v>
      </c>
      <c r="J1970" s="21" t="s">
        <v>3414</v>
      </c>
      <c r="K1970" s="43">
        <v>0</v>
      </c>
      <c r="L1970" s="234">
        <v>350</v>
      </c>
      <c r="M1970" s="23">
        <v>21</v>
      </c>
      <c r="N1970" s="23">
        <v>0</v>
      </c>
      <c r="O1970" s="23">
        <v>0</v>
      </c>
      <c r="P1970" s="23">
        <v>0</v>
      </c>
      <c r="Q1970" s="23">
        <v>0</v>
      </c>
      <c r="R1970" s="24">
        <v>66</v>
      </c>
      <c r="S1970" s="25" t="s">
        <v>149</v>
      </c>
      <c r="T1970" s="257">
        <f t="shared" si="67"/>
        <v>350</v>
      </c>
      <c r="U1970" s="257">
        <f t="shared" si="68"/>
        <v>21</v>
      </c>
      <c r="V1970">
        <v>1</v>
      </c>
      <c r="W1970">
        <v>1</v>
      </c>
    </row>
    <row r="1971" spans="1:23" ht="22.8" x14ac:dyDescent="0.3">
      <c r="A1971" s="211">
        <v>41083</v>
      </c>
      <c r="B1971" s="211">
        <v>41083</v>
      </c>
      <c r="C1971" s="6">
        <v>6</v>
      </c>
      <c r="D1971" s="6">
        <v>1</v>
      </c>
      <c r="E1971" s="19">
        <v>2012</v>
      </c>
      <c r="F1971" s="15" t="s">
        <v>22</v>
      </c>
      <c r="G1971" s="18" t="s">
        <v>6256</v>
      </c>
      <c r="H1971" s="9" t="s">
        <v>84</v>
      </c>
      <c r="I1971" s="20" t="s">
        <v>3415</v>
      </c>
      <c r="J1971" s="21" t="s">
        <v>3416</v>
      </c>
      <c r="K1971" s="43">
        <v>0</v>
      </c>
      <c r="L1971" s="234">
        <v>2296</v>
      </c>
      <c r="M1971" s="23">
        <v>0</v>
      </c>
      <c r="N1971" s="23">
        <v>0</v>
      </c>
      <c r="O1971" s="23">
        <v>0</v>
      </c>
      <c r="P1971" s="23">
        <v>0</v>
      </c>
      <c r="Q1971" s="23">
        <v>0</v>
      </c>
      <c r="R1971" s="24">
        <v>0.218</v>
      </c>
      <c r="S1971" s="25" t="s">
        <v>149</v>
      </c>
      <c r="T1971" s="257">
        <f t="shared" si="67"/>
        <v>2296</v>
      </c>
      <c r="U1971" s="257">
        <f t="shared" si="68"/>
        <v>0</v>
      </c>
      <c r="V1971">
        <v>1</v>
      </c>
      <c r="W1971">
        <v>0</v>
      </c>
    </row>
    <row r="1972" spans="1:23" ht="34.200000000000003" x14ac:dyDescent="0.3">
      <c r="A1972" s="211">
        <v>41110</v>
      </c>
      <c r="B1972" s="211">
        <v>41116</v>
      </c>
      <c r="C1972" s="6">
        <v>7</v>
      </c>
      <c r="D1972" s="6">
        <v>7</v>
      </c>
      <c r="E1972" s="19">
        <v>2012</v>
      </c>
      <c r="F1972" s="15" t="s">
        <v>22</v>
      </c>
      <c r="G1972" s="18" t="s">
        <v>6256</v>
      </c>
      <c r="H1972" s="9" t="s">
        <v>88</v>
      </c>
      <c r="I1972" s="20" t="s">
        <v>3417</v>
      </c>
      <c r="J1972" s="21" t="s">
        <v>3418</v>
      </c>
      <c r="K1972" s="43">
        <v>0</v>
      </c>
      <c r="L1972" s="234">
        <v>1423</v>
      </c>
      <c r="M1972" s="23">
        <v>0</v>
      </c>
      <c r="N1972" s="23">
        <v>0</v>
      </c>
      <c r="O1972" s="23">
        <v>0</v>
      </c>
      <c r="P1972" s="23">
        <v>0</v>
      </c>
      <c r="Q1972" s="23">
        <v>0</v>
      </c>
      <c r="R1972" s="24">
        <v>0.50360000000000005</v>
      </c>
      <c r="S1972" s="25" t="s">
        <v>149</v>
      </c>
      <c r="T1972" s="257">
        <f t="shared" si="67"/>
        <v>1423</v>
      </c>
      <c r="U1972" s="257">
        <f t="shared" si="68"/>
        <v>0</v>
      </c>
      <c r="V1972">
        <v>1</v>
      </c>
      <c r="W1972">
        <v>0</v>
      </c>
    </row>
    <row r="1973" spans="1:23" ht="22.8" x14ac:dyDescent="0.3">
      <c r="A1973" s="211">
        <v>41130</v>
      </c>
      <c r="B1973" s="211">
        <v>41130</v>
      </c>
      <c r="C1973" s="6">
        <v>8</v>
      </c>
      <c r="D1973" s="6">
        <v>1</v>
      </c>
      <c r="E1973" s="19">
        <v>2012</v>
      </c>
      <c r="F1973" s="15" t="s">
        <v>22</v>
      </c>
      <c r="G1973" s="18" t="s">
        <v>6256</v>
      </c>
      <c r="H1973" s="17" t="s">
        <v>565</v>
      </c>
      <c r="I1973" s="20" t="s">
        <v>3419</v>
      </c>
      <c r="J1973" s="21" t="s">
        <v>3420</v>
      </c>
      <c r="K1973" s="43">
        <v>0</v>
      </c>
      <c r="L1973" s="234">
        <v>30927</v>
      </c>
      <c r="M1973" s="23">
        <v>0</v>
      </c>
      <c r="N1973" s="23">
        <v>0</v>
      </c>
      <c r="O1973" s="23">
        <v>0</v>
      </c>
      <c r="P1973" s="23">
        <v>0</v>
      </c>
      <c r="Q1973" s="23">
        <v>0</v>
      </c>
      <c r="R1973" s="24">
        <v>11.569000000000001</v>
      </c>
      <c r="S1973" s="25" t="s">
        <v>149</v>
      </c>
      <c r="T1973" s="257">
        <f t="shared" si="67"/>
        <v>30927</v>
      </c>
      <c r="U1973" s="257">
        <f t="shared" si="68"/>
        <v>0</v>
      </c>
      <c r="V1973">
        <v>2</v>
      </c>
      <c r="W1973">
        <v>0</v>
      </c>
    </row>
    <row r="1974" spans="1:23" ht="125.4" x14ac:dyDescent="0.3">
      <c r="A1974" s="210">
        <v>40760</v>
      </c>
      <c r="B1974" s="210">
        <v>40760</v>
      </c>
      <c r="C1974" s="6">
        <v>8</v>
      </c>
      <c r="D1974" s="6">
        <v>1</v>
      </c>
      <c r="E1974" s="7">
        <v>2011</v>
      </c>
      <c r="F1974" s="15" t="s">
        <v>22</v>
      </c>
      <c r="G1974" s="18" t="s">
        <v>6256</v>
      </c>
      <c r="H1974" s="9" t="s">
        <v>48</v>
      </c>
      <c r="I1974" s="34" t="s">
        <v>2925</v>
      </c>
      <c r="J1974" s="34" t="s">
        <v>3421</v>
      </c>
      <c r="K1974" s="33">
        <v>0</v>
      </c>
      <c r="L1974" s="236">
        <v>100</v>
      </c>
      <c r="M1974" s="35">
        <v>15</v>
      </c>
      <c r="N1974" s="35">
        <v>0</v>
      </c>
      <c r="O1974" s="35">
        <v>0</v>
      </c>
      <c r="P1974" s="35">
        <v>0</v>
      </c>
      <c r="Q1974" s="35">
        <v>0</v>
      </c>
      <c r="R1974" s="36">
        <v>7.6799999999999993E-2</v>
      </c>
      <c r="S1974" s="33" t="s">
        <v>115</v>
      </c>
      <c r="T1974" s="257">
        <f t="shared" si="67"/>
        <v>100</v>
      </c>
      <c r="U1974" s="257">
        <f t="shared" si="68"/>
        <v>15</v>
      </c>
      <c r="V1974">
        <v>1</v>
      </c>
      <c r="W1974">
        <v>1</v>
      </c>
    </row>
    <row r="1975" spans="1:23" x14ac:dyDescent="0.3">
      <c r="A1975" s="211">
        <v>41130</v>
      </c>
      <c r="B1975" s="211">
        <v>41130</v>
      </c>
      <c r="C1975" s="6">
        <v>8</v>
      </c>
      <c r="D1975" s="6">
        <v>1</v>
      </c>
      <c r="E1975" s="19">
        <v>2012</v>
      </c>
      <c r="F1975" s="15" t="s">
        <v>22</v>
      </c>
      <c r="G1975" s="16" t="s">
        <v>6254</v>
      </c>
      <c r="H1975" s="9" t="s">
        <v>174</v>
      </c>
      <c r="I1975" s="20" t="s">
        <v>3422</v>
      </c>
      <c r="J1975" s="21" t="s">
        <v>3423</v>
      </c>
      <c r="K1975" s="43">
        <v>9</v>
      </c>
      <c r="L1975" s="234">
        <v>170792</v>
      </c>
      <c r="M1975" s="23">
        <v>2079</v>
      </c>
      <c r="N1975" s="23">
        <v>65</v>
      </c>
      <c r="O1975" s="23">
        <v>0</v>
      </c>
      <c r="P1975" s="23">
        <v>220</v>
      </c>
      <c r="Q1975" s="23">
        <v>5517</v>
      </c>
      <c r="R1975" s="24">
        <v>5832.6419999999998</v>
      </c>
      <c r="S1975" s="25" t="s">
        <v>21</v>
      </c>
      <c r="T1975" s="257">
        <f t="shared" si="67"/>
        <v>170801</v>
      </c>
      <c r="U1975" s="257">
        <f t="shared" si="68"/>
        <v>2364</v>
      </c>
      <c r="V1975">
        <v>3</v>
      </c>
      <c r="W1975">
        <v>2</v>
      </c>
    </row>
    <row r="1976" spans="1:23" ht="22.8" x14ac:dyDescent="0.3">
      <c r="A1976" s="211">
        <v>41137</v>
      </c>
      <c r="B1976" s="211">
        <v>41138</v>
      </c>
      <c r="C1976" s="6">
        <v>8</v>
      </c>
      <c r="D1976" s="6">
        <v>2</v>
      </c>
      <c r="E1976" s="19">
        <v>2012</v>
      </c>
      <c r="F1976" s="15" t="s">
        <v>22</v>
      </c>
      <c r="G1976" s="18" t="s">
        <v>6256</v>
      </c>
      <c r="H1976" s="9" t="s">
        <v>28</v>
      </c>
      <c r="I1976" s="20" t="s">
        <v>3424</v>
      </c>
      <c r="J1976" s="21" t="s">
        <v>3425</v>
      </c>
      <c r="K1976" s="43">
        <v>0</v>
      </c>
      <c r="L1976" s="234">
        <v>13132</v>
      </c>
      <c r="M1976" s="23">
        <v>0</v>
      </c>
      <c r="N1976" s="23">
        <v>0</v>
      </c>
      <c r="O1976" s="23">
        <v>0</v>
      </c>
      <c r="P1976" s="23">
        <v>0</v>
      </c>
      <c r="Q1976" s="23">
        <v>0</v>
      </c>
      <c r="R1976" s="24">
        <v>37.744999999999997</v>
      </c>
      <c r="S1976" s="6" t="s">
        <v>149</v>
      </c>
      <c r="T1976" s="257">
        <f t="shared" si="67"/>
        <v>13132</v>
      </c>
      <c r="U1976" s="257">
        <f t="shared" si="68"/>
        <v>0</v>
      </c>
      <c r="V1976">
        <v>2</v>
      </c>
      <c r="W1976">
        <v>0</v>
      </c>
    </row>
    <row r="1977" spans="1:23" ht="22.8" x14ac:dyDescent="0.3">
      <c r="A1977" s="211">
        <v>41142</v>
      </c>
      <c r="B1977" s="211">
        <v>41142</v>
      </c>
      <c r="C1977" s="6">
        <v>8</v>
      </c>
      <c r="D1977" s="6">
        <v>1</v>
      </c>
      <c r="E1977" s="19">
        <v>2012</v>
      </c>
      <c r="F1977" s="15" t="s">
        <v>22</v>
      </c>
      <c r="G1977" s="18" t="s">
        <v>6256</v>
      </c>
      <c r="H1977" s="9" t="s">
        <v>28</v>
      </c>
      <c r="I1977" s="20" t="s">
        <v>211</v>
      </c>
      <c r="J1977" s="21" t="s">
        <v>3426</v>
      </c>
      <c r="K1977" s="43">
        <v>0</v>
      </c>
      <c r="L1977" s="234">
        <v>3750</v>
      </c>
      <c r="M1977" s="23">
        <v>0</v>
      </c>
      <c r="N1977" s="23">
        <v>0</v>
      </c>
      <c r="O1977" s="23">
        <v>0</v>
      </c>
      <c r="P1977" s="23">
        <v>0</v>
      </c>
      <c r="Q1977" s="23">
        <v>0</v>
      </c>
      <c r="R1977" s="24">
        <v>12.72</v>
      </c>
      <c r="S1977" s="6" t="s">
        <v>149</v>
      </c>
      <c r="T1977" s="257">
        <f t="shared" si="67"/>
        <v>3750</v>
      </c>
      <c r="U1977" s="257">
        <f t="shared" si="68"/>
        <v>0</v>
      </c>
      <c r="V1977">
        <v>1</v>
      </c>
      <c r="W1977">
        <v>0</v>
      </c>
    </row>
    <row r="1978" spans="1:23" ht="22.8" x14ac:dyDescent="0.3">
      <c r="A1978" s="211">
        <v>41141</v>
      </c>
      <c r="B1978" s="211">
        <v>41141</v>
      </c>
      <c r="C1978" s="6">
        <v>8</v>
      </c>
      <c r="D1978" s="6">
        <v>1</v>
      </c>
      <c r="E1978" s="19">
        <v>2012</v>
      </c>
      <c r="F1978" s="15" t="s">
        <v>22</v>
      </c>
      <c r="G1978" s="18" t="s">
        <v>6256</v>
      </c>
      <c r="H1978" s="9" t="s">
        <v>174</v>
      </c>
      <c r="I1978" s="20" t="s">
        <v>3427</v>
      </c>
      <c r="J1978" s="21" t="s">
        <v>3428</v>
      </c>
      <c r="K1978" s="43">
        <v>0</v>
      </c>
      <c r="L1978" s="234">
        <v>9378</v>
      </c>
      <c r="M1978" s="23">
        <v>0</v>
      </c>
      <c r="N1978" s="23">
        <v>0</v>
      </c>
      <c r="O1978" s="23">
        <v>0</v>
      </c>
      <c r="P1978" s="23">
        <v>0</v>
      </c>
      <c r="Q1978" s="23">
        <v>0</v>
      </c>
      <c r="R1978" s="24">
        <v>4.3147000000000002</v>
      </c>
      <c r="S1978" s="6" t="s">
        <v>149</v>
      </c>
      <c r="T1978" s="257">
        <f t="shared" si="67"/>
        <v>9378</v>
      </c>
      <c r="U1978" s="257">
        <f t="shared" si="68"/>
        <v>0</v>
      </c>
      <c r="V1978">
        <v>1</v>
      </c>
      <c r="W1978">
        <v>0</v>
      </c>
    </row>
    <row r="1979" spans="1:23" ht="34.200000000000003" x14ac:dyDescent="0.3">
      <c r="A1979" s="211">
        <v>41146</v>
      </c>
      <c r="B1979" s="211">
        <v>41146</v>
      </c>
      <c r="C1979" s="6">
        <v>8</v>
      </c>
      <c r="D1979" s="6">
        <v>1</v>
      </c>
      <c r="E1979" s="19">
        <v>2012</v>
      </c>
      <c r="F1979" s="15" t="s">
        <v>22</v>
      </c>
      <c r="G1979" s="16" t="s">
        <v>6254</v>
      </c>
      <c r="H1979" s="9" t="s">
        <v>61</v>
      </c>
      <c r="I1979" s="20" t="s">
        <v>3429</v>
      </c>
      <c r="J1979" s="21" t="s">
        <v>3430</v>
      </c>
      <c r="K1979" s="43">
        <v>0</v>
      </c>
      <c r="L1979" s="234">
        <v>1793</v>
      </c>
      <c r="M1979" s="23">
        <v>0</v>
      </c>
      <c r="N1979" s="23">
        <v>0</v>
      </c>
      <c r="O1979" s="23">
        <v>0</v>
      </c>
      <c r="P1979" s="23">
        <v>0</v>
      </c>
      <c r="Q1979" s="23">
        <v>0</v>
      </c>
      <c r="R1979" s="24">
        <v>30.239000000000001</v>
      </c>
      <c r="S1979" s="6" t="s">
        <v>149</v>
      </c>
      <c r="T1979" s="257">
        <f t="shared" si="67"/>
        <v>1793</v>
      </c>
      <c r="U1979" s="257">
        <f t="shared" si="68"/>
        <v>0</v>
      </c>
      <c r="V1979">
        <v>1</v>
      </c>
      <c r="W1979">
        <v>0</v>
      </c>
    </row>
    <row r="1980" spans="1:23" ht="22.8" x14ac:dyDescent="0.3">
      <c r="A1980" s="211">
        <v>41165</v>
      </c>
      <c r="B1980" s="211">
        <v>41165</v>
      </c>
      <c r="C1980" s="6">
        <v>9</v>
      </c>
      <c r="D1980" s="6">
        <v>1</v>
      </c>
      <c r="E1980" s="19">
        <v>2012</v>
      </c>
      <c r="F1980" s="15" t="s">
        <v>22</v>
      </c>
      <c r="G1980" s="16" t="s">
        <v>6256</v>
      </c>
      <c r="H1980" s="9" t="s">
        <v>41</v>
      </c>
      <c r="I1980" s="20" t="s">
        <v>3431</v>
      </c>
      <c r="J1980" s="21" t="s">
        <v>3432</v>
      </c>
      <c r="K1980" s="43">
        <v>0</v>
      </c>
      <c r="L1980" s="234">
        <v>23854</v>
      </c>
      <c r="M1980" s="23">
        <v>0</v>
      </c>
      <c r="N1980" s="23">
        <v>0</v>
      </c>
      <c r="O1980" s="23">
        <v>0</v>
      </c>
      <c r="P1980" s="23">
        <v>0</v>
      </c>
      <c r="Q1980" s="23">
        <v>0</v>
      </c>
      <c r="R1980" s="24">
        <v>9.2750000000000004</v>
      </c>
      <c r="S1980" s="6" t="s">
        <v>149</v>
      </c>
      <c r="T1980" s="257">
        <f t="shared" si="67"/>
        <v>23854</v>
      </c>
      <c r="U1980" s="257">
        <f t="shared" si="68"/>
        <v>0</v>
      </c>
      <c r="V1980">
        <v>2</v>
      </c>
      <c r="W1980">
        <v>0</v>
      </c>
    </row>
    <row r="1981" spans="1:23" ht="34.200000000000003" x14ac:dyDescent="0.3">
      <c r="A1981" s="211">
        <v>41169</v>
      </c>
      <c r="B1981" s="211">
        <v>41169</v>
      </c>
      <c r="C1981" s="6">
        <v>9</v>
      </c>
      <c r="D1981" s="6">
        <v>1</v>
      </c>
      <c r="E1981" s="19">
        <v>2012</v>
      </c>
      <c r="F1981" s="15" t="s">
        <v>22</v>
      </c>
      <c r="G1981" s="18" t="s">
        <v>6256</v>
      </c>
      <c r="H1981" s="9" t="s">
        <v>174</v>
      </c>
      <c r="I1981" s="20" t="s">
        <v>3433</v>
      </c>
      <c r="J1981" s="21" t="s">
        <v>3434</v>
      </c>
      <c r="K1981" s="43">
        <v>0</v>
      </c>
      <c r="L1981" s="234">
        <v>0</v>
      </c>
      <c r="M1981" s="23">
        <v>0</v>
      </c>
      <c r="N1981" s="23">
        <v>0</v>
      </c>
      <c r="O1981" s="23">
        <v>0</v>
      </c>
      <c r="P1981" s="23">
        <v>0</v>
      </c>
      <c r="Q1981" s="23">
        <v>0</v>
      </c>
      <c r="R1981" s="24">
        <v>2.6880000000000002</v>
      </c>
      <c r="S1981" s="6" t="s">
        <v>149</v>
      </c>
      <c r="T1981" s="257">
        <f t="shared" si="67"/>
        <v>0</v>
      </c>
      <c r="U1981" s="257">
        <f t="shared" si="68"/>
        <v>0</v>
      </c>
      <c r="V1981">
        <v>0</v>
      </c>
      <c r="W1981">
        <v>0</v>
      </c>
    </row>
    <row r="1982" spans="1:23" ht="22.8" x14ac:dyDescent="0.3">
      <c r="A1982" s="211">
        <v>41179</v>
      </c>
      <c r="B1982" s="211">
        <v>41179</v>
      </c>
      <c r="C1982" s="6">
        <v>9</v>
      </c>
      <c r="D1982" s="6">
        <v>1</v>
      </c>
      <c r="E1982" s="19">
        <v>2012</v>
      </c>
      <c r="F1982" s="15" t="s">
        <v>22</v>
      </c>
      <c r="G1982" s="16" t="s">
        <v>6254</v>
      </c>
      <c r="H1982" s="9" t="s">
        <v>28</v>
      </c>
      <c r="I1982" s="20" t="s">
        <v>3435</v>
      </c>
      <c r="J1982" s="21" t="s">
        <v>3436</v>
      </c>
      <c r="K1982" s="43">
        <v>0</v>
      </c>
      <c r="L1982" s="234">
        <v>16483</v>
      </c>
      <c r="M1982" s="23">
        <v>0</v>
      </c>
      <c r="N1982" s="23">
        <v>0</v>
      </c>
      <c r="O1982" s="23">
        <v>0</v>
      </c>
      <c r="P1982" s="23">
        <v>0</v>
      </c>
      <c r="Q1982" s="23">
        <v>0</v>
      </c>
      <c r="R1982" s="24">
        <v>11.5</v>
      </c>
      <c r="S1982" s="6" t="s">
        <v>149</v>
      </c>
      <c r="T1982" s="257">
        <f t="shared" si="67"/>
        <v>16483</v>
      </c>
      <c r="U1982" s="257">
        <f t="shared" si="68"/>
        <v>0</v>
      </c>
      <c r="V1982">
        <v>2</v>
      </c>
      <c r="W1982">
        <v>0</v>
      </c>
    </row>
    <row r="1983" spans="1:23" ht="45.6" x14ac:dyDescent="0.3">
      <c r="A1983" s="211">
        <v>41198</v>
      </c>
      <c r="B1983" s="211">
        <v>41199</v>
      </c>
      <c r="C1983" s="6">
        <v>10</v>
      </c>
      <c r="D1983" s="6">
        <v>2</v>
      </c>
      <c r="E1983" s="19">
        <v>2012</v>
      </c>
      <c r="F1983" s="15" t="s">
        <v>22</v>
      </c>
      <c r="G1983" s="16" t="s">
        <v>6254</v>
      </c>
      <c r="H1983" s="9" t="s">
        <v>28</v>
      </c>
      <c r="I1983" s="20" t="s">
        <v>3437</v>
      </c>
      <c r="J1983" s="21" t="s">
        <v>3438</v>
      </c>
      <c r="K1983" s="43">
        <v>0</v>
      </c>
      <c r="L1983" s="234">
        <v>19268</v>
      </c>
      <c r="M1983" s="23">
        <v>39</v>
      </c>
      <c r="N1983" s="23">
        <v>0</v>
      </c>
      <c r="O1983" s="23">
        <v>0</v>
      </c>
      <c r="P1983" s="23">
        <v>1</v>
      </c>
      <c r="Q1983" s="23">
        <v>1010.2</v>
      </c>
      <c r="R1983" s="24">
        <v>1833.72</v>
      </c>
      <c r="S1983" s="23" t="s">
        <v>21</v>
      </c>
      <c r="T1983" s="257">
        <f t="shared" si="67"/>
        <v>19268</v>
      </c>
      <c r="U1983" s="257">
        <f t="shared" si="68"/>
        <v>40</v>
      </c>
      <c r="V1983">
        <v>2</v>
      </c>
      <c r="W1983">
        <v>1</v>
      </c>
    </row>
    <row r="1984" spans="1:23" ht="79.8" x14ac:dyDescent="0.3">
      <c r="A1984" s="129">
        <v>38872</v>
      </c>
      <c r="B1984" s="129">
        <v>38872</v>
      </c>
      <c r="C1984" s="6">
        <v>6</v>
      </c>
      <c r="D1984" s="6">
        <v>1</v>
      </c>
      <c r="E1984" s="103">
        <v>2006</v>
      </c>
      <c r="F1984" s="15" t="s">
        <v>22</v>
      </c>
      <c r="G1984" s="18" t="s">
        <v>6256</v>
      </c>
      <c r="H1984" s="9" t="s">
        <v>48</v>
      </c>
      <c r="I1984" s="10" t="s">
        <v>3439</v>
      </c>
      <c r="J1984" s="111" t="s">
        <v>3440</v>
      </c>
      <c r="K1984" s="23">
        <v>0</v>
      </c>
      <c r="L1984" s="234">
        <v>127</v>
      </c>
      <c r="M1984" s="23">
        <v>34</v>
      </c>
      <c r="N1984" s="23">
        <v>0</v>
      </c>
      <c r="O1984" s="19">
        <v>0</v>
      </c>
      <c r="P1984" s="19">
        <v>0</v>
      </c>
      <c r="Q1984" s="23">
        <v>0</v>
      </c>
      <c r="R1984" s="93">
        <v>7.6582999999999998E-2</v>
      </c>
      <c r="S1984" s="7" t="s">
        <v>115</v>
      </c>
      <c r="T1984" s="257">
        <f t="shared" si="67"/>
        <v>127</v>
      </c>
      <c r="U1984" s="257">
        <f t="shared" si="68"/>
        <v>34</v>
      </c>
      <c r="V1984">
        <v>1</v>
      </c>
      <c r="W1984">
        <v>1</v>
      </c>
    </row>
    <row r="1985" spans="1:23" ht="45.6" x14ac:dyDescent="0.3">
      <c r="A1985" s="211">
        <v>40937</v>
      </c>
      <c r="B1985" s="211"/>
      <c r="C1985" s="6">
        <v>1</v>
      </c>
      <c r="D1985" s="6">
        <v>1</v>
      </c>
      <c r="E1985" s="19">
        <v>2012</v>
      </c>
      <c r="F1985" s="15" t="s">
        <v>22</v>
      </c>
      <c r="G1985" s="18" t="s">
        <v>6256</v>
      </c>
      <c r="H1985" s="9" t="s">
        <v>174</v>
      </c>
      <c r="I1985" s="20" t="s">
        <v>3441</v>
      </c>
      <c r="J1985" s="21" t="s">
        <v>3442</v>
      </c>
      <c r="K1985" s="43">
        <v>0</v>
      </c>
      <c r="L1985" s="234">
        <v>23380</v>
      </c>
      <c r="M1985" s="23">
        <v>0</v>
      </c>
      <c r="N1985" s="23">
        <v>0</v>
      </c>
      <c r="O1985" s="23">
        <v>0</v>
      </c>
      <c r="P1985" s="23">
        <v>0</v>
      </c>
      <c r="Q1985" s="23">
        <v>0</v>
      </c>
      <c r="R1985" s="24">
        <v>7.49</v>
      </c>
      <c r="S1985" s="6" t="s">
        <v>149</v>
      </c>
      <c r="T1985" s="257">
        <f t="shared" si="67"/>
        <v>23380</v>
      </c>
      <c r="U1985" s="257">
        <f t="shared" si="68"/>
        <v>0</v>
      </c>
      <c r="V1985">
        <v>2</v>
      </c>
      <c r="W1985">
        <v>0</v>
      </c>
    </row>
    <row r="1986" spans="1:23" ht="34.200000000000003" x14ac:dyDescent="0.3">
      <c r="A1986" s="211">
        <v>40955</v>
      </c>
      <c r="B1986" s="211">
        <v>40955</v>
      </c>
      <c r="C1986" s="6">
        <v>2</v>
      </c>
      <c r="D1986" s="6">
        <v>1</v>
      </c>
      <c r="E1986" s="19">
        <v>2012</v>
      </c>
      <c r="F1986" s="15" t="s">
        <v>22</v>
      </c>
      <c r="G1986" s="18" t="s">
        <v>6256</v>
      </c>
      <c r="H1986" s="9" t="s">
        <v>174</v>
      </c>
      <c r="I1986" s="20" t="s">
        <v>3443</v>
      </c>
      <c r="J1986" s="21" t="s">
        <v>3444</v>
      </c>
      <c r="K1986" s="43">
        <v>0</v>
      </c>
      <c r="L1986" s="234">
        <v>10343</v>
      </c>
      <c r="M1986" s="23">
        <v>0</v>
      </c>
      <c r="N1986" s="23">
        <v>0</v>
      </c>
      <c r="O1986" s="23">
        <v>0</v>
      </c>
      <c r="P1986" s="23">
        <v>0</v>
      </c>
      <c r="Q1986" s="23">
        <v>0</v>
      </c>
      <c r="R1986" s="24">
        <v>2.96</v>
      </c>
      <c r="S1986" s="6" t="s">
        <v>149</v>
      </c>
      <c r="T1986" s="257">
        <f t="shared" si="67"/>
        <v>10343</v>
      </c>
      <c r="U1986" s="257">
        <f t="shared" si="68"/>
        <v>0</v>
      </c>
      <c r="V1986">
        <v>2</v>
      </c>
      <c r="W1986">
        <v>0</v>
      </c>
    </row>
    <row r="1987" spans="1:23" ht="34.200000000000003" x14ac:dyDescent="0.3">
      <c r="A1987" s="211">
        <v>40956</v>
      </c>
      <c r="B1987" s="211">
        <v>40958</v>
      </c>
      <c r="C1987" s="6">
        <v>2</v>
      </c>
      <c r="D1987" s="6">
        <v>3</v>
      </c>
      <c r="E1987" s="19">
        <v>2012</v>
      </c>
      <c r="F1987" s="15" t="s">
        <v>22</v>
      </c>
      <c r="G1987" s="18" t="s">
        <v>6255</v>
      </c>
      <c r="H1987" s="9" t="s">
        <v>34</v>
      </c>
      <c r="I1987" s="20" t="s">
        <v>3445</v>
      </c>
      <c r="J1987" s="21" t="s">
        <v>3446</v>
      </c>
      <c r="K1987" s="43">
        <v>0</v>
      </c>
      <c r="L1987" s="234">
        <v>10339</v>
      </c>
      <c r="M1987" s="23">
        <v>0</v>
      </c>
      <c r="N1987" s="23">
        <v>0</v>
      </c>
      <c r="O1987" s="23">
        <v>0</v>
      </c>
      <c r="P1987" s="23">
        <v>0</v>
      </c>
      <c r="Q1987" s="23">
        <v>0</v>
      </c>
      <c r="R1987" s="24">
        <v>7.98</v>
      </c>
      <c r="S1987" s="6" t="s">
        <v>149</v>
      </c>
      <c r="T1987" s="257">
        <f t="shared" ref="T1987:T2050" si="69">SUM(K1987:L1987)</f>
        <v>10339</v>
      </c>
      <c r="U1987" s="257">
        <f t="shared" ref="U1987:U2050" si="70">SUM(M1987:P1987)</f>
        <v>0</v>
      </c>
      <c r="V1987">
        <v>2</v>
      </c>
      <c r="W1987">
        <v>0</v>
      </c>
    </row>
    <row r="1988" spans="1:23" ht="79.8" x14ac:dyDescent="0.3">
      <c r="A1988" s="211">
        <v>40910</v>
      </c>
      <c r="B1988" s="211">
        <v>40910</v>
      </c>
      <c r="C1988" s="6">
        <v>1</v>
      </c>
      <c r="D1988" s="6">
        <v>1</v>
      </c>
      <c r="E1988" s="19">
        <v>2012</v>
      </c>
      <c r="F1988" s="15" t="s">
        <v>22</v>
      </c>
      <c r="G1988" s="18" t="s">
        <v>6256</v>
      </c>
      <c r="H1988" s="9" t="s">
        <v>174</v>
      </c>
      <c r="I1988" s="20" t="s">
        <v>1109</v>
      </c>
      <c r="J1988" s="21" t="s">
        <v>3447</v>
      </c>
      <c r="K1988" s="43">
        <v>0</v>
      </c>
      <c r="L1988" s="234">
        <v>1995</v>
      </c>
      <c r="M1988" s="23">
        <v>399</v>
      </c>
      <c r="N1988" s="23">
        <v>0</v>
      </c>
      <c r="O1988" s="23">
        <v>0</v>
      </c>
      <c r="P1988" s="23">
        <v>0</v>
      </c>
      <c r="Q1988" s="23">
        <v>0</v>
      </c>
      <c r="R1988" s="24">
        <f>(399*1050)/1000000</f>
        <v>0.41894999999999999</v>
      </c>
      <c r="S1988" s="6" t="s">
        <v>115</v>
      </c>
      <c r="T1988" s="257">
        <f t="shared" si="69"/>
        <v>1995</v>
      </c>
      <c r="U1988" s="257">
        <f t="shared" si="70"/>
        <v>399</v>
      </c>
      <c r="V1988">
        <v>1</v>
      </c>
      <c r="W1988">
        <v>1</v>
      </c>
    </row>
    <row r="1989" spans="1:23" ht="79.8" x14ac:dyDescent="0.3">
      <c r="A1989" s="211">
        <v>40939</v>
      </c>
      <c r="B1989" s="211">
        <v>40939</v>
      </c>
      <c r="C1989" s="6">
        <v>1</v>
      </c>
      <c r="D1989" s="6">
        <v>1</v>
      </c>
      <c r="E1989" s="19">
        <v>2012</v>
      </c>
      <c r="F1989" s="15" t="s">
        <v>22</v>
      </c>
      <c r="G1989" s="82" t="s">
        <v>6256</v>
      </c>
      <c r="H1989" s="9" t="s">
        <v>43</v>
      </c>
      <c r="I1989" s="20" t="s">
        <v>3450</v>
      </c>
      <c r="J1989" s="21" t="s">
        <v>3451</v>
      </c>
      <c r="K1989" s="43">
        <v>0</v>
      </c>
      <c r="L1989" s="234">
        <v>170</v>
      </c>
      <c r="M1989" s="23">
        <v>25</v>
      </c>
      <c r="N1989" s="23">
        <v>0</v>
      </c>
      <c r="O1989" s="23">
        <v>0</v>
      </c>
      <c r="P1989" s="23">
        <v>0</v>
      </c>
      <c r="Q1989" s="23">
        <v>0</v>
      </c>
      <c r="R1989" s="24">
        <f>(25*28000)/1000000</f>
        <v>0.7</v>
      </c>
      <c r="S1989" s="6" t="s">
        <v>115</v>
      </c>
      <c r="T1989" s="257">
        <f t="shared" si="69"/>
        <v>170</v>
      </c>
      <c r="U1989" s="257">
        <f t="shared" si="70"/>
        <v>25</v>
      </c>
      <c r="V1989">
        <v>1</v>
      </c>
      <c r="W1989">
        <v>1</v>
      </c>
    </row>
    <row r="1990" spans="1:23" ht="91.2" x14ac:dyDescent="0.3">
      <c r="A1990" s="211">
        <v>40939</v>
      </c>
      <c r="B1990" s="211">
        <v>40939</v>
      </c>
      <c r="C1990" s="6">
        <v>1</v>
      </c>
      <c r="D1990" s="6">
        <v>1</v>
      </c>
      <c r="E1990" s="19">
        <v>2012</v>
      </c>
      <c r="F1990" s="15" t="s">
        <v>22</v>
      </c>
      <c r="G1990" s="82" t="s">
        <v>6256</v>
      </c>
      <c r="H1990" s="9" t="s">
        <v>121</v>
      </c>
      <c r="I1990" s="20" t="s">
        <v>3452</v>
      </c>
      <c r="J1990" s="21" t="s">
        <v>3453</v>
      </c>
      <c r="K1990" s="43">
        <v>0</v>
      </c>
      <c r="L1990" s="234">
        <v>12</v>
      </c>
      <c r="M1990" s="23">
        <v>3</v>
      </c>
      <c r="N1990" s="23">
        <v>0</v>
      </c>
      <c r="O1990" s="23">
        <v>0</v>
      </c>
      <c r="P1990" s="23">
        <v>1</v>
      </c>
      <c r="Q1990" s="23">
        <v>0</v>
      </c>
      <c r="R1990" s="24">
        <f>(3*28000)/1000000</f>
        <v>8.4000000000000005E-2</v>
      </c>
      <c r="S1990" s="6" t="s">
        <v>115</v>
      </c>
      <c r="T1990" s="257">
        <f t="shared" si="69"/>
        <v>12</v>
      </c>
      <c r="U1990" s="257">
        <f t="shared" si="70"/>
        <v>4</v>
      </c>
      <c r="V1990">
        <v>1</v>
      </c>
      <c r="W1990">
        <v>1</v>
      </c>
    </row>
    <row r="1991" spans="1:23" ht="114" x14ac:dyDescent="0.3">
      <c r="A1991" s="211">
        <v>40979</v>
      </c>
      <c r="B1991" s="211">
        <v>40979</v>
      </c>
      <c r="C1991" s="6">
        <v>3</v>
      </c>
      <c r="D1991" s="6">
        <v>1</v>
      </c>
      <c r="E1991" s="19">
        <v>2012</v>
      </c>
      <c r="F1991" s="15" t="s">
        <v>22</v>
      </c>
      <c r="G1991" s="82" t="s">
        <v>6256</v>
      </c>
      <c r="H1991" s="9" t="s">
        <v>121</v>
      </c>
      <c r="I1991" s="20" t="s">
        <v>679</v>
      </c>
      <c r="J1991" s="21" t="s">
        <v>3454</v>
      </c>
      <c r="K1991" s="43">
        <v>0</v>
      </c>
      <c r="L1991" s="234">
        <v>130</v>
      </c>
      <c r="M1991" s="23">
        <v>40</v>
      </c>
      <c r="N1991" s="23">
        <v>0</v>
      </c>
      <c r="O1991" s="23">
        <v>0</v>
      </c>
      <c r="P1991" s="23">
        <v>0</v>
      </c>
      <c r="Q1991" s="23">
        <v>0</v>
      </c>
      <c r="R1991" s="24">
        <f>(40*28000)/1000000</f>
        <v>1.1200000000000001</v>
      </c>
      <c r="S1991" s="6" t="s">
        <v>115</v>
      </c>
      <c r="T1991" s="257">
        <f t="shared" si="69"/>
        <v>130</v>
      </c>
      <c r="U1991" s="257">
        <f t="shared" si="70"/>
        <v>40</v>
      </c>
      <c r="V1991">
        <v>1</v>
      </c>
      <c r="W1991">
        <v>1</v>
      </c>
    </row>
    <row r="1992" spans="1:23" ht="79.8" x14ac:dyDescent="0.3">
      <c r="A1992" s="129">
        <v>40987</v>
      </c>
      <c r="B1992" s="211">
        <v>40987</v>
      </c>
      <c r="C1992" s="6">
        <v>3</v>
      </c>
      <c r="D1992" s="6">
        <v>1</v>
      </c>
      <c r="E1992" s="19">
        <v>2012</v>
      </c>
      <c r="F1992" s="15" t="s">
        <v>22</v>
      </c>
      <c r="G1992" s="9" t="s">
        <v>6257</v>
      </c>
      <c r="H1992" s="9" t="s">
        <v>34</v>
      </c>
      <c r="I1992" s="53" t="s">
        <v>3455</v>
      </c>
      <c r="J1992" s="21" t="s">
        <v>3456</v>
      </c>
      <c r="K1992" s="43">
        <v>1</v>
      </c>
      <c r="L1992" s="234">
        <v>13</v>
      </c>
      <c r="M1992" s="23">
        <v>0</v>
      </c>
      <c r="N1992" s="23">
        <v>0</v>
      </c>
      <c r="O1992" s="23">
        <v>0</v>
      </c>
      <c r="P1992" s="23">
        <v>0</v>
      </c>
      <c r="Q1992" s="23">
        <v>0</v>
      </c>
      <c r="R1992" s="24">
        <f>(288750+420000+39690)/1000000</f>
        <v>0.74843999999999999</v>
      </c>
      <c r="S1992" s="6" t="s">
        <v>115</v>
      </c>
      <c r="T1992" s="257">
        <f t="shared" si="69"/>
        <v>14</v>
      </c>
      <c r="U1992" s="257">
        <f t="shared" si="70"/>
        <v>0</v>
      </c>
      <c r="V1992">
        <v>1</v>
      </c>
      <c r="W1992">
        <v>0</v>
      </c>
    </row>
    <row r="1993" spans="1:23" ht="68.400000000000006" x14ac:dyDescent="0.3">
      <c r="A1993" s="129">
        <v>40992</v>
      </c>
      <c r="B1993" s="129">
        <v>40993</v>
      </c>
      <c r="C1993" s="6">
        <v>3</v>
      </c>
      <c r="D1993" s="6">
        <v>2</v>
      </c>
      <c r="E1993" s="19">
        <v>2012</v>
      </c>
      <c r="F1993" s="15" t="s">
        <v>22</v>
      </c>
      <c r="G1993" s="18" t="s">
        <v>6256</v>
      </c>
      <c r="H1993" s="9" t="s">
        <v>31</v>
      </c>
      <c r="I1993" s="53" t="s">
        <v>1005</v>
      </c>
      <c r="J1993" s="21" t="s">
        <v>3458</v>
      </c>
      <c r="K1993" s="43">
        <v>0</v>
      </c>
      <c r="L1993" s="234">
        <f>(M1993*5)*1</f>
        <v>45</v>
      </c>
      <c r="M1993" s="23">
        <v>9</v>
      </c>
      <c r="N1993" s="23">
        <v>0</v>
      </c>
      <c r="O1993" s="23">
        <v>0</v>
      </c>
      <c r="P1993" s="23">
        <v>0</v>
      </c>
      <c r="Q1993" s="23">
        <v>0</v>
      </c>
      <c r="R1993" s="24">
        <f>(9*5500)/1000000</f>
        <v>4.9500000000000002E-2</v>
      </c>
      <c r="S1993" s="6" t="s">
        <v>115</v>
      </c>
      <c r="T1993" s="257">
        <f t="shared" si="69"/>
        <v>45</v>
      </c>
      <c r="U1993" s="257">
        <f t="shared" si="70"/>
        <v>9</v>
      </c>
      <c r="V1993">
        <v>1</v>
      </c>
      <c r="W1993">
        <v>1</v>
      </c>
    </row>
    <row r="1994" spans="1:23" ht="68.400000000000006" x14ac:dyDescent="0.3">
      <c r="A1994" s="211">
        <v>40996</v>
      </c>
      <c r="B1994" s="211">
        <v>40996</v>
      </c>
      <c r="C1994" s="6">
        <v>3</v>
      </c>
      <c r="D1994" s="6">
        <v>1</v>
      </c>
      <c r="E1994" s="19">
        <v>2012</v>
      </c>
      <c r="F1994" s="15" t="s">
        <v>22</v>
      </c>
      <c r="G1994" s="18" t="s">
        <v>6256</v>
      </c>
      <c r="H1994" s="9" t="s">
        <v>174</v>
      </c>
      <c r="I1994" s="20" t="s">
        <v>3459</v>
      </c>
      <c r="J1994" s="53" t="s">
        <v>3460</v>
      </c>
      <c r="K1994" s="23">
        <v>1</v>
      </c>
      <c r="L1994" s="234">
        <v>1</v>
      </c>
      <c r="M1994" s="23">
        <v>0</v>
      </c>
      <c r="N1994" s="23">
        <v>0</v>
      </c>
      <c r="O1994" s="23">
        <v>0</v>
      </c>
      <c r="P1994" s="23">
        <v>0</v>
      </c>
      <c r="Q1994" s="23">
        <v>0</v>
      </c>
      <c r="R1994" s="24">
        <v>0</v>
      </c>
      <c r="S1994" s="6" t="s">
        <v>115</v>
      </c>
      <c r="T1994" s="257">
        <f t="shared" si="69"/>
        <v>2</v>
      </c>
      <c r="U1994" s="257">
        <f t="shared" si="70"/>
        <v>0</v>
      </c>
      <c r="V1994">
        <v>1</v>
      </c>
      <c r="W1994">
        <v>0</v>
      </c>
    </row>
    <row r="1995" spans="1:23" ht="125.4" x14ac:dyDescent="0.3">
      <c r="A1995" s="211">
        <v>40997</v>
      </c>
      <c r="B1995" s="211">
        <v>40997</v>
      </c>
      <c r="C1995" s="6">
        <v>3</v>
      </c>
      <c r="D1995" s="6">
        <v>1</v>
      </c>
      <c r="E1995" s="19">
        <v>2012</v>
      </c>
      <c r="F1995" s="15" t="s">
        <v>22</v>
      </c>
      <c r="G1995" s="18" t="s">
        <v>6256</v>
      </c>
      <c r="H1995" s="9" t="s">
        <v>64</v>
      </c>
      <c r="I1995" s="20" t="s">
        <v>3461</v>
      </c>
      <c r="J1995" s="53" t="s">
        <v>3462</v>
      </c>
      <c r="K1995" s="43">
        <v>0</v>
      </c>
      <c r="L1995" s="234">
        <v>325</v>
      </c>
      <c r="M1995" s="23">
        <v>65</v>
      </c>
      <c r="N1995" s="23">
        <v>0</v>
      </c>
      <c r="O1995" s="23">
        <v>0</v>
      </c>
      <c r="P1995" s="23">
        <v>0</v>
      </c>
      <c r="Q1995" s="23">
        <v>200</v>
      </c>
      <c r="R1995" s="24">
        <f>((65*5500)+(6017520.3))/1000000</f>
        <v>6.3750203000000001</v>
      </c>
      <c r="S1995" s="6" t="s">
        <v>115</v>
      </c>
      <c r="T1995" s="257">
        <f t="shared" si="69"/>
        <v>325</v>
      </c>
      <c r="U1995" s="257">
        <f t="shared" si="70"/>
        <v>65</v>
      </c>
      <c r="V1995">
        <v>1</v>
      </c>
      <c r="W1995">
        <v>1</v>
      </c>
    </row>
    <row r="1996" spans="1:23" ht="68.400000000000006" x14ac:dyDescent="0.3">
      <c r="A1996" s="211">
        <v>40999</v>
      </c>
      <c r="B1996" s="211">
        <v>40999</v>
      </c>
      <c r="C1996" s="6">
        <v>3</v>
      </c>
      <c r="D1996" s="6">
        <v>1</v>
      </c>
      <c r="E1996" s="19">
        <v>2012</v>
      </c>
      <c r="F1996" s="15" t="s">
        <v>22</v>
      </c>
      <c r="G1996" s="82" t="s">
        <v>6256</v>
      </c>
      <c r="H1996" s="9" t="s">
        <v>78</v>
      </c>
      <c r="I1996" s="20" t="s">
        <v>2314</v>
      </c>
      <c r="J1996" s="21" t="s">
        <v>3463</v>
      </c>
      <c r="K1996" s="43">
        <v>0</v>
      </c>
      <c r="L1996" s="234">
        <v>210</v>
      </c>
      <c r="M1996" s="23">
        <v>42</v>
      </c>
      <c r="N1996" s="23">
        <v>0</v>
      </c>
      <c r="O1996" s="23">
        <v>0</v>
      </c>
      <c r="P1996" s="23">
        <v>0</v>
      </c>
      <c r="Q1996" s="23">
        <v>0</v>
      </c>
      <c r="R1996" s="24">
        <f>(42*5500)/1000000</f>
        <v>0.23100000000000001</v>
      </c>
      <c r="S1996" s="6" t="s">
        <v>115</v>
      </c>
      <c r="T1996" s="257">
        <f t="shared" si="69"/>
        <v>210</v>
      </c>
      <c r="U1996" s="257">
        <f t="shared" si="70"/>
        <v>42</v>
      </c>
      <c r="V1996">
        <v>1</v>
      </c>
      <c r="W1996">
        <v>1</v>
      </c>
    </row>
    <row r="1997" spans="1:23" ht="91.2" x14ac:dyDescent="0.3">
      <c r="A1997" s="211">
        <v>40999</v>
      </c>
      <c r="B1997" s="211">
        <v>40999</v>
      </c>
      <c r="C1997" s="6">
        <v>3</v>
      </c>
      <c r="D1997" s="6">
        <v>1</v>
      </c>
      <c r="E1997" s="19">
        <v>2012</v>
      </c>
      <c r="F1997" s="15" t="s">
        <v>22</v>
      </c>
      <c r="G1997" s="82" t="s">
        <v>6256</v>
      </c>
      <c r="H1997" s="9" t="s">
        <v>61</v>
      </c>
      <c r="I1997" s="20" t="s">
        <v>3464</v>
      </c>
      <c r="J1997" s="21" t="s">
        <v>3465</v>
      </c>
      <c r="K1997" s="43">
        <v>6</v>
      </c>
      <c r="L1997" s="234">
        <v>8</v>
      </c>
      <c r="M1997" s="23">
        <v>0</v>
      </c>
      <c r="N1997" s="23">
        <v>0</v>
      </c>
      <c r="O1997" s="23">
        <v>0</v>
      </c>
      <c r="P1997" s="23">
        <v>0</v>
      </c>
      <c r="Q1997" s="23">
        <v>0</v>
      </c>
      <c r="R1997" s="24">
        <v>0</v>
      </c>
      <c r="S1997" s="6" t="s">
        <v>115</v>
      </c>
      <c r="T1997" s="257">
        <f t="shared" si="69"/>
        <v>14</v>
      </c>
      <c r="U1997" s="257">
        <f t="shared" si="70"/>
        <v>0</v>
      </c>
      <c r="V1997">
        <v>1</v>
      </c>
      <c r="W1997">
        <v>0</v>
      </c>
    </row>
    <row r="1998" spans="1:23" ht="114" x14ac:dyDescent="0.3">
      <c r="A1998" s="211">
        <v>41001</v>
      </c>
      <c r="B1998" s="211">
        <v>41001</v>
      </c>
      <c r="C1998" s="6">
        <v>4</v>
      </c>
      <c r="D1998" s="6">
        <v>1</v>
      </c>
      <c r="E1998" s="19">
        <v>2012</v>
      </c>
      <c r="F1998" s="15" t="s">
        <v>22</v>
      </c>
      <c r="G1998" s="9" t="s">
        <v>6257</v>
      </c>
      <c r="H1998" s="9" t="s">
        <v>124</v>
      </c>
      <c r="I1998" s="20" t="s">
        <v>2283</v>
      </c>
      <c r="J1998" s="21" t="s">
        <v>3466</v>
      </c>
      <c r="K1998" s="43">
        <v>0</v>
      </c>
      <c r="L1998" s="234">
        <v>12</v>
      </c>
      <c r="M1998" s="23">
        <v>0</v>
      </c>
      <c r="N1998" s="23">
        <v>0</v>
      </c>
      <c r="O1998" s="23">
        <v>0</v>
      </c>
      <c r="P1998" s="23">
        <v>0</v>
      </c>
      <c r="Q1998" s="23">
        <v>0</v>
      </c>
      <c r="R1998" s="24">
        <v>0</v>
      </c>
      <c r="S1998" s="6" t="s">
        <v>115</v>
      </c>
      <c r="T1998" s="257">
        <f t="shared" si="69"/>
        <v>12</v>
      </c>
      <c r="U1998" s="257">
        <f t="shared" si="70"/>
        <v>0</v>
      </c>
      <c r="V1998">
        <v>1</v>
      </c>
      <c r="W1998">
        <v>0</v>
      </c>
    </row>
    <row r="1999" spans="1:23" ht="102.6" x14ac:dyDescent="0.3">
      <c r="A1999" s="211">
        <v>41003</v>
      </c>
      <c r="B1999" s="211">
        <v>41003</v>
      </c>
      <c r="C1999" s="6">
        <v>4</v>
      </c>
      <c r="D1999" s="6">
        <v>1</v>
      </c>
      <c r="E1999" s="19">
        <v>2012</v>
      </c>
      <c r="F1999" s="15" t="s">
        <v>22</v>
      </c>
      <c r="G1999" s="82" t="s">
        <v>6256</v>
      </c>
      <c r="H1999" s="9" t="s">
        <v>69</v>
      </c>
      <c r="I1999" s="20" t="s">
        <v>1634</v>
      </c>
      <c r="J1999" s="21" t="s">
        <v>3467</v>
      </c>
      <c r="K1999" s="43">
        <v>0</v>
      </c>
      <c r="L1999" s="234">
        <v>2</v>
      </c>
      <c r="M1999" s="23">
        <v>0</v>
      </c>
      <c r="N1999" s="23">
        <v>0</v>
      </c>
      <c r="O1999" s="23">
        <v>0</v>
      </c>
      <c r="P1999" s="23">
        <v>0</v>
      </c>
      <c r="Q1999" s="23">
        <v>0</v>
      </c>
      <c r="R1999" s="24">
        <v>0</v>
      </c>
      <c r="S1999" s="6" t="s">
        <v>115</v>
      </c>
      <c r="T1999" s="257">
        <f t="shared" si="69"/>
        <v>2</v>
      </c>
      <c r="U1999" s="257">
        <f t="shared" si="70"/>
        <v>0</v>
      </c>
      <c r="V1999">
        <v>1</v>
      </c>
      <c r="W1999">
        <v>0</v>
      </c>
    </row>
    <row r="2000" spans="1:23" ht="114" x14ac:dyDescent="0.3">
      <c r="A2000" s="211">
        <v>41007</v>
      </c>
      <c r="B2000" s="211">
        <v>41069</v>
      </c>
      <c r="C2000" s="6">
        <v>4</v>
      </c>
      <c r="D2000" s="6">
        <v>63</v>
      </c>
      <c r="E2000" s="19">
        <v>2012</v>
      </c>
      <c r="F2000" s="15" t="s">
        <v>22</v>
      </c>
      <c r="G2000" s="18" t="s">
        <v>6256</v>
      </c>
      <c r="H2000" s="9" t="s">
        <v>174</v>
      </c>
      <c r="I2000" s="20" t="s">
        <v>3468</v>
      </c>
      <c r="J2000" s="21" t="s">
        <v>3469</v>
      </c>
      <c r="K2000" s="22">
        <v>4</v>
      </c>
      <c r="L2000" s="234">
        <v>1600</v>
      </c>
      <c r="M2000" s="23">
        <v>320</v>
      </c>
      <c r="N2000" s="23">
        <v>0</v>
      </c>
      <c r="O2000" s="23">
        <v>0</v>
      </c>
      <c r="P2000" s="23">
        <v>0</v>
      </c>
      <c r="Q2000" s="23">
        <v>0</v>
      </c>
      <c r="R2000" s="24">
        <f>(320*5500)/1000000</f>
        <v>1.76</v>
      </c>
      <c r="S2000" s="6" t="s">
        <v>115</v>
      </c>
      <c r="T2000" s="257">
        <f t="shared" si="69"/>
        <v>1604</v>
      </c>
      <c r="U2000" s="257">
        <f t="shared" si="70"/>
        <v>320</v>
      </c>
      <c r="V2000">
        <v>1</v>
      </c>
      <c r="W2000">
        <v>1</v>
      </c>
    </row>
    <row r="2001" spans="1:23" ht="57" x14ac:dyDescent="0.3">
      <c r="A2001" s="211">
        <v>41007</v>
      </c>
      <c r="B2001" s="211">
        <v>41007</v>
      </c>
      <c r="C2001" s="6">
        <v>4</v>
      </c>
      <c r="D2001" s="6">
        <v>1</v>
      </c>
      <c r="E2001" s="19">
        <v>2012</v>
      </c>
      <c r="F2001" s="15" t="s">
        <v>22</v>
      </c>
      <c r="G2001" s="18" t="s">
        <v>6256</v>
      </c>
      <c r="H2001" s="9" t="s">
        <v>174</v>
      </c>
      <c r="I2001" s="20" t="s">
        <v>2520</v>
      </c>
      <c r="J2001" s="21" t="s">
        <v>3470</v>
      </c>
      <c r="K2001" s="43">
        <v>4</v>
      </c>
      <c r="L2001" s="234">
        <v>4</v>
      </c>
      <c r="M2001" s="23">
        <v>0</v>
      </c>
      <c r="N2001" s="23">
        <v>0</v>
      </c>
      <c r="O2001" s="23">
        <v>0</v>
      </c>
      <c r="P2001" s="23">
        <v>0</v>
      </c>
      <c r="Q2001" s="23">
        <v>0</v>
      </c>
      <c r="R2001" s="24">
        <v>0</v>
      </c>
      <c r="S2001" s="6" t="s">
        <v>115</v>
      </c>
      <c r="T2001" s="257">
        <f t="shared" si="69"/>
        <v>8</v>
      </c>
      <c r="U2001" s="257">
        <f t="shared" si="70"/>
        <v>0</v>
      </c>
      <c r="V2001">
        <v>1</v>
      </c>
      <c r="W2001">
        <v>0</v>
      </c>
    </row>
    <row r="2002" spans="1:23" ht="68.400000000000006" x14ac:dyDescent="0.3">
      <c r="A2002" s="211">
        <v>41016</v>
      </c>
      <c r="B2002" s="211">
        <v>41016</v>
      </c>
      <c r="C2002" s="6">
        <v>4</v>
      </c>
      <c r="D2002" s="6">
        <v>1</v>
      </c>
      <c r="E2002" s="19">
        <v>2012</v>
      </c>
      <c r="F2002" s="15" t="s">
        <v>22</v>
      </c>
      <c r="G2002" s="18" t="s">
        <v>6256</v>
      </c>
      <c r="H2002" s="9" t="s">
        <v>121</v>
      </c>
      <c r="I2002" s="20" t="s">
        <v>3025</v>
      </c>
      <c r="J2002" s="21" t="s">
        <v>3471</v>
      </c>
      <c r="K2002" s="43">
        <v>0</v>
      </c>
      <c r="L2002" s="234">
        <v>300</v>
      </c>
      <c r="M2002" s="23">
        <v>60</v>
      </c>
      <c r="N2002" s="23">
        <v>0</v>
      </c>
      <c r="O2002" s="23">
        <v>0</v>
      </c>
      <c r="P2002" s="23">
        <v>0</v>
      </c>
      <c r="Q2002" s="23">
        <v>0</v>
      </c>
      <c r="R2002" s="24">
        <f>((60*5500)+(60*10000))/1000000</f>
        <v>0.93</v>
      </c>
      <c r="S2002" s="6" t="s">
        <v>115</v>
      </c>
      <c r="T2002" s="257">
        <f t="shared" si="69"/>
        <v>300</v>
      </c>
      <c r="U2002" s="257">
        <f t="shared" si="70"/>
        <v>60</v>
      </c>
      <c r="V2002">
        <v>1</v>
      </c>
      <c r="W2002">
        <v>1</v>
      </c>
    </row>
    <row r="2003" spans="1:23" ht="91.2" x14ac:dyDescent="0.3">
      <c r="A2003" s="211">
        <v>41016</v>
      </c>
      <c r="B2003" s="211">
        <v>41016</v>
      </c>
      <c r="C2003" s="6">
        <v>4</v>
      </c>
      <c r="D2003" s="6">
        <v>1</v>
      </c>
      <c r="E2003" s="19">
        <v>2012</v>
      </c>
      <c r="F2003" s="15" t="s">
        <v>22</v>
      </c>
      <c r="G2003" s="82" t="s">
        <v>6256</v>
      </c>
      <c r="H2003" s="9" t="s">
        <v>66</v>
      </c>
      <c r="I2003" s="20" t="s">
        <v>1897</v>
      </c>
      <c r="J2003" s="21" t="s">
        <v>3472</v>
      </c>
      <c r="K2003" s="43">
        <v>0</v>
      </c>
      <c r="L2003" s="234">
        <v>1</v>
      </c>
      <c r="M2003" s="23">
        <v>26</v>
      </c>
      <c r="N2003" s="23">
        <v>0</v>
      </c>
      <c r="O2003" s="23">
        <v>0</v>
      </c>
      <c r="P2003" s="23">
        <v>0</v>
      </c>
      <c r="Q2003" s="23">
        <v>0</v>
      </c>
      <c r="R2003" s="24">
        <f>((25*5500)+(120000))/1000000</f>
        <v>0.25750000000000001</v>
      </c>
      <c r="S2003" s="6" t="s">
        <v>115</v>
      </c>
      <c r="T2003" s="257">
        <f t="shared" si="69"/>
        <v>1</v>
      </c>
      <c r="U2003" s="257">
        <f t="shared" si="70"/>
        <v>26</v>
      </c>
      <c r="V2003">
        <v>1</v>
      </c>
      <c r="W2003">
        <v>1</v>
      </c>
    </row>
    <row r="2004" spans="1:23" ht="102.6" x14ac:dyDescent="0.3">
      <c r="A2004" s="211">
        <v>41016</v>
      </c>
      <c r="B2004" s="211">
        <v>41016</v>
      </c>
      <c r="C2004" s="6">
        <v>4</v>
      </c>
      <c r="D2004" s="6">
        <v>1</v>
      </c>
      <c r="E2004" s="19">
        <v>2012</v>
      </c>
      <c r="F2004" s="15" t="s">
        <v>22</v>
      </c>
      <c r="G2004" s="18" t="s">
        <v>6256</v>
      </c>
      <c r="H2004" s="9" t="s">
        <v>174</v>
      </c>
      <c r="I2004" s="20" t="s">
        <v>3473</v>
      </c>
      <c r="J2004" s="21" t="s">
        <v>3474</v>
      </c>
      <c r="K2004" s="43">
        <v>0</v>
      </c>
      <c r="L2004" s="234">
        <v>5610</v>
      </c>
      <c r="M2004" s="23">
        <v>1122</v>
      </c>
      <c r="N2004" s="23">
        <v>0</v>
      </c>
      <c r="O2004" s="23">
        <v>0</v>
      </c>
      <c r="P2004" s="23">
        <v>1</v>
      </c>
      <c r="Q2004" s="23">
        <v>0</v>
      </c>
      <c r="R2004" s="24">
        <f>(M2004*5500)/1000000</f>
        <v>6.1710000000000003</v>
      </c>
      <c r="S2004" s="6" t="s">
        <v>115</v>
      </c>
      <c r="T2004" s="257">
        <f t="shared" si="69"/>
        <v>5610</v>
      </c>
      <c r="U2004" s="257">
        <f t="shared" si="70"/>
        <v>1123</v>
      </c>
      <c r="V2004">
        <v>1</v>
      </c>
      <c r="W2004">
        <v>2</v>
      </c>
    </row>
    <row r="2005" spans="1:23" ht="136.80000000000001" x14ac:dyDescent="0.3">
      <c r="A2005" s="211">
        <v>40998</v>
      </c>
      <c r="B2005" s="211">
        <v>41007</v>
      </c>
      <c r="C2005" s="6">
        <v>3</v>
      </c>
      <c r="D2005" s="6">
        <v>10</v>
      </c>
      <c r="E2005" s="19">
        <v>2012</v>
      </c>
      <c r="F2005" s="15" t="s">
        <v>22</v>
      </c>
      <c r="G2005" s="82" t="s">
        <v>6256</v>
      </c>
      <c r="H2005" s="9" t="s">
        <v>174</v>
      </c>
      <c r="I2005" s="20" t="s">
        <v>3475</v>
      </c>
      <c r="J2005" s="21" t="s">
        <v>3476</v>
      </c>
      <c r="K2005" s="22">
        <v>0</v>
      </c>
      <c r="L2005" s="234">
        <v>17900</v>
      </c>
      <c r="M2005" s="23">
        <v>2112</v>
      </c>
      <c r="N2005" s="23">
        <v>1</v>
      </c>
      <c r="O2005" s="23">
        <v>0</v>
      </c>
      <c r="P2005" s="23">
        <v>0</v>
      </c>
      <c r="Q2005" s="23">
        <v>0</v>
      </c>
      <c r="R2005" s="24">
        <f>(M2005*5500)/1000000</f>
        <v>11.616</v>
      </c>
      <c r="S2005" s="6" t="s">
        <v>115</v>
      </c>
      <c r="T2005" s="257">
        <f t="shared" si="69"/>
        <v>17900</v>
      </c>
      <c r="U2005" s="257">
        <f t="shared" si="70"/>
        <v>2113</v>
      </c>
      <c r="V2005">
        <v>2</v>
      </c>
      <c r="W2005">
        <v>2</v>
      </c>
    </row>
    <row r="2006" spans="1:23" ht="136.80000000000001" x14ac:dyDescent="0.3">
      <c r="A2006" s="211">
        <v>41061</v>
      </c>
      <c r="B2006" s="211">
        <v>41061</v>
      </c>
      <c r="C2006" s="6">
        <v>6</v>
      </c>
      <c r="D2006" s="6">
        <v>1</v>
      </c>
      <c r="E2006" s="19">
        <v>2012</v>
      </c>
      <c r="F2006" s="15" t="s">
        <v>22</v>
      </c>
      <c r="G2006" s="18" t="s">
        <v>6256</v>
      </c>
      <c r="H2006" s="9" t="s">
        <v>118</v>
      </c>
      <c r="I2006" s="20" t="s">
        <v>3477</v>
      </c>
      <c r="J2006" s="21" t="s">
        <v>3478</v>
      </c>
      <c r="K2006" s="43">
        <v>0</v>
      </c>
      <c r="L2006" s="234">
        <v>33</v>
      </c>
      <c r="M2006" s="23">
        <v>0</v>
      </c>
      <c r="N2006" s="23">
        <v>0</v>
      </c>
      <c r="O2006" s="23">
        <v>0</v>
      </c>
      <c r="P2006" s="23">
        <v>0</v>
      </c>
      <c r="Q2006" s="23">
        <v>0</v>
      </c>
      <c r="R2006" s="24">
        <f>(20*39690)/1000000</f>
        <v>0.79379999999999995</v>
      </c>
      <c r="S2006" s="6" t="s">
        <v>115</v>
      </c>
      <c r="T2006" s="257">
        <f t="shared" si="69"/>
        <v>33</v>
      </c>
      <c r="U2006" s="257">
        <f t="shared" si="70"/>
        <v>0</v>
      </c>
      <c r="V2006">
        <v>1</v>
      </c>
      <c r="W2006">
        <v>0</v>
      </c>
    </row>
    <row r="2007" spans="1:23" ht="68.400000000000006" x14ac:dyDescent="0.3">
      <c r="A2007" s="211">
        <v>41063</v>
      </c>
      <c r="B2007" s="211">
        <v>41063</v>
      </c>
      <c r="C2007" s="6">
        <v>6</v>
      </c>
      <c r="D2007" s="6">
        <v>1</v>
      </c>
      <c r="E2007" s="19">
        <v>2012</v>
      </c>
      <c r="F2007" s="15" t="s">
        <v>22</v>
      </c>
      <c r="G2007" s="18" t="s">
        <v>6256</v>
      </c>
      <c r="H2007" s="9" t="s">
        <v>66</v>
      </c>
      <c r="I2007" s="20" t="s">
        <v>1270</v>
      </c>
      <c r="J2007" s="21" t="s">
        <v>3479</v>
      </c>
      <c r="K2007" s="43">
        <v>0</v>
      </c>
      <c r="L2007" s="234">
        <v>502</v>
      </c>
      <c r="M2007" s="23">
        <v>62</v>
      </c>
      <c r="N2007" s="23">
        <v>0</v>
      </c>
      <c r="O2007" s="23">
        <v>0</v>
      </c>
      <c r="P2007" s="23">
        <v>0</v>
      </c>
      <c r="Q2007" s="23">
        <v>0</v>
      </c>
      <c r="R2007" s="24">
        <f>(62*5500)/1000000</f>
        <v>0.34100000000000003</v>
      </c>
      <c r="S2007" s="6" t="s">
        <v>115</v>
      </c>
      <c r="T2007" s="257">
        <f t="shared" si="69"/>
        <v>502</v>
      </c>
      <c r="U2007" s="257">
        <f t="shared" si="70"/>
        <v>62</v>
      </c>
      <c r="V2007">
        <v>1</v>
      </c>
      <c r="W2007">
        <v>1</v>
      </c>
    </row>
    <row r="2008" spans="1:23" ht="91.2" x14ac:dyDescent="0.3">
      <c r="A2008" s="211">
        <v>41065</v>
      </c>
      <c r="B2008" s="211">
        <v>41065</v>
      </c>
      <c r="C2008" s="6">
        <v>6</v>
      </c>
      <c r="D2008" s="6">
        <v>1</v>
      </c>
      <c r="E2008" s="19">
        <v>2012</v>
      </c>
      <c r="F2008" s="15" t="s">
        <v>22</v>
      </c>
      <c r="G2008" s="18" t="s">
        <v>6256</v>
      </c>
      <c r="H2008" s="9" t="s">
        <v>64</v>
      </c>
      <c r="I2008" s="20" t="s">
        <v>3480</v>
      </c>
      <c r="J2008" s="21" t="s">
        <v>3481</v>
      </c>
      <c r="K2008" s="43">
        <v>0</v>
      </c>
      <c r="L2008" s="234">
        <v>450</v>
      </c>
      <c r="M2008" s="23">
        <v>90</v>
      </c>
      <c r="N2008" s="23">
        <v>0</v>
      </c>
      <c r="O2008" s="23">
        <v>0</v>
      </c>
      <c r="P2008" s="23">
        <v>0</v>
      </c>
      <c r="Q2008" s="23">
        <v>0</v>
      </c>
      <c r="R2008" s="24">
        <f>((M2008*5500)+(1000*251)+(440*71)+(180*208))/1000000</f>
        <v>0.81467999999999996</v>
      </c>
      <c r="S2008" s="6" t="s">
        <v>115</v>
      </c>
      <c r="T2008" s="257">
        <f t="shared" si="69"/>
        <v>450</v>
      </c>
      <c r="U2008" s="257">
        <f t="shared" si="70"/>
        <v>90</v>
      </c>
      <c r="V2008">
        <v>1</v>
      </c>
      <c r="W2008">
        <v>1</v>
      </c>
    </row>
    <row r="2009" spans="1:23" ht="45.6" x14ac:dyDescent="0.3">
      <c r="A2009" s="211">
        <v>41065</v>
      </c>
      <c r="B2009" s="211">
        <v>41065</v>
      </c>
      <c r="C2009" s="6">
        <v>6</v>
      </c>
      <c r="D2009" s="6">
        <v>1</v>
      </c>
      <c r="E2009" s="19">
        <v>2012</v>
      </c>
      <c r="F2009" s="15" t="s">
        <v>22</v>
      </c>
      <c r="G2009" s="18" t="s">
        <v>6256</v>
      </c>
      <c r="H2009" s="9" t="s">
        <v>78</v>
      </c>
      <c r="I2009" s="20" t="s">
        <v>3482</v>
      </c>
      <c r="J2009" s="21" t="s">
        <v>3483</v>
      </c>
      <c r="K2009" s="43">
        <v>0</v>
      </c>
      <c r="L2009" s="234">
        <v>1200</v>
      </c>
      <c r="M2009" s="23">
        <v>240</v>
      </c>
      <c r="N2009" s="23">
        <v>0</v>
      </c>
      <c r="O2009" s="23">
        <v>0</v>
      </c>
      <c r="P2009" s="23">
        <v>0</v>
      </c>
      <c r="Q2009" s="23">
        <v>0</v>
      </c>
      <c r="R2009" s="24">
        <f>(M2009*5500)/1000000</f>
        <v>1.32</v>
      </c>
      <c r="S2009" s="6" t="s">
        <v>115</v>
      </c>
      <c r="T2009" s="257">
        <f t="shared" si="69"/>
        <v>1200</v>
      </c>
      <c r="U2009" s="257">
        <f t="shared" si="70"/>
        <v>240</v>
      </c>
      <c r="V2009">
        <v>1</v>
      </c>
      <c r="W2009">
        <v>1</v>
      </c>
    </row>
    <row r="2010" spans="1:23" ht="125.4" x14ac:dyDescent="0.3">
      <c r="A2010" s="211">
        <v>41079</v>
      </c>
      <c r="B2010" s="211">
        <v>41079</v>
      </c>
      <c r="C2010" s="6">
        <v>6</v>
      </c>
      <c r="D2010" s="6">
        <v>1</v>
      </c>
      <c r="E2010" s="19">
        <v>2012</v>
      </c>
      <c r="F2010" s="15" t="s">
        <v>22</v>
      </c>
      <c r="G2010" s="18" t="s">
        <v>6256</v>
      </c>
      <c r="H2010" s="9" t="s">
        <v>64</v>
      </c>
      <c r="I2010" s="20" t="s">
        <v>3484</v>
      </c>
      <c r="J2010" s="21" t="s">
        <v>3485</v>
      </c>
      <c r="K2010" s="43">
        <v>0</v>
      </c>
      <c r="L2010" s="234">
        <v>250</v>
      </c>
      <c r="M2010" s="23">
        <v>50</v>
      </c>
      <c r="N2010" s="23">
        <v>0</v>
      </c>
      <c r="O2010" s="23">
        <v>0</v>
      </c>
      <c r="P2010" s="23">
        <v>0</v>
      </c>
      <c r="Q2010" s="23">
        <v>0</v>
      </c>
      <c r="R2010" s="24">
        <f>((M2010*5500)+(50*10000))/1000000</f>
        <v>0.77500000000000002</v>
      </c>
      <c r="S2010" s="6" t="s">
        <v>115</v>
      </c>
      <c r="T2010" s="257">
        <f t="shared" si="69"/>
        <v>250</v>
      </c>
      <c r="U2010" s="257">
        <f t="shared" si="70"/>
        <v>50</v>
      </c>
      <c r="V2010">
        <v>1</v>
      </c>
      <c r="W2010">
        <v>1</v>
      </c>
    </row>
    <row r="2011" spans="1:23" ht="211.2" x14ac:dyDescent="0.3">
      <c r="A2011" s="219">
        <v>40408</v>
      </c>
      <c r="B2011" s="219">
        <v>40408</v>
      </c>
      <c r="C2011" s="6">
        <v>8</v>
      </c>
      <c r="D2011" s="6">
        <v>1</v>
      </c>
      <c r="E2011" s="73">
        <v>2010</v>
      </c>
      <c r="F2011" s="15" t="s">
        <v>22</v>
      </c>
      <c r="G2011" s="18" t="s">
        <v>6256</v>
      </c>
      <c r="H2011" s="9" t="s">
        <v>48</v>
      </c>
      <c r="I2011" s="74" t="s">
        <v>3486</v>
      </c>
      <c r="J2011" s="74" t="s">
        <v>3487</v>
      </c>
      <c r="K2011" s="75">
        <v>1</v>
      </c>
      <c r="L2011" s="241">
        <v>21</v>
      </c>
      <c r="M2011" s="75">
        <v>4</v>
      </c>
      <c r="N2011" s="75">
        <v>0</v>
      </c>
      <c r="O2011" s="75">
        <v>0</v>
      </c>
      <c r="P2011" s="75">
        <v>0</v>
      </c>
      <c r="Q2011" s="75">
        <v>0</v>
      </c>
      <c r="R2011" s="61">
        <v>7.4952000000000005E-2</v>
      </c>
      <c r="S2011" s="73" t="s">
        <v>115</v>
      </c>
      <c r="T2011" s="257">
        <f t="shared" si="69"/>
        <v>22</v>
      </c>
      <c r="U2011" s="257">
        <f t="shared" si="70"/>
        <v>4</v>
      </c>
      <c r="V2011">
        <v>1</v>
      </c>
      <c r="W2011">
        <v>1</v>
      </c>
    </row>
    <row r="2012" spans="1:23" ht="34.200000000000003" x14ac:dyDescent="0.3">
      <c r="A2012" s="218">
        <v>38984</v>
      </c>
      <c r="B2012" s="129">
        <f>A2012</f>
        <v>38984</v>
      </c>
      <c r="C2012" s="6">
        <v>9</v>
      </c>
      <c r="D2012" s="6">
        <v>1</v>
      </c>
      <c r="E2012" s="103">
        <v>2006</v>
      </c>
      <c r="F2012" s="7" t="s">
        <v>17</v>
      </c>
      <c r="G2012" s="8" t="s">
        <v>6261</v>
      </c>
      <c r="H2012" s="9" t="s">
        <v>48</v>
      </c>
      <c r="I2012" s="66" t="s">
        <v>3169</v>
      </c>
      <c r="J2012" s="67" t="s">
        <v>3488</v>
      </c>
      <c r="K2012" s="67">
        <v>0</v>
      </c>
      <c r="L2012" s="240">
        <v>0</v>
      </c>
      <c r="M2012" s="67">
        <v>0</v>
      </c>
      <c r="N2012" s="67">
        <v>0</v>
      </c>
      <c r="O2012" s="19">
        <v>0</v>
      </c>
      <c r="P2012" s="19">
        <v>0</v>
      </c>
      <c r="Q2012" s="67">
        <v>0</v>
      </c>
      <c r="R2012" s="107">
        <v>7.1999999999999995E-2</v>
      </c>
      <c r="S2012" s="7" t="s">
        <v>115</v>
      </c>
      <c r="T2012" s="257">
        <f t="shared" si="69"/>
        <v>0</v>
      </c>
      <c r="U2012" s="257">
        <f t="shared" si="70"/>
        <v>0</v>
      </c>
      <c r="V2012">
        <v>0</v>
      </c>
      <c r="W2012">
        <v>0</v>
      </c>
    </row>
    <row r="2013" spans="1:23" ht="68.400000000000006" x14ac:dyDescent="0.3">
      <c r="A2013" s="211">
        <v>41108</v>
      </c>
      <c r="B2013" s="211">
        <v>41108</v>
      </c>
      <c r="C2013" s="6">
        <v>7</v>
      </c>
      <c r="D2013" s="6">
        <v>1</v>
      </c>
      <c r="E2013" s="19">
        <v>2012</v>
      </c>
      <c r="F2013" s="15" t="s">
        <v>22</v>
      </c>
      <c r="G2013" s="18" t="s">
        <v>6256</v>
      </c>
      <c r="H2013" s="9" t="s">
        <v>51</v>
      </c>
      <c r="I2013" s="20" t="s">
        <v>2377</v>
      </c>
      <c r="J2013" s="21" t="s">
        <v>3489</v>
      </c>
      <c r="K2013" s="43">
        <v>0</v>
      </c>
      <c r="L2013" s="234">
        <v>60</v>
      </c>
      <c r="M2013" s="23">
        <v>12</v>
      </c>
      <c r="N2013" s="23">
        <v>0</v>
      </c>
      <c r="O2013" s="23">
        <v>0</v>
      </c>
      <c r="P2013" s="23">
        <v>0</v>
      </c>
      <c r="Q2013" s="23">
        <v>0</v>
      </c>
      <c r="R2013" s="24">
        <f>(M2013*5500)/1000000</f>
        <v>6.6000000000000003E-2</v>
      </c>
      <c r="S2013" s="6" t="s">
        <v>115</v>
      </c>
      <c r="T2013" s="257">
        <f t="shared" si="69"/>
        <v>60</v>
      </c>
      <c r="U2013" s="257">
        <f t="shared" si="70"/>
        <v>12</v>
      </c>
      <c r="V2013">
        <v>1</v>
      </c>
      <c r="W2013">
        <v>1</v>
      </c>
    </row>
    <row r="2014" spans="1:23" ht="114" x14ac:dyDescent="0.3">
      <c r="A2014" s="211">
        <v>41078</v>
      </c>
      <c r="B2014" s="211">
        <v>41078</v>
      </c>
      <c r="C2014" s="6">
        <v>6</v>
      </c>
      <c r="D2014" s="6">
        <v>1</v>
      </c>
      <c r="E2014" s="19">
        <v>2012</v>
      </c>
      <c r="F2014" s="15" t="s">
        <v>22</v>
      </c>
      <c r="G2014" s="18" t="s">
        <v>6256</v>
      </c>
      <c r="H2014" s="9" t="s">
        <v>64</v>
      </c>
      <c r="I2014" s="20" t="s">
        <v>2596</v>
      </c>
      <c r="J2014" s="21" t="s">
        <v>3490</v>
      </c>
      <c r="K2014" s="43">
        <v>0</v>
      </c>
      <c r="L2014" s="234">
        <v>149</v>
      </c>
      <c r="M2014" s="23">
        <v>20</v>
      </c>
      <c r="N2014" s="23">
        <v>1</v>
      </c>
      <c r="O2014" s="23">
        <v>0</v>
      </c>
      <c r="P2014" s="23">
        <v>0</v>
      </c>
      <c r="Q2014" s="23">
        <v>0</v>
      </c>
      <c r="R2014" s="24">
        <f>(M2014*28000)/1000000</f>
        <v>0.56000000000000005</v>
      </c>
      <c r="S2014" s="6" t="s">
        <v>115</v>
      </c>
      <c r="T2014" s="257">
        <f t="shared" si="69"/>
        <v>149</v>
      </c>
      <c r="U2014" s="257">
        <f t="shared" si="70"/>
        <v>21</v>
      </c>
      <c r="V2014">
        <v>1</v>
      </c>
      <c r="W2014">
        <v>1</v>
      </c>
    </row>
    <row r="2015" spans="1:23" ht="148.19999999999999" x14ac:dyDescent="0.3">
      <c r="A2015" s="211">
        <v>41079</v>
      </c>
      <c r="B2015" s="211">
        <v>41080</v>
      </c>
      <c r="C2015" s="6">
        <v>6</v>
      </c>
      <c r="D2015" s="6">
        <v>2</v>
      </c>
      <c r="E2015" s="19">
        <v>2012</v>
      </c>
      <c r="F2015" s="7" t="s">
        <v>17</v>
      </c>
      <c r="G2015" s="28" t="s">
        <v>6261</v>
      </c>
      <c r="H2015" s="9" t="s">
        <v>118</v>
      </c>
      <c r="I2015" s="53" t="s">
        <v>3491</v>
      </c>
      <c r="J2015" s="21" t="s">
        <v>3492</v>
      </c>
      <c r="K2015" s="43">
        <v>0</v>
      </c>
      <c r="L2015" s="234">
        <v>85</v>
      </c>
      <c r="M2015" s="23">
        <v>17</v>
      </c>
      <c r="N2015" s="23">
        <v>0</v>
      </c>
      <c r="O2015" s="23">
        <v>0</v>
      </c>
      <c r="P2015" s="23">
        <v>0</v>
      </c>
      <c r="Q2015" s="23">
        <v>0</v>
      </c>
      <c r="R2015" s="24">
        <f>1*((2*28000)+(5*120000))/1000000</f>
        <v>0.65600000000000003</v>
      </c>
      <c r="S2015" s="6" t="s">
        <v>115</v>
      </c>
      <c r="T2015" s="257">
        <f t="shared" si="69"/>
        <v>85</v>
      </c>
      <c r="U2015" s="257">
        <f t="shared" si="70"/>
        <v>17</v>
      </c>
      <c r="V2015">
        <v>1</v>
      </c>
      <c r="W2015">
        <v>1</v>
      </c>
    </row>
    <row r="2016" spans="1:23" ht="114" x14ac:dyDescent="0.3">
      <c r="A2016" s="211">
        <v>41082</v>
      </c>
      <c r="B2016" s="211">
        <v>41082</v>
      </c>
      <c r="C2016" s="6">
        <v>6</v>
      </c>
      <c r="D2016" s="6">
        <v>1</v>
      </c>
      <c r="E2016" s="19">
        <v>2012</v>
      </c>
      <c r="F2016" s="15" t="s">
        <v>22</v>
      </c>
      <c r="G2016" s="18" t="s">
        <v>6256</v>
      </c>
      <c r="H2016" s="9" t="s">
        <v>61</v>
      </c>
      <c r="I2016" s="20" t="s">
        <v>3413</v>
      </c>
      <c r="J2016" s="21" t="s">
        <v>3493</v>
      </c>
      <c r="K2016" s="43">
        <v>0</v>
      </c>
      <c r="L2016" s="234">
        <v>25</v>
      </c>
      <c r="M2016" s="23">
        <v>5</v>
      </c>
      <c r="N2016" s="23">
        <v>0</v>
      </c>
      <c r="O2016" s="23">
        <v>0</v>
      </c>
      <c r="P2016" s="23">
        <v>0</v>
      </c>
      <c r="Q2016" s="23">
        <v>0</v>
      </c>
      <c r="R2016" s="24">
        <f>(M2016*120000)/1000000</f>
        <v>0.6</v>
      </c>
      <c r="S2016" s="6" t="s">
        <v>115</v>
      </c>
      <c r="T2016" s="257">
        <f t="shared" si="69"/>
        <v>25</v>
      </c>
      <c r="U2016" s="257">
        <f t="shared" si="70"/>
        <v>5</v>
      </c>
      <c r="V2016">
        <v>1</v>
      </c>
      <c r="W2016">
        <v>1</v>
      </c>
    </row>
    <row r="2017" spans="1:23" ht="68.400000000000006" x14ac:dyDescent="0.3">
      <c r="A2017" s="211">
        <v>41082</v>
      </c>
      <c r="B2017" s="211">
        <v>41260</v>
      </c>
      <c r="C2017" s="6">
        <v>6</v>
      </c>
      <c r="D2017" s="6">
        <v>179</v>
      </c>
      <c r="E2017" s="19">
        <v>2012</v>
      </c>
      <c r="F2017" s="15" t="s">
        <v>22</v>
      </c>
      <c r="G2017" s="18" t="s">
        <v>6256</v>
      </c>
      <c r="H2017" s="9" t="s">
        <v>174</v>
      </c>
      <c r="I2017" s="20" t="s">
        <v>2600</v>
      </c>
      <c r="J2017" s="21" t="s">
        <v>3494</v>
      </c>
      <c r="K2017" s="22">
        <v>0</v>
      </c>
      <c r="L2017" s="234">
        <v>15</v>
      </c>
      <c r="M2017" s="23">
        <v>3</v>
      </c>
      <c r="N2017" s="23">
        <v>0</v>
      </c>
      <c r="O2017" s="23">
        <v>0</v>
      </c>
      <c r="P2017" s="23">
        <v>0</v>
      </c>
      <c r="Q2017" s="23">
        <v>0</v>
      </c>
      <c r="R2017" s="24">
        <f>(M2017*28000)/1000000</f>
        <v>8.4000000000000005E-2</v>
      </c>
      <c r="S2017" s="6" t="s">
        <v>115</v>
      </c>
      <c r="T2017" s="257">
        <f t="shared" si="69"/>
        <v>15</v>
      </c>
      <c r="U2017" s="257">
        <f t="shared" si="70"/>
        <v>3</v>
      </c>
      <c r="V2017">
        <v>1</v>
      </c>
      <c r="W2017">
        <v>1</v>
      </c>
    </row>
    <row r="2018" spans="1:23" ht="79.8" x14ac:dyDescent="0.3">
      <c r="A2018" s="211">
        <v>41085</v>
      </c>
      <c r="B2018" s="211">
        <v>41085</v>
      </c>
      <c r="C2018" s="6">
        <v>6</v>
      </c>
      <c r="D2018" s="6">
        <v>1</v>
      </c>
      <c r="E2018" s="19">
        <v>2012</v>
      </c>
      <c r="F2018" s="15" t="s">
        <v>22</v>
      </c>
      <c r="G2018" s="18" t="s">
        <v>6256</v>
      </c>
      <c r="H2018" s="9" t="s">
        <v>51</v>
      </c>
      <c r="I2018" s="20" t="s">
        <v>271</v>
      </c>
      <c r="J2018" s="21" t="s">
        <v>3495</v>
      </c>
      <c r="K2018" s="43">
        <v>2</v>
      </c>
      <c r="L2018" s="234">
        <v>3</v>
      </c>
      <c r="M2018" s="23">
        <v>1</v>
      </c>
      <c r="N2018" s="23">
        <v>0</v>
      </c>
      <c r="O2018" s="23">
        <v>0</v>
      </c>
      <c r="P2018" s="23">
        <v>0</v>
      </c>
      <c r="Q2018" s="23">
        <v>0</v>
      </c>
      <c r="R2018" s="24">
        <v>0.12</v>
      </c>
      <c r="S2018" s="6" t="s">
        <v>115</v>
      </c>
      <c r="T2018" s="257">
        <f t="shared" si="69"/>
        <v>5</v>
      </c>
      <c r="U2018" s="257">
        <f t="shared" si="70"/>
        <v>1</v>
      </c>
      <c r="V2018">
        <v>1</v>
      </c>
      <c r="W2018">
        <v>1</v>
      </c>
    </row>
    <row r="2019" spans="1:23" ht="91.2" x14ac:dyDescent="0.3">
      <c r="A2019" s="211">
        <v>41084</v>
      </c>
      <c r="B2019" s="211">
        <v>41084</v>
      </c>
      <c r="C2019" s="6">
        <v>6</v>
      </c>
      <c r="D2019" s="6">
        <v>1</v>
      </c>
      <c r="E2019" s="19">
        <v>2012</v>
      </c>
      <c r="F2019" s="15" t="s">
        <v>22</v>
      </c>
      <c r="G2019" s="18" t="s">
        <v>6256</v>
      </c>
      <c r="H2019" s="9" t="s">
        <v>64</v>
      </c>
      <c r="I2019" s="20" t="s">
        <v>3411</v>
      </c>
      <c r="J2019" s="21" t="s">
        <v>3496</v>
      </c>
      <c r="K2019" s="43">
        <v>0</v>
      </c>
      <c r="L2019" s="234">
        <v>800</v>
      </c>
      <c r="M2019" s="23">
        <v>160</v>
      </c>
      <c r="N2019" s="23">
        <v>0</v>
      </c>
      <c r="O2019" s="23">
        <v>0</v>
      </c>
      <c r="P2019" s="23">
        <v>0</v>
      </c>
      <c r="Q2019" s="23">
        <v>0</v>
      </c>
      <c r="R2019" s="24">
        <f>(160*5500)/1000000</f>
        <v>0.88</v>
      </c>
      <c r="S2019" s="6" t="s">
        <v>115</v>
      </c>
      <c r="T2019" s="257">
        <f t="shared" si="69"/>
        <v>800</v>
      </c>
      <c r="U2019" s="257">
        <f t="shared" si="70"/>
        <v>160</v>
      </c>
      <c r="V2019">
        <v>1</v>
      </c>
      <c r="W2019">
        <v>1</v>
      </c>
    </row>
    <row r="2020" spans="1:23" ht="79.8" x14ac:dyDescent="0.3">
      <c r="A2020" s="211">
        <v>41084</v>
      </c>
      <c r="B2020" s="211">
        <v>41084</v>
      </c>
      <c r="C2020" s="6">
        <v>6</v>
      </c>
      <c r="D2020" s="6">
        <v>1</v>
      </c>
      <c r="E2020" s="19">
        <v>2012</v>
      </c>
      <c r="F2020" s="15" t="s">
        <v>22</v>
      </c>
      <c r="G2020" s="18" t="s">
        <v>6256</v>
      </c>
      <c r="H2020" s="9" t="s">
        <v>51</v>
      </c>
      <c r="I2020" s="20" t="s">
        <v>3497</v>
      </c>
      <c r="J2020" s="21" t="s">
        <v>3498</v>
      </c>
      <c r="K2020" s="43">
        <v>0</v>
      </c>
      <c r="L2020" s="234">
        <v>370</v>
      </c>
      <c r="M2020" s="23">
        <v>74</v>
      </c>
      <c r="N2020" s="23">
        <v>0</v>
      </c>
      <c r="O2020" s="23">
        <v>0</v>
      </c>
      <c r="P2020" s="23">
        <v>0</v>
      </c>
      <c r="Q2020" s="23">
        <v>0</v>
      </c>
      <c r="R2020" s="24">
        <f>(74*5500)/1000000</f>
        <v>0.40699999999999997</v>
      </c>
      <c r="S2020" s="6" t="s">
        <v>115</v>
      </c>
      <c r="T2020" s="257">
        <f t="shared" si="69"/>
        <v>370</v>
      </c>
      <c r="U2020" s="257">
        <f t="shared" si="70"/>
        <v>74</v>
      </c>
      <c r="V2020">
        <v>1</v>
      </c>
      <c r="W2020">
        <v>1</v>
      </c>
    </row>
    <row r="2021" spans="1:23" ht="57" x14ac:dyDescent="0.3">
      <c r="A2021" s="211">
        <v>41084</v>
      </c>
      <c r="B2021" s="211">
        <v>41084</v>
      </c>
      <c r="C2021" s="6">
        <v>6</v>
      </c>
      <c r="D2021" s="6">
        <v>1</v>
      </c>
      <c r="E2021" s="19">
        <v>2012</v>
      </c>
      <c r="F2021" s="15" t="s">
        <v>22</v>
      </c>
      <c r="G2021" s="82" t="s">
        <v>6256</v>
      </c>
      <c r="H2021" s="9" t="s">
        <v>61</v>
      </c>
      <c r="I2021" s="20" t="s">
        <v>3499</v>
      </c>
      <c r="J2021" s="21" t="s">
        <v>3500</v>
      </c>
      <c r="K2021" s="43">
        <v>1</v>
      </c>
      <c r="L2021" s="234">
        <v>1</v>
      </c>
      <c r="M2021" s="23">
        <v>0</v>
      </c>
      <c r="N2021" s="23">
        <v>0</v>
      </c>
      <c r="O2021" s="23">
        <v>0</v>
      </c>
      <c r="P2021" s="23">
        <v>0</v>
      </c>
      <c r="Q2021" s="23">
        <v>0</v>
      </c>
      <c r="R2021" s="24">
        <v>0</v>
      </c>
      <c r="S2021" s="6" t="s">
        <v>115</v>
      </c>
      <c r="T2021" s="257">
        <f t="shared" si="69"/>
        <v>2</v>
      </c>
      <c r="U2021" s="257">
        <f t="shared" si="70"/>
        <v>0</v>
      </c>
      <c r="V2021">
        <v>1</v>
      </c>
      <c r="W2021">
        <v>0</v>
      </c>
    </row>
    <row r="2022" spans="1:23" ht="34.200000000000003" x14ac:dyDescent="0.3">
      <c r="A2022" s="211">
        <v>41088</v>
      </c>
      <c r="B2022" s="211">
        <v>41088</v>
      </c>
      <c r="C2022" s="6">
        <v>6</v>
      </c>
      <c r="D2022" s="6">
        <v>1</v>
      </c>
      <c r="E2022" s="19">
        <v>2012</v>
      </c>
      <c r="F2022" s="15" t="s">
        <v>22</v>
      </c>
      <c r="G2022" s="82" t="s">
        <v>6256</v>
      </c>
      <c r="H2022" s="9" t="s">
        <v>46</v>
      </c>
      <c r="I2022" s="20" t="s">
        <v>3501</v>
      </c>
      <c r="J2022" s="21" t="s">
        <v>3502</v>
      </c>
      <c r="K2022" s="43">
        <v>0</v>
      </c>
      <c r="L2022" s="234">
        <v>1</v>
      </c>
      <c r="M2022" s="23">
        <v>0</v>
      </c>
      <c r="N2022" s="23">
        <v>0</v>
      </c>
      <c r="O2022" s="23">
        <v>0</v>
      </c>
      <c r="P2022" s="23">
        <v>0</v>
      </c>
      <c r="Q2022" s="23">
        <v>0</v>
      </c>
      <c r="R2022" s="24">
        <v>0</v>
      </c>
      <c r="S2022" s="6" t="s">
        <v>115</v>
      </c>
      <c r="T2022" s="257">
        <f t="shared" si="69"/>
        <v>1</v>
      </c>
      <c r="U2022" s="257">
        <f t="shared" si="70"/>
        <v>0</v>
      </c>
      <c r="V2022">
        <v>1</v>
      </c>
      <c r="W2022">
        <v>0</v>
      </c>
    </row>
    <row r="2023" spans="1:23" ht="45.6" x14ac:dyDescent="0.3">
      <c r="A2023" s="211">
        <v>41088</v>
      </c>
      <c r="B2023" s="211">
        <v>41088</v>
      </c>
      <c r="C2023" s="6">
        <v>6</v>
      </c>
      <c r="D2023" s="6">
        <v>1</v>
      </c>
      <c r="E2023" s="19">
        <v>2012</v>
      </c>
      <c r="F2023" s="15" t="s">
        <v>22</v>
      </c>
      <c r="G2023" s="18" t="s">
        <v>6256</v>
      </c>
      <c r="H2023" s="9" t="s">
        <v>84</v>
      </c>
      <c r="I2023" s="20" t="s">
        <v>3503</v>
      </c>
      <c r="J2023" s="21" t="s">
        <v>3504</v>
      </c>
      <c r="K2023" s="43">
        <v>0</v>
      </c>
      <c r="L2023" s="234">
        <v>175</v>
      </c>
      <c r="M2023" s="23">
        <v>35</v>
      </c>
      <c r="N2023" s="23">
        <v>0</v>
      </c>
      <c r="O2023" s="23">
        <v>0</v>
      </c>
      <c r="P2023" s="23">
        <v>0</v>
      </c>
      <c r="Q2023" s="23">
        <v>0</v>
      </c>
      <c r="R2023" s="24">
        <f>(35*5500)/1000000</f>
        <v>0.1925</v>
      </c>
      <c r="S2023" s="6" t="s">
        <v>115</v>
      </c>
      <c r="T2023" s="257">
        <f t="shared" si="69"/>
        <v>175</v>
      </c>
      <c r="U2023" s="257">
        <f t="shared" si="70"/>
        <v>35</v>
      </c>
      <c r="V2023">
        <v>1</v>
      </c>
      <c r="W2023">
        <v>1</v>
      </c>
    </row>
    <row r="2024" spans="1:23" ht="57" x14ac:dyDescent="0.3">
      <c r="A2024" s="211">
        <v>41089</v>
      </c>
      <c r="B2024" s="211">
        <v>41089</v>
      </c>
      <c r="C2024" s="6">
        <v>6</v>
      </c>
      <c r="D2024" s="6">
        <v>1</v>
      </c>
      <c r="E2024" s="19">
        <v>2012</v>
      </c>
      <c r="F2024" s="15" t="s">
        <v>22</v>
      </c>
      <c r="G2024" s="18" t="s">
        <v>6256</v>
      </c>
      <c r="H2024" s="9" t="s">
        <v>46</v>
      </c>
      <c r="I2024" s="20" t="s">
        <v>2922</v>
      </c>
      <c r="J2024" s="21" t="s">
        <v>3505</v>
      </c>
      <c r="K2024" s="43">
        <v>0</v>
      </c>
      <c r="L2024" s="234">
        <v>115</v>
      </c>
      <c r="M2024" s="23">
        <v>23</v>
      </c>
      <c r="N2024" s="23">
        <v>0</v>
      </c>
      <c r="O2024" s="23">
        <v>0</v>
      </c>
      <c r="P2024" s="23">
        <v>0</v>
      </c>
      <c r="Q2024" s="23">
        <v>0</v>
      </c>
      <c r="R2024" s="24">
        <f>(23*5500)/1000000</f>
        <v>0.1265</v>
      </c>
      <c r="S2024" s="6" t="s">
        <v>115</v>
      </c>
      <c r="T2024" s="257">
        <f t="shared" si="69"/>
        <v>115</v>
      </c>
      <c r="U2024" s="257">
        <f t="shared" si="70"/>
        <v>23</v>
      </c>
      <c r="V2024">
        <v>1</v>
      </c>
      <c r="W2024">
        <v>1</v>
      </c>
    </row>
    <row r="2025" spans="1:23" ht="102.6" x14ac:dyDescent="0.3">
      <c r="A2025" s="211">
        <v>41092</v>
      </c>
      <c r="B2025" s="211">
        <v>41092</v>
      </c>
      <c r="C2025" s="6">
        <v>7</v>
      </c>
      <c r="D2025" s="6">
        <v>1</v>
      </c>
      <c r="E2025" s="19">
        <v>2012</v>
      </c>
      <c r="F2025" s="15" t="s">
        <v>22</v>
      </c>
      <c r="G2025" s="18" t="s">
        <v>6256</v>
      </c>
      <c r="H2025" s="9" t="s">
        <v>52</v>
      </c>
      <c r="I2025" s="20" t="s">
        <v>655</v>
      </c>
      <c r="J2025" s="21" t="s">
        <v>3506</v>
      </c>
      <c r="K2025" s="43">
        <v>0</v>
      </c>
      <c r="L2025" s="234">
        <v>55</v>
      </c>
      <c r="M2025" s="23">
        <v>15</v>
      </c>
      <c r="N2025" s="23">
        <v>0</v>
      </c>
      <c r="O2025" s="23">
        <v>0</v>
      </c>
      <c r="P2025" s="23">
        <v>0</v>
      </c>
      <c r="Q2025" s="23">
        <v>0</v>
      </c>
      <c r="R2025" s="24">
        <f>((15*5500)+(15*10000))/1000000</f>
        <v>0.23250000000000001</v>
      </c>
      <c r="S2025" s="6" t="s">
        <v>115</v>
      </c>
      <c r="T2025" s="257">
        <f t="shared" si="69"/>
        <v>55</v>
      </c>
      <c r="U2025" s="257">
        <f t="shared" si="70"/>
        <v>15</v>
      </c>
      <c r="V2025">
        <v>1</v>
      </c>
      <c r="W2025">
        <v>1</v>
      </c>
    </row>
    <row r="2026" spans="1:23" ht="91.2" x14ac:dyDescent="0.3">
      <c r="A2026" s="211">
        <v>41092</v>
      </c>
      <c r="B2026" s="211">
        <v>41092</v>
      </c>
      <c r="C2026" s="6">
        <v>7</v>
      </c>
      <c r="D2026" s="6">
        <v>1</v>
      </c>
      <c r="E2026" s="19">
        <v>2012</v>
      </c>
      <c r="F2026" s="15" t="s">
        <v>22</v>
      </c>
      <c r="G2026" s="18" t="s">
        <v>6256</v>
      </c>
      <c r="H2026" s="9" t="s">
        <v>72</v>
      </c>
      <c r="I2026" s="20" t="s">
        <v>1899</v>
      </c>
      <c r="J2026" s="21" t="s">
        <v>3508</v>
      </c>
      <c r="K2026" s="43">
        <v>0</v>
      </c>
      <c r="L2026" s="234">
        <v>90</v>
      </c>
      <c r="M2026" s="23">
        <v>18</v>
      </c>
      <c r="N2026" s="23">
        <v>0</v>
      </c>
      <c r="O2026" s="23">
        <v>0</v>
      </c>
      <c r="P2026" s="23">
        <v>0</v>
      </c>
      <c r="Q2026" s="23">
        <v>0</v>
      </c>
      <c r="R2026" s="24">
        <f>((18*5500)+(18*10000))/1000000</f>
        <v>0.27900000000000003</v>
      </c>
      <c r="S2026" s="6" t="s">
        <v>115</v>
      </c>
      <c r="T2026" s="257">
        <f t="shared" si="69"/>
        <v>90</v>
      </c>
      <c r="U2026" s="257">
        <f t="shared" si="70"/>
        <v>18</v>
      </c>
      <c r="V2026">
        <v>1</v>
      </c>
      <c r="W2026">
        <v>1</v>
      </c>
    </row>
    <row r="2027" spans="1:23" ht="79.8" x14ac:dyDescent="0.3">
      <c r="A2027" s="212">
        <v>41092</v>
      </c>
      <c r="B2027" s="211"/>
      <c r="C2027" s="6">
        <v>7</v>
      </c>
      <c r="D2027" s="6">
        <v>1</v>
      </c>
      <c r="E2027" s="19">
        <v>2012</v>
      </c>
      <c r="F2027" s="15" t="s">
        <v>22</v>
      </c>
      <c r="G2027" s="18" t="s">
        <v>6256</v>
      </c>
      <c r="H2027" s="9" t="s">
        <v>74</v>
      </c>
      <c r="I2027" s="20" t="s">
        <v>2295</v>
      </c>
      <c r="J2027" s="21" t="s">
        <v>3509</v>
      </c>
      <c r="K2027" s="22">
        <v>0</v>
      </c>
      <c r="L2027" s="234">
        <v>60</v>
      </c>
      <c r="M2027" s="23">
        <v>12</v>
      </c>
      <c r="N2027" s="23">
        <v>0</v>
      </c>
      <c r="O2027" s="23">
        <v>0</v>
      </c>
      <c r="P2027" s="23">
        <v>0</v>
      </c>
      <c r="Q2027" s="23">
        <v>0</v>
      </c>
      <c r="R2027" s="24">
        <f>(12*5500)/1000000</f>
        <v>6.6000000000000003E-2</v>
      </c>
      <c r="S2027" s="6" t="s">
        <v>115</v>
      </c>
      <c r="T2027" s="257">
        <f t="shared" si="69"/>
        <v>60</v>
      </c>
      <c r="U2027" s="257">
        <f t="shared" si="70"/>
        <v>12</v>
      </c>
      <c r="V2027">
        <v>1</v>
      </c>
      <c r="W2027">
        <v>1</v>
      </c>
    </row>
    <row r="2028" spans="1:23" ht="125.4" x14ac:dyDescent="0.3">
      <c r="A2028" s="211">
        <v>41091</v>
      </c>
      <c r="B2028" s="211">
        <v>41091</v>
      </c>
      <c r="C2028" s="6">
        <v>7</v>
      </c>
      <c r="D2028" s="6">
        <v>1</v>
      </c>
      <c r="E2028" s="19">
        <v>2012</v>
      </c>
      <c r="F2028" s="15" t="s">
        <v>22</v>
      </c>
      <c r="G2028" s="18" t="s">
        <v>6256</v>
      </c>
      <c r="H2028" s="9" t="s">
        <v>74</v>
      </c>
      <c r="I2028" s="20" t="s">
        <v>486</v>
      </c>
      <c r="J2028" s="21" t="s">
        <v>3510</v>
      </c>
      <c r="K2028" s="22">
        <v>0</v>
      </c>
      <c r="L2028" s="234">
        <v>300</v>
      </c>
      <c r="M2028" s="23">
        <v>60</v>
      </c>
      <c r="N2028" s="23">
        <v>0</v>
      </c>
      <c r="O2028" s="23">
        <v>0</v>
      </c>
      <c r="P2028" s="23">
        <v>0</v>
      </c>
      <c r="Q2028" s="23">
        <v>0</v>
      </c>
      <c r="R2028" s="24">
        <f>(60*5500)/1000000</f>
        <v>0.33</v>
      </c>
      <c r="S2028" s="6" t="s">
        <v>115</v>
      </c>
      <c r="T2028" s="257">
        <f t="shared" si="69"/>
        <v>300</v>
      </c>
      <c r="U2028" s="257">
        <f t="shared" si="70"/>
        <v>60</v>
      </c>
      <c r="V2028">
        <v>1</v>
      </c>
      <c r="W2028">
        <v>1</v>
      </c>
    </row>
    <row r="2029" spans="1:23" ht="57" x14ac:dyDescent="0.3">
      <c r="A2029" s="129">
        <v>41096</v>
      </c>
      <c r="B2029" s="211">
        <v>41096</v>
      </c>
      <c r="C2029" s="6">
        <v>7</v>
      </c>
      <c r="D2029" s="6">
        <v>1</v>
      </c>
      <c r="E2029" s="19">
        <v>2012</v>
      </c>
      <c r="F2029" s="15" t="s">
        <v>22</v>
      </c>
      <c r="G2029" s="18" t="s">
        <v>6256</v>
      </c>
      <c r="H2029" s="9" t="s">
        <v>34</v>
      </c>
      <c r="I2029" s="53" t="s">
        <v>3511</v>
      </c>
      <c r="J2029" s="53" t="s">
        <v>3512</v>
      </c>
      <c r="K2029" s="43">
        <v>1</v>
      </c>
      <c r="L2029" s="234">
        <v>1</v>
      </c>
      <c r="M2029" s="23">
        <v>0</v>
      </c>
      <c r="N2029" s="23">
        <v>0</v>
      </c>
      <c r="O2029" s="23">
        <v>0</v>
      </c>
      <c r="P2029" s="23">
        <v>0</v>
      </c>
      <c r="Q2029" s="23">
        <v>0</v>
      </c>
      <c r="R2029" s="24">
        <v>0</v>
      </c>
      <c r="S2029" s="6" t="s">
        <v>115</v>
      </c>
      <c r="T2029" s="257">
        <f t="shared" si="69"/>
        <v>2</v>
      </c>
      <c r="U2029" s="257">
        <f t="shared" si="70"/>
        <v>0</v>
      </c>
      <c r="V2029">
        <v>1</v>
      </c>
      <c r="W2029">
        <v>0</v>
      </c>
    </row>
    <row r="2030" spans="1:23" ht="79.8" x14ac:dyDescent="0.3">
      <c r="A2030" s="129">
        <v>41102</v>
      </c>
      <c r="B2030" s="211">
        <v>41102</v>
      </c>
      <c r="C2030" s="6">
        <v>7</v>
      </c>
      <c r="D2030" s="6">
        <v>1</v>
      </c>
      <c r="E2030" s="19">
        <v>2012</v>
      </c>
      <c r="F2030" s="15" t="s">
        <v>22</v>
      </c>
      <c r="G2030" s="18" t="s">
        <v>6256</v>
      </c>
      <c r="H2030" s="9" t="s">
        <v>31</v>
      </c>
      <c r="I2030" s="53" t="s">
        <v>3513</v>
      </c>
      <c r="J2030" s="21" t="s">
        <v>3514</v>
      </c>
      <c r="K2030" s="43">
        <v>2</v>
      </c>
      <c r="L2030" s="234">
        <v>5</v>
      </c>
      <c r="M2030" s="23">
        <v>0</v>
      </c>
      <c r="N2030" s="23">
        <v>0</v>
      </c>
      <c r="O2030" s="23">
        <v>0</v>
      </c>
      <c r="P2030" s="23">
        <v>1</v>
      </c>
      <c r="Q2030" s="23">
        <v>0</v>
      </c>
      <c r="R2030" s="24">
        <v>0</v>
      </c>
      <c r="S2030" s="6" t="s">
        <v>115</v>
      </c>
      <c r="T2030" s="257">
        <f t="shared" si="69"/>
        <v>7</v>
      </c>
      <c r="U2030" s="257">
        <f t="shared" si="70"/>
        <v>1</v>
      </c>
      <c r="V2030">
        <v>1</v>
      </c>
      <c r="W2030">
        <v>1</v>
      </c>
    </row>
    <row r="2031" spans="1:23" ht="239.4" x14ac:dyDescent="0.3">
      <c r="A2031" s="211">
        <v>41102</v>
      </c>
      <c r="B2031" s="211">
        <v>41102</v>
      </c>
      <c r="C2031" s="6">
        <v>7</v>
      </c>
      <c r="D2031" s="6">
        <v>1</v>
      </c>
      <c r="E2031" s="19">
        <v>2012</v>
      </c>
      <c r="F2031" s="15" t="s">
        <v>22</v>
      </c>
      <c r="G2031" s="18" t="s">
        <v>6256</v>
      </c>
      <c r="H2031" s="9" t="s">
        <v>46</v>
      </c>
      <c r="I2031" s="20" t="s">
        <v>3515</v>
      </c>
      <c r="J2031" s="21" t="s">
        <v>3516</v>
      </c>
      <c r="K2031" s="43">
        <v>0</v>
      </c>
      <c r="L2031" s="234">
        <v>100</v>
      </c>
      <c r="M2031" s="23">
        <v>20</v>
      </c>
      <c r="N2031" s="23">
        <v>0</v>
      </c>
      <c r="O2031" s="23">
        <v>0</v>
      </c>
      <c r="P2031" s="23">
        <v>0</v>
      </c>
      <c r="Q2031" s="23">
        <v>0</v>
      </c>
      <c r="R2031" s="24">
        <f>((19*5500)+(28000)+(3*39690))/1000000</f>
        <v>0.25157000000000002</v>
      </c>
      <c r="S2031" s="6" t="s">
        <v>115</v>
      </c>
      <c r="T2031" s="257">
        <f t="shared" si="69"/>
        <v>100</v>
      </c>
      <c r="U2031" s="257">
        <f t="shared" si="70"/>
        <v>20</v>
      </c>
      <c r="V2031">
        <v>1</v>
      </c>
      <c r="W2031">
        <v>1</v>
      </c>
    </row>
    <row r="2032" spans="1:23" ht="68.400000000000006" x14ac:dyDescent="0.3">
      <c r="A2032" s="211">
        <v>41103</v>
      </c>
      <c r="B2032" s="211">
        <v>41103</v>
      </c>
      <c r="C2032" s="6">
        <v>7</v>
      </c>
      <c r="D2032" s="6">
        <v>1</v>
      </c>
      <c r="E2032" s="19">
        <v>2012</v>
      </c>
      <c r="F2032" s="15" t="s">
        <v>22</v>
      </c>
      <c r="G2032" s="18" t="s">
        <v>6256</v>
      </c>
      <c r="H2032" s="9" t="s">
        <v>72</v>
      </c>
      <c r="I2032" s="20" t="s">
        <v>3517</v>
      </c>
      <c r="J2032" s="21" t="s">
        <v>3518</v>
      </c>
      <c r="K2032" s="43">
        <v>0</v>
      </c>
      <c r="L2032" s="234">
        <v>400</v>
      </c>
      <c r="M2032" s="23">
        <v>80</v>
      </c>
      <c r="N2032" s="23">
        <v>0</v>
      </c>
      <c r="O2032" s="23">
        <v>0</v>
      </c>
      <c r="P2032" s="23">
        <v>0</v>
      </c>
      <c r="Q2032" s="23">
        <v>0</v>
      </c>
      <c r="R2032" s="24">
        <f>((M2032*5500)+(80*10000))/1000000</f>
        <v>1.24</v>
      </c>
      <c r="S2032" s="6" t="s">
        <v>115</v>
      </c>
      <c r="T2032" s="257">
        <f t="shared" si="69"/>
        <v>400</v>
      </c>
      <c r="U2032" s="257">
        <f t="shared" si="70"/>
        <v>80</v>
      </c>
      <c r="V2032">
        <v>1</v>
      </c>
      <c r="W2032">
        <v>1</v>
      </c>
    </row>
    <row r="2033" spans="1:23" ht="91.8" x14ac:dyDescent="0.3">
      <c r="A2033" s="211">
        <v>41103</v>
      </c>
      <c r="B2033" s="211">
        <v>41103</v>
      </c>
      <c r="C2033" s="6">
        <v>7</v>
      </c>
      <c r="D2033" s="6">
        <v>1</v>
      </c>
      <c r="E2033" s="19">
        <v>2012</v>
      </c>
      <c r="F2033" s="15" t="s">
        <v>22</v>
      </c>
      <c r="G2033" s="18" t="s">
        <v>6256</v>
      </c>
      <c r="H2033" s="9" t="s">
        <v>41</v>
      </c>
      <c r="I2033" s="20" t="s">
        <v>41</v>
      </c>
      <c r="J2033" s="21" t="s">
        <v>3520</v>
      </c>
      <c r="K2033" s="43">
        <v>2</v>
      </c>
      <c r="L2033" s="234">
        <v>127</v>
      </c>
      <c r="M2033" s="23">
        <v>25</v>
      </c>
      <c r="N2033" s="23">
        <v>0</v>
      </c>
      <c r="O2033" s="23">
        <v>0</v>
      </c>
      <c r="P2033" s="23">
        <v>0</v>
      </c>
      <c r="Q2033" s="23">
        <v>0</v>
      </c>
      <c r="R2033" s="24">
        <f>((25*5500)+(25*10000)+(39690))/1000000</f>
        <v>0.42719000000000001</v>
      </c>
      <c r="S2033" s="6" t="s">
        <v>115</v>
      </c>
      <c r="T2033" s="257">
        <f t="shared" si="69"/>
        <v>129</v>
      </c>
      <c r="U2033" s="257">
        <f t="shared" si="70"/>
        <v>25</v>
      </c>
      <c r="V2033">
        <v>1</v>
      </c>
      <c r="W2033">
        <v>1</v>
      </c>
    </row>
    <row r="2034" spans="1:23" ht="91.2" x14ac:dyDescent="0.3">
      <c r="A2034" s="211">
        <v>41102</v>
      </c>
      <c r="B2034" s="211">
        <v>41102</v>
      </c>
      <c r="C2034" s="6">
        <v>7</v>
      </c>
      <c r="D2034" s="6">
        <v>1</v>
      </c>
      <c r="E2034" s="19">
        <v>2012</v>
      </c>
      <c r="F2034" s="15" t="s">
        <v>22</v>
      </c>
      <c r="G2034" s="82" t="s">
        <v>6256</v>
      </c>
      <c r="H2034" s="9" t="s">
        <v>61</v>
      </c>
      <c r="I2034" s="20" t="s">
        <v>3521</v>
      </c>
      <c r="J2034" s="21" t="s">
        <v>3522</v>
      </c>
      <c r="K2034" s="43">
        <v>1</v>
      </c>
      <c r="L2034" s="234">
        <v>3</v>
      </c>
      <c r="M2034" s="23">
        <v>0</v>
      </c>
      <c r="N2034" s="23">
        <v>0</v>
      </c>
      <c r="O2034" s="23">
        <v>0</v>
      </c>
      <c r="P2034" s="23">
        <v>0</v>
      </c>
      <c r="Q2034" s="23">
        <v>0</v>
      </c>
      <c r="R2034" s="24">
        <v>0</v>
      </c>
      <c r="S2034" s="6" t="s">
        <v>115</v>
      </c>
      <c r="T2034" s="257">
        <f t="shared" si="69"/>
        <v>4</v>
      </c>
      <c r="U2034" s="257">
        <f t="shared" si="70"/>
        <v>0</v>
      </c>
      <c r="V2034">
        <v>1</v>
      </c>
      <c r="W2034">
        <v>0</v>
      </c>
    </row>
    <row r="2035" spans="1:23" ht="45.6" x14ac:dyDescent="0.3">
      <c r="A2035" s="211">
        <v>41103</v>
      </c>
      <c r="B2035" s="211">
        <v>41103</v>
      </c>
      <c r="C2035" s="6">
        <v>7</v>
      </c>
      <c r="D2035" s="6">
        <v>1</v>
      </c>
      <c r="E2035" s="19">
        <v>2012</v>
      </c>
      <c r="F2035" s="15" t="s">
        <v>22</v>
      </c>
      <c r="G2035" s="18" t="s">
        <v>6256</v>
      </c>
      <c r="H2035" s="9" t="s">
        <v>51</v>
      </c>
      <c r="I2035" s="20" t="s">
        <v>488</v>
      </c>
      <c r="J2035" s="21" t="s">
        <v>3523</v>
      </c>
      <c r="K2035" s="43">
        <v>0</v>
      </c>
      <c r="L2035" s="234">
        <v>175</v>
      </c>
      <c r="M2035" s="23">
        <v>35</v>
      </c>
      <c r="N2035" s="23">
        <v>0</v>
      </c>
      <c r="O2035" s="23">
        <v>0</v>
      </c>
      <c r="P2035" s="23">
        <v>40</v>
      </c>
      <c r="Q2035" s="23">
        <v>0</v>
      </c>
      <c r="R2035" s="24">
        <v>0</v>
      </c>
      <c r="S2035" s="6" t="s">
        <v>115</v>
      </c>
      <c r="T2035" s="257">
        <f t="shared" si="69"/>
        <v>175</v>
      </c>
      <c r="U2035" s="257">
        <f t="shared" si="70"/>
        <v>75</v>
      </c>
      <c r="V2035">
        <v>1</v>
      </c>
      <c r="W2035">
        <v>1</v>
      </c>
    </row>
    <row r="2036" spans="1:23" ht="57" x14ac:dyDescent="0.3">
      <c r="A2036" s="211">
        <v>41106</v>
      </c>
      <c r="B2036" s="211">
        <v>41106</v>
      </c>
      <c r="C2036" s="6">
        <v>7</v>
      </c>
      <c r="D2036" s="6">
        <v>1</v>
      </c>
      <c r="E2036" s="19">
        <v>2012</v>
      </c>
      <c r="F2036" s="15" t="s">
        <v>22</v>
      </c>
      <c r="G2036" s="18" t="s">
        <v>6256</v>
      </c>
      <c r="H2036" s="9" t="s">
        <v>46</v>
      </c>
      <c r="I2036" s="20" t="s">
        <v>2602</v>
      </c>
      <c r="J2036" s="21" t="s">
        <v>3524</v>
      </c>
      <c r="K2036" s="43">
        <v>0</v>
      </c>
      <c r="L2036" s="234">
        <v>11</v>
      </c>
      <c r="M2036" s="23">
        <v>3</v>
      </c>
      <c r="N2036" s="23">
        <v>0</v>
      </c>
      <c r="O2036" s="23">
        <v>0</v>
      </c>
      <c r="P2036" s="23">
        <v>0</v>
      </c>
      <c r="Q2036" s="23">
        <v>0</v>
      </c>
      <c r="R2036" s="24">
        <f>(M2036*5500)/1000000</f>
        <v>1.6500000000000001E-2</v>
      </c>
      <c r="S2036" s="6" t="s">
        <v>115</v>
      </c>
      <c r="T2036" s="257">
        <f t="shared" si="69"/>
        <v>11</v>
      </c>
      <c r="U2036" s="257">
        <f t="shared" si="70"/>
        <v>3</v>
      </c>
      <c r="V2036">
        <v>1</v>
      </c>
      <c r="W2036">
        <v>1</v>
      </c>
    </row>
    <row r="2037" spans="1:23" ht="91.2" x14ac:dyDescent="0.3">
      <c r="A2037" s="211">
        <v>41108</v>
      </c>
      <c r="B2037" s="211">
        <v>41108</v>
      </c>
      <c r="C2037" s="6">
        <v>7</v>
      </c>
      <c r="D2037" s="6">
        <v>1</v>
      </c>
      <c r="E2037" s="19">
        <v>2012</v>
      </c>
      <c r="F2037" s="15" t="s">
        <v>22</v>
      </c>
      <c r="G2037" s="18" t="s">
        <v>6256</v>
      </c>
      <c r="H2037" s="9" t="s">
        <v>66</v>
      </c>
      <c r="I2037" s="20" t="s">
        <v>660</v>
      </c>
      <c r="J2037" s="21" t="s">
        <v>3525</v>
      </c>
      <c r="K2037" s="43">
        <v>0</v>
      </c>
      <c r="L2037" s="234">
        <v>15</v>
      </c>
      <c r="M2037" s="23">
        <v>3</v>
      </c>
      <c r="N2037" s="23">
        <v>0</v>
      </c>
      <c r="O2037" s="23">
        <v>0</v>
      </c>
      <c r="P2037" s="23">
        <v>0</v>
      </c>
      <c r="Q2037" s="23">
        <v>0</v>
      </c>
      <c r="R2037" s="24">
        <f>(M2037*5500)/1000000</f>
        <v>1.6500000000000001E-2</v>
      </c>
      <c r="S2037" s="6" t="s">
        <v>115</v>
      </c>
      <c r="T2037" s="257">
        <f t="shared" si="69"/>
        <v>15</v>
      </c>
      <c r="U2037" s="257">
        <f t="shared" si="70"/>
        <v>3</v>
      </c>
      <c r="V2037">
        <v>1</v>
      </c>
      <c r="W2037">
        <v>1</v>
      </c>
    </row>
    <row r="2038" spans="1:23" ht="79.8" x14ac:dyDescent="0.3">
      <c r="A2038" s="211">
        <v>41108</v>
      </c>
      <c r="B2038" s="211">
        <v>41108</v>
      </c>
      <c r="C2038" s="6">
        <v>7</v>
      </c>
      <c r="D2038" s="6">
        <v>1</v>
      </c>
      <c r="E2038" s="19">
        <v>2012</v>
      </c>
      <c r="F2038" s="15" t="s">
        <v>22</v>
      </c>
      <c r="G2038" s="18" t="s">
        <v>6256</v>
      </c>
      <c r="H2038" s="9" t="s">
        <v>66</v>
      </c>
      <c r="I2038" s="20" t="s">
        <v>660</v>
      </c>
      <c r="J2038" s="21" t="s">
        <v>3526</v>
      </c>
      <c r="K2038" s="43">
        <v>0</v>
      </c>
      <c r="L2038" s="234">
        <v>150</v>
      </c>
      <c r="M2038" s="23">
        <v>5</v>
      </c>
      <c r="N2038" s="23">
        <v>0</v>
      </c>
      <c r="O2038" s="23">
        <v>0</v>
      </c>
      <c r="P2038" s="23">
        <v>0</v>
      </c>
      <c r="Q2038" s="23">
        <v>0</v>
      </c>
      <c r="R2038" s="24">
        <f>(M2038*5500)/1000000</f>
        <v>2.75E-2</v>
      </c>
      <c r="S2038" s="6" t="s">
        <v>115</v>
      </c>
      <c r="T2038" s="257">
        <f t="shared" si="69"/>
        <v>150</v>
      </c>
      <c r="U2038" s="257">
        <f t="shared" si="70"/>
        <v>5</v>
      </c>
      <c r="V2038">
        <v>1</v>
      </c>
      <c r="W2038">
        <v>1</v>
      </c>
    </row>
    <row r="2039" spans="1:23" ht="136.80000000000001" x14ac:dyDescent="0.3">
      <c r="A2039" s="211">
        <v>41107</v>
      </c>
      <c r="B2039" s="211">
        <v>41108</v>
      </c>
      <c r="C2039" s="6">
        <v>7</v>
      </c>
      <c r="D2039" s="6">
        <v>2</v>
      </c>
      <c r="E2039" s="19">
        <v>2012</v>
      </c>
      <c r="F2039" s="15" t="s">
        <v>22</v>
      </c>
      <c r="G2039" s="18" t="s">
        <v>6256</v>
      </c>
      <c r="H2039" s="9" t="s">
        <v>46</v>
      </c>
      <c r="I2039" s="20" t="s">
        <v>3527</v>
      </c>
      <c r="J2039" s="21" t="s">
        <v>3528</v>
      </c>
      <c r="K2039" s="22">
        <v>0</v>
      </c>
      <c r="L2039" s="234">
        <v>110</v>
      </c>
      <c r="M2039" s="23">
        <v>22</v>
      </c>
      <c r="N2039" s="23">
        <v>1</v>
      </c>
      <c r="O2039" s="23">
        <v>1</v>
      </c>
      <c r="P2039" s="23">
        <v>1</v>
      </c>
      <c r="Q2039" s="23">
        <v>0</v>
      </c>
      <c r="R2039" s="24">
        <f>(M2039*5500)/1000000</f>
        <v>0.121</v>
      </c>
      <c r="S2039" s="6" t="s">
        <v>115</v>
      </c>
      <c r="T2039" s="257">
        <f t="shared" si="69"/>
        <v>110</v>
      </c>
      <c r="U2039" s="257">
        <f t="shared" si="70"/>
        <v>25</v>
      </c>
      <c r="V2039">
        <v>1</v>
      </c>
      <c r="W2039">
        <v>1</v>
      </c>
    </row>
    <row r="2040" spans="1:23" ht="91.2" x14ac:dyDescent="0.3">
      <c r="A2040" s="129">
        <v>41108</v>
      </c>
      <c r="B2040" s="211">
        <v>41108</v>
      </c>
      <c r="C2040" s="6">
        <v>7</v>
      </c>
      <c r="D2040" s="6">
        <v>1</v>
      </c>
      <c r="E2040" s="19">
        <v>2012</v>
      </c>
      <c r="F2040" s="15" t="s">
        <v>22</v>
      </c>
      <c r="G2040" s="18" t="s">
        <v>6256</v>
      </c>
      <c r="H2040" s="9" t="s">
        <v>34</v>
      </c>
      <c r="I2040" s="53" t="s">
        <v>3529</v>
      </c>
      <c r="J2040" s="21" t="s">
        <v>3530</v>
      </c>
      <c r="K2040" s="43">
        <v>0</v>
      </c>
      <c r="L2040" s="234">
        <v>60</v>
      </c>
      <c r="M2040" s="23">
        <v>12</v>
      </c>
      <c r="N2040" s="23">
        <v>0</v>
      </c>
      <c r="O2040" s="23">
        <v>0</v>
      </c>
      <c r="P2040" s="23">
        <v>0</v>
      </c>
      <c r="Q2040" s="23">
        <v>0</v>
      </c>
      <c r="R2040" s="24">
        <f>((12*5500)+(12*10000))/1000000</f>
        <v>0.186</v>
      </c>
      <c r="S2040" s="6" t="s">
        <v>115</v>
      </c>
      <c r="T2040" s="257">
        <f t="shared" si="69"/>
        <v>60</v>
      </c>
      <c r="U2040" s="257">
        <f t="shared" si="70"/>
        <v>12</v>
      </c>
      <c r="V2040">
        <v>1</v>
      </c>
      <c r="W2040">
        <v>1</v>
      </c>
    </row>
    <row r="2041" spans="1:23" ht="22.8" x14ac:dyDescent="0.3">
      <c r="A2041" s="212">
        <v>39251</v>
      </c>
      <c r="B2041" s="212">
        <v>39251</v>
      </c>
      <c r="C2041" s="6">
        <v>6</v>
      </c>
      <c r="D2041" s="6">
        <v>1</v>
      </c>
      <c r="E2041" s="6">
        <v>2007</v>
      </c>
      <c r="F2041" s="15" t="s">
        <v>22</v>
      </c>
      <c r="G2041" s="18" t="s">
        <v>6256</v>
      </c>
      <c r="H2041" s="9" t="s">
        <v>48</v>
      </c>
      <c r="I2041" s="17" t="s">
        <v>3531</v>
      </c>
      <c r="J2041" s="122" t="s">
        <v>3532</v>
      </c>
      <c r="K2041" s="13">
        <v>0</v>
      </c>
      <c r="L2041" s="233">
        <v>75</v>
      </c>
      <c r="M2041" s="13">
        <v>15</v>
      </c>
      <c r="N2041" s="13">
        <v>0</v>
      </c>
      <c r="O2041" s="13">
        <v>0</v>
      </c>
      <c r="P2041" s="13">
        <v>0</v>
      </c>
      <c r="Q2041" s="60">
        <v>0</v>
      </c>
      <c r="R2041" s="61">
        <v>6.9000000000000006E-2</v>
      </c>
      <c r="S2041" s="7" t="s">
        <v>115</v>
      </c>
      <c r="T2041" s="257">
        <f t="shared" si="69"/>
        <v>75</v>
      </c>
      <c r="U2041" s="257">
        <f t="shared" si="70"/>
        <v>15</v>
      </c>
      <c r="V2041">
        <v>1</v>
      </c>
      <c r="W2041">
        <v>1</v>
      </c>
    </row>
    <row r="2042" spans="1:23" ht="34.200000000000003" x14ac:dyDescent="0.3">
      <c r="A2042" s="220">
        <v>38550</v>
      </c>
      <c r="B2042" s="220">
        <v>38550</v>
      </c>
      <c r="C2042" s="6">
        <v>7</v>
      </c>
      <c r="D2042" s="6">
        <v>1</v>
      </c>
      <c r="E2042" s="76">
        <v>2005</v>
      </c>
      <c r="F2042" s="15" t="s">
        <v>22</v>
      </c>
      <c r="G2042" s="18" t="s">
        <v>6256</v>
      </c>
      <c r="H2042" s="9" t="s">
        <v>48</v>
      </c>
      <c r="I2042" s="77" t="s">
        <v>3533</v>
      </c>
      <c r="J2042" s="78" t="s">
        <v>3534</v>
      </c>
      <c r="K2042" s="79">
        <v>1</v>
      </c>
      <c r="L2042" s="242">
        <v>75</v>
      </c>
      <c r="M2042" s="79">
        <v>15</v>
      </c>
      <c r="N2042" s="79">
        <v>0</v>
      </c>
      <c r="O2042" s="37">
        <v>0</v>
      </c>
      <c r="P2042" s="37">
        <v>0</v>
      </c>
      <c r="Q2042" s="79">
        <v>0</v>
      </c>
      <c r="R2042" s="80">
        <v>6.0999999999999999E-2</v>
      </c>
      <c r="S2042" s="7" t="s">
        <v>115</v>
      </c>
      <c r="T2042" s="257">
        <f t="shared" si="69"/>
        <v>76</v>
      </c>
      <c r="U2042" s="257">
        <f t="shared" si="70"/>
        <v>15</v>
      </c>
      <c r="V2042">
        <v>1</v>
      </c>
      <c r="W2042">
        <v>1</v>
      </c>
    </row>
    <row r="2043" spans="1:23" ht="57" x14ac:dyDescent="0.3">
      <c r="A2043" s="129">
        <v>41109</v>
      </c>
      <c r="B2043" s="129">
        <v>41109</v>
      </c>
      <c r="C2043" s="6">
        <v>7</v>
      </c>
      <c r="D2043" s="6">
        <v>1</v>
      </c>
      <c r="E2043" s="19">
        <v>2012</v>
      </c>
      <c r="F2043" s="15" t="s">
        <v>22</v>
      </c>
      <c r="G2043" s="18" t="s">
        <v>6256</v>
      </c>
      <c r="H2043" s="9" t="s">
        <v>39</v>
      </c>
      <c r="I2043" s="53" t="s">
        <v>39</v>
      </c>
      <c r="J2043" s="21" t="s">
        <v>3535</v>
      </c>
      <c r="K2043" s="43">
        <v>1</v>
      </c>
      <c r="L2043" s="234">
        <v>1</v>
      </c>
      <c r="M2043" s="23">
        <v>0</v>
      </c>
      <c r="N2043" s="23">
        <v>0</v>
      </c>
      <c r="O2043" s="23">
        <v>0</v>
      </c>
      <c r="P2043" s="23">
        <v>0</v>
      </c>
      <c r="Q2043" s="23">
        <v>0</v>
      </c>
      <c r="R2043" s="24">
        <v>0</v>
      </c>
      <c r="S2043" s="6" t="s">
        <v>115</v>
      </c>
      <c r="T2043" s="257">
        <f t="shared" si="69"/>
        <v>2</v>
      </c>
      <c r="U2043" s="257">
        <f t="shared" si="70"/>
        <v>0</v>
      </c>
      <c r="V2043">
        <v>1</v>
      </c>
      <c r="W2043">
        <v>0</v>
      </c>
    </row>
    <row r="2044" spans="1:23" ht="79.8" x14ac:dyDescent="0.3">
      <c r="A2044" s="211">
        <v>41110</v>
      </c>
      <c r="B2044" s="211">
        <v>41110</v>
      </c>
      <c r="C2044" s="6">
        <v>7</v>
      </c>
      <c r="D2044" s="6">
        <v>1</v>
      </c>
      <c r="E2044" s="19">
        <v>2012</v>
      </c>
      <c r="F2044" s="7" t="s">
        <v>17</v>
      </c>
      <c r="G2044" s="8" t="s">
        <v>6261</v>
      </c>
      <c r="H2044" s="9" t="s">
        <v>41</v>
      </c>
      <c r="I2044" s="20" t="s">
        <v>686</v>
      </c>
      <c r="J2044" s="21" t="s">
        <v>3536</v>
      </c>
      <c r="K2044" s="43">
        <v>1</v>
      </c>
      <c r="L2044" s="234">
        <v>231</v>
      </c>
      <c r="M2044" s="23">
        <v>0</v>
      </c>
      <c r="N2044" s="23">
        <v>0</v>
      </c>
      <c r="O2044" s="23">
        <v>0</v>
      </c>
      <c r="P2044" s="23">
        <v>0</v>
      </c>
      <c r="Q2044" s="23">
        <v>0</v>
      </c>
      <c r="R2044" s="24">
        <f>(288750)/1000000</f>
        <v>0.28875000000000001</v>
      </c>
      <c r="S2044" s="6" t="s">
        <v>115</v>
      </c>
      <c r="T2044" s="257">
        <f t="shared" si="69"/>
        <v>232</v>
      </c>
      <c r="U2044" s="257">
        <f t="shared" si="70"/>
        <v>0</v>
      </c>
      <c r="V2044">
        <v>1</v>
      </c>
      <c r="W2044">
        <v>0</v>
      </c>
    </row>
    <row r="2045" spans="1:23" ht="34.200000000000003" x14ac:dyDescent="0.3">
      <c r="A2045" s="211">
        <v>41109</v>
      </c>
      <c r="B2045" s="211">
        <v>41109</v>
      </c>
      <c r="C2045" s="6">
        <v>7</v>
      </c>
      <c r="D2045" s="6">
        <v>1</v>
      </c>
      <c r="E2045" s="19">
        <v>2012</v>
      </c>
      <c r="F2045" s="15" t="s">
        <v>22</v>
      </c>
      <c r="G2045" s="82" t="s">
        <v>6256</v>
      </c>
      <c r="H2045" s="9" t="s">
        <v>70</v>
      </c>
      <c r="I2045" s="20" t="s">
        <v>2242</v>
      </c>
      <c r="J2045" s="21" t="s">
        <v>3537</v>
      </c>
      <c r="K2045" s="43">
        <v>1</v>
      </c>
      <c r="L2045" s="234">
        <v>1</v>
      </c>
      <c r="M2045" s="23">
        <v>0</v>
      </c>
      <c r="N2045" s="23">
        <v>0</v>
      </c>
      <c r="O2045" s="23">
        <v>0</v>
      </c>
      <c r="P2045" s="23">
        <v>0</v>
      </c>
      <c r="Q2045" s="23">
        <v>0</v>
      </c>
      <c r="R2045" s="24">
        <v>0</v>
      </c>
      <c r="S2045" s="6" t="s">
        <v>115</v>
      </c>
      <c r="T2045" s="257">
        <f t="shared" si="69"/>
        <v>2</v>
      </c>
      <c r="U2045" s="257">
        <f t="shared" si="70"/>
        <v>0</v>
      </c>
      <c r="V2045">
        <v>1</v>
      </c>
      <c r="W2045">
        <v>0</v>
      </c>
    </row>
    <row r="2046" spans="1:23" ht="79.8" x14ac:dyDescent="0.3">
      <c r="A2046" s="211">
        <v>41074</v>
      </c>
      <c r="B2046" s="211">
        <v>41111</v>
      </c>
      <c r="C2046" s="6">
        <v>6</v>
      </c>
      <c r="D2046" s="6">
        <v>38</v>
      </c>
      <c r="E2046" s="19">
        <v>2012</v>
      </c>
      <c r="F2046" s="15" t="s">
        <v>22</v>
      </c>
      <c r="G2046" s="18" t="s">
        <v>6256</v>
      </c>
      <c r="H2046" s="9" t="s">
        <v>46</v>
      </c>
      <c r="I2046" s="20" t="s">
        <v>666</v>
      </c>
      <c r="J2046" s="21" t="s">
        <v>3538</v>
      </c>
      <c r="K2046" s="22">
        <v>0</v>
      </c>
      <c r="L2046" s="234">
        <v>52</v>
      </c>
      <c r="M2046" s="23">
        <v>9</v>
      </c>
      <c r="N2046" s="23">
        <v>0</v>
      </c>
      <c r="O2046" s="23">
        <v>0</v>
      </c>
      <c r="P2046" s="23">
        <v>0</v>
      </c>
      <c r="Q2046" s="23">
        <v>0</v>
      </c>
      <c r="R2046" s="24">
        <f>((9*5500)+(30*208)+(106*71)+(9*200))/1000000</f>
        <v>6.5065999999999999E-2</v>
      </c>
      <c r="S2046" s="6" t="s">
        <v>115</v>
      </c>
      <c r="T2046" s="257">
        <f t="shared" si="69"/>
        <v>52</v>
      </c>
      <c r="U2046" s="257">
        <f t="shared" si="70"/>
        <v>9</v>
      </c>
      <c r="V2046">
        <v>1</v>
      </c>
      <c r="W2046">
        <v>1</v>
      </c>
    </row>
    <row r="2047" spans="1:23" ht="57" x14ac:dyDescent="0.3">
      <c r="A2047" s="211">
        <v>41110</v>
      </c>
      <c r="B2047" s="211">
        <v>41110</v>
      </c>
      <c r="C2047" s="6">
        <v>7</v>
      </c>
      <c r="D2047" s="6">
        <v>1</v>
      </c>
      <c r="E2047" s="19">
        <v>2012</v>
      </c>
      <c r="F2047" s="15" t="s">
        <v>22</v>
      </c>
      <c r="G2047" s="18" t="s">
        <v>6256</v>
      </c>
      <c r="H2047" s="9" t="s">
        <v>74</v>
      </c>
      <c r="I2047" s="20" t="s">
        <v>3539</v>
      </c>
      <c r="J2047" s="21" t="s">
        <v>3540</v>
      </c>
      <c r="K2047" s="43">
        <v>0</v>
      </c>
      <c r="L2047" s="234">
        <v>5</v>
      </c>
      <c r="M2047" s="23">
        <v>1</v>
      </c>
      <c r="N2047" s="23">
        <v>0</v>
      </c>
      <c r="O2047" s="23">
        <v>0</v>
      </c>
      <c r="P2047" s="23">
        <v>0</v>
      </c>
      <c r="Q2047" s="23">
        <v>0</v>
      </c>
      <c r="R2047" s="24">
        <v>0.12</v>
      </c>
      <c r="S2047" s="6" t="s">
        <v>115</v>
      </c>
      <c r="T2047" s="257">
        <f t="shared" si="69"/>
        <v>5</v>
      </c>
      <c r="U2047" s="257">
        <f t="shared" si="70"/>
        <v>1</v>
      </c>
      <c r="V2047">
        <v>1</v>
      </c>
      <c r="W2047">
        <v>1</v>
      </c>
    </row>
    <row r="2048" spans="1:23" ht="68.400000000000006" x14ac:dyDescent="0.3">
      <c r="A2048" s="211">
        <v>41083</v>
      </c>
      <c r="B2048" s="211">
        <v>41083</v>
      </c>
      <c r="C2048" s="6">
        <v>6</v>
      </c>
      <c r="D2048" s="6">
        <v>1</v>
      </c>
      <c r="E2048" s="19">
        <v>2012</v>
      </c>
      <c r="F2048" s="15" t="s">
        <v>22</v>
      </c>
      <c r="G2048" s="18" t="s">
        <v>6256</v>
      </c>
      <c r="H2048" s="9" t="s">
        <v>84</v>
      </c>
      <c r="I2048" s="20" t="s">
        <v>3541</v>
      </c>
      <c r="J2048" s="21" t="s">
        <v>3542</v>
      </c>
      <c r="K2048" s="22">
        <v>0</v>
      </c>
      <c r="L2048" s="234">
        <v>1000</v>
      </c>
      <c r="M2048" s="23">
        <v>200</v>
      </c>
      <c r="N2048" s="23">
        <v>2</v>
      </c>
      <c r="O2048" s="23">
        <v>0</v>
      </c>
      <c r="P2048" s="23">
        <v>0</v>
      </c>
      <c r="Q2048" s="23">
        <v>0</v>
      </c>
      <c r="R2048" s="24">
        <f>(M2048*28000)/1000000</f>
        <v>5.6</v>
      </c>
      <c r="S2048" s="6" t="s">
        <v>115</v>
      </c>
      <c r="T2048" s="257">
        <f t="shared" si="69"/>
        <v>1000</v>
      </c>
      <c r="U2048" s="257">
        <f t="shared" si="70"/>
        <v>202</v>
      </c>
      <c r="V2048">
        <v>1</v>
      </c>
      <c r="W2048">
        <v>1</v>
      </c>
    </row>
    <row r="2049" spans="1:23" ht="102.6" x14ac:dyDescent="0.3">
      <c r="A2049" s="211">
        <v>41109</v>
      </c>
      <c r="B2049" s="211">
        <v>41109</v>
      </c>
      <c r="C2049" s="6">
        <v>7</v>
      </c>
      <c r="D2049" s="6">
        <v>1</v>
      </c>
      <c r="E2049" s="19">
        <v>2012</v>
      </c>
      <c r="F2049" s="15" t="s">
        <v>22</v>
      </c>
      <c r="G2049" s="18" t="s">
        <v>6256</v>
      </c>
      <c r="H2049" s="9" t="s">
        <v>48</v>
      </c>
      <c r="I2049" s="20" t="s">
        <v>3543</v>
      </c>
      <c r="J2049" s="21" t="s">
        <v>3544</v>
      </c>
      <c r="K2049" s="43">
        <v>0</v>
      </c>
      <c r="L2049" s="234">
        <v>30</v>
      </c>
      <c r="M2049" s="23">
        <v>6</v>
      </c>
      <c r="N2049" s="23">
        <v>0</v>
      </c>
      <c r="O2049" s="23">
        <v>0</v>
      </c>
      <c r="P2049" s="23">
        <v>0</v>
      </c>
      <c r="Q2049" s="23">
        <v>0</v>
      </c>
      <c r="R2049" s="24">
        <f>((M2049*5500+(20*208)+(6*71)+(2*251)+(4*200)+(40*200)+(20*71)+(20*157))/1000000)</f>
        <v>5.1448000000000001E-2</v>
      </c>
      <c r="S2049" s="6" t="s">
        <v>115</v>
      </c>
      <c r="T2049" s="257">
        <f t="shared" si="69"/>
        <v>30</v>
      </c>
      <c r="U2049" s="257">
        <f t="shared" si="70"/>
        <v>6</v>
      </c>
      <c r="V2049">
        <v>1</v>
      </c>
      <c r="W2049">
        <v>1</v>
      </c>
    </row>
    <row r="2050" spans="1:23" ht="159.6" x14ac:dyDescent="0.3">
      <c r="A2050" s="213">
        <v>42484</v>
      </c>
      <c r="B2050" s="213">
        <v>42484</v>
      </c>
      <c r="C2050" s="6">
        <v>4</v>
      </c>
      <c r="D2050" s="6">
        <v>1</v>
      </c>
      <c r="E2050" s="27">
        <v>2016</v>
      </c>
      <c r="F2050" s="15" t="s">
        <v>22</v>
      </c>
      <c r="G2050" s="28" t="s">
        <v>6256</v>
      </c>
      <c r="H2050" s="9" t="s">
        <v>48</v>
      </c>
      <c r="I2050" s="29" t="s">
        <v>1377</v>
      </c>
      <c r="J2050" s="29" t="s">
        <v>3545</v>
      </c>
      <c r="K2050" s="27">
        <v>2</v>
      </c>
      <c r="L2050" s="235">
        <v>40</v>
      </c>
      <c r="M2050" s="27">
        <v>45</v>
      </c>
      <c r="N2050" s="27">
        <v>0</v>
      </c>
      <c r="O2050" s="27">
        <v>0</v>
      </c>
      <c r="P2050" s="27">
        <v>0</v>
      </c>
      <c r="Q2050" s="27">
        <v>0</v>
      </c>
      <c r="R2050" s="135">
        <f>(M2050*1050)/1000000</f>
        <v>4.725E-2</v>
      </c>
      <c r="S2050" s="27" t="s">
        <v>115</v>
      </c>
      <c r="T2050" s="257">
        <f t="shared" si="69"/>
        <v>42</v>
      </c>
      <c r="U2050" s="257">
        <f t="shared" si="70"/>
        <v>45</v>
      </c>
      <c r="V2050">
        <v>1</v>
      </c>
      <c r="W2050">
        <v>1</v>
      </c>
    </row>
    <row r="2051" spans="1:23" ht="125.4" x14ac:dyDescent="0.3">
      <c r="A2051" s="211">
        <v>41109</v>
      </c>
      <c r="B2051" s="211">
        <v>41109</v>
      </c>
      <c r="C2051" s="6">
        <v>7</v>
      </c>
      <c r="D2051" s="6">
        <v>1</v>
      </c>
      <c r="E2051" s="19">
        <v>2012</v>
      </c>
      <c r="F2051" s="15" t="s">
        <v>22</v>
      </c>
      <c r="G2051" s="18" t="s">
        <v>6256</v>
      </c>
      <c r="H2051" s="9" t="s">
        <v>41</v>
      </c>
      <c r="I2051" s="20" t="s">
        <v>3546</v>
      </c>
      <c r="J2051" s="21" t="s">
        <v>3547</v>
      </c>
      <c r="K2051" s="43">
        <v>0</v>
      </c>
      <c r="L2051" s="234">
        <v>150</v>
      </c>
      <c r="M2051" s="23">
        <v>30</v>
      </c>
      <c r="N2051" s="23">
        <v>0</v>
      </c>
      <c r="O2051" s="23">
        <v>0</v>
      </c>
      <c r="P2051" s="23">
        <v>0</v>
      </c>
      <c r="Q2051" s="23">
        <v>0</v>
      </c>
      <c r="R2051" s="24">
        <f>((M2051*5500)+(30*10000))/1000000</f>
        <v>0.46500000000000002</v>
      </c>
      <c r="S2051" s="6" t="s">
        <v>115</v>
      </c>
      <c r="T2051" s="257">
        <f t="shared" ref="T2051:T2114" si="71">SUM(K2051:L2051)</f>
        <v>150</v>
      </c>
      <c r="U2051" s="257">
        <f t="shared" ref="U2051:U2114" si="72">SUM(M2051:P2051)</f>
        <v>30</v>
      </c>
      <c r="V2051">
        <v>1</v>
      </c>
      <c r="W2051">
        <v>1</v>
      </c>
    </row>
    <row r="2052" spans="1:23" ht="45.6" x14ac:dyDescent="0.3">
      <c r="A2052" s="211">
        <v>41111</v>
      </c>
      <c r="B2052" s="211">
        <v>41111</v>
      </c>
      <c r="C2052" s="6">
        <v>7</v>
      </c>
      <c r="D2052" s="6">
        <v>1</v>
      </c>
      <c r="E2052" s="19">
        <v>2012</v>
      </c>
      <c r="F2052" s="15" t="s">
        <v>22</v>
      </c>
      <c r="G2052" s="18" t="s">
        <v>6256</v>
      </c>
      <c r="H2052" s="9" t="s">
        <v>118</v>
      </c>
      <c r="I2052" s="20" t="s">
        <v>1893</v>
      </c>
      <c r="J2052" s="21" t="s">
        <v>3548</v>
      </c>
      <c r="K2052" s="43">
        <v>0</v>
      </c>
      <c r="L2052" s="234">
        <v>135</v>
      </c>
      <c r="M2052" s="23">
        <v>27</v>
      </c>
      <c r="N2052" s="23">
        <v>0</v>
      </c>
      <c r="O2052" s="23">
        <v>0</v>
      </c>
      <c r="P2052" s="23">
        <v>0</v>
      </c>
      <c r="Q2052" s="23">
        <v>0</v>
      </c>
      <c r="R2052" s="24">
        <f>((M2052*5500)+(13*39690))/1000000</f>
        <v>0.66447000000000001</v>
      </c>
      <c r="S2052" s="6" t="s">
        <v>115</v>
      </c>
      <c r="T2052" s="257">
        <f t="shared" si="71"/>
        <v>135</v>
      </c>
      <c r="U2052" s="257">
        <f t="shared" si="72"/>
        <v>27</v>
      </c>
      <c r="V2052">
        <v>1</v>
      </c>
      <c r="W2052">
        <v>1</v>
      </c>
    </row>
    <row r="2053" spans="1:23" ht="34.200000000000003" x14ac:dyDescent="0.3">
      <c r="A2053" s="211">
        <v>41103</v>
      </c>
      <c r="B2053" s="211">
        <v>41103</v>
      </c>
      <c r="C2053" s="6">
        <v>7</v>
      </c>
      <c r="D2053" s="6">
        <v>1</v>
      </c>
      <c r="E2053" s="19">
        <v>2012</v>
      </c>
      <c r="F2053" s="7" t="s">
        <v>17</v>
      </c>
      <c r="G2053" s="28" t="s">
        <v>6261</v>
      </c>
      <c r="H2053" s="9" t="s">
        <v>64</v>
      </c>
      <c r="I2053" s="20" t="s">
        <v>3549</v>
      </c>
      <c r="J2053" s="21" t="s">
        <v>3550</v>
      </c>
      <c r="K2053" s="43">
        <v>1</v>
      </c>
      <c r="L2053" s="234">
        <v>1</v>
      </c>
      <c r="M2053" s="23">
        <v>0</v>
      </c>
      <c r="N2053" s="23">
        <v>0</v>
      </c>
      <c r="O2053" s="23">
        <v>0</v>
      </c>
      <c r="P2053" s="23">
        <v>0</v>
      </c>
      <c r="Q2053" s="23">
        <v>0</v>
      </c>
      <c r="R2053" s="24">
        <v>0</v>
      </c>
      <c r="S2053" s="6" t="s">
        <v>115</v>
      </c>
      <c r="T2053" s="257">
        <f t="shared" si="71"/>
        <v>2</v>
      </c>
      <c r="U2053" s="257">
        <f t="shared" si="72"/>
        <v>0</v>
      </c>
      <c r="V2053">
        <v>1</v>
      </c>
      <c r="W2053">
        <v>0</v>
      </c>
    </row>
    <row r="2054" spans="1:23" ht="114" x14ac:dyDescent="0.3">
      <c r="A2054" s="211">
        <v>41114</v>
      </c>
      <c r="B2054" s="211">
        <v>41114</v>
      </c>
      <c r="C2054" s="6">
        <v>7</v>
      </c>
      <c r="D2054" s="6">
        <v>1</v>
      </c>
      <c r="E2054" s="19">
        <v>2012</v>
      </c>
      <c r="F2054" s="15" t="s">
        <v>22</v>
      </c>
      <c r="G2054" s="18" t="s">
        <v>6256</v>
      </c>
      <c r="H2054" s="9" t="s">
        <v>46</v>
      </c>
      <c r="I2054" s="20" t="s">
        <v>680</v>
      </c>
      <c r="J2054" s="21" t="s">
        <v>3551</v>
      </c>
      <c r="K2054" s="43">
        <v>0</v>
      </c>
      <c r="L2054" s="234">
        <v>85</v>
      </c>
      <c r="M2054" s="23">
        <v>17</v>
      </c>
      <c r="N2054" s="23">
        <v>0</v>
      </c>
      <c r="O2054" s="23">
        <v>0</v>
      </c>
      <c r="P2054" s="23">
        <v>0</v>
      </c>
      <c r="Q2054" s="23">
        <v>0</v>
      </c>
      <c r="R2054" s="24">
        <f>(M2054*5500)/1000000</f>
        <v>9.35E-2</v>
      </c>
      <c r="S2054" s="6" t="s">
        <v>115</v>
      </c>
      <c r="T2054" s="257">
        <f t="shared" si="71"/>
        <v>85</v>
      </c>
      <c r="U2054" s="257">
        <f t="shared" si="72"/>
        <v>17</v>
      </c>
      <c r="V2054">
        <v>1</v>
      </c>
      <c r="W2054">
        <v>1</v>
      </c>
    </row>
    <row r="2055" spans="1:23" ht="57" x14ac:dyDescent="0.3">
      <c r="A2055" s="211">
        <v>41115</v>
      </c>
      <c r="B2055" s="211">
        <v>41115</v>
      </c>
      <c r="C2055" s="6">
        <v>7</v>
      </c>
      <c r="D2055" s="6">
        <v>1</v>
      </c>
      <c r="E2055" s="19">
        <v>2012</v>
      </c>
      <c r="F2055" s="15" t="s">
        <v>22</v>
      </c>
      <c r="G2055" s="82" t="s">
        <v>6256</v>
      </c>
      <c r="H2055" s="9" t="s">
        <v>46</v>
      </c>
      <c r="I2055" s="20" t="s">
        <v>1365</v>
      </c>
      <c r="J2055" s="21" t="s">
        <v>3552</v>
      </c>
      <c r="K2055" s="43">
        <v>1</v>
      </c>
      <c r="L2055" s="234">
        <v>2</v>
      </c>
      <c r="M2055" s="23">
        <v>0</v>
      </c>
      <c r="N2055" s="23">
        <v>0</v>
      </c>
      <c r="O2055" s="23">
        <v>0</v>
      </c>
      <c r="P2055" s="23">
        <v>0</v>
      </c>
      <c r="Q2055" s="23">
        <v>0</v>
      </c>
      <c r="R2055" s="24">
        <v>0</v>
      </c>
      <c r="S2055" s="6" t="s">
        <v>115</v>
      </c>
      <c r="T2055" s="257">
        <f t="shared" si="71"/>
        <v>3</v>
      </c>
      <c r="U2055" s="257">
        <f t="shared" si="72"/>
        <v>0</v>
      </c>
      <c r="V2055">
        <v>1</v>
      </c>
      <c r="W2055">
        <v>0</v>
      </c>
    </row>
    <row r="2056" spans="1:23" ht="205.2" x14ac:dyDescent="0.3">
      <c r="A2056" s="211">
        <v>41116</v>
      </c>
      <c r="B2056" s="211">
        <v>41116</v>
      </c>
      <c r="C2056" s="6">
        <v>7</v>
      </c>
      <c r="D2056" s="6">
        <v>1</v>
      </c>
      <c r="E2056" s="19">
        <v>2012</v>
      </c>
      <c r="F2056" s="15" t="s">
        <v>22</v>
      </c>
      <c r="G2056" s="18" t="s">
        <v>6256</v>
      </c>
      <c r="H2056" s="9" t="s">
        <v>51</v>
      </c>
      <c r="I2056" s="20" t="s">
        <v>3553</v>
      </c>
      <c r="J2056" s="21" t="s">
        <v>3554</v>
      </c>
      <c r="K2056" s="43">
        <v>0</v>
      </c>
      <c r="L2056" s="234">
        <v>295</v>
      </c>
      <c r="M2056" s="23">
        <v>59</v>
      </c>
      <c r="N2056" s="23">
        <v>0</v>
      </c>
      <c r="O2056" s="23">
        <v>0</v>
      </c>
      <c r="P2056" s="23">
        <v>40</v>
      </c>
      <c r="Q2056" s="23">
        <v>0</v>
      </c>
      <c r="R2056" s="24">
        <f>((M2056*5500)+(40*10000))/1000000</f>
        <v>0.72450000000000003</v>
      </c>
      <c r="S2056" s="6" t="s">
        <v>115</v>
      </c>
      <c r="T2056" s="257">
        <f t="shared" si="71"/>
        <v>295</v>
      </c>
      <c r="U2056" s="257">
        <f t="shared" si="72"/>
        <v>99</v>
      </c>
      <c r="V2056">
        <v>1</v>
      </c>
      <c r="W2056">
        <v>1</v>
      </c>
    </row>
    <row r="2057" spans="1:23" ht="68.400000000000006" x14ac:dyDescent="0.3">
      <c r="A2057" s="211">
        <v>41116</v>
      </c>
      <c r="B2057" s="211">
        <v>41116</v>
      </c>
      <c r="C2057" s="6">
        <v>7</v>
      </c>
      <c r="D2057" s="6">
        <v>1</v>
      </c>
      <c r="E2057" s="19">
        <v>2012</v>
      </c>
      <c r="F2057" s="15" t="s">
        <v>22</v>
      </c>
      <c r="G2057" s="18" t="s">
        <v>6256</v>
      </c>
      <c r="H2057" s="9" t="s">
        <v>74</v>
      </c>
      <c r="I2057" s="20" t="s">
        <v>1282</v>
      </c>
      <c r="J2057" s="21" t="s">
        <v>3555</v>
      </c>
      <c r="K2057" s="43">
        <v>2</v>
      </c>
      <c r="L2057" s="234">
        <v>73</v>
      </c>
      <c r="M2057" s="23">
        <v>14</v>
      </c>
      <c r="N2057" s="23">
        <v>0</v>
      </c>
      <c r="O2057" s="23">
        <v>0</v>
      </c>
      <c r="P2057" s="23">
        <v>0</v>
      </c>
      <c r="Q2057" s="23">
        <v>0</v>
      </c>
      <c r="R2057" s="24">
        <f>(14*5500)/1000000</f>
        <v>7.6999999999999999E-2</v>
      </c>
      <c r="S2057" s="6" t="s">
        <v>115</v>
      </c>
      <c r="T2057" s="257">
        <f t="shared" si="71"/>
        <v>75</v>
      </c>
      <c r="U2057" s="257">
        <f t="shared" si="72"/>
        <v>14</v>
      </c>
      <c r="V2057">
        <v>1</v>
      </c>
      <c r="W2057">
        <v>1</v>
      </c>
    </row>
    <row r="2058" spans="1:23" ht="57" x14ac:dyDescent="0.3">
      <c r="A2058" s="129">
        <v>41116</v>
      </c>
      <c r="B2058" s="129">
        <v>41116</v>
      </c>
      <c r="C2058" s="6">
        <v>7</v>
      </c>
      <c r="D2058" s="6">
        <v>1</v>
      </c>
      <c r="E2058" s="19">
        <v>2012</v>
      </c>
      <c r="F2058" s="15" t="s">
        <v>22</v>
      </c>
      <c r="G2058" s="18" t="s">
        <v>6256</v>
      </c>
      <c r="H2058" s="9" t="s">
        <v>24</v>
      </c>
      <c r="I2058" s="53" t="s">
        <v>3556</v>
      </c>
      <c r="J2058" s="21" t="s">
        <v>3557</v>
      </c>
      <c r="K2058" s="43">
        <v>1</v>
      </c>
      <c r="L2058" s="234">
        <v>1</v>
      </c>
      <c r="M2058" s="23">
        <v>0</v>
      </c>
      <c r="N2058" s="23">
        <v>0</v>
      </c>
      <c r="O2058" s="23">
        <v>0</v>
      </c>
      <c r="P2058" s="23">
        <v>0</v>
      </c>
      <c r="Q2058" s="23">
        <v>0</v>
      </c>
      <c r="R2058" s="24">
        <v>0</v>
      </c>
      <c r="S2058" s="6" t="s">
        <v>115</v>
      </c>
      <c r="T2058" s="257">
        <f t="shared" si="71"/>
        <v>2</v>
      </c>
      <c r="U2058" s="257">
        <f t="shared" si="72"/>
        <v>0</v>
      </c>
      <c r="V2058">
        <v>1</v>
      </c>
      <c r="W2058">
        <v>0</v>
      </c>
    </row>
    <row r="2059" spans="1:23" ht="45.6" x14ac:dyDescent="0.3">
      <c r="A2059" s="211">
        <v>41117</v>
      </c>
      <c r="B2059" s="211">
        <v>41117</v>
      </c>
      <c r="C2059" s="6">
        <v>7</v>
      </c>
      <c r="D2059" s="6">
        <v>1</v>
      </c>
      <c r="E2059" s="19">
        <v>2012</v>
      </c>
      <c r="F2059" s="15" t="s">
        <v>22</v>
      </c>
      <c r="G2059" s="18" t="s">
        <v>6256</v>
      </c>
      <c r="H2059" s="9" t="s">
        <v>43</v>
      </c>
      <c r="I2059" s="20" t="s">
        <v>1261</v>
      </c>
      <c r="J2059" s="21" t="s">
        <v>3558</v>
      </c>
      <c r="K2059" s="43">
        <v>0</v>
      </c>
      <c r="L2059" s="234">
        <v>110</v>
      </c>
      <c r="M2059" s="23">
        <v>22</v>
      </c>
      <c r="N2059" s="23">
        <v>0</v>
      </c>
      <c r="O2059" s="23">
        <v>0</v>
      </c>
      <c r="P2059" s="23">
        <v>0</v>
      </c>
      <c r="Q2059" s="23">
        <v>0</v>
      </c>
      <c r="R2059" s="24">
        <f>(22*5500)/1000000</f>
        <v>0.121</v>
      </c>
      <c r="S2059" s="6" t="s">
        <v>115</v>
      </c>
      <c r="T2059" s="257">
        <f t="shared" si="71"/>
        <v>110</v>
      </c>
      <c r="U2059" s="257">
        <f t="shared" si="72"/>
        <v>22</v>
      </c>
      <c r="V2059">
        <v>1</v>
      </c>
      <c r="W2059">
        <v>1</v>
      </c>
    </row>
    <row r="2060" spans="1:23" ht="148.19999999999999" x14ac:dyDescent="0.3">
      <c r="A2060" s="211">
        <v>41115</v>
      </c>
      <c r="B2060" s="211">
        <v>41118</v>
      </c>
      <c r="C2060" s="6">
        <v>7</v>
      </c>
      <c r="D2060" s="6">
        <v>4</v>
      </c>
      <c r="E2060" s="19">
        <v>2012</v>
      </c>
      <c r="F2060" s="15" t="s">
        <v>22</v>
      </c>
      <c r="G2060" s="18" t="s">
        <v>6256</v>
      </c>
      <c r="H2060" s="9" t="s">
        <v>46</v>
      </c>
      <c r="I2060" s="20" t="s">
        <v>3559</v>
      </c>
      <c r="J2060" s="21" t="s">
        <v>3560</v>
      </c>
      <c r="K2060" s="22">
        <v>0</v>
      </c>
      <c r="L2060" s="234">
        <v>595</v>
      </c>
      <c r="M2060" s="23">
        <v>119</v>
      </c>
      <c r="N2060" s="23">
        <v>0</v>
      </c>
      <c r="O2060" s="23">
        <v>0</v>
      </c>
      <c r="P2060" s="23">
        <v>0</v>
      </c>
      <c r="Q2060" s="23">
        <v>0</v>
      </c>
      <c r="R2060" s="24">
        <f>((8*120000)+(15*28000)+(96*5500))/1000000</f>
        <v>1.9079999999999999</v>
      </c>
      <c r="S2060" s="6" t="s">
        <v>115</v>
      </c>
      <c r="T2060" s="257">
        <f t="shared" si="71"/>
        <v>595</v>
      </c>
      <c r="U2060" s="257">
        <f t="shared" si="72"/>
        <v>119</v>
      </c>
      <c r="V2060">
        <v>1</v>
      </c>
      <c r="W2060">
        <v>1</v>
      </c>
    </row>
    <row r="2061" spans="1:23" ht="57" x14ac:dyDescent="0.3">
      <c r="A2061" s="129">
        <v>37796</v>
      </c>
      <c r="B2061" s="129">
        <v>37796</v>
      </c>
      <c r="C2061" s="6">
        <v>6</v>
      </c>
      <c r="D2061" s="6">
        <v>1</v>
      </c>
      <c r="E2061" s="19">
        <v>2003</v>
      </c>
      <c r="F2061" s="15" t="s">
        <v>22</v>
      </c>
      <c r="G2061" s="18" t="s">
        <v>6256</v>
      </c>
      <c r="H2061" s="9" t="s">
        <v>48</v>
      </c>
      <c r="I2061" s="17" t="s">
        <v>3561</v>
      </c>
      <c r="J2061" s="17" t="s">
        <v>3562</v>
      </c>
      <c r="K2061" s="23">
        <v>1</v>
      </c>
      <c r="L2061" s="234">
        <v>81</v>
      </c>
      <c r="M2061" s="23">
        <v>16</v>
      </c>
      <c r="N2061" s="23">
        <v>0</v>
      </c>
      <c r="O2061" s="37">
        <v>0</v>
      </c>
      <c r="P2061" s="37">
        <v>0</v>
      </c>
      <c r="Q2061" s="23">
        <v>0</v>
      </c>
      <c r="R2061" s="24">
        <v>4.6109999999999998E-2</v>
      </c>
      <c r="S2061" s="7" t="s">
        <v>115</v>
      </c>
      <c r="T2061" s="257">
        <f t="shared" si="71"/>
        <v>82</v>
      </c>
      <c r="U2061" s="257">
        <f t="shared" si="72"/>
        <v>16</v>
      </c>
      <c r="V2061">
        <v>1</v>
      </c>
      <c r="W2061">
        <v>1</v>
      </c>
    </row>
    <row r="2062" spans="1:23" ht="91.2" x14ac:dyDescent="0.3">
      <c r="A2062" s="211">
        <v>41124</v>
      </c>
      <c r="B2062" s="211">
        <v>41124</v>
      </c>
      <c r="C2062" s="6">
        <v>8</v>
      </c>
      <c r="D2062" s="6">
        <v>1</v>
      </c>
      <c r="E2062" s="19">
        <v>2012</v>
      </c>
      <c r="F2062" s="15" t="s">
        <v>22</v>
      </c>
      <c r="G2062" s="18" t="s">
        <v>6256</v>
      </c>
      <c r="H2062" s="9" t="s">
        <v>55</v>
      </c>
      <c r="I2062" s="20" t="s">
        <v>1283</v>
      </c>
      <c r="J2062" s="21" t="s">
        <v>3563</v>
      </c>
      <c r="K2062" s="43">
        <v>0</v>
      </c>
      <c r="L2062" s="234">
        <v>200</v>
      </c>
      <c r="M2062" s="23">
        <v>40</v>
      </c>
      <c r="N2062" s="23">
        <v>0</v>
      </c>
      <c r="O2062" s="23">
        <v>0</v>
      </c>
      <c r="P2062" s="23">
        <v>0</v>
      </c>
      <c r="Q2062" s="23">
        <v>0</v>
      </c>
      <c r="R2062" s="24">
        <f>(M2062*5500)/1000000</f>
        <v>0.22</v>
      </c>
      <c r="S2062" s="6" t="s">
        <v>115</v>
      </c>
      <c r="T2062" s="257">
        <f t="shared" si="71"/>
        <v>200</v>
      </c>
      <c r="U2062" s="257">
        <f t="shared" si="72"/>
        <v>40</v>
      </c>
      <c r="V2062">
        <v>1</v>
      </c>
      <c r="W2062">
        <v>1</v>
      </c>
    </row>
    <row r="2063" spans="1:23" ht="148.19999999999999" x14ac:dyDescent="0.3">
      <c r="A2063" s="212">
        <v>40767</v>
      </c>
      <c r="B2063" s="212">
        <v>40767</v>
      </c>
      <c r="C2063" s="6">
        <v>8</v>
      </c>
      <c r="D2063" s="6">
        <v>1</v>
      </c>
      <c r="E2063" s="6">
        <v>2011</v>
      </c>
      <c r="F2063" s="15" t="s">
        <v>22</v>
      </c>
      <c r="G2063" s="18" t="s">
        <v>6256</v>
      </c>
      <c r="H2063" s="9" t="s">
        <v>48</v>
      </c>
      <c r="I2063" s="53" t="s">
        <v>3564</v>
      </c>
      <c r="J2063" s="53" t="s">
        <v>3565</v>
      </c>
      <c r="K2063" s="13">
        <v>0</v>
      </c>
      <c r="L2063" s="233">
        <f>((145*5+1))*1</f>
        <v>726</v>
      </c>
      <c r="M2063" s="13">
        <v>145</v>
      </c>
      <c r="N2063" s="13">
        <v>0</v>
      </c>
      <c r="O2063" s="13">
        <v>0</v>
      </c>
      <c r="P2063" s="35">
        <v>0</v>
      </c>
      <c r="Q2063" s="13">
        <v>0</v>
      </c>
      <c r="R2063" s="26">
        <v>4.53E-2</v>
      </c>
      <c r="S2063" s="19" t="s">
        <v>115</v>
      </c>
      <c r="T2063" s="257">
        <f t="shared" si="71"/>
        <v>726</v>
      </c>
      <c r="U2063" s="257">
        <f t="shared" si="72"/>
        <v>145</v>
      </c>
      <c r="V2063">
        <v>1</v>
      </c>
      <c r="W2063">
        <v>1</v>
      </c>
    </row>
    <row r="2064" spans="1:23" ht="57" x14ac:dyDescent="0.3">
      <c r="A2064" s="129">
        <v>39490</v>
      </c>
      <c r="B2064" s="129">
        <v>39490</v>
      </c>
      <c r="C2064" s="6">
        <v>2</v>
      </c>
      <c r="D2064" s="6">
        <v>1</v>
      </c>
      <c r="E2064" s="19">
        <v>2008</v>
      </c>
      <c r="F2064" s="7" t="s">
        <v>17</v>
      </c>
      <c r="G2064" s="16" t="s">
        <v>6260</v>
      </c>
      <c r="H2064" s="9" t="s">
        <v>48</v>
      </c>
      <c r="I2064" s="17" t="s">
        <v>1465</v>
      </c>
      <c r="J2064" s="17" t="s">
        <v>3566</v>
      </c>
      <c r="K2064" s="23">
        <v>0</v>
      </c>
      <c r="L2064" s="234">
        <v>5</v>
      </c>
      <c r="M2064" s="23">
        <v>1</v>
      </c>
      <c r="N2064" s="23">
        <v>0</v>
      </c>
      <c r="O2064" s="23">
        <v>0</v>
      </c>
      <c r="P2064" s="23">
        <v>0</v>
      </c>
      <c r="Q2064" s="92">
        <v>0</v>
      </c>
      <c r="R2064" s="93">
        <v>4.4458999999999999E-2</v>
      </c>
      <c r="S2064" s="19" t="s">
        <v>115</v>
      </c>
      <c r="T2064" s="257">
        <f t="shared" si="71"/>
        <v>5</v>
      </c>
      <c r="U2064" s="257">
        <f t="shared" si="72"/>
        <v>1</v>
      </c>
      <c r="V2064">
        <v>1</v>
      </c>
      <c r="W2064">
        <v>1</v>
      </c>
    </row>
    <row r="2065" spans="1:23" ht="102.6" x14ac:dyDescent="0.3">
      <c r="A2065" s="211">
        <v>41127</v>
      </c>
      <c r="B2065" s="211">
        <v>41127</v>
      </c>
      <c r="C2065" s="6">
        <v>8</v>
      </c>
      <c r="D2065" s="6">
        <v>1</v>
      </c>
      <c r="E2065" s="19">
        <v>2012</v>
      </c>
      <c r="F2065" s="15" t="s">
        <v>22</v>
      </c>
      <c r="G2065" s="18" t="s">
        <v>6256</v>
      </c>
      <c r="H2065" s="9" t="s">
        <v>174</v>
      </c>
      <c r="I2065" s="20" t="s">
        <v>2285</v>
      </c>
      <c r="J2065" s="21" t="s">
        <v>3567</v>
      </c>
      <c r="K2065" s="43">
        <v>2</v>
      </c>
      <c r="L2065" s="234">
        <v>3</v>
      </c>
      <c r="M2065" s="23">
        <v>0</v>
      </c>
      <c r="N2065" s="23">
        <v>0</v>
      </c>
      <c r="O2065" s="23">
        <v>0</v>
      </c>
      <c r="P2065" s="23">
        <v>0</v>
      </c>
      <c r="Q2065" s="23">
        <v>0</v>
      </c>
      <c r="R2065" s="24">
        <v>0</v>
      </c>
      <c r="S2065" s="6" t="s">
        <v>115</v>
      </c>
      <c r="T2065" s="257">
        <f t="shared" si="71"/>
        <v>5</v>
      </c>
      <c r="U2065" s="257">
        <f t="shared" si="72"/>
        <v>0</v>
      </c>
      <c r="V2065">
        <v>1</v>
      </c>
      <c r="W2065">
        <v>0</v>
      </c>
    </row>
    <row r="2066" spans="1:23" ht="102.6" x14ac:dyDescent="0.3">
      <c r="A2066" s="211">
        <v>41111</v>
      </c>
      <c r="B2066" s="211"/>
      <c r="C2066" s="6">
        <v>7</v>
      </c>
      <c r="D2066" s="6">
        <v>1</v>
      </c>
      <c r="E2066" s="19">
        <v>2012</v>
      </c>
      <c r="F2066" s="7" t="s">
        <v>17</v>
      </c>
      <c r="G2066" s="28" t="s">
        <v>6261</v>
      </c>
      <c r="H2066" s="9" t="s">
        <v>121</v>
      </c>
      <c r="I2066" s="20" t="s">
        <v>3568</v>
      </c>
      <c r="J2066" s="21" t="s">
        <v>3569</v>
      </c>
      <c r="K2066" s="22">
        <v>1</v>
      </c>
      <c r="L2066" s="234">
        <v>360</v>
      </c>
      <c r="M2066" s="23">
        <v>42</v>
      </c>
      <c r="N2066" s="23">
        <v>0</v>
      </c>
      <c r="O2066" s="23">
        <v>0</v>
      </c>
      <c r="P2066" s="23">
        <v>0</v>
      </c>
      <c r="Q2066" s="23">
        <v>0</v>
      </c>
      <c r="R2066" s="24">
        <f>(42*5500)/1000000</f>
        <v>0.23100000000000001</v>
      </c>
      <c r="S2066" s="6" t="s">
        <v>115</v>
      </c>
      <c r="T2066" s="257">
        <f t="shared" si="71"/>
        <v>361</v>
      </c>
      <c r="U2066" s="257">
        <f t="shared" si="72"/>
        <v>42</v>
      </c>
      <c r="V2066">
        <v>1</v>
      </c>
      <c r="W2066">
        <v>1</v>
      </c>
    </row>
    <row r="2067" spans="1:23" ht="102.6" x14ac:dyDescent="0.3">
      <c r="A2067" s="129">
        <v>41129</v>
      </c>
      <c r="B2067" s="211">
        <v>41130</v>
      </c>
      <c r="C2067" s="6">
        <v>8</v>
      </c>
      <c r="D2067" s="6">
        <v>2</v>
      </c>
      <c r="E2067" s="19">
        <v>2012</v>
      </c>
      <c r="F2067" s="15" t="s">
        <v>22</v>
      </c>
      <c r="G2067" s="16" t="s">
        <v>6254</v>
      </c>
      <c r="H2067" s="9" t="s">
        <v>61</v>
      </c>
      <c r="I2067" s="20" t="s">
        <v>3570</v>
      </c>
      <c r="J2067" s="21" t="s">
        <v>3571</v>
      </c>
      <c r="K2067" s="22">
        <v>3</v>
      </c>
      <c r="L2067" s="234">
        <v>138414</v>
      </c>
      <c r="M2067" s="23">
        <v>100</v>
      </c>
      <c r="N2067" s="23" t="s">
        <v>95</v>
      </c>
      <c r="O2067" s="23">
        <v>2</v>
      </c>
      <c r="P2067" s="23" t="s">
        <v>95</v>
      </c>
      <c r="Q2067" s="23"/>
      <c r="R2067" s="24">
        <v>1135.425</v>
      </c>
      <c r="S2067" s="25" t="s">
        <v>21</v>
      </c>
      <c r="T2067" s="257">
        <f t="shared" si="71"/>
        <v>138417</v>
      </c>
      <c r="U2067" s="257">
        <f t="shared" si="72"/>
        <v>102</v>
      </c>
      <c r="V2067">
        <v>3</v>
      </c>
      <c r="W2067">
        <v>1</v>
      </c>
    </row>
    <row r="2068" spans="1:23" ht="34.200000000000003" x14ac:dyDescent="0.3">
      <c r="A2068" s="211">
        <v>41135</v>
      </c>
      <c r="B2068" s="211">
        <v>41135</v>
      </c>
      <c r="C2068" s="6">
        <v>8</v>
      </c>
      <c r="D2068" s="6">
        <v>1</v>
      </c>
      <c r="E2068" s="19">
        <v>2012</v>
      </c>
      <c r="F2068" s="15" t="s">
        <v>22</v>
      </c>
      <c r="G2068" s="18" t="s">
        <v>6256</v>
      </c>
      <c r="H2068" s="9" t="s">
        <v>55</v>
      </c>
      <c r="I2068" s="20" t="s">
        <v>1283</v>
      </c>
      <c r="J2068" s="21" t="s">
        <v>3572</v>
      </c>
      <c r="K2068" s="43">
        <v>0</v>
      </c>
      <c r="L2068" s="234">
        <v>105</v>
      </c>
      <c r="M2068" s="23">
        <v>21</v>
      </c>
      <c r="N2068" s="23">
        <v>0</v>
      </c>
      <c r="O2068" s="23">
        <v>0</v>
      </c>
      <c r="P2068" s="23">
        <v>0</v>
      </c>
      <c r="Q2068" s="23">
        <v>0</v>
      </c>
      <c r="R2068" s="24">
        <f>(21*5500)/1000000</f>
        <v>0.11550000000000001</v>
      </c>
      <c r="S2068" s="6" t="s">
        <v>115</v>
      </c>
      <c r="T2068" s="257">
        <f t="shared" si="71"/>
        <v>105</v>
      </c>
      <c r="U2068" s="257">
        <f t="shared" si="72"/>
        <v>21</v>
      </c>
      <c r="V2068">
        <v>1</v>
      </c>
      <c r="W2068">
        <v>1</v>
      </c>
    </row>
    <row r="2069" spans="1:23" ht="79.8" x14ac:dyDescent="0.3">
      <c r="A2069" s="211">
        <v>41134</v>
      </c>
      <c r="B2069" s="211">
        <v>41134</v>
      </c>
      <c r="C2069" s="6">
        <v>8</v>
      </c>
      <c r="D2069" s="6">
        <v>1</v>
      </c>
      <c r="E2069" s="19">
        <v>2012</v>
      </c>
      <c r="F2069" s="15" t="s">
        <v>22</v>
      </c>
      <c r="G2069" s="18" t="s">
        <v>6256</v>
      </c>
      <c r="H2069" s="9" t="s">
        <v>43</v>
      </c>
      <c r="I2069" s="53" t="s">
        <v>3573</v>
      </c>
      <c r="J2069" s="21" t="s">
        <v>3574</v>
      </c>
      <c r="K2069" s="43">
        <v>0</v>
      </c>
      <c r="L2069" s="234">
        <v>1000</v>
      </c>
      <c r="M2069" s="23">
        <v>200</v>
      </c>
      <c r="N2069" s="23">
        <v>0</v>
      </c>
      <c r="O2069" s="23">
        <v>0</v>
      </c>
      <c r="P2069" s="23">
        <v>0</v>
      </c>
      <c r="Q2069" s="23">
        <v>0</v>
      </c>
      <c r="R2069" s="24">
        <f>(M2069*5500)/1000000</f>
        <v>1.1000000000000001</v>
      </c>
      <c r="S2069" s="6" t="s">
        <v>115</v>
      </c>
      <c r="T2069" s="257">
        <f t="shared" si="71"/>
        <v>1000</v>
      </c>
      <c r="U2069" s="257">
        <f t="shared" si="72"/>
        <v>200</v>
      </c>
      <c r="V2069">
        <v>1</v>
      </c>
      <c r="W2069">
        <v>1</v>
      </c>
    </row>
    <row r="2070" spans="1:23" ht="79.8" x14ac:dyDescent="0.3">
      <c r="A2070" s="212">
        <v>41109</v>
      </c>
      <c r="B2070" s="212">
        <v>41116</v>
      </c>
      <c r="C2070" s="6">
        <v>7</v>
      </c>
      <c r="D2070" s="6">
        <v>8</v>
      </c>
      <c r="E2070" s="19">
        <v>2012</v>
      </c>
      <c r="F2070" s="15" t="s">
        <v>22</v>
      </c>
      <c r="G2070" s="18" t="s">
        <v>6256</v>
      </c>
      <c r="H2070" s="9" t="s">
        <v>88</v>
      </c>
      <c r="I2070" s="20" t="s">
        <v>3575</v>
      </c>
      <c r="J2070" s="21" t="s">
        <v>3576</v>
      </c>
      <c r="K2070" s="43">
        <v>0</v>
      </c>
      <c r="L2070" s="234">
        <v>13510</v>
      </c>
      <c r="M2070" s="23">
        <v>2702</v>
      </c>
      <c r="N2070" s="23">
        <v>0</v>
      </c>
      <c r="O2070" s="23">
        <v>0</v>
      </c>
      <c r="P2070" s="23">
        <v>0</v>
      </c>
      <c r="Q2070" s="23">
        <v>0</v>
      </c>
      <c r="R2070" s="24">
        <f>(M2070*5500)/1000000</f>
        <v>14.861000000000001</v>
      </c>
      <c r="S2070" s="6" t="s">
        <v>115</v>
      </c>
      <c r="T2070" s="257">
        <f t="shared" si="71"/>
        <v>13510</v>
      </c>
      <c r="U2070" s="257">
        <f t="shared" si="72"/>
        <v>2702</v>
      </c>
      <c r="V2070">
        <v>2</v>
      </c>
      <c r="W2070">
        <v>2</v>
      </c>
    </row>
    <row r="2071" spans="1:23" ht="68.400000000000006" x14ac:dyDescent="0.3">
      <c r="A2071" s="211">
        <v>41135</v>
      </c>
      <c r="B2071" s="211">
        <v>41135</v>
      </c>
      <c r="C2071" s="6">
        <v>8</v>
      </c>
      <c r="D2071" s="6">
        <v>1</v>
      </c>
      <c r="E2071" s="19">
        <v>2012</v>
      </c>
      <c r="F2071" s="15" t="s">
        <v>22</v>
      </c>
      <c r="G2071" s="82" t="s">
        <v>6256</v>
      </c>
      <c r="H2071" s="9" t="s">
        <v>46</v>
      </c>
      <c r="I2071" s="20" t="s">
        <v>3577</v>
      </c>
      <c r="J2071" s="21" t="s">
        <v>3578</v>
      </c>
      <c r="K2071" s="43">
        <v>1</v>
      </c>
      <c r="L2071" s="234">
        <v>2</v>
      </c>
      <c r="M2071" s="23">
        <v>0</v>
      </c>
      <c r="N2071" s="23">
        <v>0</v>
      </c>
      <c r="O2071" s="23">
        <v>0</v>
      </c>
      <c r="P2071" s="23">
        <v>0</v>
      </c>
      <c r="Q2071" s="23">
        <v>0</v>
      </c>
      <c r="R2071" s="24">
        <v>0</v>
      </c>
      <c r="S2071" s="6" t="s">
        <v>115</v>
      </c>
      <c r="T2071" s="257">
        <f t="shared" si="71"/>
        <v>3</v>
      </c>
      <c r="U2071" s="257">
        <f t="shared" si="72"/>
        <v>0</v>
      </c>
      <c r="V2071">
        <v>1</v>
      </c>
      <c r="W2071">
        <v>0</v>
      </c>
    </row>
    <row r="2072" spans="1:23" ht="68.400000000000006" x14ac:dyDescent="0.3">
      <c r="A2072" s="211">
        <v>41134</v>
      </c>
      <c r="B2072" s="211">
        <v>41134</v>
      </c>
      <c r="C2072" s="6">
        <v>8</v>
      </c>
      <c r="D2072" s="6">
        <v>1</v>
      </c>
      <c r="E2072" s="19">
        <v>2012</v>
      </c>
      <c r="F2072" s="15" t="s">
        <v>22</v>
      </c>
      <c r="G2072" s="18" t="s">
        <v>6256</v>
      </c>
      <c r="H2072" s="9" t="s">
        <v>174</v>
      </c>
      <c r="I2072" s="20" t="s">
        <v>2240</v>
      </c>
      <c r="J2072" s="21" t="s">
        <v>3579</v>
      </c>
      <c r="K2072" s="43">
        <v>2</v>
      </c>
      <c r="L2072" s="234">
        <v>2</v>
      </c>
      <c r="M2072" s="23">
        <v>0</v>
      </c>
      <c r="N2072" s="23">
        <v>0</v>
      </c>
      <c r="O2072" s="23">
        <v>0</v>
      </c>
      <c r="P2072" s="23">
        <v>0</v>
      </c>
      <c r="Q2072" s="23">
        <v>0</v>
      </c>
      <c r="R2072" s="24">
        <v>0</v>
      </c>
      <c r="S2072" s="6" t="s">
        <v>115</v>
      </c>
      <c r="T2072" s="257">
        <f t="shared" si="71"/>
        <v>4</v>
      </c>
      <c r="U2072" s="257">
        <f t="shared" si="72"/>
        <v>0</v>
      </c>
      <c r="V2072">
        <v>1</v>
      </c>
      <c r="W2072">
        <v>0</v>
      </c>
    </row>
    <row r="2073" spans="1:23" ht="57" x14ac:dyDescent="0.3">
      <c r="A2073" s="129">
        <v>41128</v>
      </c>
      <c r="B2073" s="211">
        <v>41129</v>
      </c>
      <c r="C2073" s="6">
        <v>8</v>
      </c>
      <c r="D2073" s="6">
        <v>2</v>
      </c>
      <c r="E2073" s="19">
        <v>2012</v>
      </c>
      <c r="F2073" s="15" t="s">
        <v>22</v>
      </c>
      <c r="G2073" s="18" t="s">
        <v>6256</v>
      </c>
      <c r="H2073" s="9" t="s">
        <v>41</v>
      </c>
      <c r="I2073" s="20" t="s">
        <v>3580</v>
      </c>
      <c r="J2073" s="21" t="s">
        <v>3581</v>
      </c>
      <c r="K2073" s="43">
        <v>0</v>
      </c>
      <c r="L2073" s="234">
        <v>1500</v>
      </c>
      <c r="M2073" s="23">
        <v>300</v>
      </c>
      <c r="N2073" s="23">
        <v>0</v>
      </c>
      <c r="O2073" s="23">
        <v>0</v>
      </c>
      <c r="P2073" s="23">
        <v>0</v>
      </c>
      <c r="Q2073" s="23">
        <v>0</v>
      </c>
      <c r="R2073" s="24">
        <f>(M2073*5500)/1000000</f>
        <v>1.65</v>
      </c>
      <c r="S2073" s="6" t="s">
        <v>115</v>
      </c>
      <c r="T2073" s="257">
        <f t="shared" si="71"/>
        <v>1500</v>
      </c>
      <c r="U2073" s="257">
        <f t="shared" si="72"/>
        <v>300</v>
      </c>
      <c r="V2073">
        <v>1</v>
      </c>
      <c r="W2073">
        <v>1</v>
      </c>
    </row>
    <row r="2074" spans="1:23" ht="79.8" x14ac:dyDescent="0.3">
      <c r="A2074" s="211">
        <v>41136</v>
      </c>
      <c r="B2074" s="211">
        <v>41136</v>
      </c>
      <c r="C2074" s="6">
        <v>8</v>
      </c>
      <c r="D2074" s="6">
        <v>1</v>
      </c>
      <c r="E2074" s="19">
        <v>2012</v>
      </c>
      <c r="F2074" s="15" t="s">
        <v>22</v>
      </c>
      <c r="G2074" s="18" t="s">
        <v>6256</v>
      </c>
      <c r="H2074" s="9" t="s">
        <v>72</v>
      </c>
      <c r="I2074" s="20" t="s">
        <v>1372</v>
      </c>
      <c r="J2074" s="21" t="s">
        <v>3582</v>
      </c>
      <c r="K2074" s="43">
        <v>0</v>
      </c>
      <c r="L2074" s="234">
        <v>750</v>
      </c>
      <c r="M2074" s="23">
        <v>150</v>
      </c>
      <c r="N2074" s="23">
        <v>0</v>
      </c>
      <c r="O2074" s="23">
        <v>0</v>
      </c>
      <c r="P2074" s="23">
        <v>0</v>
      </c>
      <c r="Q2074" s="23">
        <v>0</v>
      </c>
      <c r="R2074" s="24">
        <f>(M2074*5500)/1000000</f>
        <v>0.82499999999999996</v>
      </c>
      <c r="S2074" s="6" t="s">
        <v>115</v>
      </c>
      <c r="T2074" s="257">
        <f t="shared" si="71"/>
        <v>750</v>
      </c>
      <c r="U2074" s="257">
        <f t="shared" si="72"/>
        <v>150</v>
      </c>
      <c r="V2074">
        <v>1</v>
      </c>
      <c r="W2074">
        <v>1</v>
      </c>
    </row>
    <row r="2075" spans="1:23" ht="68.400000000000006" x14ac:dyDescent="0.3">
      <c r="A2075" s="211">
        <v>41140</v>
      </c>
      <c r="B2075" s="211">
        <v>41140</v>
      </c>
      <c r="C2075" s="6">
        <v>8</v>
      </c>
      <c r="D2075" s="6">
        <v>1</v>
      </c>
      <c r="E2075" s="19">
        <v>2012</v>
      </c>
      <c r="F2075" s="15" t="s">
        <v>22</v>
      </c>
      <c r="G2075" s="18" t="s">
        <v>6256</v>
      </c>
      <c r="H2075" s="9" t="s">
        <v>72</v>
      </c>
      <c r="I2075" s="20" t="s">
        <v>3583</v>
      </c>
      <c r="J2075" s="21" t="s">
        <v>3584</v>
      </c>
      <c r="K2075" s="43">
        <v>0</v>
      </c>
      <c r="L2075" s="234">
        <v>1150</v>
      </c>
      <c r="M2075" s="23">
        <v>0</v>
      </c>
      <c r="N2075" s="23">
        <v>0</v>
      </c>
      <c r="O2075" s="23">
        <v>0</v>
      </c>
      <c r="P2075" s="23">
        <v>0</v>
      </c>
      <c r="Q2075" s="23">
        <v>0</v>
      </c>
      <c r="R2075" s="24">
        <v>0</v>
      </c>
      <c r="S2075" s="6" t="s">
        <v>115</v>
      </c>
      <c r="T2075" s="257">
        <f t="shared" si="71"/>
        <v>1150</v>
      </c>
      <c r="U2075" s="257">
        <f t="shared" si="72"/>
        <v>0</v>
      </c>
      <c r="V2075">
        <v>1</v>
      </c>
      <c r="W2075">
        <v>0</v>
      </c>
    </row>
    <row r="2076" spans="1:23" ht="91.2" x14ac:dyDescent="0.3">
      <c r="A2076" s="211">
        <v>41140</v>
      </c>
      <c r="B2076" s="211">
        <v>41140</v>
      </c>
      <c r="C2076" s="6">
        <v>8</v>
      </c>
      <c r="D2076" s="6">
        <v>1</v>
      </c>
      <c r="E2076" s="19">
        <v>2012</v>
      </c>
      <c r="F2076" s="15" t="s">
        <v>22</v>
      </c>
      <c r="G2076" s="18" t="s">
        <v>6256</v>
      </c>
      <c r="H2076" s="9" t="s">
        <v>74</v>
      </c>
      <c r="I2076" s="20" t="s">
        <v>3585</v>
      </c>
      <c r="J2076" s="21" t="s">
        <v>3586</v>
      </c>
      <c r="K2076" s="43">
        <v>0</v>
      </c>
      <c r="L2076" s="234">
        <v>23</v>
      </c>
      <c r="M2076" s="23">
        <v>2</v>
      </c>
      <c r="N2076" s="23">
        <v>0</v>
      </c>
      <c r="O2076" s="23">
        <v>0</v>
      </c>
      <c r="P2076" s="23">
        <v>0</v>
      </c>
      <c r="Q2076" s="23">
        <v>0</v>
      </c>
      <c r="R2076" s="24">
        <f>(M2076*5500)/1000000</f>
        <v>1.0999999999999999E-2</v>
      </c>
      <c r="S2076" s="6" t="s">
        <v>115</v>
      </c>
      <c r="T2076" s="257">
        <f t="shared" si="71"/>
        <v>23</v>
      </c>
      <c r="U2076" s="257">
        <f t="shared" si="72"/>
        <v>2</v>
      </c>
      <c r="V2076">
        <v>1</v>
      </c>
      <c r="W2076">
        <v>1</v>
      </c>
    </row>
    <row r="2077" spans="1:23" ht="34.200000000000003" x14ac:dyDescent="0.3">
      <c r="A2077" s="217">
        <v>41887</v>
      </c>
      <c r="B2077" s="217">
        <v>41887</v>
      </c>
      <c r="C2077" s="6">
        <v>9</v>
      </c>
      <c r="D2077" s="6">
        <v>1</v>
      </c>
      <c r="E2077" s="33">
        <v>2014</v>
      </c>
      <c r="F2077" s="15" t="s">
        <v>22</v>
      </c>
      <c r="G2077" s="18" t="s">
        <v>6256</v>
      </c>
      <c r="H2077" s="9" t="s">
        <v>48</v>
      </c>
      <c r="I2077" s="47" t="s">
        <v>2293</v>
      </c>
      <c r="J2077" s="48" t="s">
        <v>3587</v>
      </c>
      <c r="K2077" s="49">
        <v>0</v>
      </c>
      <c r="L2077" s="236">
        <v>40</v>
      </c>
      <c r="M2077" s="35">
        <v>8</v>
      </c>
      <c r="N2077" s="35">
        <v>0</v>
      </c>
      <c r="O2077" s="35">
        <v>0</v>
      </c>
      <c r="P2077" s="35">
        <v>0</v>
      </c>
      <c r="Q2077" s="35">
        <v>0</v>
      </c>
      <c r="R2077" s="36">
        <v>4.3999999999999997E-2</v>
      </c>
      <c r="S2077" s="50" t="s">
        <v>115</v>
      </c>
      <c r="T2077" s="257">
        <f t="shared" si="71"/>
        <v>40</v>
      </c>
      <c r="U2077" s="257">
        <f t="shared" si="72"/>
        <v>8</v>
      </c>
      <c r="V2077">
        <v>1</v>
      </c>
      <c r="W2077">
        <v>1</v>
      </c>
    </row>
    <row r="2078" spans="1:23" ht="114" x14ac:dyDescent="0.3">
      <c r="A2078" s="211">
        <v>41145</v>
      </c>
      <c r="B2078" s="211">
        <v>41145</v>
      </c>
      <c r="C2078" s="6">
        <v>8</v>
      </c>
      <c r="D2078" s="6">
        <v>1</v>
      </c>
      <c r="E2078" s="19">
        <v>2012</v>
      </c>
      <c r="F2078" s="15" t="s">
        <v>22</v>
      </c>
      <c r="G2078" s="18" t="s">
        <v>6256</v>
      </c>
      <c r="H2078" s="9" t="s">
        <v>55</v>
      </c>
      <c r="I2078" s="20" t="s">
        <v>3588</v>
      </c>
      <c r="J2078" s="21" t="s">
        <v>3589</v>
      </c>
      <c r="K2078" s="43">
        <v>0</v>
      </c>
      <c r="L2078" s="234">
        <v>260</v>
      </c>
      <c r="M2078" s="23">
        <v>52</v>
      </c>
      <c r="N2078" s="23">
        <v>0</v>
      </c>
      <c r="O2078" s="23">
        <v>0</v>
      </c>
      <c r="P2078" s="23">
        <v>0</v>
      </c>
      <c r="Q2078" s="23">
        <v>0</v>
      </c>
      <c r="R2078" s="24">
        <f>((M2078*5500)+(M2078*10000))/1000000</f>
        <v>0.80600000000000005</v>
      </c>
      <c r="S2078" s="6" t="s">
        <v>115</v>
      </c>
      <c r="T2078" s="257">
        <f t="shared" si="71"/>
        <v>260</v>
      </c>
      <c r="U2078" s="257">
        <f t="shared" si="72"/>
        <v>52</v>
      </c>
      <c r="V2078">
        <v>1</v>
      </c>
      <c r="W2078">
        <v>1</v>
      </c>
    </row>
    <row r="2079" spans="1:23" ht="57" x14ac:dyDescent="0.3">
      <c r="A2079" s="211">
        <v>41147</v>
      </c>
      <c r="B2079" s="211">
        <v>41147</v>
      </c>
      <c r="C2079" s="6">
        <v>8</v>
      </c>
      <c r="D2079" s="6">
        <v>1</v>
      </c>
      <c r="E2079" s="19">
        <v>2012</v>
      </c>
      <c r="F2079" s="15" t="s">
        <v>22</v>
      </c>
      <c r="G2079" s="18" t="s">
        <v>6256</v>
      </c>
      <c r="H2079" s="9" t="s">
        <v>52</v>
      </c>
      <c r="I2079" s="20" t="s">
        <v>307</v>
      </c>
      <c r="J2079" s="21" t="s">
        <v>3590</v>
      </c>
      <c r="K2079" s="43">
        <v>0</v>
      </c>
      <c r="L2079" s="234">
        <v>1000</v>
      </c>
      <c r="M2079" s="23">
        <v>200</v>
      </c>
      <c r="N2079" s="23">
        <v>0</v>
      </c>
      <c r="O2079" s="23">
        <v>0</v>
      </c>
      <c r="P2079" s="23">
        <v>0</v>
      </c>
      <c r="Q2079" s="23">
        <v>0</v>
      </c>
      <c r="R2079" s="24">
        <f>(M2079*5500)/1000000</f>
        <v>1.1000000000000001</v>
      </c>
      <c r="S2079" s="6" t="s">
        <v>115</v>
      </c>
      <c r="T2079" s="257">
        <f t="shared" si="71"/>
        <v>1000</v>
      </c>
      <c r="U2079" s="257">
        <f t="shared" si="72"/>
        <v>200</v>
      </c>
      <c r="V2079">
        <v>1</v>
      </c>
      <c r="W2079">
        <v>1</v>
      </c>
    </row>
    <row r="2080" spans="1:23" ht="79.8" x14ac:dyDescent="0.3">
      <c r="A2080" s="211">
        <v>41149</v>
      </c>
      <c r="B2080" s="211">
        <v>41149</v>
      </c>
      <c r="C2080" s="6">
        <v>8</v>
      </c>
      <c r="D2080" s="6">
        <v>1</v>
      </c>
      <c r="E2080" s="19">
        <v>2012</v>
      </c>
      <c r="F2080" s="15" t="s">
        <v>22</v>
      </c>
      <c r="G2080" s="18" t="s">
        <v>6256</v>
      </c>
      <c r="H2080" s="9" t="s">
        <v>28</v>
      </c>
      <c r="I2080" s="20" t="s">
        <v>3591</v>
      </c>
      <c r="J2080" s="21" t="s">
        <v>3592</v>
      </c>
      <c r="K2080" s="43">
        <v>2</v>
      </c>
      <c r="L2080" s="234">
        <v>3</v>
      </c>
      <c r="M2080" s="23">
        <v>0</v>
      </c>
      <c r="N2080" s="23">
        <v>0</v>
      </c>
      <c r="O2080" s="23">
        <v>0</v>
      </c>
      <c r="P2080" s="23">
        <v>0</v>
      </c>
      <c r="Q2080" s="23">
        <v>0</v>
      </c>
      <c r="R2080" s="24">
        <v>0</v>
      </c>
      <c r="S2080" s="6" t="s">
        <v>115</v>
      </c>
      <c r="T2080" s="257">
        <f t="shared" si="71"/>
        <v>5</v>
      </c>
      <c r="U2080" s="257">
        <f t="shared" si="72"/>
        <v>0</v>
      </c>
      <c r="V2080">
        <v>1</v>
      </c>
      <c r="W2080">
        <v>0</v>
      </c>
    </row>
    <row r="2081" spans="1:23" ht="57" x14ac:dyDescent="0.3">
      <c r="A2081" s="211">
        <v>41149</v>
      </c>
      <c r="B2081" s="211">
        <v>41149</v>
      </c>
      <c r="C2081" s="6">
        <v>8</v>
      </c>
      <c r="D2081" s="6">
        <v>1</v>
      </c>
      <c r="E2081" s="19">
        <v>2012</v>
      </c>
      <c r="F2081" s="15" t="s">
        <v>22</v>
      </c>
      <c r="G2081" s="18" t="s">
        <v>6256</v>
      </c>
      <c r="H2081" s="9" t="s">
        <v>52</v>
      </c>
      <c r="I2081" s="20" t="s">
        <v>3593</v>
      </c>
      <c r="J2081" s="21" t="s">
        <v>3594</v>
      </c>
      <c r="K2081" s="43">
        <v>1</v>
      </c>
      <c r="L2081" s="234">
        <v>50</v>
      </c>
      <c r="M2081" s="23">
        <v>10</v>
      </c>
      <c r="N2081" s="23">
        <v>0</v>
      </c>
      <c r="O2081" s="23">
        <v>0</v>
      </c>
      <c r="P2081" s="23">
        <v>0</v>
      </c>
      <c r="Q2081" s="23">
        <v>0</v>
      </c>
      <c r="R2081" s="24">
        <f>(M2081*5500)/1000000</f>
        <v>5.5E-2</v>
      </c>
      <c r="S2081" s="6" t="s">
        <v>115</v>
      </c>
      <c r="T2081" s="257">
        <f t="shared" si="71"/>
        <v>51</v>
      </c>
      <c r="U2081" s="257">
        <f t="shared" si="72"/>
        <v>10</v>
      </c>
      <c r="V2081">
        <v>1</v>
      </c>
      <c r="W2081">
        <v>1</v>
      </c>
    </row>
    <row r="2082" spans="1:23" ht="91.2" x14ac:dyDescent="0.3">
      <c r="A2082" s="211">
        <v>41152</v>
      </c>
      <c r="B2082" s="211">
        <v>41152</v>
      </c>
      <c r="C2082" s="6">
        <v>8</v>
      </c>
      <c r="D2082" s="6">
        <v>1</v>
      </c>
      <c r="E2082" s="19">
        <v>2012</v>
      </c>
      <c r="F2082" s="15" t="s">
        <v>22</v>
      </c>
      <c r="G2082" s="18" t="s">
        <v>6256</v>
      </c>
      <c r="H2082" s="9" t="s">
        <v>51</v>
      </c>
      <c r="I2082" s="20" t="s">
        <v>3595</v>
      </c>
      <c r="J2082" s="21" t="s">
        <v>3596</v>
      </c>
      <c r="K2082" s="43">
        <v>0</v>
      </c>
      <c r="L2082" s="234">
        <v>1080</v>
      </c>
      <c r="M2082" s="23">
        <v>216</v>
      </c>
      <c r="N2082" s="23">
        <v>0</v>
      </c>
      <c r="O2082" s="23">
        <v>0</v>
      </c>
      <c r="P2082" s="23">
        <v>0</v>
      </c>
      <c r="Q2082" s="23">
        <v>0</v>
      </c>
      <c r="R2082" s="24">
        <f>(M2082*5500)/1000000</f>
        <v>1.1879999999999999</v>
      </c>
      <c r="S2082" s="6" t="s">
        <v>115</v>
      </c>
      <c r="T2082" s="257">
        <f t="shared" si="71"/>
        <v>1080</v>
      </c>
      <c r="U2082" s="257">
        <f t="shared" si="72"/>
        <v>216</v>
      </c>
      <c r="V2082">
        <v>1</v>
      </c>
      <c r="W2082">
        <v>1</v>
      </c>
    </row>
    <row r="2083" spans="1:23" ht="79.8" x14ac:dyDescent="0.3">
      <c r="A2083" s="211">
        <v>41152</v>
      </c>
      <c r="B2083" s="211">
        <v>41152</v>
      </c>
      <c r="C2083" s="6">
        <v>8</v>
      </c>
      <c r="D2083" s="6">
        <v>1</v>
      </c>
      <c r="E2083" s="19">
        <v>2012</v>
      </c>
      <c r="F2083" s="15" t="s">
        <v>22</v>
      </c>
      <c r="G2083" s="18" t="s">
        <v>6256</v>
      </c>
      <c r="H2083" s="9" t="s">
        <v>55</v>
      </c>
      <c r="I2083" s="20" t="s">
        <v>1382</v>
      </c>
      <c r="J2083" s="21" t="s">
        <v>3597</v>
      </c>
      <c r="K2083" s="43">
        <v>0</v>
      </c>
      <c r="L2083" s="234">
        <v>100</v>
      </c>
      <c r="M2083" s="23">
        <v>20</v>
      </c>
      <c r="N2083" s="23">
        <v>3</v>
      </c>
      <c r="O2083" s="23">
        <v>0</v>
      </c>
      <c r="P2083" s="23">
        <v>0</v>
      </c>
      <c r="Q2083" s="23">
        <v>0</v>
      </c>
      <c r="R2083" s="24">
        <f>(M2083*5500)/1000000</f>
        <v>0.11</v>
      </c>
      <c r="S2083" s="6" t="s">
        <v>115</v>
      </c>
      <c r="T2083" s="257">
        <f t="shared" si="71"/>
        <v>100</v>
      </c>
      <c r="U2083" s="257">
        <f t="shared" si="72"/>
        <v>23</v>
      </c>
      <c r="V2083">
        <v>1</v>
      </c>
      <c r="W2083">
        <v>1</v>
      </c>
    </row>
    <row r="2084" spans="1:23" ht="34.200000000000003" x14ac:dyDescent="0.3">
      <c r="A2084" s="211">
        <v>41128</v>
      </c>
      <c r="B2084" s="211"/>
      <c r="C2084" s="6">
        <v>8</v>
      </c>
      <c r="D2084" s="6">
        <v>1</v>
      </c>
      <c r="E2084" s="19">
        <v>2012</v>
      </c>
      <c r="F2084" s="15" t="s">
        <v>22</v>
      </c>
      <c r="G2084" s="16" t="s">
        <v>6254</v>
      </c>
      <c r="H2084" s="9" t="s">
        <v>112</v>
      </c>
      <c r="I2084" s="20" t="s">
        <v>3598</v>
      </c>
      <c r="J2084" s="21" t="s">
        <v>3599</v>
      </c>
      <c r="K2084" s="22">
        <v>0</v>
      </c>
      <c r="L2084" s="234">
        <v>15044</v>
      </c>
      <c r="M2084" s="23">
        <v>1748</v>
      </c>
      <c r="N2084" s="23">
        <v>64</v>
      </c>
      <c r="O2084" s="23">
        <v>0</v>
      </c>
      <c r="P2084" s="23">
        <v>0</v>
      </c>
      <c r="Q2084" s="23">
        <v>0</v>
      </c>
      <c r="R2084" s="24">
        <v>326.24900000000002</v>
      </c>
      <c r="S2084" s="25" t="s">
        <v>21</v>
      </c>
      <c r="T2084" s="257">
        <f t="shared" si="71"/>
        <v>15044</v>
      </c>
      <c r="U2084" s="257">
        <f t="shared" si="72"/>
        <v>1812</v>
      </c>
      <c r="V2084">
        <v>2</v>
      </c>
      <c r="W2084">
        <v>2</v>
      </c>
    </row>
    <row r="2085" spans="1:23" ht="91.2" x14ac:dyDescent="0.3">
      <c r="A2085" s="211">
        <v>41161</v>
      </c>
      <c r="B2085" s="211">
        <v>41161</v>
      </c>
      <c r="C2085" s="6">
        <v>9</v>
      </c>
      <c r="D2085" s="6">
        <v>1</v>
      </c>
      <c r="E2085" s="19">
        <v>2012</v>
      </c>
      <c r="F2085" s="7" t="s">
        <v>17</v>
      </c>
      <c r="G2085" s="28" t="s">
        <v>6261</v>
      </c>
      <c r="H2085" s="9" t="s">
        <v>61</v>
      </c>
      <c r="I2085" s="20" t="s">
        <v>3600</v>
      </c>
      <c r="J2085" s="21" t="s">
        <v>3601</v>
      </c>
      <c r="K2085" s="43">
        <v>4</v>
      </c>
      <c r="L2085" s="234">
        <v>7</v>
      </c>
      <c r="M2085" s="23">
        <v>1</v>
      </c>
      <c r="N2085" s="23">
        <v>0</v>
      </c>
      <c r="O2085" s="23">
        <v>0</v>
      </c>
      <c r="P2085" s="23">
        <v>0</v>
      </c>
      <c r="Q2085" s="23">
        <v>0</v>
      </c>
      <c r="R2085" s="24">
        <v>0.12</v>
      </c>
      <c r="S2085" s="19" t="s">
        <v>115</v>
      </c>
      <c r="T2085" s="257">
        <f t="shared" si="71"/>
        <v>11</v>
      </c>
      <c r="U2085" s="257">
        <f t="shared" si="72"/>
        <v>1</v>
      </c>
      <c r="V2085">
        <v>1</v>
      </c>
      <c r="W2085">
        <v>1</v>
      </c>
    </row>
    <row r="2086" spans="1:23" ht="114" x14ac:dyDescent="0.3">
      <c r="A2086" s="211">
        <v>41163</v>
      </c>
      <c r="B2086" s="211">
        <v>41163</v>
      </c>
      <c r="C2086" s="6">
        <v>9</v>
      </c>
      <c r="D2086" s="6">
        <v>1</v>
      </c>
      <c r="E2086" s="19">
        <v>2012</v>
      </c>
      <c r="F2086" s="7" t="s">
        <v>17</v>
      </c>
      <c r="G2086" s="28" t="s">
        <v>6261</v>
      </c>
      <c r="H2086" s="9" t="s">
        <v>61</v>
      </c>
      <c r="I2086" s="20" t="s">
        <v>3600</v>
      </c>
      <c r="J2086" s="21" t="s">
        <v>3602</v>
      </c>
      <c r="K2086" s="43">
        <v>1</v>
      </c>
      <c r="L2086" s="234">
        <v>100</v>
      </c>
      <c r="M2086" s="23">
        <v>10</v>
      </c>
      <c r="N2086" s="23">
        <v>0</v>
      </c>
      <c r="O2086" s="23">
        <v>0</v>
      </c>
      <c r="P2086" s="23">
        <v>0</v>
      </c>
      <c r="Q2086" s="23">
        <v>0</v>
      </c>
      <c r="R2086" s="24">
        <f>(M2086*0.12)</f>
        <v>1.2</v>
      </c>
      <c r="S2086" s="19" t="s">
        <v>115</v>
      </c>
      <c r="T2086" s="257">
        <f t="shared" si="71"/>
        <v>101</v>
      </c>
      <c r="U2086" s="257">
        <f t="shared" si="72"/>
        <v>10</v>
      </c>
      <c r="V2086">
        <v>1</v>
      </c>
      <c r="W2086">
        <v>1</v>
      </c>
    </row>
    <row r="2087" spans="1:23" ht="34.200000000000003" x14ac:dyDescent="0.3">
      <c r="A2087" s="211">
        <v>41163</v>
      </c>
      <c r="B2087" s="211">
        <v>41163</v>
      </c>
      <c r="C2087" s="6">
        <v>9</v>
      </c>
      <c r="D2087" s="6">
        <v>1</v>
      </c>
      <c r="E2087" s="19">
        <v>2012</v>
      </c>
      <c r="F2087" s="7" t="s">
        <v>17</v>
      </c>
      <c r="G2087" s="28" t="s">
        <v>6261</v>
      </c>
      <c r="H2087" s="9" t="s">
        <v>174</v>
      </c>
      <c r="I2087" s="20" t="s">
        <v>3603</v>
      </c>
      <c r="J2087" s="21" t="s">
        <v>3604</v>
      </c>
      <c r="K2087" s="43">
        <v>2</v>
      </c>
      <c r="L2087" s="234">
        <v>5</v>
      </c>
      <c r="M2087" s="23">
        <v>1</v>
      </c>
      <c r="N2087" s="23">
        <v>0</v>
      </c>
      <c r="O2087" s="23">
        <v>0</v>
      </c>
      <c r="P2087" s="23">
        <v>0</v>
      </c>
      <c r="Q2087" s="23">
        <v>0</v>
      </c>
      <c r="R2087" s="24">
        <v>0.12</v>
      </c>
      <c r="S2087" s="19" t="s">
        <v>115</v>
      </c>
      <c r="T2087" s="257">
        <f t="shared" si="71"/>
        <v>7</v>
      </c>
      <c r="U2087" s="257">
        <f t="shared" si="72"/>
        <v>1</v>
      </c>
      <c r="V2087">
        <v>1</v>
      </c>
      <c r="W2087">
        <v>1</v>
      </c>
    </row>
    <row r="2088" spans="1:23" ht="45.6" x14ac:dyDescent="0.3">
      <c r="A2088" s="211">
        <v>41163</v>
      </c>
      <c r="B2088" s="211">
        <v>41163</v>
      </c>
      <c r="C2088" s="6">
        <v>9</v>
      </c>
      <c r="D2088" s="6">
        <v>1</v>
      </c>
      <c r="E2088" s="19">
        <v>2012</v>
      </c>
      <c r="F2088" s="15" t="s">
        <v>22</v>
      </c>
      <c r="G2088" s="82" t="s">
        <v>6256</v>
      </c>
      <c r="H2088" s="9" t="s">
        <v>72</v>
      </c>
      <c r="I2088" s="20" t="s">
        <v>3605</v>
      </c>
      <c r="J2088" s="21" t="s">
        <v>3606</v>
      </c>
      <c r="K2088" s="43">
        <v>2</v>
      </c>
      <c r="L2088" s="234">
        <v>2</v>
      </c>
      <c r="M2088" s="23">
        <v>0</v>
      </c>
      <c r="N2088" s="23">
        <v>0</v>
      </c>
      <c r="O2088" s="23">
        <v>0</v>
      </c>
      <c r="P2088" s="23">
        <v>0</v>
      </c>
      <c r="Q2088" s="23">
        <v>0</v>
      </c>
      <c r="R2088" s="24">
        <v>0</v>
      </c>
      <c r="S2088" s="19" t="s">
        <v>115</v>
      </c>
      <c r="T2088" s="257">
        <f t="shared" si="71"/>
        <v>4</v>
      </c>
      <c r="U2088" s="257">
        <f t="shared" si="72"/>
        <v>0</v>
      </c>
      <c r="V2088">
        <v>1</v>
      </c>
      <c r="W2088">
        <v>0</v>
      </c>
    </row>
    <row r="2089" spans="1:23" ht="114" x14ac:dyDescent="0.3">
      <c r="A2089" s="211">
        <v>41163</v>
      </c>
      <c r="B2089" s="211">
        <v>41163</v>
      </c>
      <c r="C2089" s="6">
        <v>9</v>
      </c>
      <c r="D2089" s="6">
        <v>1</v>
      </c>
      <c r="E2089" s="19">
        <v>2012</v>
      </c>
      <c r="F2089" s="15" t="s">
        <v>22</v>
      </c>
      <c r="G2089" s="18" t="s">
        <v>6256</v>
      </c>
      <c r="H2089" s="9" t="s">
        <v>55</v>
      </c>
      <c r="I2089" s="20" t="s">
        <v>3607</v>
      </c>
      <c r="J2089" s="21" t="s">
        <v>3608</v>
      </c>
      <c r="K2089" s="43">
        <v>1</v>
      </c>
      <c r="L2089" s="234">
        <v>200</v>
      </c>
      <c r="M2089" s="23">
        <v>40</v>
      </c>
      <c r="N2089" s="23">
        <v>0</v>
      </c>
      <c r="O2089" s="23">
        <v>0</v>
      </c>
      <c r="P2089" s="23">
        <v>0</v>
      </c>
      <c r="Q2089" s="23">
        <v>0</v>
      </c>
      <c r="R2089" s="24">
        <f>(M2089*5500)/1000000</f>
        <v>0.22</v>
      </c>
      <c r="S2089" s="19" t="s">
        <v>115</v>
      </c>
      <c r="T2089" s="257">
        <f t="shared" si="71"/>
        <v>201</v>
      </c>
      <c r="U2089" s="257">
        <f t="shared" si="72"/>
        <v>40</v>
      </c>
      <c r="V2089">
        <v>1</v>
      </c>
      <c r="W2089">
        <v>1</v>
      </c>
    </row>
    <row r="2090" spans="1:23" ht="68.400000000000006" x14ac:dyDescent="0.3">
      <c r="A2090" s="211">
        <v>41165</v>
      </c>
      <c r="B2090" s="211">
        <v>41165</v>
      </c>
      <c r="C2090" s="6">
        <v>9</v>
      </c>
      <c r="D2090" s="6">
        <v>1</v>
      </c>
      <c r="E2090" s="19">
        <v>2012</v>
      </c>
      <c r="F2090" s="15" t="s">
        <v>22</v>
      </c>
      <c r="G2090" s="82" t="s">
        <v>6256</v>
      </c>
      <c r="H2090" s="9" t="s">
        <v>78</v>
      </c>
      <c r="I2090" s="20" t="s">
        <v>3609</v>
      </c>
      <c r="J2090" s="21" t="s">
        <v>3610</v>
      </c>
      <c r="K2090" s="43">
        <v>2</v>
      </c>
      <c r="L2090" s="234">
        <v>2</v>
      </c>
      <c r="M2090" s="23">
        <v>0</v>
      </c>
      <c r="N2090" s="23">
        <v>0</v>
      </c>
      <c r="O2090" s="23">
        <v>0</v>
      </c>
      <c r="P2090" s="23">
        <v>0</v>
      </c>
      <c r="Q2090" s="23">
        <v>0</v>
      </c>
      <c r="R2090" s="24">
        <v>0</v>
      </c>
      <c r="S2090" s="19" t="s">
        <v>115</v>
      </c>
      <c r="T2090" s="257">
        <f t="shared" si="71"/>
        <v>4</v>
      </c>
      <c r="U2090" s="257">
        <f t="shared" si="72"/>
        <v>0</v>
      </c>
      <c r="V2090">
        <v>1</v>
      </c>
      <c r="W2090">
        <v>0</v>
      </c>
    </row>
    <row r="2091" spans="1:23" ht="68.400000000000006" x14ac:dyDescent="0.3">
      <c r="A2091" s="211">
        <v>41167</v>
      </c>
      <c r="B2091" s="212">
        <v>41170</v>
      </c>
      <c r="C2091" s="6">
        <v>9</v>
      </c>
      <c r="D2091" s="6">
        <v>4</v>
      </c>
      <c r="E2091" s="19">
        <v>2012</v>
      </c>
      <c r="F2091" s="15" t="s">
        <v>22</v>
      </c>
      <c r="G2091" s="18" t="s">
        <v>6256</v>
      </c>
      <c r="H2091" s="9" t="s">
        <v>174</v>
      </c>
      <c r="I2091" s="20" t="s">
        <v>3611</v>
      </c>
      <c r="J2091" s="21" t="s">
        <v>3612</v>
      </c>
      <c r="K2091" s="43">
        <v>0</v>
      </c>
      <c r="L2091" s="234">
        <v>4475</v>
      </c>
      <c r="M2091" s="23">
        <v>895</v>
      </c>
      <c r="N2091" s="23">
        <v>2</v>
      </c>
      <c r="O2091" s="23">
        <v>0</v>
      </c>
      <c r="P2091" s="23">
        <v>0</v>
      </c>
      <c r="Q2091" s="23">
        <v>0</v>
      </c>
      <c r="R2091" s="24">
        <f>(M2091*5500)/1000000</f>
        <v>4.9225000000000003</v>
      </c>
      <c r="S2091" s="19" t="s">
        <v>115</v>
      </c>
      <c r="T2091" s="257">
        <f t="shared" si="71"/>
        <v>4475</v>
      </c>
      <c r="U2091" s="257">
        <f t="shared" si="72"/>
        <v>897</v>
      </c>
      <c r="V2091">
        <v>1</v>
      </c>
      <c r="W2091">
        <v>1</v>
      </c>
    </row>
    <row r="2092" spans="1:23" ht="102.6" x14ac:dyDescent="0.3">
      <c r="A2092" s="211">
        <v>41176</v>
      </c>
      <c r="B2092" s="211">
        <v>41176</v>
      </c>
      <c r="C2092" s="6">
        <v>9</v>
      </c>
      <c r="D2092" s="6">
        <v>1</v>
      </c>
      <c r="E2092" s="19">
        <v>2012</v>
      </c>
      <c r="F2092" s="15" t="s">
        <v>22</v>
      </c>
      <c r="G2092" s="18" t="s">
        <v>6256</v>
      </c>
      <c r="H2092" s="9" t="s">
        <v>112</v>
      </c>
      <c r="I2092" s="20" t="s">
        <v>892</v>
      </c>
      <c r="J2092" s="21" t="s">
        <v>3613</v>
      </c>
      <c r="K2092" s="43">
        <v>0</v>
      </c>
      <c r="L2092" s="234">
        <v>100</v>
      </c>
      <c r="M2092" s="23">
        <v>20</v>
      </c>
      <c r="N2092" s="23">
        <v>0</v>
      </c>
      <c r="O2092" s="23">
        <v>0</v>
      </c>
      <c r="P2092" s="23">
        <v>0</v>
      </c>
      <c r="Q2092" s="23">
        <v>0</v>
      </c>
      <c r="R2092" s="24">
        <f>(M2092*5500)/1000000</f>
        <v>0.11</v>
      </c>
      <c r="S2092" s="19" t="s">
        <v>115</v>
      </c>
      <c r="T2092" s="257">
        <f t="shared" si="71"/>
        <v>100</v>
      </c>
      <c r="U2092" s="257">
        <f t="shared" si="72"/>
        <v>20</v>
      </c>
      <c r="V2092">
        <v>1</v>
      </c>
      <c r="W2092">
        <v>1</v>
      </c>
    </row>
    <row r="2093" spans="1:23" ht="182.4" x14ac:dyDescent="0.3">
      <c r="A2093" s="211">
        <v>41176</v>
      </c>
      <c r="B2093" s="211">
        <v>41176</v>
      </c>
      <c r="C2093" s="6">
        <v>9</v>
      </c>
      <c r="D2093" s="6">
        <v>1</v>
      </c>
      <c r="E2093" s="19">
        <v>2012</v>
      </c>
      <c r="F2093" s="15" t="s">
        <v>22</v>
      </c>
      <c r="G2093" s="18" t="s">
        <v>6256</v>
      </c>
      <c r="H2093" s="9" t="s">
        <v>31</v>
      </c>
      <c r="I2093" s="20" t="s">
        <v>1836</v>
      </c>
      <c r="J2093" s="21" t="s">
        <v>3614</v>
      </c>
      <c r="K2093" s="43">
        <v>0</v>
      </c>
      <c r="L2093" s="234">
        <v>500</v>
      </c>
      <c r="M2093" s="23">
        <v>9</v>
      </c>
      <c r="N2093" s="23">
        <v>0</v>
      </c>
      <c r="O2093" s="23">
        <v>0</v>
      </c>
      <c r="P2093" s="23">
        <v>0</v>
      </c>
      <c r="Q2093" s="23">
        <v>0</v>
      </c>
      <c r="R2093" s="24">
        <f>(9*5500)/1000000</f>
        <v>4.9500000000000002E-2</v>
      </c>
      <c r="S2093" s="19" t="s">
        <v>115</v>
      </c>
      <c r="T2093" s="257">
        <f t="shared" si="71"/>
        <v>500</v>
      </c>
      <c r="U2093" s="257">
        <f t="shared" si="72"/>
        <v>9</v>
      </c>
      <c r="V2093">
        <v>1</v>
      </c>
      <c r="W2093">
        <v>1</v>
      </c>
    </row>
    <row r="2094" spans="1:23" ht="68.400000000000006" x14ac:dyDescent="0.3">
      <c r="A2094" s="211">
        <v>41178</v>
      </c>
      <c r="B2094" s="211">
        <v>41178</v>
      </c>
      <c r="C2094" s="6">
        <v>9</v>
      </c>
      <c r="D2094" s="6">
        <v>1</v>
      </c>
      <c r="E2094" s="19">
        <v>2012</v>
      </c>
      <c r="F2094" s="15" t="s">
        <v>22</v>
      </c>
      <c r="G2094" s="18" t="s">
        <v>6256</v>
      </c>
      <c r="H2094" s="9" t="s">
        <v>84</v>
      </c>
      <c r="I2094" s="20" t="s">
        <v>308</v>
      </c>
      <c r="J2094" s="21" t="s">
        <v>3615</v>
      </c>
      <c r="K2094" s="43">
        <v>0</v>
      </c>
      <c r="L2094" s="234">
        <v>255</v>
      </c>
      <c r="M2094" s="23">
        <v>51</v>
      </c>
      <c r="N2094" s="23">
        <v>0</v>
      </c>
      <c r="O2094" s="23">
        <v>0</v>
      </c>
      <c r="P2094" s="23">
        <v>0</v>
      </c>
      <c r="Q2094" s="23">
        <v>0</v>
      </c>
      <c r="R2094" s="24">
        <f>(M2094*5500)/1000000</f>
        <v>0.28050000000000003</v>
      </c>
      <c r="S2094" s="19" t="s">
        <v>115</v>
      </c>
      <c r="T2094" s="257">
        <f t="shared" si="71"/>
        <v>255</v>
      </c>
      <c r="U2094" s="257">
        <f t="shared" si="72"/>
        <v>51</v>
      </c>
      <c r="V2094">
        <v>1</v>
      </c>
      <c r="W2094">
        <v>1</v>
      </c>
    </row>
    <row r="2095" spans="1:23" ht="57" x14ac:dyDescent="0.3">
      <c r="A2095" s="211">
        <v>41182</v>
      </c>
      <c r="B2095" s="211">
        <v>41182</v>
      </c>
      <c r="C2095" s="6">
        <v>9</v>
      </c>
      <c r="D2095" s="6">
        <v>1</v>
      </c>
      <c r="E2095" s="19">
        <v>2012</v>
      </c>
      <c r="F2095" s="15" t="s">
        <v>22</v>
      </c>
      <c r="G2095" s="18" t="s">
        <v>6256</v>
      </c>
      <c r="H2095" s="9" t="s">
        <v>64</v>
      </c>
      <c r="I2095" s="20" t="s">
        <v>64</v>
      </c>
      <c r="J2095" s="21" t="s">
        <v>3616</v>
      </c>
      <c r="K2095" s="43">
        <v>1</v>
      </c>
      <c r="L2095" s="234">
        <v>400</v>
      </c>
      <c r="M2095" s="23">
        <v>80</v>
      </c>
      <c r="N2095" s="23">
        <v>0</v>
      </c>
      <c r="O2095" s="23">
        <v>0</v>
      </c>
      <c r="P2095" s="23">
        <v>0</v>
      </c>
      <c r="Q2095" s="23">
        <v>0</v>
      </c>
      <c r="R2095" s="24">
        <f>(M2095*5500)/1000000</f>
        <v>0.44</v>
      </c>
      <c r="S2095" s="19" t="s">
        <v>115</v>
      </c>
      <c r="T2095" s="257">
        <f t="shared" si="71"/>
        <v>401</v>
      </c>
      <c r="U2095" s="257">
        <f t="shared" si="72"/>
        <v>80</v>
      </c>
      <c r="V2095">
        <v>1</v>
      </c>
      <c r="W2095">
        <v>1</v>
      </c>
    </row>
    <row r="2096" spans="1:23" ht="144" x14ac:dyDescent="0.3">
      <c r="A2096" s="114">
        <v>44906</v>
      </c>
      <c r="B2096" s="114">
        <v>44907</v>
      </c>
      <c r="C2096" s="6">
        <v>12</v>
      </c>
      <c r="D2096" s="6">
        <v>2</v>
      </c>
      <c r="E2096" s="115">
        <v>2022</v>
      </c>
      <c r="F2096" s="7" t="s">
        <v>17</v>
      </c>
      <c r="G2096" s="116" t="s">
        <v>6260</v>
      </c>
      <c r="H2096" s="9" t="s">
        <v>48</v>
      </c>
      <c r="I2096" s="117" t="s">
        <v>3618</v>
      </c>
      <c r="J2096" s="118" t="s">
        <v>3619</v>
      </c>
      <c r="K2096" s="117">
        <v>0</v>
      </c>
      <c r="L2096" s="245">
        <v>20</v>
      </c>
      <c r="M2096" s="119">
        <v>6</v>
      </c>
      <c r="N2096" s="119">
        <v>0</v>
      </c>
      <c r="O2096" s="119">
        <v>0</v>
      </c>
      <c r="P2096" s="119">
        <v>0</v>
      </c>
      <c r="Q2096" s="119">
        <v>0</v>
      </c>
      <c r="R2096" s="120">
        <v>4.1926499999999998E-2</v>
      </c>
      <c r="S2096" s="119" t="s">
        <v>115</v>
      </c>
      <c r="T2096" s="257">
        <f t="shared" si="71"/>
        <v>20</v>
      </c>
      <c r="U2096" s="257">
        <f t="shared" si="72"/>
        <v>6</v>
      </c>
      <c r="V2096">
        <v>1</v>
      </c>
      <c r="W2096">
        <v>1</v>
      </c>
    </row>
    <row r="2097" spans="1:23" ht="34.200000000000003" x14ac:dyDescent="0.3">
      <c r="A2097" s="212">
        <v>40909</v>
      </c>
      <c r="B2097" s="212">
        <v>41274</v>
      </c>
      <c r="C2097" s="6">
        <v>1</v>
      </c>
      <c r="D2097" s="6">
        <v>366</v>
      </c>
      <c r="E2097" s="6">
        <v>2012</v>
      </c>
      <c r="F2097" s="15" t="s">
        <v>22</v>
      </c>
      <c r="G2097" s="18" t="s">
        <v>6255</v>
      </c>
      <c r="H2097" s="9" t="s">
        <v>27</v>
      </c>
      <c r="I2097" s="53" t="s">
        <v>25</v>
      </c>
      <c r="J2097" s="53" t="s">
        <v>3620</v>
      </c>
      <c r="K2097" s="13">
        <v>5</v>
      </c>
      <c r="L2097" s="233">
        <v>5</v>
      </c>
      <c r="M2097" s="13">
        <v>0</v>
      </c>
      <c r="N2097" s="13">
        <v>0</v>
      </c>
      <c r="O2097" s="13">
        <v>0</v>
      </c>
      <c r="P2097" s="13">
        <v>0</v>
      </c>
      <c r="Q2097" s="13">
        <v>0</v>
      </c>
      <c r="R2097" s="26">
        <v>0</v>
      </c>
      <c r="S2097" s="19" t="s">
        <v>1219</v>
      </c>
      <c r="T2097" s="257">
        <f t="shared" si="71"/>
        <v>10</v>
      </c>
      <c r="U2097" s="257">
        <f t="shared" si="72"/>
        <v>0</v>
      </c>
      <c r="V2097">
        <v>1</v>
      </c>
      <c r="W2097">
        <v>0</v>
      </c>
    </row>
    <row r="2098" spans="1:23" ht="34.200000000000003" x14ac:dyDescent="0.3">
      <c r="A2098" s="212">
        <v>40909</v>
      </c>
      <c r="B2098" s="212">
        <v>41274</v>
      </c>
      <c r="C2098" s="6">
        <v>1</v>
      </c>
      <c r="D2098" s="6">
        <v>366</v>
      </c>
      <c r="E2098" s="6">
        <v>2012</v>
      </c>
      <c r="F2098" s="15" t="s">
        <v>22</v>
      </c>
      <c r="G2098" s="18" t="s">
        <v>6255</v>
      </c>
      <c r="H2098" s="9" t="s">
        <v>34</v>
      </c>
      <c r="I2098" s="53" t="s">
        <v>25</v>
      </c>
      <c r="J2098" s="53" t="s">
        <v>3621</v>
      </c>
      <c r="K2098" s="13">
        <v>30</v>
      </c>
      <c r="L2098" s="233">
        <v>30</v>
      </c>
      <c r="M2098" s="13">
        <v>0</v>
      </c>
      <c r="N2098" s="13">
        <v>0</v>
      </c>
      <c r="O2098" s="13">
        <v>0</v>
      </c>
      <c r="P2098" s="13">
        <v>0</v>
      </c>
      <c r="Q2098" s="13">
        <v>0</v>
      </c>
      <c r="R2098" s="26">
        <v>0</v>
      </c>
      <c r="S2098" s="19" t="s">
        <v>1219</v>
      </c>
      <c r="T2098" s="257">
        <f t="shared" si="71"/>
        <v>60</v>
      </c>
      <c r="U2098" s="257">
        <f t="shared" si="72"/>
        <v>0</v>
      </c>
      <c r="V2098">
        <v>1</v>
      </c>
      <c r="W2098">
        <v>0</v>
      </c>
    </row>
    <row r="2099" spans="1:23" ht="34.200000000000003" x14ac:dyDescent="0.3">
      <c r="A2099" s="212">
        <v>40909</v>
      </c>
      <c r="B2099" s="212">
        <v>41274</v>
      </c>
      <c r="C2099" s="6">
        <v>1</v>
      </c>
      <c r="D2099" s="6">
        <v>366</v>
      </c>
      <c r="E2099" s="6">
        <v>2012</v>
      </c>
      <c r="F2099" s="15" t="s">
        <v>22</v>
      </c>
      <c r="G2099" s="18" t="s">
        <v>6255</v>
      </c>
      <c r="H2099" s="9" t="s">
        <v>121</v>
      </c>
      <c r="I2099" s="53" t="s">
        <v>25</v>
      </c>
      <c r="J2099" s="53" t="s">
        <v>3622</v>
      </c>
      <c r="K2099" s="13">
        <v>3</v>
      </c>
      <c r="L2099" s="233">
        <v>3</v>
      </c>
      <c r="M2099" s="13">
        <v>0</v>
      </c>
      <c r="N2099" s="13">
        <v>0</v>
      </c>
      <c r="O2099" s="13">
        <v>0</v>
      </c>
      <c r="P2099" s="13">
        <v>0</v>
      </c>
      <c r="Q2099" s="13">
        <v>0</v>
      </c>
      <c r="R2099" s="26">
        <v>0</v>
      </c>
      <c r="S2099" s="19" t="s">
        <v>1219</v>
      </c>
      <c r="T2099" s="257">
        <f t="shared" si="71"/>
        <v>6</v>
      </c>
      <c r="U2099" s="257">
        <f t="shared" si="72"/>
        <v>0</v>
      </c>
      <c r="V2099">
        <v>1</v>
      </c>
      <c r="W2099">
        <v>0</v>
      </c>
    </row>
    <row r="2100" spans="1:23" ht="22.8" x14ac:dyDescent="0.3">
      <c r="A2100" s="212">
        <v>40909</v>
      </c>
      <c r="B2100" s="212">
        <v>41274</v>
      </c>
      <c r="C2100" s="6">
        <v>1</v>
      </c>
      <c r="D2100" s="6">
        <v>366</v>
      </c>
      <c r="E2100" s="6">
        <v>2012</v>
      </c>
      <c r="F2100" s="15" t="s">
        <v>22</v>
      </c>
      <c r="G2100" s="18" t="s">
        <v>6255</v>
      </c>
      <c r="H2100" s="9" t="s">
        <v>51</v>
      </c>
      <c r="I2100" s="53" t="s">
        <v>25</v>
      </c>
      <c r="J2100" s="53" t="s">
        <v>3623</v>
      </c>
      <c r="K2100" s="13">
        <v>1</v>
      </c>
      <c r="L2100" s="233">
        <v>1</v>
      </c>
      <c r="M2100" s="13">
        <v>0</v>
      </c>
      <c r="N2100" s="13">
        <v>0</v>
      </c>
      <c r="O2100" s="13">
        <v>0</v>
      </c>
      <c r="P2100" s="13">
        <v>0</v>
      </c>
      <c r="Q2100" s="13">
        <v>0</v>
      </c>
      <c r="R2100" s="26">
        <v>0</v>
      </c>
      <c r="S2100" s="19" t="s">
        <v>1219</v>
      </c>
      <c r="T2100" s="257">
        <f t="shared" si="71"/>
        <v>2</v>
      </c>
      <c r="U2100" s="257">
        <f t="shared" si="72"/>
        <v>0</v>
      </c>
      <c r="V2100">
        <v>1</v>
      </c>
      <c r="W2100">
        <v>0</v>
      </c>
    </row>
    <row r="2101" spans="1:23" ht="34.200000000000003" x14ac:dyDescent="0.3">
      <c r="A2101" s="212">
        <v>40909</v>
      </c>
      <c r="B2101" s="212">
        <v>41274</v>
      </c>
      <c r="C2101" s="6">
        <v>1</v>
      </c>
      <c r="D2101" s="6">
        <v>366</v>
      </c>
      <c r="E2101" s="6">
        <v>2012</v>
      </c>
      <c r="F2101" s="15" t="s">
        <v>22</v>
      </c>
      <c r="G2101" s="18" t="s">
        <v>6255</v>
      </c>
      <c r="H2101" s="9" t="s">
        <v>64</v>
      </c>
      <c r="I2101" s="53" t="s">
        <v>25</v>
      </c>
      <c r="J2101" s="53" t="s">
        <v>3624</v>
      </c>
      <c r="K2101" s="13">
        <v>2</v>
      </c>
      <c r="L2101" s="233">
        <v>2</v>
      </c>
      <c r="M2101" s="13">
        <v>0</v>
      </c>
      <c r="N2101" s="13">
        <v>0</v>
      </c>
      <c r="O2101" s="13">
        <v>0</v>
      </c>
      <c r="P2101" s="13">
        <v>0</v>
      </c>
      <c r="Q2101" s="13">
        <v>0</v>
      </c>
      <c r="R2101" s="26">
        <v>0</v>
      </c>
      <c r="S2101" s="19" t="s">
        <v>1219</v>
      </c>
      <c r="T2101" s="257">
        <f t="shared" si="71"/>
        <v>4</v>
      </c>
      <c r="U2101" s="257">
        <f t="shared" si="72"/>
        <v>0</v>
      </c>
      <c r="V2101">
        <v>1</v>
      </c>
      <c r="W2101">
        <v>0</v>
      </c>
    </row>
    <row r="2102" spans="1:23" ht="22.8" x14ac:dyDescent="0.3">
      <c r="A2102" s="212">
        <v>40909</v>
      </c>
      <c r="B2102" s="212">
        <v>41274</v>
      </c>
      <c r="C2102" s="6">
        <v>1</v>
      </c>
      <c r="D2102" s="6">
        <v>366</v>
      </c>
      <c r="E2102" s="6">
        <v>2012</v>
      </c>
      <c r="F2102" s="15" t="s">
        <v>22</v>
      </c>
      <c r="G2102" s="18" t="s">
        <v>6255</v>
      </c>
      <c r="H2102" s="9" t="s">
        <v>66</v>
      </c>
      <c r="I2102" s="53" t="s">
        <v>25</v>
      </c>
      <c r="J2102" s="53" t="s">
        <v>3623</v>
      </c>
      <c r="K2102" s="13">
        <v>1</v>
      </c>
      <c r="L2102" s="233">
        <v>1</v>
      </c>
      <c r="M2102" s="13">
        <v>0</v>
      </c>
      <c r="N2102" s="13">
        <v>0</v>
      </c>
      <c r="O2102" s="13">
        <v>0</v>
      </c>
      <c r="P2102" s="13">
        <v>0</v>
      </c>
      <c r="Q2102" s="13">
        <v>0</v>
      </c>
      <c r="R2102" s="26">
        <v>0</v>
      </c>
      <c r="S2102" s="19" t="s">
        <v>1219</v>
      </c>
      <c r="T2102" s="257">
        <f t="shared" si="71"/>
        <v>2</v>
      </c>
      <c r="U2102" s="257">
        <f t="shared" si="72"/>
        <v>0</v>
      </c>
      <c r="V2102">
        <v>1</v>
      </c>
      <c r="W2102">
        <v>0</v>
      </c>
    </row>
    <row r="2103" spans="1:23" ht="34.200000000000003" x14ac:dyDescent="0.3">
      <c r="A2103" s="212">
        <v>40909</v>
      </c>
      <c r="B2103" s="212">
        <v>41274</v>
      </c>
      <c r="C2103" s="6">
        <v>1</v>
      </c>
      <c r="D2103" s="6">
        <v>366</v>
      </c>
      <c r="E2103" s="6">
        <v>2012</v>
      </c>
      <c r="F2103" s="15" t="s">
        <v>22</v>
      </c>
      <c r="G2103" s="18" t="s">
        <v>6255</v>
      </c>
      <c r="H2103" s="9" t="s">
        <v>74</v>
      </c>
      <c r="I2103" s="53" t="s">
        <v>25</v>
      </c>
      <c r="J2103" s="53" t="s">
        <v>3625</v>
      </c>
      <c r="K2103" s="13">
        <v>7</v>
      </c>
      <c r="L2103" s="233">
        <v>7</v>
      </c>
      <c r="M2103" s="13">
        <v>0</v>
      </c>
      <c r="N2103" s="13">
        <v>0</v>
      </c>
      <c r="O2103" s="13">
        <v>0</v>
      </c>
      <c r="P2103" s="13">
        <v>0</v>
      </c>
      <c r="Q2103" s="13">
        <v>0</v>
      </c>
      <c r="R2103" s="26">
        <v>0</v>
      </c>
      <c r="S2103" s="19" t="s">
        <v>1219</v>
      </c>
      <c r="T2103" s="257">
        <f t="shared" si="71"/>
        <v>14</v>
      </c>
      <c r="U2103" s="257">
        <f t="shared" si="72"/>
        <v>0</v>
      </c>
      <c r="V2103">
        <v>1</v>
      </c>
      <c r="W2103">
        <v>0</v>
      </c>
    </row>
    <row r="2104" spans="1:23" ht="22.8" x14ac:dyDescent="0.3">
      <c r="A2104" s="212">
        <v>40909</v>
      </c>
      <c r="B2104" s="212">
        <v>41274</v>
      </c>
      <c r="C2104" s="6">
        <v>1</v>
      </c>
      <c r="D2104" s="6">
        <v>366</v>
      </c>
      <c r="E2104" s="6">
        <v>2012</v>
      </c>
      <c r="F2104" s="15" t="s">
        <v>22</v>
      </c>
      <c r="G2104" s="18" t="s">
        <v>6255</v>
      </c>
      <c r="H2104" s="9" t="s">
        <v>37</v>
      </c>
      <c r="I2104" s="53" t="s">
        <v>25</v>
      </c>
      <c r="J2104" s="53" t="s">
        <v>3623</v>
      </c>
      <c r="K2104" s="13">
        <v>1</v>
      </c>
      <c r="L2104" s="233">
        <v>1</v>
      </c>
      <c r="M2104" s="13">
        <v>0</v>
      </c>
      <c r="N2104" s="13">
        <v>0</v>
      </c>
      <c r="O2104" s="13">
        <v>0</v>
      </c>
      <c r="P2104" s="13">
        <v>0</v>
      </c>
      <c r="Q2104" s="13">
        <v>0</v>
      </c>
      <c r="R2104" s="26">
        <v>0</v>
      </c>
      <c r="S2104" s="19" t="s">
        <v>1219</v>
      </c>
      <c r="T2104" s="257">
        <f t="shared" si="71"/>
        <v>2</v>
      </c>
      <c r="U2104" s="257">
        <f t="shared" si="72"/>
        <v>0</v>
      </c>
      <c r="V2104">
        <v>1</v>
      </c>
      <c r="W2104">
        <v>0</v>
      </c>
    </row>
    <row r="2105" spans="1:23" ht="22.8" x14ac:dyDescent="0.3">
      <c r="A2105" s="212">
        <v>40909</v>
      </c>
      <c r="B2105" s="212">
        <v>41274</v>
      </c>
      <c r="C2105" s="6">
        <v>1</v>
      </c>
      <c r="D2105" s="6">
        <v>366</v>
      </c>
      <c r="E2105" s="6">
        <v>2012</v>
      </c>
      <c r="F2105" s="15" t="s">
        <v>22</v>
      </c>
      <c r="G2105" s="18" t="s">
        <v>6255</v>
      </c>
      <c r="H2105" s="9" t="s">
        <v>41</v>
      </c>
      <c r="I2105" s="53" t="s">
        <v>25</v>
      </c>
      <c r="J2105" s="53" t="s">
        <v>3623</v>
      </c>
      <c r="K2105" s="13">
        <v>1</v>
      </c>
      <c r="L2105" s="233">
        <v>1</v>
      </c>
      <c r="M2105" s="13">
        <v>0</v>
      </c>
      <c r="N2105" s="13">
        <v>0</v>
      </c>
      <c r="O2105" s="13">
        <v>0</v>
      </c>
      <c r="P2105" s="13">
        <v>0</v>
      </c>
      <c r="Q2105" s="13">
        <v>0</v>
      </c>
      <c r="R2105" s="26">
        <v>0</v>
      </c>
      <c r="S2105" s="19" t="s">
        <v>1219</v>
      </c>
      <c r="T2105" s="257">
        <f t="shared" si="71"/>
        <v>2</v>
      </c>
      <c r="U2105" s="257">
        <f t="shared" si="72"/>
        <v>0</v>
      </c>
      <c r="V2105">
        <v>1</v>
      </c>
      <c r="W2105">
        <v>0</v>
      </c>
    </row>
    <row r="2106" spans="1:23" ht="22.8" x14ac:dyDescent="0.3">
      <c r="A2106" s="212">
        <v>40909</v>
      </c>
      <c r="B2106" s="212">
        <v>41274</v>
      </c>
      <c r="C2106" s="6">
        <v>1</v>
      </c>
      <c r="D2106" s="6">
        <v>366</v>
      </c>
      <c r="E2106" s="6">
        <v>2012</v>
      </c>
      <c r="F2106" s="15" t="s">
        <v>22</v>
      </c>
      <c r="G2106" s="9" t="s">
        <v>6258</v>
      </c>
      <c r="H2106" s="9" t="s">
        <v>27</v>
      </c>
      <c r="I2106" s="53" t="s">
        <v>25</v>
      </c>
      <c r="J2106" s="53" t="s">
        <v>3626</v>
      </c>
      <c r="K2106" s="13">
        <v>3</v>
      </c>
      <c r="L2106" s="233">
        <v>3</v>
      </c>
      <c r="M2106" s="13">
        <v>0</v>
      </c>
      <c r="N2106" s="13">
        <v>0</v>
      </c>
      <c r="O2106" s="13">
        <v>0</v>
      </c>
      <c r="P2106" s="13">
        <v>0</v>
      </c>
      <c r="Q2106" s="13">
        <v>0</v>
      </c>
      <c r="R2106" s="26">
        <v>0</v>
      </c>
      <c r="S2106" s="19" t="s">
        <v>1219</v>
      </c>
      <c r="T2106" s="257">
        <f t="shared" si="71"/>
        <v>6</v>
      </c>
      <c r="U2106" s="257">
        <f t="shared" si="72"/>
        <v>0</v>
      </c>
      <c r="V2106">
        <v>1</v>
      </c>
      <c r="W2106">
        <v>0</v>
      </c>
    </row>
    <row r="2107" spans="1:23" ht="22.8" x14ac:dyDescent="0.3">
      <c r="A2107" s="212">
        <v>40909</v>
      </c>
      <c r="B2107" s="212">
        <v>41274</v>
      </c>
      <c r="C2107" s="6">
        <v>1</v>
      </c>
      <c r="D2107" s="6">
        <v>366</v>
      </c>
      <c r="E2107" s="6">
        <v>2012</v>
      </c>
      <c r="F2107" s="15" t="s">
        <v>22</v>
      </c>
      <c r="G2107" s="9" t="s">
        <v>6258</v>
      </c>
      <c r="H2107" s="9" t="s">
        <v>34</v>
      </c>
      <c r="I2107" s="53" t="s">
        <v>25</v>
      </c>
      <c r="J2107" s="53" t="s">
        <v>3627</v>
      </c>
      <c r="K2107" s="13">
        <v>1</v>
      </c>
      <c r="L2107" s="233">
        <v>1</v>
      </c>
      <c r="M2107" s="13">
        <v>0</v>
      </c>
      <c r="N2107" s="13">
        <v>0</v>
      </c>
      <c r="O2107" s="13">
        <v>0</v>
      </c>
      <c r="P2107" s="13">
        <v>0</v>
      </c>
      <c r="Q2107" s="13">
        <v>0</v>
      </c>
      <c r="R2107" s="26">
        <v>0</v>
      </c>
      <c r="S2107" s="19" t="s">
        <v>1219</v>
      </c>
      <c r="T2107" s="257">
        <f t="shared" si="71"/>
        <v>2</v>
      </c>
      <c r="U2107" s="257">
        <f t="shared" si="72"/>
        <v>0</v>
      </c>
      <c r="V2107">
        <v>1</v>
      </c>
      <c r="W2107">
        <v>0</v>
      </c>
    </row>
    <row r="2108" spans="1:23" ht="22.8" x14ac:dyDescent="0.3">
      <c r="A2108" s="212">
        <v>40909</v>
      </c>
      <c r="B2108" s="212">
        <v>41274</v>
      </c>
      <c r="C2108" s="6">
        <v>1</v>
      </c>
      <c r="D2108" s="6">
        <v>366</v>
      </c>
      <c r="E2108" s="6">
        <v>2012</v>
      </c>
      <c r="F2108" s="15" t="s">
        <v>22</v>
      </c>
      <c r="G2108" s="9" t="s">
        <v>6258</v>
      </c>
      <c r="H2108" s="9" t="s">
        <v>70</v>
      </c>
      <c r="I2108" s="53" t="s">
        <v>25</v>
      </c>
      <c r="J2108" s="53" t="s">
        <v>3627</v>
      </c>
      <c r="K2108" s="13">
        <v>1</v>
      </c>
      <c r="L2108" s="233">
        <v>1</v>
      </c>
      <c r="M2108" s="13">
        <v>0</v>
      </c>
      <c r="N2108" s="13">
        <v>0</v>
      </c>
      <c r="O2108" s="13">
        <v>0</v>
      </c>
      <c r="P2108" s="13">
        <v>0</v>
      </c>
      <c r="Q2108" s="13">
        <v>0</v>
      </c>
      <c r="R2108" s="26">
        <v>0</v>
      </c>
      <c r="S2108" s="19" t="s">
        <v>1219</v>
      </c>
      <c r="T2108" s="257">
        <f t="shared" si="71"/>
        <v>2</v>
      </c>
      <c r="U2108" s="257">
        <f t="shared" si="72"/>
        <v>0</v>
      </c>
      <c r="V2108">
        <v>1</v>
      </c>
      <c r="W2108">
        <v>0</v>
      </c>
    </row>
    <row r="2109" spans="1:23" ht="34.200000000000003" x14ac:dyDescent="0.3">
      <c r="A2109" s="212">
        <v>40909</v>
      </c>
      <c r="B2109" s="212">
        <v>41274</v>
      </c>
      <c r="C2109" s="6">
        <v>1</v>
      </c>
      <c r="D2109" s="6">
        <v>366</v>
      </c>
      <c r="E2109" s="6">
        <v>2012</v>
      </c>
      <c r="F2109" s="15" t="s">
        <v>22</v>
      </c>
      <c r="G2109" s="9" t="s">
        <v>6258</v>
      </c>
      <c r="H2109" s="9" t="s">
        <v>74</v>
      </c>
      <c r="I2109" s="53" t="s">
        <v>25</v>
      </c>
      <c r="J2109" s="53" t="s">
        <v>3628</v>
      </c>
      <c r="K2109" s="13">
        <v>10</v>
      </c>
      <c r="L2109" s="233">
        <v>10</v>
      </c>
      <c r="M2109" s="13">
        <v>0</v>
      </c>
      <c r="N2109" s="13">
        <v>0</v>
      </c>
      <c r="O2109" s="13">
        <v>0</v>
      </c>
      <c r="P2109" s="13">
        <v>0</v>
      </c>
      <c r="Q2109" s="13">
        <v>0</v>
      </c>
      <c r="R2109" s="26">
        <v>0</v>
      </c>
      <c r="S2109" s="19" t="s">
        <v>1219</v>
      </c>
      <c r="T2109" s="257">
        <f t="shared" si="71"/>
        <v>20</v>
      </c>
      <c r="U2109" s="257">
        <f t="shared" si="72"/>
        <v>0</v>
      </c>
      <c r="V2109">
        <v>1</v>
      </c>
      <c r="W2109">
        <v>0</v>
      </c>
    </row>
    <row r="2110" spans="1:23" ht="34.200000000000003" x14ac:dyDescent="0.3">
      <c r="A2110" s="211">
        <v>41129</v>
      </c>
      <c r="B2110" s="211">
        <v>41129</v>
      </c>
      <c r="C2110" s="6">
        <v>8</v>
      </c>
      <c r="D2110" s="6">
        <v>1</v>
      </c>
      <c r="E2110" s="19">
        <v>2012</v>
      </c>
      <c r="F2110" s="15" t="s">
        <v>22</v>
      </c>
      <c r="G2110" s="16" t="s">
        <v>6254</v>
      </c>
      <c r="H2110" s="9" t="s">
        <v>31</v>
      </c>
      <c r="I2110" s="20" t="s">
        <v>3629</v>
      </c>
      <c r="J2110" s="21" t="s">
        <v>3630</v>
      </c>
      <c r="K2110" s="43">
        <v>2</v>
      </c>
      <c r="L2110" s="234">
        <v>82</v>
      </c>
      <c r="M2110" s="23">
        <v>16</v>
      </c>
      <c r="N2110" s="23">
        <v>0</v>
      </c>
      <c r="O2110" s="23">
        <v>0</v>
      </c>
      <c r="P2110" s="23">
        <v>0</v>
      </c>
      <c r="Q2110" s="23">
        <v>0</v>
      </c>
      <c r="R2110" s="24">
        <v>532.29999999999995</v>
      </c>
      <c r="S2110" s="25" t="s">
        <v>21</v>
      </c>
      <c r="T2110" s="257">
        <f t="shared" si="71"/>
        <v>84</v>
      </c>
      <c r="U2110" s="257">
        <f t="shared" si="72"/>
        <v>16</v>
      </c>
      <c r="V2110">
        <v>1</v>
      </c>
      <c r="W2110">
        <v>1</v>
      </c>
    </row>
    <row r="2111" spans="1:23" ht="22.8" x14ac:dyDescent="0.3">
      <c r="A2111" s="216">
        <v>41129</v>
      </c>
      <c r="B2111" s="216">
        <v>41129</v>
      </c>
      <c r="C2111" s="6">
        <v>8</v>
      </c>
      <c r="D2111" s="6">
        <v>1</v>
      </c>
      <c r="E2111" s="6">
        <v>2012</v>
      </c>
      <c r="F2111" s="15" t="s">
        <v>22</v>
      </c>
      <c r="G2111" s="16" t="s">
        <v>6254</v>
      </c>
      <c r="H2111" s="9" t="s">
        <v>69</v>
      </c>
      <c r="I2111" s="20" t="s">
        <v>3631</v>
      </c>
      <c r="J2111" s="21" t="s">
        <v>3632</v>
      </c>
      <c r="K2111" s="12">
        <v>0</v>
      </c>
      <c r="L2111" s="233">
        <v>10019</v>
      </c>
      <c r="M2111" s="13">
        <v>0</v>
      </c>
      <c r="N2111" s="13">
        <v>0</v>
      </c>
      <c r="O2111" s="13">
        <v>0</v>
      </c>
      <c r="P2111" s="13">
        <v>0</v>
      </c>
      <c r="Q2111" s="13">
        <v>0</v>
      </c>
      <c r="R2111" s="26">
        <v>208.9</v>
      </c>
      <c r="S2111" s="141" t="s">
        <v>21</v>
      </c>
      <c r="T2111" s="257">
        <f t="shared" si="71"/>
        <v>10019</v>
      </c>
      <c r="U2111" s="257">
        <f t="shared" si="72"/>
        <v>0</v>
      </c>
      <c r="V2111">
        <v>2</v>
      </c>
      <c r="W2111">
        <v>0</v>
      </c>
    </row>
    <row r="2112" spans="1:23" x14ac:dyDescent="0.3">
      <c r="A2112" s="211">
        <v>41077</v>
      </c>
      <c r="B2112" s="211">
        <v>41077</v>
      </c>
      <c r="C2112" s="6">
        <v>6</v>
      </c>
      <c r="D2112" s="6">
        <v>1</v>
      </c>
      <c r="E2112" s="19">
        <v>2012</v>
      </c>
      <c r="F2112" s="15" t="s">
        <v>22</v>
      </c>
      <c r="G2112" s="18" t="s">
        <v>6256</v>
      </c>
      <c r="H2112" s="9" t="s">
        <v>174</v>
      </c>
      <c r="I2112" s="20" t="s">
        <v>3633</v>
      </c>
      <c r="J2112" s="21" t="s">
        <v>3634</v>
      </c>
      <c r="K2112" s="43">
        <v>0</v>
      </c>
      <c r="L2112" s="234">
        <v>0</v>
      </c>
      <c r="M2112" s="23">
        <v>0</v>
      </c>
      <c r="N2112" s="23">
        <v>0</v>
      </c>
      <c r="O2112" s="23">
        <v>0</v>
      </c>
      <c r="P2112" s="23">
        <v>0</v>
      </c>
      <c r="Q2112" s="23">
        <v>0</v>
      </c>
      <c r="R2112" s="24">
        <v>106.88</v>
      </c>
      <c r="S2112" s="6" t="s">
        <v>149</v>
      </c>
      <c r="T2112" s="257">
        <f t="shared" si="71"/>
        <v>0</v>
      </c>
      <c r="U2112" s="257">
        <f t="shared" si="72"/>
        <v>0</v>
      </c>
      <c r="V2112">
        <v>0</v>
      </c>
      <c r="W2112">
        <v>0</v>
      </c>
    </row>
    <row r="2113" spans="1:23" ht="45.6" x14ac:dyDescent="0.3">
      <c r="A2113" s="212">
        <v>41030</v>
      </c>
      <c r="B2113" s="212">
        <v>41243</v>
      </c>
      <c r="C2113" s="6">
        <v>5</v>
      </c>
      <c r="D2113" s="6">
        <v>214</v>
      </c>
      <c r="E2113" s="6">
        <v>2012</v>
      </c>
      <c r="F2113" s="15" t="s">
        <v>22</v>
      </c>
      <c r="G2113" s="16" t="s">
        <v>23</v>
      </c>
      <c r="H2113" s="9" t="s">
        <v>34</v>
      </c>
      <c r="I2113" s="20" t="s">
        <v>3635</v>
      </c>
      <c r="J2113" s="53" t="s">
        <v>3636</v>
      </c>
      <c r="K2113" s="57">
        <v>0</v>
      </c>
      <c r="L2113" s="233" t="s">
        <v>1678</v>
      </c>
      <c r="M2113" s="13">
        <v>0</v>
      </c>
      <c r="N2113" s="13">
        <v>0</v>
      </c>
      <c r="O2113" s="13">
        <v>0</v>
      </c>
      <c r="P2113" s="13">
        <v>0</v>
      </c>
      <c r="Q2113" s="13">
        <v>0</v>
      </c>
      <c r="R2113" s="26">
        <v>28.065000000000001</v>
      </c>
      <c r="S2113" s="141" t="s">
        <v>149</v>
      </c>
      <c r="T2113" s="257">
        <f t="shared" si="71"/>
        <v>0</v>
      </c>
      <c r="U2113" s="257">
        <f t="shared" si="72"/>
        <v>0</v>
      </c>
      <c r="V2113">
        <v>0</v>
      </c>
      <c r="W2113">
        <v>0</v>
      </c>
    </row>
    <row r="2114" spans="1:23" ht="57" x14ac:dyDescent="0.3">
      <c r="A2114" s="211">
        <v>41181</v>
      </c>
      <c r="B2114" s="211">
        <v>41183</v>
      </c>
      <c r="C2114" s="6">
        <v>9</v>
      </c>
      <c r="D2114" s="6">
        <v>3</v>
      </c>
      <c r="E2114" s="19">
        <v>2012</v>
      </c>
      <c r="F2114" s="7" t="s">
        <v>17</v>
      </c>
      <c r="G2114" s="28" t="s">
        <v>6261</v>
      </c>
      <c r="H2114" s="9" t="s">
        <v>61</v>
      </c>
      <c r="I2114" s="20" t="s">
        <v>3637</v>
      </c>
      <c r="J2114" s="21" t="s">
        <v>3638</v>
      </c>
      <c r="K2114" s="43" t="s">
        <v>1678</v>
      </c>
      <c r="L2114" s="234" t="s">
        <v>1678</v>
      </c>
      <c r="M2114" s="23">
        <v>14</v>
      </c>
      <c r="N2114" s="23">
        <v>0</v>
      </c>
      <c r="O2114" s="23">
        <v>0</v>
      </c>
      <c r="P2114" s="23">
        <v>0</v>
      </c>
      <c r="Q2114" s="23">
        <v>0</v>
      </c>
      <c r="R2114" s="24">
        <v>52.817</v>
      </c>
      <c r="S2114" s="6" t="s">
        <v>149</v>
      </c>
      <c r="T2114" s="257">
        <f t="shared" si="71"/>
        <v>0</v>
      </c>
      <c r="U2114" s="257">
        <f t="shared" si="72"/>
        <v>14</v>
      </c>
      <c r="V2114">
        <v>0</v>
      </c>
      <c r="W2114">
        <v>1</v>
      </c>
    </row>
    <row r="2115" spans="1:23" ht="45.6" x14ac:dyDescent="0.3">
      <c r="A2115" s="211">
        <v>41194</v>
      </c>
      <c r="B2115" s="211">
        <v>41194</v>
      </c>
      <c r="C2115" s="6">
        <v>10</v>
      </c>
      <c r="D2115" s="6">
        <v>1</v>
      </c>
      <c r="E2115" s="19">
        <v>2012</v>
      </c>
      <c r="F2115" s="7" t="s">
        <v>17</v>
      </c>
      <c r="G2115" s="28" t="s">
        <v>6261</v>
      </c>
      <c r="H2115" s="9" t="s">
        <v>61</v>
      </c>
      <c r="I2115" s="20" t="s">
        <v>3639</v>
      </c>
      <c r="J2115" s="21" t="s">
        <v>3640</v>
      </c>
      <c r="K2115" s="43" t="s">
        <v>1678</v>
      </c>
      <c r="L2115" s="234" t="s">
        <v>1678</v>
      </c>
      <c r="M2115" s="23">
        <v>3</v>
      </c>
      <c r="N2115" s="23">
        <v>0</v>
      </c>
      <c r="O2115" s="23">
        <v>0</v>
      </c>
      <c r="P2115" s="23">
        <v>0</v>
      </c>
      <c r="Q2115" s="23">
        <v>0</v>
      </c>
      <c r="R2115" s="24">
        <v>23.864999999999998</v>
      </c>
      <c r="S2115" s="6" t="s">
        <v>149</v>
      </c>
      <c r="T2115" s="257">
        <f t="shared" ref="T2115:T2178" si="73">SUM(K2115:L2115)</f>
        <v>0</v>
      </c>
      <c r="U2115" s="257">
        <f t="shared" ref="U2115:U2178" si="74">SUM(M2115:P2115)</f>
        <v>3</v>
      </c>
      <c r="V2115">
        <v>0</v>
      </c>
      <c r="W2115">
        <v>1</v>
      </c>
    </row>
    <row r="2116" spans="1:23" ht="34.200000000000003" x14ac:dyDescent="0.3">
      <c r="A2116" s="211">
        <v>41220</v>
      </c>
      <c r="B2116" s="211">
        <v>41220</v>
      </c>
      <c r="C2116" s="6">
        <v>11</v>
      </c>
      <c r="D2116" s="6">
        <v>1</v>
      </c>
      <c r="E2116" s="19">
        <v>2012</v>
      </c>
      <c r="F2116" s="7" t="s">
        <v>17</v>
      </c>
      <c r="G2116" s="16" t="s">
        <v>6260</v>
      </c>
      <c r="H2116" s="9" t="s">
        <v>61</v>
      </c>
      <c r="I2116" s="20" t="s">
        <v>3641</v>
      </c>
      <c r="J2116" s="21" t="s">
        <v>3642</v>
      </c>
      <c r="K2116" s="43" t="s">
        <v>1678</v>
      </c>
      <c r="L2116" s="234" t="s">
        <v>1678</v>
      </c>
      <c r="M2116" s="23">
        <v>1</v>
      </c>
      <c r="N2116" s="23">
        <v>0</v>
      </c>
      <c r="O2116" s="23">
        <v>0</v>
      </c>
      <c r="P2116" s="23">
        <v>0</v>
      </c>
      <c r="Q2116" s="23">
        <v>0</v>
      </c>
      <c r="R2116" s="24">
        <v>0.24959999999999999</v>
      </c>
      <c r="S2116" s="6" t="s">
        <v>149</v>
      </c>
      <c r="T2116" s="257">
        <f t="shared" si="73"/>
        <v>0</v>
      </c>
      <c r="U2116" s="257">
        <f t="shared" si="74"/>
        <v>1</v>
      </c>
      <c r="V2116">
        <v>0</v>
      </c>
      <c r="W2116">
        <v>1</v>
      </c>
    </row>
    <row r="2117" spans="1:23" ht="91.2" x14ac:dyDescent="0.3">
      <c r="A2117" s="211">
        <v>41529</v>
      </c>
      <c r="B2117" s="211">
        <v>41563</v>
      </c>
      <c r="C2117" s="6">
        <v>9</v>
      </c>
      <c r="D2117" s="6">
        <v>35</v>
      </c>
      <c r="E2117" s="19">
        <v>2013</v>
      </c>
      <c r="F2117" s="15" t="s">
        <v>22</v>
      </c>
      <c r="G2117" s="18" t="s">
        <v>6256</v>
      </c>
      <c r="H2117" s="9" t="s">
        <v>70</v>
      </c>
      <c r="I2117" s="20" t="s">
        <v>3643</v>
      </c>
      <c r="J2117" s="21" t="s">
        <v>3644</v>
      </c>
      <c r="K2117" s="22">
        <v>0</v>
      </c>
      <c r="L2117" s="234">
        <v>4604</v>
      </c>
      <c r="M2117" s="23">
        <v>0</v>
      </c>
      <c r="N2117" s="23">
        <v>0</v>
      </c>
      <c r="O2117" s="23">
        <v>0</v>
      </c>
      <c r="P2117" s="23">
        <v>0</v>
      </c>
      <c r="Q2117" s="23">
        <v>11271</v>
      </c>
      <c r="R2117" s="24">
        <v>64.739999999999995</v>
      </c>
      <c r="S2117" s="19" t="s">
        <v>1235</v>
      </c>
      <c r="T2117" s="257">
        <f t="shared" si="73"/>
        <v>4604</v>
      </c>
      <c r="U2117" s="257">
        <f t="shared" si="74"/>
        <v>0</v>
      </c>
      <c r="V2117">
        <v>1</v>
      </c>
      <c r="W2117">
        <v>0</v>
      </c>
    </row>
    <row r="2118" spans="1:23" ht="68.400000000000006" x14ac:dyDescent="0.3">
      <c r="A2118" s="211">
        <v>41523</v>
      </c>
      <c r="B2118" s="211">
        <v>41523</v>
      </c>
      <c r="C2118" s="6">
        <v>9</v>
      </c>
      <c r="D2118" s="6">
        <v>1</v>
      </c>
      <c r="E2118" s="19">
        <v>2013</v>
      </c>
      <c r="F2118" s="15" t="s">
        <v>22</v>
      </c>
      <c r="G2118" s="16" t="s">
        <v>6256</v>
      </c>
      <c r="H2118" s="9" t="s">
        <v>118</v>
      </c>
      <c r="I2118" s="20" t="s">
        <v>302</v>
      </c>
      <c r="J2118" s="142" t="s">
        <v>3645</v>
      </c>
      <c r="K2118" s="22">
        <v>0</v>
      </c>
      <c r="L2118" s="234">
        <v>20</v>
      </c>
      <c r="M2118" s="23">
        <v>0</v>
      </c>
      <c r="N2118" s="23">
        <v>0</v>
      </c>
      <c r="O2118" s="23">
        <v>0</v>
      </c>
      <c r="P2118" s="23">
        <v>0</v>
      </c>
      <c r="Q2118" s="23">
        <v>5.77</v>
      </c>
      <c r="R2118" s="24">
        <v>13.84</v>
      </c>
      <c r="S2118" s="19" t="s">
        <v>1235</v>
      </c>
      <c r="T2118" s="257">
        <f t="shared" si="73"/>
        <v>20</v>
      </c>
      <c r="U2118" s="257">
        <f t="shared" si="74"/>
        <v>0</v>
      </c>
      <c r="V2118">
        <v>1</v>
      </c>
      <c r="W2118">
        <v>0</v>
      </c>
    </row>
    <row r="2119" spans="1:23" ht="79.8" x14ac:dyDescent="0.3">
      <c r="A2119" s="211">
        <v>41531</v>
      </c>
      <c r="B2119" s="211">
        <v>41534</v>
      </c>
      <c r="C2119" s="6">
        <v>9</v>
      </c>
      <c r="D2119" s="6">
        <v>4</v>
      </c>
      <c r="E2119" s="19">
        <v>2013</v>
      </c>
      <c r="F2119" s="15" t="s">
        <v>22</v>
      </c>
      <c r="G2119" s="18" t="s">
        <v>6256</v>
      </c>
      <c r="H2119" s="9" t="s">
        <v>78</v>
      </c>
      <c r="I2119" s="20" t="s">
        <v>3646</v>
      </c>
      <c r="J2119" s="142" t="s">
        <v>3647</v>
      </c>
      <c r="K2119" s="22">
        <v>0</v>
      </c>
      <c r="L2119" s="234">
        <v>1773</v>
      </c>
      <c r="M2119" s="23">
        <v>0</v>
      </c>
      <c r="N2119" s="23">
        <v>0</v>
      </c>
      <c r="O2119" s="23">
        <v>0</v>
      </c>
      <c r="P2119" s="23">
        <v>0</v>
      </c>
      <c r="Q2119" s="23" t="s">
        <v>3648</v>
      </c>
      <c r="R2119" s="24">
        <v>157.5</v>
      </c>
      <c r="S2119" s="19" t="s">
        <v>1235</v>
      </c>
      <c r="T2119" s="257">
        <f t="shared" si="73"/>
        <v>1773</v>
      </c>
      <c r="U2119" s="257">
        <f t="shared" si="74"/>
        <v>0</v>
      </c>
      <c r="V2119">
        <v>1</v>
      </c>
      <c r="W2119">
        <v>0</v>
      </c>
    </row>
    <row r="2120" spans="1:23" ht="57" x14ac:dyDescent="0.3">
      <c r="A2120" s="211">
        <v>41365</v>
      </c>
      <c r="B2120" s="211">
        <v>41486</v>
      </c>
      <c r="C2120" s="6">
        <v>4</v>
      </c>
      <c r="D2120" s="6">
        <v>122</v>
      </c>
      <c r="E2120" s="19">
        <v>2013</v>
      </c>
      <c r="F2120" s="15" t="s">
        <v>22</v>
      </c>
      <c r="G2120" s="16" t="s">
        <v>23</v>
      </c>
      <c r="H2120" s="9" t="s">
        <v>72</v>
      </c>
      <c r="I2120" s="20" t="s">
        <v>72</v>
      </c>
      <c r="J2120" s="21" t="s">
        <v>3649</v>
      </c>
      <c r="K2120" s="22">
        <v>0</v>
      </c>
      <c r="L2120" s="234">
        <v>162</v>
      </c>
      <c r="M2120" s="23">
        <v>0</v>
      </c>
      <c r="N2120" s="23">
        <v>0</v>
      </c>
      <c r="O2120" s="23">
        <v>0</v>
      </c>
      <c r="P2120" s="23">
        <v>0</v>
      </c>
      <c r="Q2120" s="23">
        <v>1530.66</v>
      </c>
      <c r="R2120" s="24">
        <v>7.0640000000000001</v>
      </c>
      <c r="S2120" s="19" t="s">
        <v>1235</v>
      </c>
      <c r="T2120" s="257">
        <f t="shared" si="73"/>
        <v>162</v>
      </c>
      <c r="U2120" s="257">
        <f t="shared" si="74"/>
        <v>0</v>
      </c>
      <c r="V2120">
        <v>1</v>
      </c>
      <c r="W2120">
        <v>0</v>
      </c>
    </row>
    <row r="2121" spans="1:23" ht="34.200000000000003" x14ac:dyDescent="0.3">
      <c r="A2121" s="211">
        <v>41408</v>
      </c>
      <c r="B2121" s="211">
        <v>41408</v>
      </c>
      <c r="C2121" s="6">
        <v>5</v>
      </c>
      <c r="D2121" s="6">
        <v>1</v>
      </c>
      <c r="E2121" s="19">
        <v>2013</v>
      </c>
      <c r="F2121" s="15" t="s">
        <v>22</v>
      </c>
      <c r="G2121" s="82" t="s">
        <v>6256</v>
      </c>
      <c r="H2121" s="9" t="s">
        <v>34</v>
      </c>
      <c r="I2121" s="20" t="s">
        <v>3650</v>
      </c>
      <c r="J2121" s="21" t="s">
        <v>3651</v>
      </c>
      <c r="K2121" s="22">
        <v>0</v>
      </c>
      <c r="L2121" s="234">
        <v>89</v>
      </c>
      <c r="M2121" s="23">
        <v>0</v>
      </c>
      <c r="N2121" s="23">
        <v>0</v>
      </c>
      <c r="O2121" s="23">
        <v>0</v>
      </c>
      <c r="P2121" s="23">
        <v>0</v>
      </c>
      <c r="Q2121" s="23">
        <v>448</v>
      </c>
      <c r="R2121" s="24">
        <v>22.443000000000001</v>
      </c>
      <c r="S2121" s="19" t="s">
        <v>1235</v>
      </c>
      <c r="T2121" s="257">
        <f t="shared" si="73"/>
        <v>89</v>
      </c>
      <c r="U2121" s="257">
        <f t="shared" si="74"/>
        <v>0</v>
      </c>
      <c r="V2121">
        <v>1</v>
      </c>
      <c r="W2121">
        <v>0</v>
      </c>
    </row>
    <row r="2122" spans="1:23" ht="34.200000000000003" x14ac:dyDescent="0.3">
      <c r="A2122" s="211">
        <v>41405</v>
      </c>
      <c r="B2122" s="211">
        <v>41407</v>
      </c>
      <c r="C2122" s="6">
        <v>5</v>
      </c>
      <c r="D2122" s="6">
        <v>3</v>
      </c>
      <c r="E2122" s="19">
        <v>2013</v>
      </c>
      <c r="F2122" s="15" t="s">
        <v>22</v>
      </c>
      <c r="G2122" s="82" t="s">
        <v>6256</v>
      </c>
      <c r="H2122" s="9" t="s">
        <v>34</v>
      </c>
      <c r="I2122" s="20" t="s">
        <v>3652</v>
      </c>
      <c r="J2122" s="53" t="s">
        <v>3653</v>
      </c>
      <c r="K2122" s="22">
        <v>0</v>
      </c>
      <c r="L2122" s="234">
        <v>637</v>
      </c>
      <c r="M2122" s="23">
        <v>0</v>
      </c>
      <c r="N2122" s="23">
        <v>0</v>
      </c>
      <c r="O2122" s="23">
        <v>0</v>
      </c>
      <c r="P2122" s="23">
        <v>0</v>
      </c>
      <c r="Q2122" s="23">
        <v>2126.3000000000002</v>
      </c>
      <c r="R2122" s="24">
        <v>175.12</v>
      </c>
      <c r="S2122" s="19" t="s">
        <v>1235</v>
      </c>
      <c r="T2122" s="257">
        <f t="shared" si="73"/>
        <v>637</v>
      </c>
      <c r="U2122" s="257">
        <f t="shared" si="74"/>
        <v>0</v>
      </c>
      <c r="V2122">
        <v>1</v>
      </c>
      <c r="W2122">
        <v>0</v>
      </c>
    </row>
    <row r="2123" spans="1:23" ht="68.400000000000006" x14ac:dyDescent="0.3">
      <c r="A2123" s="211">
        <v>41335</v>
      </c>
      <c r="B2123" s="211">
        <v>41337</v>
      </c>
      <c r="C2123" s="6">
        <v>3</v>
      </c>
      <c r="D2123" s="6">
        <v>3</v>
      </c>
      <c r="E2123" s="19">
        <v>2013</v>
      </c>
      <c r="F2123" s="15" t="s">
        <v>22</v>
      </c>
      <c r="G2123" s="18" t="s">
        <v>6255</v>
      </c>
      <c r="H2123" s="9" t="s">
        <v>174</v>
      </c>
      <c r="I2123" s="20" t="s">
        <v>3654</v>
      </c>
      <c r="J2123" s="21" t="s">
        <v>3655</v>
      </c>
      <c r="K2123" s="22">
        <v>0</v>
      </c>
      <c r="L2123" s="234">
        <v>5560</v>
      </c>
      <c r="M2123" s="23">
        <v>0</v>
      </c>
      <c r="N2123" s="23">
        <v>0</v>
      </c>
      <c r="O2123" s="23">
        <v>0</v>
      </c>
      <c r="P2123" s="23">
        <v>0</v>
      </c>
      <c r="Q2123" s="23">
        <v>14292.55</v>
      </c>
      <c r="R2123" s="24">
        <f>432568209.46/1000000</f>
        <v>432.56820945999999</v>
      </c>
      <c r="S2123" s="19" t="s">
        <v>1235</v>
      </c>
      <c r="T2123" s="257">
        <f t="shared" si="73"/>
        <v>5560</v>
      </c>
      <c r="U2123" s="257">
        <f t="shared" si="74"/>
        <v>0</v>
      </c>
      <c r="V2123">
        <v>1</v>
      </c>
      <c r="W2123">
        <v>0</v>
      </c>
    </row>
    <row r="2124" spans="1:23" ht="68.400000000000006" x14ac:dyDescent="0.3">
      <c r="A2124" s="211">
        <v>41529</v>
      </c>
      <c r="B2124" s="211">
        <v>41563</v>
      </c>
      <c r="C2124" s="6">
        <v>9</v>
      </c>
      <c r="D2124" s="6">
        <v>35</v>
      </c>
      <c r="E2124" s="19">
        <v>2013</v>
      </c>
      <c r="F2124" s="15" t="s">
        <v>22</v>
      </c>
      <c r="G2124" s="16" t="s">
        <v>23</v>
      </c>
      <c r="H2124" s="9" t="s">
        <v>39</v>
      </c>
      <c r="I2124" s="20" t="s">
        <v>3656</v>
      </c>
      <c r="J2124" s="21" t="s">
        <v>3657</v>
      </c>
      <c r="K2124" s="22">
        <v>0</v>
      </c>
      <c r="L2124" s="234">
        <v>2482</v>
      </c>
      <c r="M2124" s="23">
        <v>0</v>
      </c>
      <c r="N2124" s="23">
        <v>0</v>
      </c>
      <c r="O2124" s="23">
        <v>0</v>
      </c>
      <c r="P2124" s="23">
        <v>0</v>
      </c>
      <c r="Q2124" s="13">
        <v>9984</v>
      </c>
      <c r="R2124" s="24">
        <v>640.83000000000004</v>
      </c>
      <c r="S2124" s="19" t="s">
        <v>1235</v>
      </c>
      <c r="T2124" s="257">
        <f t="shared" si="73"/>
        <v>2482</v>
      </c>
      <c r="U2124" s="257">
        <f t="shared" si="74"/>
        <v>0</v>
      </c>
      <c r="V2124">
        <v>1</v>
      </c>
      <c r="W2124">
        <v>0</v>
      </c>
    </row>
    <row r="2125" spans="1:23" ht="102.6" x14ac:dyDescent="0.3">
      <c r="A2125" s="211">
        <v>41336</v>
      </c>
      <c r="B2125" s="211">
        <v>41337</v>
      </c>
      <c r="C2125" s="6">
        <v>3</v>
      </c>
      <c r="D2125" s="6">
        <v>2</v>
      </c>
      <c r="E2125" s="19">
        <v>2013</v>
      </c>
      <c r="F2125" s="15" t="s">
        <v>22</v>
      </c>
      <c r="G2125" s="18" t="s">
        <v>6255</v>
      </c>
      <c r="H2125" s="9" t="s">
        <v>66</v>
      </c>
      <c r="I2125" s="20" t="s">
        <v>3658</v>
      </c>
      <c r="J2125" s="21" t="s">
        <v>3659</v>
      </c>
      <c r="K2125" s="22">
        <v>0</v>
      </c>
      <c r="L2125" s="234">
        <v>1045</v>
      </c>
      <c r="M2125" s="23">
        <v>0</v>
      </c>
      <c r="N2125" s="23">
        <v>0</v>
      </c>
      <c r="O2125" s="23">
        <v>0</v>
      </c>
      <c r="P2125" s="23">
        <v>0</v>
      </c>
      <c r="Q2125" s="23">
        <v>7759.54</v>
      </c>
      <c r="R2125" s="24">
        <v>349.77</v>
      </c>
      <c r="S2125" s="19" t="s">
        <v>1235</v>
      </c>
      <c r="T2125" s="257">
        <f t="shared" si="73"/>
        <v>1045</v>
      </c>
      <c r="U2125" s="257">
        <f t="shared" si="74"/>
        <v>0</v>
      </c>
      <c r="V2125">
        <v>1</v>
      </c>
      <c r="W2125">
        <v>0</v>
      </c>
    </row>
    <row r="2126" spans="1:23" ht="79.8" x14ac:dyDescent="0.3">
      <c r="A2126" s="211">
        <v>41335</v>
      </c>
      <c r="B2126" s="211">
        <v>41338</v>
      </c>
      <c r="C2126" s="6">
        <v>3</v>
      </c>
      <c r="D2126" s="6">
        <v>4</v>
      </c>
      <c r="E2126" s="19">
        <v>2013</v>
      </c>
      <c r="F2126" s="15" t="s">
        <v>22</v>
      </c>
      <c r="G2126" s="18" t="s">
        <v>6255</v>
      </c>
      <c r="H2126" s="9" t="s">
        <v>46</v>
      </c>
      <c r="I2126" s="20" t="s">
        <v>3660</v>
      </c>
      <c r="J2126" s="21" t="s">
        <v>3661</v>
      </c>
      <c r="K2126" s="22">
        <v>0</v>
      </c>
      <c r="L2126" s="234">
        <v>16230</v>
      </c>
      <c r="M2126" s="23">
        <v>0</v>
      </c>
      <c r="N2126" s="13">
        <v>0</v>
      </c>
      <c r="O2126" s="23">
        <v>0</v>
      </c>
      <c r="P2126" s="23">
        <v>0</v>
      </c>
      <c r="Q2126" s="37">
        <v>67001</v>
      </c>
      <c r="R2126" s="26">
        <v>166.3</v>
      </c>
      <c r="S2126" s="19" t="s">
        <v>1235</v>
      </c>
      <c r="T2126" s="257">
        <f t="shared" si="73"/>
        <v>16230</v>
      </c>
      <c r="U2126" s="257">
        <f t="shared" si="74"/>
        <v>0</v>
      </c>
      <c r="V2126">
        <v>2</v>
      </c>
      <c r="W2126">
        <v>0</v>
      </c>
    </row>
    <row r="2127" spans="1:23" ht="79.8" x14ac:dyDescent="0.3">
      <c r="A2127" s="211">
        <v>41336</v>
      </c>
      <c r="B2127" s="211">
        <v>41336</v>
      </c>
      <c r="C2127" s="6">
        <v>3</v>
      </c>
      <c r="D2127" s="6">
        <v>1</v>
      </c>
      <c r="E2127" s="19">
        <v>2013</v>
      </c>
      <c r="F2127" s="15" t="s">
        <v>22</v>
      </c>
      <c r="G2127" s="18" t="s">
        <v>6255</v>
      </c>
      <c r="H2127" s="9" t="s">
        <v>118</v>
      </c>
      <c r="I2127" s="20" t="s">
        <v>3662</v>
      </c>
      <c r="J2127" s="21" t="s">
        <v>3663</v>
      </c>
      <c r="K2127" s="22">
        <v>0</v>
      </c>
      <c r="L2127" s="234">
        <v>4664</v>
      </c>
      <c r="M2127" s="23">
        <v>0</v>
      </c>
      <c r="N2127" s="23">
        <v>0</v>
      </c>
      <c r="O2127" s="23">
        <v>0</v>
      </c>
      <c r="P2127" s="23">
        <v>0</v>
      </c>
      <c r="Q2127" s="13">
        <v>2417.3833</v>
      </c>
      <c r="R2127" s="26">
        <v>332.209</v>
      </c>
      <c r="S2127" s="19" t="s">
        <v>1235</v>
      </c>
      <c r="T2127" s="257">
        <f t="shared" si="73"/>
        <v>4664</v>
      </c>
      <c r="U2127" s="257">
        <f t="shared" si="74"/>
        <v>0</v>
      </c>
      <c r="V2127">
        <v>1</v>
      </c>
      <c r="W2127">
        <v>0</v>
      </c>
    </row>
    <row r="2128" spans="1:23" ht="68.400000000000006" x14ac:dyDescent="0.3">
      <c r="A2128" s="211">
        <v>41335</v>
      </c>
      <c r="B2128" s="211">
        <v>41337</v>
      </c>
      <c r="C2128" s="6">
        <v>3</v>
      </c>
      <c r="D2128" s="6">
        <v>3</v>
      </c>
      <c r="E2128" s="19">
        <v>2013</v>
      </c>
      <c r="F2128" s="15" t="s">
        <v>22</v>
      </c>
      <c r="G2128" s="18" t="s">
        <v>6255</v>
      </c>
      <c r="H2128" s="9" t="s">
        <v>43</v>
      </c>
      <c r="I2128" s="20" t="s">
        <v>3664</v>
      </c>
      <c r="J2128" s="21" t="s">
        <v>3665</v>
      </c>
      <c r="K2128" s="22">
        <v>0</v>
      </c>
      <c r="L2128" s="234">
        <v>2072</v>
      </c>
      <c r="M2128" s="23">
        <v>0</v>
      </c>
      <c r="N2128" s="23">
        <v>0</v>
      </c>
      <c r="O2128" s="23">
        <v>0</v>
      </c>
      <c r="P2128" s="23">
        <v>0</v>
      </c>
      <c r="Q2128" s="13">
        <v>6843.19</v>
      </c>
      <c r="R2128" s="24">
        <v>112.41</v>
      </c>
      <c r="S2128" s="19" t="s">
        <v>1235</v>
      </c>
      <c r="T2128" s="257">
        <f t="shared" si="73"/>
        <v>2072</v>
      </c>
      <c r="U2128" s="257">
        <f t="shared" si="74"/>
        <v>0</v>
      </c>
      <c r="V2128">
        <v>1</v>
      </c>
      <c r="W2128">
        <v>0</v>
      </c>
    </row>
    <row r="2129" spans="1:23" ht="159.6" x14ac:dyDescent="0.3">
      <c r="A2129" s="211">
        <v>41334</v>
      </c>
      <c r="B2129" s="211">
        <v>41339</v>
      </c>
      <c r="C2129" s="6">
        <v>3</v>
      </c>
      <c r="D2129" s="6">
        <v>6</v>
      </c>
      <c r="E2129" s="19">
        <v>2013</v>
      </c>
      <c r="F2129" s="15" t="s">
        <v>22</v>
      </c>
      <c r="G2129" s="18" t="s">
        <v>6255</v>
      </c>
      <c r="H2129" s="9" t="s">
        <v>52</v>
      </c>
      <c r="I2129" s="20" t="s">
        <v>3666</v>
      </c>
      <c r="J2129" s="53" t="s">
        <v>3667</v>
      </c>
      <c r="K2129" s="22">
        <v>0</v>
      </c>
      <c r="L2129" s="234">
        <v>15672</v>
      </c>
      <c r="M2129" s="23">
        <v>0</v>
      </c>
      <c r="N2129" s="23">
        <v>0</v>
      </c>
      <c r="O2129" s="23">
        <v>0</v>
      </c>
      <c r="P2129" s="23">
        <v>0</v>
      </c>
      <c r="Q2129" s="143">
        <v>50915.66</v>
      </c>
      <c r="R2129" s="24">
        <v>126.4</v>
      </c>
      <c r="S2129" s="19" t="s">
        <v>1235</v>
      </c>
      <c r="T2129" s="257">
        <f t="shared" si="73"/>
        <v>15672</v>
      </c>
      <c r="U2129" s="257">
        <f t="shared" si="74"/>
        <v>0</v>
      </c>
      <c r="V2129">
        <v>2</v>
      </c>
      <c r="W2129">
        <v>0</v>
      </c>
    </row>
    <row r="2130" spans="1:23" ht="57" x14ac:dyDescent="0.3">
      <c r="A2130" s="211">
        <v>41336</v>
      </c>
      <c r="B2130" s="211">
        <v>41336</v>
      </c>
      <c r="C2130" s="6">
        <v>3</v>
      </c>
      <c r="D2130" s="6">
        <v>1</v>
      </c>
      <c r="E2130" s="19">
        <v>2013</v>
      </c>
      <c r="F2130" s="15" t="s">
        <v>22</v>
      </c>
      <c r="G2130" s="18" t="s">
        <v>6255</v>
      </c>
      <c r="H2130" s="9" t="s">
        <v>55</v>
      </c>
      <c r="I2130" s="20" t="s">
        <v>3668</v>
      </c>
      <c r="J2130" s="21" t="s">
        <v>3669</v>
      </c>
      <c r="K2130" s="22">
        <v>0</v>
      </c>
      <c r="L2130" s="234">
        <v>304</v>
      </c>
      <c r="M2130" s="23">
        <v>0</v>
      </c>
      <c r="N2130" s="23">
        <v>0</v>
      </c>
      <c r="O2130" s="23">
        <v>0</v>
      </c>
      <c r="P2130" s="23">
        <v>0</v>
      </c>
      <c r="Q2130" s="13">
        <v>426.4</v>
      </c>
      <c r="R2130" s="24">
        <v>38.96</v>
      </c>
      <c r="S2130" s="19" t="s">
        <v>1235</v>
      </c>
      <c r="T2130" s="257">
        <f t="shared" si="73"/>
        <v>304</v>
      </c>
      <c r="U2130" s="257">
        <f t="shared" si="74"/>
        <v>0</v>
      </c>
      <c r="V2130">
        <v>1</v>
      </c>
      <c r="W2130">
        <v>0</v>
      </c>
    </row>
    <row r="2131" spans="1:23" ht="57" x14ac:dyDescent="0.3">
      <c r="A2131" s="211">
        <v>41336</v>
      </c>
      <c r="B2131" s="211">
        <v>41340</v>
      </c>
      <c r="C2131" s="6">
        <v>3</v>
      </c>
      <c r="D2131" s="6">
        <v>5</v>
      </c>
      <c r="E2131" s="19">
        <v>2013</v>
      </c>
      <c r="F2131" s="15" t="s">
        <v>22</v>
      </c>
      <c r="G2131" s="18" t="s">
        <v>6255</v>
      </c>
      <c r="H2131" s="9" t="s">
        <v>64</v>
      </c>
      <c r="I2131" s="20" t="s">
        <v>3670</v>
      </c>
      <c r="J2131" s="21" t="s">
        <v>3671</v>
      </c>
      <c r="K2131" s="22">
        <v>0</v>
      </c>
      <c r="L2131" s="234">
        <v>3196</v>
      </c>
      <c r="M2131" s="23">
        <v>0</v>
      </c>
      <c r="N2131" s="23">
        <v>0</v>
      </c>
      <c r="O2131" s="23">
        <v>0</v>
      </c>
      <c r="P2131" s="23">
        <v>0</v>
      </c>
      <c r="Q2131" s="13">
        <v>5250.44</v>
      </c>
      <c r="R2131" s="26">
        <v>96.69</v>
      </c>
      <c r="S2131" s="19" t="s">
        <v>1235</v>
      </c>
      <c r="T2131" s="257">
        <f t="shared" si="73"/>
        <v>3196</v>
      </c>
      <c r="U2131" s="257">
        <f t="shared" si="74"/>
        <v>0</v>
      </c>
      <c r="V2131">
        <v>1</v>
      </c>
      <c r="W2131">
        <v>0</v>
      </c>
    </row>
    <row r="2132" spans="1:23" ht="57" x14ac:dyDescent="0.3">
      <c r="A2132" s="212">
        <v>41334</v>
      </c>
      <c r="B2132" s="211">
        <v>41348</v>
      </c>
      <c r="C2132" s="6">
        <v>3</v>
      </c>
      <c r="D2132" s="6">
        <v>15</v>
      </c>
      <c r="E2132" s="19">
        <v>2013</v>
      </c>
      <c r="F2132" s="15" t="s">
        <v>22</v>
      </c>
      <c r="G2132" s="18" t="s">
        <v>6255</v>
      </c>
      <c r="H2132" s="9" t="s">
        <v>70</v>
      </c>
      <c r="I2132" s="20" t="s">
        <v>3672</v>
      </c>
      <c r="J2132" s="53" t="s">
        <v>3673</v>
      </c>
      <c r="K2132" s="22">
        <v>0</v>
      </c>
      <c r="L2132" s="234">
        <v>12741</v>
      </c>
      <c r="M2132" s="23">
        <v>0</v>
      </c>
      <c r="N2132" s="23">
        <v>0</v>
      </c>
      <c r="O2132" s="23">
        <v>0</v>
      </c>
      <c r="P2132" s="23">
        <v>0</v>
      </c>
      <c r="Q2132" s="13">
        <v>0</v>
      </c>
      <c r="R2132" s="24">
        <v>0.28999999999999998</v>
      </c>
      <c r="S2132" s="19" t="s">
        <v>1235</v>
      </c>
      <c r="T2132" s="257">
        <f t="shared" si="73"/>
        <v>12741</v>
      </c>
      <c r="U2132" s="257">
        <f t="shared" si="74"/>
        <v>0</v>
      </c>
      <c r="V2132">
        <v>2</v>
      </c>
      <c r="W2132">
        <v>0</v>
      </c>
    </row>
    <row r="2133" spans="1:23" ht="114" x14ac:dyDescent="0.3">
      <c r="A2133" s="211">
        <v>41275</v>
      </c>
      <c r="B2133" s="211">
        <v>41364</v>
      </c>
      <c r="C2133" s="6">
        <v>1</v>
      </c>
      <c r="D2133" s="6">
        <v>90</v>
      </c>
      <c r="E2133" s="19">
        <v>2013</v>
      </c>
      <c r="F2133" s="15" t="s">
        <v>22</v>
      </c>
      <c r="G2133" s="16" t="s">
        <v>23</v>
      </c>
      <c r="H2133" s="9" t="s">
        <v>37</v>
      </c>
      <c r="I2133" s="20" t="s">
        <v>3660</v>
      </c>
      <c r="J2133" s="21" t="s">
        <v>3674</v>
      </c>
      <c r="K2133" s="22">
        <v>0</v>
      </c>
      <c r="L2133" s="234">
        <v>13220</v>
      </c>
      <c r="M2133" s="23">
        <v>0</v>
      </c>
      <c r="N2133" s="23">
        <v>0</v>
      </c>
      <c r="O2133" s="23">
        <v>0</v>
      </c>
      <c r="P2133" s="23">
        <v>0</v>
      </c>
      <c r="Q2133" s="23">
        <v>5506.5</v>
      </c>
      <c r="R2133" s="26">
        <v>1104.33</v>
      </c>
      <c r="S2133" s="19" t="s">
        <v>1235</v>
      </c>
      <c r="T2133" s="257">
        <f t="shared" si="73"/>
        <v>13220</v>
      </c>
      <c r="U2133" s="257">
        <f t="shared" si="74"/>
        <v>0</v>
      </c>
      <c r="V2133">
        <v>2</v>
      </c>
      <c r="W2133">
        <v>0</v>
      </c>
    </row>
    <row r="2134" spans="1:23" ht="57" x14ac:dyDescent="0.3">
      <c r="A2134" s="211">
        <v>41275</v>
      </c>
      <c r="B2134" s="212">
        <v>41364</v>
      </c>
      <c r="C2134" s="6">
        <v>1</v>
      </c>
      <c r="D2134" s="6">
        <v>90</v>
      </c>
      <c r="E2134" s="19">
        <v>2013</v>
      </c>
      <c r="F2134" s="15" t="s">
        <v>22</v>
      </c>
      <c r="G2134" s="16" t="s">
        <v>23</v>
      </c>
      <c r="H2134" s="9" t="s">
        <v>78</v>
      </c>
      <c r="I2134" s="20" t="s">
        <v>3675</v>
      </c>
      <c r="J2134" s="21" t="s">
        <v>3676</v>
      </c>
      <c r="K2134" s="22">
        <v>0</v>
      </c>
      <c r="L2134" s="234">
        <v>8585</v>
      </c>
      <c r="M2134" s="23">
        <v>0</v>
      </c>
      <c r="N2134" s="23">
        <v>0</v>
      </c>
      <c r="O2134" s="23">
        <v>0</v>
      </c>
      <c r="P2134" s="23">
        <v>0</v>
      </c>
      <c r="Q2134" s="23">
        <v>112087.39</v>
      </c>
      <c r="R2134" s="26">
        <v>278.2</v>
      </c>
      <c r="S2134" s="19" t="s">
        <v>1235</v>
      </c>
      <c r="T2134" s="257">
        <f t="shared" si="73"/>
        <v>8585</v>
      </c>
      <c r="U2134" s="257">
        <f t="shared" si="74"/>
        <v>0</v>
      </c>
      <c r="V2134">
        <v>1</v>
      </c>
      <c r="W2134">
        <v>0</v>
      </c>
    </row>
    <row r="2135" spans="1:23" ht="148.19999999999999" x14ac:dyDescent="0.3">
      <c r="A2135" s="211">
        <v>41275</v>
      </c>
      <c r="B2135" s="211">
        <v>41394</v>
      </c>
      <c r="C2135" s="6">
        <v>1</v>
      </c>
      <c r="D2135" s="6">
        <v>120</v>
      </c>
      <c r="E2135" s="19">
        <v>2013</v>
      </c>
      <c r="F2135" s="15" t="s">
        <v>22</v>
      </c>
      <c r="G2135" s="16" t="s">
        <v>23</v>
      </c>
      <c r="H2135" s="9" t="s">
        <v>70</v>
      </c>
      <c r="I2135" s="20" t="s">
        <v>3672</v>
      </c>
      <c r="J2135" s="21" t="s">
        <v>3677</v>
      </c>
      <c r="K2135" s="22">
        <v>0</v>
      </c>
      <c r="L2135" s="234">
        <v>7414</v>
      </c>
      <c r="M2135" s="23">
        <v>0</v>
      </c>
      <c r="N2135" s="23">
        <v>0</v>
      </c>
      <c r="O2135" s="23">
        <v>0</v>
      </c>
      <c r="P2135" s="23">
        <v>0</v>
      </c>
      <c r="Q2135" s="23">
        <v>0</v>
      </c>
      <c r="R2135" s="26">
        <v>919.65881400000001</v>
      </c>
      <c r="S2135" s="19" t="s">
        <v>1235</v>
      </c>
      <c r="T2135" s="257">
        <f t="shared" si="73"/>
        <v>7414</v>
      </c>
      <c r="U2135" s="257">
        <f t="shared" si="74"/>
        <v>0</v>
      </c>
      <c r="V2135">
        <v>1</v>
      </c>
      <c r="W2135">
        <v>0</v>
      </c>
    </row>
    <row r="2136" spans="1:23" ht="91.2" x14ac:dyDescent="0.3">
      <c r="A2136" s="211">
        <v>41365</v>
      </c>
      <c r="B2136" s="211">
        <v>41394</v>
      </c>
      <c r="C2136" s="6">
        <v>4</v>
      </c>
      <c r="D2136" s="6">
        <v>30</v>
      </c>
      <c r="E2136" s="19">
        <v>2013</v>
      </c>
      <c r="F2136" s="15" t="s">
        <v>22</v>
      </c>
      <c r="G2136" s="16" t="s">
        <v>23</v>
      </c>
      <c r="H2136" s="9" t="s">
        <v>41</v>
      </c>
      <c r="I2136" s="20" t="s">
        <v>3654</v>
      </c>
      <c r="J2136" s="21" t="s">
        <v>3678</v>
      </c>
      <c r="K2136" s="22">
        <v>0</v>
      </c>
      <c r="L2136" s="234">
        <v>37017</v>
      </c>
      <c r="M2136" s="23">
        <v>0</v>
      </c>
      <c r="N2136" s="23">
        <v>0</v>
      </c>
      <c r="O2136" s="23">
        <v>0</v>
      </c>
      <c r="P2136" s="23">
        <v>0</v>
      </c>
      <c r="Q2136" s="23">
        <v>0</v>
      </c>
      <c r="R2136" s="26">
        <v>608.20000000000005</v>
      </c>
      <c r="S2136" s="19" t="s">
        <v>1235</v>
      </c>
      <c r="T2136" s="257">
        <f t="shared" si="73"/>
        <v>37017</v>
      </c>
      <c r="U2136" s="257">
        <f t="shared" si="74"/>
        <v>0</v>
      </c>
      <c r="V2136">
        <v>2</v>
      </c>
      <c r="W2136">
        <v>0</v>
      </c>
    </row>
    <row r="2137" spans="1:23" ht="68.400000000000006" x14ac:dyDescent="0.3">
      <c r="A2137" s="211">
        <v>41405</v>
      </c>
      <c r="B2137" s="211">
        <v>41407</v>
      </c>
      <c r="C2137" s="6">
        <v>5</v>
      </c>
      <c r="D2137" s="6">
        <v>3</v>
      </c>
      <c r="E2137" s="19">
        <v>2013</v>
      </c>
      <c r="F2137" s="15" t="s">
        <v>22</v>
      </c>
      <c r="G2137" s="82" t="s">
        <v>6256</v>
      </c>
      <c r="H2137" s="9" t="s">
        <v>37</v>
      </c>
      <c r="I2137" s="20" t="s">
        <v>3679</v>
      </c>
      <c r="J2137" s="21" t="s">
        <v>3680</v>
      </c>
      <c r="K2137" s="22">
        <v>0</v>
      </c>
      <c r="L2137" s="234">
        <v>163</v>
      </c>
      <c r="M2137" s="23">
        <v>0</v>
      </c>
      <c r="N2137" s="23">
        <v>0</v>
      </c>
      <c r="O2137" s="23">
        <v>0</v>
      </c>
      <c r="P2137" s="23">
        <v>0</v>
      </c>
      <c r="Q2137" s="23">
        <v>1284.1400000000001</v>
      </c>
      <c r="R2137" s="26">
        <v>31.43</v>
      </c>
      <c r="S2137" s="19" t="s">
        <v>1235</v>
      </c>
      <c r="T2137" s="257">
        <f t="shared" si="73"/>
        <v>163</v>
      </c>
      <c r="U2137" s="257">
        <f t="shared" si="74"/>
        <v>0</v>
      </c>
      <c r="V2137">
        <v>1</v>
      </c>
      <c r="W2137">
        <v>0</v>
      </c>
    </row>
    <row r="2138" spans="1:23" ht="91.2" x14ac:dyDescent="0.3">
      <c r="A2138" s="211">
        <v>41418</v>
      </c>
      <c r="B2138" s="211">
        <v>41418</v>
      </c>
      <c r="C2138" s="6">
        <v>5</v>
      </c>
      <c r="D2138" s="6">
        <v>1</v>
      </c>
      <c r="E2138" s="19">
        <v>2013</v>
      </c>
      <c r="F2138" s="15" t="s">
        <v>22</v>
      </c>
      <c r="G2138" s="18" t="s">
        <v>6255</v>
      </c>
      <c r="H2138" s="9" t="s">
        <v>37</v>
      </c>
      <c r="I2138" s="20" t="s">
        <v>1038</v>
      </c>
      <c r="J2138" s="21" t="s">
        <v>3681</v>
      </c>
      <c r="K2138" s="22">
        <v>0</v>
      </c>
      <c r="L2138" s="234">
        <v>372</v>
      </c>
      <c r="M2138" s="23">
        <v>0</v>
      </c>
      <c r="N2138" s="23">
        <v>0</v>
      </c>
      <c r="O2138" s="23">
        <v>0</v>
      </c>
      <c r="P2138" s="23">
        <v>0</v>
      </c>
      <c r="Q2138" s="23">
        <v>736.3</v>
      </c>
      <c r="R2138" s="24">
        <v>10.16</v>
      </c>
      <c r="S2138" s="19" t="s">
        <v>1235</v>
      </c>
      <c r="T2138" s="257">
        <f t="shared" si="73"/>
        <v>372</v>
      </c>
      <c r="U2138" s="257">
        <f t="shared" si="74"/>
        <v>0</v>
      </c>
      <c r="V2138">
        <v>1</v>
      </c>
      <c r="W2138">
        <v>0</v>
      </c>
    </row>
    <row r="2139" spans="1:23" ht="34.200000000000003" x14ac:dyDescent="0.3">
      <c r="A2139" s="211">
        <v>41365</v>
      </c>
      <c r="B2139" s="211">
        <v>41455</v>
      </c>
      <c r="C2139" s="6">
        <v>4</v>
      </c>
      <c r="D2139" s="6">
        <v>91</v>
      </c>
      <c r="E2139" s="19">
        <v>2013</v>
      </c>
      <c r="F2139" s="15" t="s">
        <v>22</v>
      </c>
      <c r="G2139" s="16" t="s">
        <v>23</v>
      </c>
      <c r="H2139" s="9" t="s">
        <v>78</v>
      </c>
      <c r="I2139" s="20" t="s">
        <v>3682</v>
      </c>
      <c r="J2139" s="21" t="s">
        <v>3683</v>
      </c>
      <c r="K2139" s="22">
        <v>0</v>
      </c>
      <c r="L2139" s="234">
        <v>9678</v>
      </c>
      <c r="M2139" s="23">
        <v>0</v>
      </c>
      <c r="N2139" s="23">
        <v>0</v>
      </c>
      <c r="O2139" s="23">
        <v>0</v>
      </c>
      <c r="P2139" s="23">
        <v>0</v>
      </c>
      <c r="Q2139" s="23">
        <v>149616.84</v>
      </c>
      <c r="R2139" s="26">
        <v>371.3</v>
      </c>
      <c r="S2139" s="19" t="s">
        <v>1235</v>
      </c>
      <c r="T2139" s="257">
        <f t="shared" si="73"/>
        <v>9678</v>
      </c>
      <c r="U2139" s="257">
        <f t="shared" si="74"/>
        <v>0</v>
      </c>
      <c r="V2139">
        <v>1</v>
      </c>
      <c r="W2139">
        <v>0</v>
      </c>
    </row>
    <row r="2140" spans="1:23" ht="136.80000000000001" x14ac:dyDescent="0.3">
      <c r="A2140" s="211">
        <v>41531</v>
      </c>
      <c r="B2140" s="211">
        <v>41534</v>
      </c>
      <c r="C2140" s="6">
        <v>9</v>
      </c>
      <c r="D2140" s="6">
        <v>4</v>
      </c>
      <c r="E2140" s="19">
        <v>2013</v>
      </c>
      <c r="F2140" s="15" t="s">
        <v>22</v>
      </c>
      <c r="G2140" s="16" t="s">
        <v>6254</v>
      </c>
      <c r="H2140" s="9" t="s">
        <v>39</v>
      </c>
      <c r="I2140" s="20" t="s">
        <v>3658</v>
      </c>
      <c r="J2140" s="21" t="s">
        <v>3684</v>
      </c>
      <c r="K2140" s="22">
        <v>0</v>
      </c>
      <c r="L2140" s="234">
        <v>404</v>
      </c>
      <c r="M2140" s="23">
        <v>0</v>
      </c>
      <c r="N2140" s="23">
        <v>0</v>
      </c>
      <c r="O2140" s="23">
        <v>0</v>
      </c>
      <c r="P2140" s="23">
        <v>0</v>
      </c>
      <c r="Q2140" s="23">
        <v>1537.48</v>
      </c>
      <c r="R2140" s="24">
        <v>0.72</v>
      </c>
      <c r="S2140" s="19" t="s">
        <v>1235</v>
      </c>
      <c r="T2140" s="257">
        <f t="shared" si="73"/>
        <v>404</v>
      </c>
      <c r="U2140" s="257">
        <f t="shared" si="74"/>
        <v>0</v>
      </c>
      <c r="V2140">
        <v>1</v>
      </c>
      <c r="W2140">
        <v>0</v>
      </c>
    </row>
    <row r="2141" spans="1:23" ht="57" x14ac:dyDescent="0.3">
      <c r="A2141" s="211">
        <v>41531</v>
      </c>
      <c r="B2141" s="211">
        <v>41542</v>
      </c>
      <c r="C2141" s="6">
        <v>9</v>
      </c>
      <c r="D2141" s="6">
        <v>12</v>
      </c>
      <c r="E2141" s="19">
        <v>2013</v>
      </c>
      <c r="F2141" s="15" t="s">
        <v>22</v>
      </c>
      <c r="G2141" s="16" t="s">
        <v>6254</v>
      </c>
      <c r="H2141" s="9" t="s">
        <v>52</v>
      </c>
      <c r="I2141" s="20" t="s">
        <v>3685</v>
      </c>
      <c r="J2141" s="21" t="s">
        <v>3686</v>
      </c>
      <c r="K2141" s="22">
        <v>0</v>
      </c>
      <c r="L2141" s="234">
        <v>7858</v>
      </c>
      <c r="M2141" s="23">
        <v>0</v>
      </c>
      <c r="N2141" s="23">
        <v>0</v>
      </c>
      <c r="O2141" s="23">
        <v>0</v>
      </c>
      <c r="P2141" s="23">
        <v>0</v>
      </c>
      <c r="Q2141" s="13">
        <v>29235.79</v>
      </c>
      <c r="R2141" s="24">
        <v>577.6</v>
      </c>
      <c r="S2141" s="19" t="s">
        <v>1235</v>
      </c>
      <c r="T2141" s="257">
        <f t="shared" si="73"/>
        <v>7858</v>
      </c>
      <c r="U2141" s="257">
        <f t="shared" si="74"/>
        <v>0</v>
      </c>
      <c r="V2141">
        <v>1</v>
      </c>
      <c r="W2141">
        <v>0</v>
      </c>
    </row>
    <row r="2142" spans="1:23" ht="57" x14ac:dyDescent="0.3">
      <c r="A2142" s="211">
        <v>41531</v>
      </c>
      <c r="B2142" s="211">
        <v>41537</v>
      </c>
      <c r="C2142" s="6">
        <v>9</v>
      </c>
      <c r="D2142" s="6">
        <v>7</v>
      </c>
      <c r="E2142" s="19">
        <v>2013</v>
      </c>
      <c r="F2142" s="15" t="s">
        <v>22</v>
      </c>
      <c r="G2142" s="16" t="s">
        <v>6254</v>
      </c>
      <c r="H2142" s="9" t="s">
        <v>51</v>
      </c>
      <c r="I2142" s="20" t="s">
        <v>3687</v>
      </c>
      <c r="J2142" s="21" t="s">
        <v>3688</v>
      </c>
      <c r="K2142" s="22">
        <v>0</v>
      </c>
      <c r="L2142" s="234">
        <v>1078</v>
      </c>
      <c r="M2142" s="23">
        <v>0</v>
      </c>
      <c r="N2142" s="23">
        <v>0</v>
      </c>
      <c r="O2142" s="23">
        <v>0</v>
      </c>
      <c r="P2142" s="23">
        <v>0</v>
      </c>
      <c r="Q2142" s="23">
        <v>3747.8</v>
      </c>
      <c r="R2142" s="24">
        <v>178.59</v>
      </c>
      <c r="S2142" s="19" t="s">
        <v>1235</v>
      </c>
      <c r="T2142" s="257">
        <f t="shared" si="73"/>
        <v>1078</v>
      </c>
      <c r="U2142" s="257">
        <f t="shared" si="74"/>
        <v>0</v>
      </c>
      <c r="V2142">
        <v>1</v>
      </c>
      <c r="W2142">
        <v>0</v>
      </c>
    </row>
    <row r="2143" spans="1:23" ht="68.400000000000006" x14ac:dyDescent="0.3">
      <c r="A2143" s="211">
        <v>41589</v>
      </c>
      <c r="B2143" s="211">
        <v>41592</v>
      </c>
      <c r="C2143" s="6">
        <v>11</v>
      </c>
      <c r="D2143" s="6">
        <v>4</v>
      </c>
      <c r="E2143" s="19">
        <v>2013</v>
      </c>
      <c r="F2143" s="15" t="s">
        <v>22</v>
      </c>
      <c r="G2143" s="18" t="s">
        <v>6256</v>
      </c>
      <c r="H2143" s="9" t="s">
        <v>52</v>
      </c>
      <c r="I2143" s="20" t="s">
        <v>3689</v>
      </c>
      <c r="J2143" s="21" t="s">
        <v>3690</v>
      </c>
      <c r="K2143" s="22">
        <v>0</v>
      </c>
      <c r="L2143" s="234">
        <v>185</v>
      </c>
      <c r="M2143" s="23">
        <v>0</v>
      </c>
      <c r="N2143" s="23">
        <v>0</v>
      </c>
      <c r="O2143" s="23">
        <v>0</v>
      </c>
      <c r="P2143" s="23">
        <v>0</v>
      </c>
      <c r="Q2143" s="23">
        <v>682.6</v>
      </c>
      <c r="R2143" s="24">
        <v>188.16</v>
      </c>
      <c r="S2143" s="19" t="s">
        <v>1235</v>
      </c>
      <c r="T2143" s="257">
        <f t="shared" si="73"/>
        <v>185</v>
      </c>
      <c r="U2143" s="257">
        <f t="shared" si="74"/>
        <v>0</v>
      </c>
      <c r="V2143">
        <v>1</v>
      </c>
      <c r="W2143">
        <v>0</v>
      </c>
    </row>
    <row r="2144" spans="1:23" ht="45.6" x14ac:dyDescent="0.3">
      <c r="A2144" s="211">
        <v>41622</v>
      </c>
      <c r="B2144" s="211">
        <v>41639</v>
      </c>
      <c r="C2144" s="6">
        <v>12</v>
      </c>
      <c r="D2144" s="6">
        <v>18</v>
      </c>
      <c r="E2144" s="19">
        <v>2013</v>
      </c>
      <c r="F2144" s="15" t="s">
        <v>22</v>
      </c>
      <c r="G2144" s="16" t="s">
        <v>6256</v>
      </c>
      <c r="H2144" s="17" t="s">
        <v>565</v>
      </c>
      <c r="I2144" s="20" t="s">
        <v>3691</v>
      </c>
      <c r="J2144" s="21" t="s">
        <v>3692</v>
      </c>
      <c r="K2144" s="57">
        <v>0</v>
      </c>
      <c r="L2144" s="234">
        <v>7400</v>
      </c>
      <c r="M2144" s="23">
        <v>0</v>
      </c>
      <c r="N2144" s="23">
        <v>0</v>
      </c>
      <c r="O2144" s="23">
        <v>0</v>
      </c>
      <c r="P2144" s="23">
        <v>0</v>
      </c>
      <c r="Q2144" s="23">
        <v>0</v>
      </c>
      <c r="R2144" s="24">
        <v>503.4</v>
      </c>
      <c r="S2144" s="19" t="s">
        <v>1235</v>
      </c>
      <c r="T2144" s="257">
        <f t="shared" si="73"/>
        <v>7400</v>
      </c>
      <c r="U2144" s="257">
        <f t="shared" si="74"/>
        <v>0</v>
      </c>
      <c r="V2144">
        <v>1</v>
      </c>
      <c r="W2144">
        <v>0</v>
      </c>
    </row>
    <row r="2145" spans="1:23" ht="68.400000000000006" x14ac:dyDescent="0.3">
      <c r="A2145" s="212">
        <v>41282</v>
      </c>
      <c r="B2145" s="212">
        <v>41282</v>
      </c>
      <c r="C2145" s="6">
        <v>1</v>
      </c>
      <c r="D2145" s="6">
        <v>1</v>
      </c>
      <c r="E2145" s="19">
        <v>2013</v>
      </c>
      <c r="F2145" s="15" t="s">
        <v>22</v>
      </c>
      <c r="G2145" s="18" t="s">
        <v>6255</v>
      </c>
      <c r="H2145" s="9" t="s">
        <v>34</v>
      </c>
      <c r="I2145" s="20" t="s">
        <v>3693</v>
      </c>
      <c r="J2145" s="21" t="s">
        <v>3694</v>
      </c>
      <c r="K2145" s="22">
        <v>0</v>
      </c>
      <c r="L2145" s="234">
        <v>0</v>
      </c>
      <c r="M2145" s="23">
        <v>0</v>
      </c>
      <c r="N2145" s="23">
        <v>0</v>
      </c>
      <c r="O2145" s="23">
        <v>0</v>
      </c>
      <c r="P2145" s="23">
        <v>0</v>
      </c>
      <c r="Q2145" s="23">
        <v>0</v>
      </c>
      <c r="R2145" s="24">
        <v>77.569999999999993</v>
      </c>
      <c r="S2145" s="25" t="s">
        <v>115</v>
      </c>
      <c r="T2145" s="257">
        <f t="shared" si="73"/>
        <v>0</v>
      </c>
      <c r="U2145" s="257">
        <f t="shared" si="74"/>
        <v>0</v>
      </c>
      <c r="V2145">
        <v>0</v>
      </c>
      <c r="W2145">
        <v>0</v>
      </c>
    </row>
    <row r="2146" spans="1:23" ht="171" x14ac:dyDescent="0.3">
      <c r="A2146" s="211">
        <v>41294</v>
      </c>
      <c r="B2146" s="211">
        <v>41297</v>
      </c>
      <c r="C2146" s="6">
        <v>1</v>
      </c>
      <c r="D2146" s="6">
        <v>4</v>
      </c>
      <c r="E2146" s="19">
        <v>2013</v>
      </c>
      <c r="F2146" s="7" t="s">
        <v>17</v>
      </c>
      <c r="G2146" s="28" t="s">
        <v>6261</v>
      </c>
      <c r="H2146" s="9" t="s">
        <v>41</v>
      </c>
      <c r="I2146" s="20" t="s">
        <v>1563</v>
      </c>
      <c r="J2146" s="21" t="s">
        <v>3695</v>
      </c>
      <c r="K2146" s="22">
        <v>3</v>
      </c>
      <c r="L2146" s="234">
        <v>5</v>
      </c>
      <c r="M2146" s="23">
        <v>1</v>
      </c>
      <c r="N2146" s="23">
        <v>0</v>
      </c>
      <c r="O2146" s="23">
        <v>0</v>
      </c>
      <c r="P2146" s="23">
        <v>0</v>
      </c>
      <c r="Q2146" s="23">
        <v>0</v>
      </c>
      <c r="R2146" s="24">
        <v>0.12</v>
      </c>
      <c r="S2146" s="25" t="s">
        <v>115</v>
      </c>
      <c r="T2146" s="257">
        <f t="shared" si="73"/>
        <v>8</v>
      </c>
      <c r="U2146" s="257">
        <f t="shared" si="74"/>
        <v>1</v>
      </c>
      <c r="V2146">
        <v>1</v>
      </c>
      <c r="W2146">
        <v>1</v>
      </c>
    </row>
    <row r="2147" spans="1:23" ht="91.2" x14ac:dyDescent="0.3">
      <c r="A2147" s="211">
        <v>41376</v>
      </c>
      <c r="B2147" s="211">
        <v>41376</v>
      </c>
      <c r="C2147" s="6">
        <v>4</v>
      </c>
      <c r="D2147" s="6">
        <v>1</v>
      </c>
      <c r="E2147" s="19">
        <v>2013</v>
      </c>
      <c r="F2147" s="15" t="s">
        <v>22</v>
      </c>
      <c r="G2147" s="9" t="s">
        <v>6257</v>
      </c>
      <c r="H2147" s="9" t="s">
        <v>118</v>
      </c>
      <c r="I2147" s="20" t="s">
        <v>2964</v>
      </c>
      <c r="J2147" s="21" t="s">
        <v>3697</v>
      </c>
      <c r="K2147" s="22">
        <v>0</v>
      </c>
      <c r="L2147" s="234">
        <v>5</v>
      </c>
      <c r="M2147" s="23">
        <v>0</v>
      </c>
      <c r="N2147" s="23">
        <v>0</v>
      </c>
      <c r="O2147" s="23">
        <v>0</v>
      </c>
      <c r="P2147" s="23">
        <v>0</v>
      </c>
      <c r="Q2147" s="23">
        <v>0</v>
      </c>
      <c r="R2147" s="24">
        <v>0</v>
      </c>
      <c r="S2147" s="25" t="s">
        <v>115</v>
      </c>
      <c r="T2147" s="257">
        <f t="shared" si="73"/>
        <v>5</v>
      </c>
      <c r="U2147" s="257">
        <f t="shared" si="74"/>
        <v>0</v>
      </c>
      <c r="V2147">
        <v>1</v>
      </c>
      <c r="W2147">
        <v>0</v>
      </c>
    </row>
    <row r="2148" spans="1:23" ht="182.4" x14ac:dyDescent="0.3">
      <c r="A2148" s="211">
        <v>41387</v>
      </c>
      <c r="B2148" s="211">
        <v>41387</v>
      </c>
      <c r="C2148" s="6">
        <v>4</v>
      </c>
      <c r="D2148" s="6">
        <v>1</v>
      </c>
      <c r="E2148" s="19">
        <v>2013</v>
      </c>
      <c r="F2148" s="15" t="s">
        <v>22</v>
      </c>
      <c r="G2148" s="82" t="s">
        <v>6256</v>
      </c>
      <c r="H2148" s="9" t="s">
        <v>61</v>
      </c>
      <c r="I2148" s="20" t="s">
        <v>3698</v>
      </c>
      <c r="J2148" s="21" t="s">
        <v>3699</v>
      </c>
      <c r="K2148" s="6">
        <v>1</v>
      </c>
      <c r="L2148" s="233">
        <v>500</v>
      </c>
      <c r="M2148" s="23">
        <v>100</v>
      </c>
      <c r="N2148" s="23">
        <v>0</v>
      </c>
      <c r="O2148" s="23">
        <v>2</v>
      </c>
      <c r="P2148" s="23">
        <v>0</v>
      </c>
      <c r="Q2148" s="23">
        <v>0</v>
      </c>
      <c r="R2148" s="24">
        <v>2.82</v>
      </c>
      <c r="S2148" s="25" t="s">
        <v>115</v>
      </c>
      <c r="T2148" s="257">
        <f t="shared" si="73"/>
        <v>501</v>
      </c>
      <c r="U2148" s="257">
        <f t="shared" si="74"/>
        <v>102</v>
      </c>
      <c r="V2148">
        <v>1</v>
      </c>
      <c r="W2148">
        <v>1</v>
      </c>
    </row>
    <row r="2149" spans="1:23" ht="57" x14ac:dyDescent="0.3">
      <c r="A2149" s="211">
        <v>41397</v>
      </c>
      <c r="B2149" s="211">
        <v>41397</v>
      </c>
      <c r="C2149" s="6">
        <v>5</v>
      </c>
      <c r="D2149" s="6">
        <v>1</v>
      </c>
      <c r="E2149" s="19">
        <v>2013</v>
      </c>
      <c r="F2149" s="15" t="s">
        <v>22</v>
      </c>
      <c r="G2149" s="82" t="s">
        <v>6256</v>
      </c>
      <c r="H2149" s="9" t="s">
        <v>61</v>
      </c>
      <c r="I2149" s="20" t="s">
        <v>3009</v>
      </c>
      <c r="J2149" s="21" t="s">
        <v>3700</v>
      </c>
      <c r="K2149" s="6">
        <v>0</v>
      </c>
      <c r="L2149" s="233">
        <v>2</v>
      </c>
      <c r="M2149" s="23">
        <v>0</v>
      </c>
      <c r="N2149" s="23">
        <v>0</v>
      </c>
      <c r="O2149" s="23">
        <v>0</v>
      </c>
      <c r="P2149" s="23">
        <v>0</v>
      </c>
      <c r="Q2149" s="23">
        <v>0</v>
      </c>
      <c r="R2149" s="24">
        <v>0</v>
      </c>
      <c r="S2149" s="25" t="s">
        <v>115</v>
      </c>
      <c r="T2149" s="257">
        <f t="shared" si="73"/>
        <v>2</v>
      </c>
      <c r="U2149" s="257">
        <f t="shared" si="74"/>
        <v>0</v>
      </c>
      <c r="V2149">
        <v>1</v>
      </c>
      <c r="W2149">
        <v>0</v>
      </c>
    </row>
    <row r="2150" spans="1:23" ht="136.80000000000001" x14ac:dyDescent="0.3">
      <c r="A2150" s="211">
        <v>41404</v>
      </c>
      <c r="B2150" s="211">
        <v>41404</v>
      </c>
      <c r="C2150" s="6">
        <v>5</v>
      </c>
      <c r="D2150" s="6">
        <v>1</v>
      </c>
      <c r="E2150" s="19">
        <v>2013</v>
      </c>
      <c r="F2150" s="15" t="s">
        <v>22</v>
      </c>
      <c r="G2150" s="18" t="s">
        <v>6256</v>
      </c>
      <c r="H2150" s="9" t="s">
        <v>78</v>
      </c>
      <c r="I2150" s="20" t="s">
        <v>1021</v>
      </c>
      <c r="J2150" s="21" t="s">
        <v>3701</v>
      </c>
      <c r="K2150" s="22">
        <v>3</v>
      </c>
      <c r="L2150" s="234">
        <v>175</v>
      </c>
      <c r="M2150" s="23">
        <v>35</v>
      </c>
      <c r="N2150" s="23">
        <v>0</v>
      </c>
      <c r="O2150" s="23">
        <v>0</v>
      </c>
      <c r="P2150" s="23">
        <v>0</v>
      </c>
      <c r="Q2150" s="23">
        <v>0</v>
      </c>
      <c r="R2150" s="24">
        <v>0</v>
      </c>
      <c r="S2150" s="25" t="s">
        <v>115</v>
      </c>
      <c r="T2150" s="257">
        <f t="shared" si="73"/>
        <v>178</v>
      </c>
      <c r="U2150" s="257">
        <f t="shared" si="74"/>
        <v>35</v>
      </c>
      <c r="V2150">
        <v>1</v>
      </c>
      <c r="W2150">
        <v>1</v>
      </c>
    </row>
    <row r="2151" spans="1:23" ht="136.80000000000001" x14ac:dyDescent="0.3">
      <c r="A2151" s="211">
        <v>41418</v>
      </c>
      <c r="B2151" s="211">
        <v>41418</v>
      </c>
      <c r="C2151" s="6">
        <v>5</v>
      </c>
      <c r="D2151" s="6">
        <v>1</v>
      </c>
      <c r="E2151" s="19">
        <v>2013</v>
      </c>
      <c r="F2151" s="15" t="s">
        <v>22</v>
      </c>
      <c r="G2151" s="18" t="s">
        <v>6256</v>
      </c>
      <c r="H2151" s="9" t="s">
        <v>37</v>
      </c>
      <c r="I2151" s="20" t="s">
        <v>3702</v>
      </c>
      <c r="J2151" s="21" t="s">
        <v>3703</v>
      </c>
      <c r="K2151" s="22">
        <v>0</v>
      </c>
      <c r="L2151" s="234">
        <v>55</v>
      </c>
      <c r="M2151" s="23">
        <v>11</v>
      </c>
      <c r="N2151" s="23">
        <v>0</v>
      </c>
      <c r="O2151" s="23">
        <v>0</v>
      </c>
      <c r="P2151" s="23">
        <v>0</v>
      </c>
      <c r="Q2151" s="23">
        <v>0</v>
      </c>
      <c r="R2151" s="24">
        <v>0.05</v>
      </c>
      <c r="S2151" s="25" t="s">
        <v>115</v>
      </c>
      <c r="T2151" s="257">
        <f t="shared" si="73"/>
        <v>55</v>
      </c>
      <c r="U2151" s="257">
        <f t="shared" si="74"/>
        <v>11</v>
      </c>
      <c r="V2151">
        <v>1</v>
      </c>
      <c r="W2151">
        <v>1</v>
      </c>
    </row>
    <row r="2152" spans="1:23" ht="79.8" x14ac:dyDescent="0.3">
      <c r="A2152" s="211">
        <v>41420</v>
      </c>
      <c r="B2152" s="211">
        <v>41420</v>
      </c>
      <c r="C2152" s="6">
        <v>5</v>
      </c>
      <c r="D2152" s="6">
        <v>1</v>
      </c>
      <c r="E2152" s="19">
        <v>2013</v>
      </c>
      <c r="F2152" s="15" t="s">
        <v>22</v>
      </c>
      <c r="G2152" s="82" t="s">
        <v>6256</v>
      </c>
      <c r="H2152" s="9" t="s">
        <v>121</v>
      </c>
      <c r="I2152" s="20" t="s">
        <v>3704</v>
      </c>
      <c r="J2152" s="21" t="s">
        <v>3705</v>
      </c>
      <c r="K2152" s="22">
        <v>0</v>
      </c>
      <c r="L2152" s="234">
        <v>1500</v>
      </c>
      <c r="M2152" s="23">
        <v>300</v>
      </c>
      <c r="N2152" s="23">
        <v>0</v>
      </c>
      <c r="O2152" s="23">
        <v>0</v>
      </c>
      <c r="P2152" s="23">
        <v>0</v>
      </c>
      <c r="Q2152" s="23">
        <v>0</v>
      </c>
      <c r="R2152" s="24">
        <v>0.3</v>
      </c>
      <c r="S2152" s="25" t="s">
        <v>115</v>
      </c>
      <c r="T2152" s="257">
        <f t="shared" si="73"/>
        <v>1500</v>
      </c>
      <c r="U2152" s="257">
        <f t="shared" si="74"/>
        <v>300</v>
      </c>
      <c r="V2152">
        <v>1</v>
      </c>
      <c r="W2152">
        <v>1</v>
      </c>
    </row>
    <row r="2153" spans="1:23" ht="125.4" x14ac:dyDescent="0.3">
      <c r="A2153" s="129">
        <v>41420</v>
      </c>
      <c r="B2153" s="129">
        <v>41420</v>
      </c>
      <c r="C2153" s="6">
        <v>5</v>
      </c>
      <c r="D2153" s="6">
        <v>1</v>
      </c>
      <c r="E2153" s="19">
        <v>2013</v>
      </c>
      <c r="F2153" s="7" t="s">
        <v>17</v>
      </c>
      <c r="G2153" s="28" t="s">
        <v>6261</v>
      </c>
      <c r="H2153" s="9" t="s">
        <v>121</v>
      </c>
      <c r="I2153" s="20" t="s">
        <v>3704</v>
      </c>
      <c r="J2153" s="21" t="s">
        <v>3706</v>
      </c>
      <c r="K2153" s="22">
        <v>7</v>
      </c>
      <c r="L2153" s="234">
        <v>11</v>
      </c>
      <c r="M2153" s="23">
        <v>0</v>
      </c>
      <c r="N2153" s="23">
        <v>0</v>
      </c>
      <c r="O2153" s="23">
        <v>0</v>
      </c>
      <c r="P2153" s="23">
        <v>0</v>
      </c>
      <c r="Q2153" s="23">
        <v>0</v>
      </c>
      <c r="R2153" s="24">
        <v>0.2</v>
      </c>
      <c r="S2153" s="25" t="s">
        <v>115</v>
      </c>
      <c r="T2153" s="257">
        <f t="shared" si="73"/>
        <v>18</v>
      </c>
      <c r="U2153" s="257">
        <f t="shared" si="74"/>
        <v>0</v>
      </c>
      <c r="V2153">
        <v>1</v>
      </c>
      <c r="W2153">
        <v>0</v>
      </c>
    </row>
    <row r="2154" spans="1:23" ht="171" x14ac:dyDescent="0.3">
      <c r="A2154" s="211">
        <v>41421</v>
      </c>
      <c r="B2154" s="211">
        <v>41421</v>
      </c>
      <c r="C2154" s="6">
        <v>5</v>
      </c>
      <c r="D2154" s="6">
        <v>1</v>
      </c>
      <c r="E2154" s="19">
        <v>2013</v>
      </c>
      <c r="F2154" s="15" t="s">
        <v>22</v>
      </c>
      <c r="G2154" s="16" t="s">
        <v>6254</v>
      </c>
      <c r="H2154" s="9" t="s">
        <v>61</v>
      </c>
      <c r="I2154" s="20" t="s">
        <v>3707</v>
      </c>
      <c r="J2154" s="21" t="s">
        <v>3708</v>
      </c>
      <c r="K2154" s="22">
        <v>3</v>
      </c>
      <c r="L2154" s="234">
        <v>0</v>
      </c>
      <c r="M2154" s="23">
        <v>200</v>
      </c>
      <c r="N2154" s="23">
        <v>0</v>
      </c>
      <c r="O2154" s="23">
        <v>0</v>
      </c>
      <c r="P2154" s="23">
        <v>0</v>
      </c>
      <c r="Q2154" s="23">
        <v>0</v>
      </c>
      <c r="R2154" s="24">
        <f>20.9+6.77</f>
        <v>27.669999999999998</v>
      </c>
      <c r="S2154" s="25" t="s">
        <v>149</v>
      </c>
      <c r="T2154" s="257">
        <f t="shared" si="73"/>
        <v>3</v>
      </c>
      <c r="U2154" s="257">
        <f t="shared" si="74"/>
        <v>200</v>
      </c>
      <c r="V2154">
        <v>1</v>
      </c>
      <c r="W2154">
        <v>1</v>
      </c>
    </row>
    <row r="2155" spans="1:23" ht="125.4" x14ac:dyDescent="0.3">
      <c r="A2155" s="211">
        <v>41423</v>
      </c>
      <c r="B2155" s="211">
        <v>41424</v>
      </c>
      <c r="C2155" s="6">
        <v>5</v>
      </c>
      <c r="D2155" s="6">
        <v>2</v>
      </c>
      <c r="E2155" s="19">
        <v>2013</v>
      </c>
      <c r="F2155" s="15" t="s">
        <v>22</v>
      </c>
      <c r="G2155" s="16" t="s">
        <v>6254</v>
      </c>
      <c r="H2155" s="9" t="s">
        <v>31</v>
      </c>
      <c r="I2155" s="20" t="s">
        <v>3709</v>
      </c>
      <c r="J2155" s="21" t="s">
        <v>3710</v>
      </c>
      <c r="K2155" s="22">
        <v>0</v>
      </c>
      <c r="L2155" s="234">
        <v>248428</v>
      </c>
      <c r="M2155" s="23">
        <v>10568</v>
      </c>
      <c r="N2155" s="23">
        <v>183</v>
      </c>
      <c r="O2155" s="23">
        <v>3</v>
      </c>
      <c r="P2155" s="23">
        <v>261</v>
      </c>
      <c r="Q2155" s="23">
        <v>4014.75</v>
      </c>
      <c r="R2155" s="24">
        <v>1889.5</v>
      </c>
      <c r="S2155" s="25" t="s">
        <v>21</v>
      </c>
      <c r="T2155" s="257">
        <f t="shared" si="73"/>
        <v>248428</v>
      </c>
      <c r="U2155" s="257">
        <f t="shared" si="74"/>
        <v>11015</v>
      </c>
      <c r="V2155">
        <v>3</v>
      </c>
      <c r="W2155">
        <v>3</v>
      </c>
    </row>
    <row r="2156" spans="1:23" ht="125.4" x14ac:dyDescent="0.3">
      <c r="A2156" s="211">
        <v>41432</v>
      </c>
      <c r="B2156" s="211">
        <v>41432</v>
      </c>
      <c r="C2156" s="6">
        <v>6</v>
      </c>
      <c r="D2156" s="6">
        <v>1</v>
      </c>
      <c r="E2156" s="19">
        <v>2013</v>
      </c>
      <c r="F2156" s="15" t="s">
        <v>22</v>
      </c>
      <c r="G2156" s="82" t="s">
        <v>6256</v>
      </c>
      <c r="H2156" s="9" t="s">
        <v>51</v>
      </c>
      <c r="I2156" s="20" t="s">
        <v>3711</v>
      </c>
      <c r="J2156" s="21" t="s">
        <v>3712</v>
      </c>
      <c r="K2156" s="22">
        <v>0</v>
      </c>
      <c r="L2156" s="234">
        <v>725</v>
      </c>
      <c r="M2156" s="23">
        <v>90</v>
      </c>
      <c r="N2156" s="23">
        <v>0</v>
      </c>
      <c r="O2156" s="23">
        <v>0</v>
      </c>
      <c r="P2156" s="23">
        <v>0</v>
      </c>
      <c r="Q2156" s="23">
        <v>0</v>
      </c>
      <c r="R2156" s="24">
        <v>0.2</v>
      </c>
      <c r="S2156" s="25" t="s">
        <v>115</v>
      </c>
      <c r="T2156" s="257">
        <f t="shared" si="73"/>
        <v>725</v>
      </c>
      <c r="U2156" s="257">
        <f t="shared" si="74"/>
        <v>90</v>
      </c>
      <c r="V2156">
        <v>1</v>
      </c>
      <c r="W2156">
        <v>1</v>
      </c>
    </row>
    <row r="2157" spans="1:23" ht="79.8" x14ac:dyDescent="0.3">
      <c r="A2157" s="129">
        <v>41437</v>
      </c>
      <c r="B2157" s="129">
        <v>41437</v>
      </c>
      <c r="C2157" s="6">
        <v>6</v>
      </c>
      <c r="D2157" s="6">
        <v>1</v>
      </c>
      <c r="E2157" s="19">
        <v>2013</v>
      </c>
      <c r="F2157" s="15" t="s">
        <v>22</v>
      </c>
      <c r="G2157" s="18" t="s">
        <v>6256</v>
      </c>
      <c r="H2157" s="9" t="s">
        <v>70</v>
      </c>
      <c r="I2157" s="20" t="s">
        <v>2595</v>
      </c>
      <c r="J2157" s="21" t="s">
        <v>3713</v>
      </c>
      <c r="K2157" s="22">
        <v>2</v>
      </c>
      <c r="L2157" s="234">
        <v>4</v>
      </c>
      <c r="M2157" s="23">
        <v>0</v>
      </c>
      <c r="N2157" s="23">
        <v>0</v>
      </c>
      <c r="O2157" s="23">
        <v>0</v>
      </c>
      <c r="P2157" s="23">
        <v>0</v>
      </c>
      <c r="Q2157" s="23">
        <v>0</v>
      </c>
      <c r="R2157" s="24">
        <v>0</v>
      </c>
      <c r="S2157" s="25" t="s">
        <v>115</v>
      </c>
      <c r="T2157" s="257">
        <f t="shared" si="73"/>
        <v>6</v>
      </c>
      <c r="U2157" s="257">
        <f t="shared" si="74"/>
        <v>0</v>
      </c>
      <c r="V2157">
        <v>1</v>
      </c>
      <c r="W2157">
        <v>0</v>
      </c>
    </row>
    <row r="2158" spans="1:23" ht="45.6" x14ac:dyDescent="0.3">
      <c r="A2158" s="129">
        <v>41438</v>
      </c>
      <c r="B2158" s="129">
        <v>41438</v>
      </c>
      <c r="C2158" s="6">
        <v>6</v>
      </c>
      <c r="D2158" s="6">
        <v>1</v>
      </c>
      <c r="E2158" s="19">
        <v>2013</v>
      </c>
      <c r="F2158" s="15" t="s">
        <v>22</v>
      </c>
      <c r="G2158" s="82" t="s">
        <v>6256</v>
      </c>
      <c r="H2158" s="9" t="s">
        <v>112</v>
      </c>
      <c r="I2158" s="20" t="s">
        <v>1268</v>
      </c>
      <c r="J2158" s="21" t="s">
        <v>3714</v>
      </c>
      <c r="K2158" s="22">
        <v>1</v>
      </c>
      <c r="L2158" s="234">
        <v>1</v>
      </c>
      <c r="M2158" s="23">
        <v>0</v>
      </c>
      <c r="N2158" s="23">
        <v>0</v>
      </c>
      <c r="O2158" s="23">
        <v>0</v>
      </c>
      <c r="P2158" s="23">
        <v>0</v>
      </c>
      <c r="Q2158" s="23">
        <v>0</v>
      </c>
      <c r="R2158" s="24">
        <v>0</v>
      </c>
      <c r="S2158" s="25" t="s">
        <v>115</v>
      </c>
      <c r="T2158" s="257">
        <f t="shared" si="73"/>
        <v>2</v>
      </c>
      <c r="U2158" s="257">
        <f t="shared" si="74"/>
        <v>0</v>
      </c>
      <c r="V2158">
        <v>1</v>
      </c>
      <c r="W2158">
        <v>0</v>
      </c>
    </row>
    <row r="2159" spans="1:23" ht="68.400000000000006" x14ac:dyDescent="0.3">
      <c r="A2159" s="129">
        <v>41446</v>
      </c>
      <c r="B2159" s="129">
        <v>41446</v>
      </c>
      <c r="C2159" s="6">
        <v>6</v>
      </c>
      <c r="D2159" s="6">
        <v>1</v>
      </c>
      <c r="E2159" s="19">
        <v>2013</v>
      </c>
      <c r="F2159" s="15" t="s">
        <v>22</v>
      </c>
      <c r="G2159" s="18" t="s">
        <v>6256</v>
      </c>
      <c r="H2159" s="9" t="s">
        <v>61</v>
      </c>
      <c r="I2159" s="20" t="s">
        <v>1898</v>
      </c>
      <c r="J2159" s="21" t="s">
        <v>3715</v>
      </c>
      <c r="K2159" s="22">
        <v>2</v>
      </c>
      <c r="L2159" s="234">
        <v>2</v>
      </c>
      <c r="M2159" s="23">
        <v>0</v>
      </c>
      <c r="N2159" s="23">
        <v>0</v>
      </c>
      <c r="O2159" s="23">
        <v>0</v>
      </c>
      <c r="P2159" s="23">
        <v>0</v>
      </c>
      <c r="Q2159" s="23">
        <v>0</v>
      </c>
      <c r="R2159" s="24">
        <v>0.05</v>
      </c>
      <c r="S2159" s="25" t="s">
        <v>115</v>
      </c>
      <c r="T2159" s="257">
        <f t="shared" si="73"/>
        <v>4</v>
      </c>
      <c r="U2159" s="257">
        <f t="shared" si="74"/>
        <v>0</v>
      </c>
      <c r="V2159">
        <v>1</v>
      </c>
      <c r="W2159">
        <v>0</v>
      </c>
    </row>
    <row r="2160" spans="1:23" ht="68.400000000000006" x14ac:dyDescent="0.3">
      <c r="A2160" s="211">
        <v>41443</v>
      </c>
      <c r="B2160" s="211">
        <v>41443</v>
      </c>
      <c r="C2160" s="6">
        <v>6</v>
      </c>
      <c r="D2160" s="6">
        <v>1</v>
      </c>
      <c r="E2160" s="19">
        <v>2013</v>
      </c>
      <c r="F2160" s="15" t="s">
        <v>22</v>
      </c>
      <c r="G2160" s="82" t="s">
        <v>6256</v>
      </c>
      <c r="H2160" s="9" t="s">
        <v>41</v>
      </c>
      <c r="I2160" s="20" t="s">
        <v>3716</v>
      </c>
      <c r="J2160" s="21" t="s">
        <v>3717</v>
      </c>
      <c r="K2160" s="22">
        <v>0</v>
      </c>
      <c r="L2160" s="234">
        <v>30</v>
      </c>
      <c r="M2160" s="23">
        <v>6</v>
      </c>
      <c r="N2160" s="23">
        <v>0</v>
      </c>
      <c r="O2160" s="23">
        <v>0</v>
      </c>
      <c r="P2160" s="23">
        <v>0</v>
      </c>
      <c r="Q2160" s="23">
        <v>0</v>
      </c>
      <c r="R2160" s="24">
        <v>0</v>
      </c>
      <c r="S2160" s="25" t="s">
        <v>115</v>
      </c>
      <c r="T2160" s="257">
        <f t="shared" si="73"/>
        <v>30</v>
      </c>
      <c r="U2160" s="257">
        <f t="shared" si="74"/>
        <v>6</v>
      </c>
      <c r="V2160">
        <v>1</v>
      </c>
      <c r="W2160">
        <v>1</v>
      </c>
    </row>
    <row r="2161" spans="1:23" ht="91.2" x14ac:dyDescent="0.3">
      <c r="A2161" s="129">
        <v>41438</v>
      </c>
      <c r="B2161" s="129">
        <v>41438</v>
      </c>
      <c r="C2161" s="6">
        <v>6</v>
      </c>
      <c r="D2161" s="6">
        <v>1</v>
      </c>
      <c r="E2161" s="19">
        <v>2013</v>
      </c>
      <c r="F2161" s="15" t="s">
        <v>22</v>
      </c>
      <c r="G2161" s="18" t="s">
        <v>6256</v>
      </c>
      <c r="H2161" s="9" t="s">
        <v>70</v>
      </c>
      <c r="I2161" s="20" t="s">
        <v>3718</v>
      </c>
      <c r="J2161" s="21" t="s">
        <v>3719</v>
      </c>
      <c r="K2161" s="22">
        <v>0</v>
      </c>
      <c r="L2161" s="234">
        <v>87</v>
      </c>
      <c r="M2161" s="23">
        <v>20</v>
      </c>
      <c r="N2161" s="23">
        <v>0</v>
      </c>
      <c r="O2161" s="23">
        <v>0</v>
      </c>
      <c r="P2161" s="23">
        <v>0</v>
      </c>
      <c r="Q2161" s="23">
        <v>0</v>
      </c>
      <c r="R2161" s="24">
        <v>0.02</v>
      </c>
      <c r="S2161" s="25" t="s">
        <v>115</v>
      </c>
      <c r="T2161" s="257">
        <f t="shared" si="73"/>
        <v>87</v>
      </c>
      <c r="U2161" s="257">
        <f t="shared" si="74"/>
        <v>20</v>
      </c>
      <c r="V2161">
        <v>1</v>
      </c>
      <c r="W2161">
        <v>1</v>
      </c>
    </row>
    <row r="2162" spans="1:23" ht="182.4" x14ac:dyDescent="0.3">
      <c r="A2162" s="129">
        <v>41444</v>
      </c>
      <c r="B2162" s="129">
        <v>41447</v>
      </c>
      <c r="C2162" s="6">
        <v>6</v>
      </c>
      <c r="D2162" s="6">
        <v>4</v>
      </c>
      <c r="E2162" s="19">
        <v>2013</v>
      </c>
      <c r="F2162" s="15" t="s">
        <v>22</v>
      </c>
      <c r="G2162" s="16" t="s">
        <v>6254</v>
      </c>
      <c r="H2162" s="9" t="s">
        <v>174</v>
      </c>
      <c r="I2162" s="20" t="s">
        <v>3720</v>
      </c>
      <c r="J2162" s="21" t="s">
        <v>3721</v>
      </c>
      <c r="K2162" s="22">
        <v>2</v>
      </c>
      <c r="L2162" s="234">
        <v>254893</v>
      </c>
      <c r="M2162" s="23">
        <v>382</v>
      </c>
      <c r="N2162" s="23">
        <v>19</v>
      </c>
      <c r="O2162" s="23">
        <v>4</v>
      </c>
      <c r="P2162" s="23">
        <v>289</v>
      </c>
      <c r="Q2162" s="23">
        <v>10512</v>
      </c>
      <c r="R2162" s="24">
        <v>4530.6000000000004</v>
      </c>
      <c r="S2162" s="25" t="s">
        <v>21</v>
      </c>
      <c r="T2162" s="257">
        <f t="shared" si="73"/>
        <v>254895</v>
      </c>
      <c r="U2162" s="257">
        <f t="shared" si="74"/>
        <v>694</v>
      </c>
      <c r="V2162">
        <v>3</v>
      </c>
      <c r="W2162">
        <v>1</v>
      </c>
    </row>
    <row r="2163" spans="1:23" ht="102.6" x14ac:dyDescent="0.3">
      <c r="A2163" s="129">
        <v>41443</v>
      </c>
      <c r="B2163" s="129">
        <v>41443</v>
      </c>
      <c r="C2163" s="6">
        <v>6</v>
      </c>
      <c r="D2163" s="6">
        <v>1</v>
      </c>
      <c r="E2163" s="19">
        <v>2013</v>
      </c>
      <c r="F2163" s="15" t="s">
        <v>22</v>
      </c>
      <c r="G2163" s="16" t="s">
        <v>6254</v>
      </c>
      <c r="H2163" s="9" t="s">
        <v>112</v>
      </c>
      <c r="I2163" s="20" t="s">
        <v>1268</v>
      </c>
      <c r="J2163" s="21" t="s">
        <v>3722</v>
      </c>
      <c r="K2163" s="22">
        <v>0</v>
      </c>
      <c r="L2163" s="234">
        <v>425</v>
      </c>
      <c r="M2163" s="23">
        <v>85</v>
      </c>
      <c r="N2163" s="23">
        <v>0</v>
      </c>
      <c r="O2163" s="23">
        <v>0</v>
      </c>
      <c r="P2163" s="23">
        <v>0</v>
      </c>
      <c r="Q2163" s="23">
        <v>0</v>
      </c>
      <c r="R2163" s="24">
        <v>0.1</v>
      </c>
      <c r="S2163" s="25" t="s">
        <v>115</v>
      </c>
      <c r="T2163" s="257">
        <f t="shared" si="73"/>
        <v>425</v>
      </c>
      <c r="U2163" s="257">
        <f t="shared" si="74"/>
        <v>85</v>
      </c>
      <c r="V2163">
        <v>1</v>
      </c>
      <c r="W2163">
        <v>1</v>
      </c>
    </row>
    <row r="2164" spans="1:23" ht="79.8" x14ac:dyDescent="0.3">
      <c r="A2164" s="129">
        <v>41439</v>
      </c>
      <c r="B2164" s="129">
        <v>41439</v>
      </c>
      <c r="C2164" s="6">
        <v>6</v>
      </c>
      <c r="D2164" s="6">
        <v>1</v>
      </c>
      <c r="E2164" s="19">
        <v>2013</v>
      </c>
      <c r="F2164" s="15" t="s">
        <v>22</v>
      </c>
      <c r="G2164" s="18" t="s">
        <v>6256</v>
      </c>
      <c r="H2164" s="9" t="s">
        <v>24</v>
      </c>
      <c r="I2164" s="20" t="s">
        <v>3723</v>
      </c>
      <c r="J2164" s="21" t="s">
        <v>3724</v>
      </c>
      <c r="K2164" s="22">
        <v>0</v>
      </c>
      <c r="L2164" s="234">
        <v>489</v>
      </c>
      <c r="M2164" s="23">
        <v>0</v>
      </c>
      <c r="N2164" s="23">
        <v>0</v>
      </c>
      <c r="O2164" s="23">
        <v>0</v>
      </c>
      <c r="P2164" s="23">
        <v>0</v>
      </c>
      <c r="Q2164" s="23">
        <v>0</v>
      </c>
      <c r="R2164" s="24">
        <v>0</v>
      </c>
      <c r="S2164" s="25" t="s">
        <v>115</v>
      </c>
      <c r="T2164" s="257">
        <f t="shared" si="73"/>
        <v>489</v>
      </c>
      <c r="U2164" s="257">
        <f t="shared" si="74"/>
        <v>0</v>
      </c>
      <c r="V2164">
        <v>1</v>
      </c>
      <c r="W2164">
        <v>0</v>
      </c>
    </row>
    <row r="2165" spans="1:23" ht="136.80000000000001" x14ac:dyDescent="0.3">
      <c r="A2165" s="129">
        <v>41435</v>
      </c>
      <c r="B2165" s="129">
        <v>41435</v>
      </c>
      <c r="C2165" s="6">
        <v>6</v>
      </c>
      <c r="D2165" s="6">
        <v>1</v>
      </c>
      <c r="E2165" s="19">
        <v>2013</v>
      </c>
      <c r="F2165" s="15" t="s">
        <v>22</v>
      </c>
      <c r="G2165" s="18" t="s">
        <v>6256</v>
      </c>
      <c r="H2165" s="9" t="s">
        <v>66</v>
      </c>
      <c r="I2165" s="20" t="s">
        <v>3725</v>
      </c>
      <c r="J2165" s="21" t="s">
        <v>3726</v>
      </c>
      <c r="K2165" s="22">
        <v>0</v>
      </c>
      <c r="L2165" s="234">
        <v>800</v>
      </c>
      <c r="M2165" s="23">
        <v>160</v>
      </c>
      <c r="N2165" s="23">
        <v>1</v>
      </c>
      <c r="O2165" s="23">
        <v>0</v>
      </c>
      <c r="P2165" s="23">
        <v>0</v>
      </c>
      <c r="Q2165" s="23">
        <v>0</v>
      </c>
      <c r="R2165" s="24">
        <v>0.16</v>
      </c>
      <c r="S2165" s="25" t="s">
        <v>115</v>
      </c>
      <c r="T2165" s="257">
        <f t="shared" si="73"/>
        <v>800</v>
      </c>
      <c r="U2165" s="257">
        <f t="shared" si="74"/>
        <v>161</v>
      </c>
      <c r="V2165">
        <v>1</v>
      </c>
      <c r="W2165">
        <v>1</v>
      </c>
    </row>
    <row r="2166" spans="1:23" ht="342" x14ac:dyDescent="0.3">
      <c r="A2166" s="129">
        <v>41439</v>
      </c>
      <c r="B2166" s="129">
        <v>41441</v>
      </c>
      <c r="C2166" s="6">
        <v>6</v>
      </c>
      <c r="D2166" s="6">
        <v>3</v>
      </c>
      <c r="E2166" s="19">
        <v>2013</v>
      </c>
      <c r="F2166" s="15" t="s">
        <v>22</v>
      </c>
      <c r="G2166" s="18" t="s">
        <v>6256</v>
      </c>
      <c r="H2166" s="9" t="s">
        <v>37</v>
      </c>
      <c r="I2166" s="20" t="s">
        <v>3727</v>
      </c>
      <c r="J2166" s="21" t="s">
        <v>3728</v>
      </c>
      <c r="K2166" s="22">
        <v>1</v>
      </c>
      <c r="L2166" s="234">
        <v>213000</v>
      </c>
      <c r="M2166" s="23">
        <v>161</v>
      </c>
      <c r="N2166" s="23">
        <v>67</v>
      </c>
      <c r="O2166" s="23">
        <v>11</v>
      </c>
      <c r="P2166" s="23">
        <v>767</v>
      </c>
      <c r="Q2166" s="23">
        <v>0</v>
      </c>
      <c r="R2166" s="24">
        <v>255.4</v>
      </c>
      <c r="S2166" s="25" t="s">
        <v>21</v>
      </c>
      <c r="T2166" s="257">
        <f t="shared" si="73"/>
        <v>213001</v>
      </c>
      <c r="U2166" s="257">
        <f t="shared" si="74"/>
        <v>1006</v>
      </c>
      <c r="V2166">
        <v>3</v>
      </c>
      <c r="W2166">
        <v>2</v>
      </c>
    </row>
    <row r="2167" spans="1:23" ht="57" x14ac:dyDescent="0.3">
      <c r="A2167" s="129">
        <v>41441</v>
      </c>
      <c r="B2167" s="129">
        <v>41441</v>
      </c>
      <c r="C2167" s="6">
        <v>6</v>
      </c>
      <c r="D2167" s="6">
        <v>1</v>
      </c>
      <c r="E2167" s="19">
        <v>2013</v>
      </c>
      <c r="F2167" s="15" t="s">
        <v>22</v>
      </c>
      <c r="G2167" s="18" t="s">
        <v>6256</v>
      </c>
      <c r="H2167" s="9" t="s">
        <v>61</v>
      </c>
      <c r="I2167" s="20" t="s">
        <v>3729</v>
      </c>
      <c r="J2167" s="21" t="s">
        <v>3730</v>
      </c>
      <c r="K2167" s="22">
        <v>2</v>
      </c>
      <c r="L2167" s="234">
        <v>2</v>
      </c>
      <c r="M2167" s="23">
        <v>0</v>
      </c>
      <c r="N2167" s="23">
        <v>0</v>
      </c>
      <c r="O2167" s="23">
        <v>0</v>
      </c>
      <c r="P2167" s="23">
        <v>0</v>
      </c>
      <c r="Q2167" s="23">
        <v>0</v>
      </c>
      <c r="R2167" s="24">
        <v>0</v>
      </c>
      <c r="S2167" s="25" t="s">
        <v>115</v>
      </c>
      <c r="T2167" s="257">
        <f t="shared" si="73"/>
        <v>4</v>
      </c>
      <c r="U2167" s="257">
        <f t="shared" si="74"/>
        <v>0</v>
      </c>
      <c r="V2167">
        <v>1</v>
      </c>
      <c r="W2167">
        <v>0</v>
      </c>
    </row>
    <row r="2168" spans="1:23" ht="68.400000000000006" x14ac:dyDescent="0.3">
      <c r="A2168" s="211">
        <v>41450</v>
      </c>
      <c r="B2168" s="211">
        <v>41450</v>
      </c>
      <c r="C2168" s="6">
        <v>6</v>
      </c>
      <c r="D2168" s="6">
        <v>1</v>
      </c>
      <c r="E2168" s="19">
        <v>2013</v>
      </c>
      <c r="F2168" s="15" t="s">
        <v>22</v>
      </c>
      <c r="G2168" s="82" t="s">
        <v>6256</v>
      </c>
      <c r="H2168" s="9" t="s">
        <v>46</v>
      </c>
      <c r="I2168" s="20" t="s">
        <v>3731</v>
      </c>
      <c r="J2168" s="21" t="s">
        <v>3732</v>
      </c>
      <c r="K2168" s="22">
        <v>1</v>
      </c>
      <c r="L2168" s="234">
        <v>45</v>
      </c>
      <c r="M2168" s="23">
        <v>5</v>
      </c>
      <c r="N2168" s="23">
        <v>0</v>
      </c>
      <c r="O2168" s="23">
        <v>0</v>
      </c>
      <c r="P2168" s="23">
        <v>0</v>
      </c>
      <c r="Q2168" s="23">
        <v>0</v>
      </c>
      <c r="R2168" s="24">
        <v>0</v>
      </c>
      <c r="S2168" s="25" t="s">
        <v>115</v>
      </c>
      <c r="T2168" s="257">
        <f t="shared" si="73"/>
        <v>46</v>
      </c>
      <c r="U2168" s="257">
        <f t="shared" si="74"/>
        <v>5</v>
      </c>
      <c r="V2168">
        <v>1</v>
      </c>
      <c r="W2168">
        <v>1</v>
      </c>
    </row>
    <row r="2169" spans="1:23" ht="102.6" x14ac:dyDescent="0.3">
      <c r="A2169" s="214">
        <v>44444</v>
      </c>
      <c r="B2169" s="214">
        <v>44445</v>
      </c>
      <c r="C2169" s="6">
        <v>9</v>
      </c>
      <c r="D2169" s="6">
        <v>2</v>
      </c>
      <c r="E2169" s="33">
        <v>2021</v>
      </c>
      <c r="F2169" s="15" t="s">
        <v>22</v>
      </c>
      <c r="G2169" s="18" t="s">
        <v>6256</v>
      </c>
      <c r="H2169" s="9" t="s">
        <v>48</v>
      </c>
      <c r="I2169" s="34" t="s">
        <v>3733</v>
      </c>
      <c r="J2169" s="58" t="s">
        <v>3734</v>
      </c>
      <c r="K2169" s="33">
        <v>0</v>
      </c>
      <c r="L2169" s="236">
        <v>120</v>
      </c>
      <c r="M2169" s="35">
        <v>30</v>
      </c>
      <c r="N2169" s="35">
        <v>0</v>
      </c>
      <c r="O2169" s="35">
        <v>0</v>
      </c>
      <c r="P2169" s="35">
        <v>0</v>
      </c>
      <c r="Q2169" s="35">
        <v>0</v>
      </c>
      <c r="R2169" s="42">
        <v>4.0020750000000001E-2</v>
      </c>
      <c r="S2169" s="7" t="s">
        <v>2777</v>
      </c>
      <c r="T2169" s="257">
        <f t="shared" si="73"/>
        <v>120</v>
      </c>
      <c r="U2169" s="257">
        <f t="shared" si="74"/>
        <v>30</v>
      </c>
      <c r="V2169">
        <v>1</v>
      </c>
      <c r="W2169">
        <v>1</v>
      </c>
    </row>
    <row r="2170" spans="1:23" ht="114" x14ac:dyDescent="0.3">
      <c r="A2170" s="129">
        <v>41437</v>
      </c>
      <c r="B2170" s="129">
        <v>41437</v>
      </c>
      <c r="C2170" s="6">
        <v>6</v>
      </c>
      <c r="D2170" s="6">
        <v>1</v>
      </c>
      <c r="E2170" s="19">
        <v>2013</v>
      </c>
      <c r="F2170" s="15" t="s">
        <v>22</v>
      </c>
      <c r="G2170" s="18" t="s">
        <v>6256</v>
      </c>
      <c r="H2170" s="9" t="s">
        <v>61</v>
      </c>
      <c r="I2170" s="20" t="s">
        <v>3735</v>
      </c>
      <c r="J2170" s="21" t="s">
        <v>3736</v>
      </c>
      <c r="K2170" s="6">
        <v>0</v>
      </c>
      <c r="L2170" s="233">
        <v>0</v>
      </c>
      <c r="M2170" s="23">
        <v>0</v>
      </c>
      <c r="N2170" s="23">
        <v>0</v>
      </c>
      <c r="O2170" s="23">
        <v>0</v>
      </c>
      <c r="P2170" s="23">
        <v>0</v>
      </c>
      <c r="Q2170" s="23">
        <v>0</v>
      </c>
      <c r="R2170" s="24">
        <v>0</v>
      </c>
      <c r="S2170" s="25" t="s">
        <v>115</v>
      </c>
      <c r="T2170" s="257">
        <f t="shared" si="73"/>
        <v>0</v>
      </c>
      <c r="U2170" s="257">
        <f t="shared" si="74"/>
        <v>0</v>
      </c>
      <c r="V2170">
        <v>0</v>
      </c>
      <c r="W2170">
        <v>0</v>
      </c>
    </row>
    <row r="2171" spans="1:23" ht="68.400000000000006" x14ac:dyDescent="0.3">
      <c r="A2171" s="211">
        <v>41437</v>
      </c>
      <c r="B2171" s="211">
        <v>41437</v>
      </c>
      <c r="C2171" s="6">
        <v>6</v>
      </c>
      <c r="D2171" s="6">
        <v>1</v>
      </c>
      <c r="E2171" s="19">
        <v>2013</v>
      </c>
      <c r="F2171" s="15" t="s">
        <v>22</v>
      </c>
      <c r="G2171" s="18" t="s">
        <v>6256</v>
      </c>
      <c r="H2171" s="9" t="s">
        <v>70</v>
      </c>
      <c r="I2171" s="20" t="s">
        <v>3737</v>
      </c>
      <c r="J2171" s="21" t="s">
        <v>3738</v>
      </c>
      <c r="K2171" s="6">
        <v>0</v>
      </c>
      <c r="L2171" s="233">
        <v>4</v>
      </c>
      <c r="M2171" s="23">
        <v>0</v>
      </c>
      <c r="N2171" s="23">
        <v>0</v>
      </c>
      <c r="O2171" s="23">
        <v>0</v>
      </c>
      <c r="P2171" s="23">
        <v>0</v>
      </c>
      <c r="Q2171" s="23">
        <v>0</v>
      </c>
      <c r="R2171" s="24">
        <v>0</v>
      </c>
      <c r="S2171" s="25" t="s">
        <v>115</v>
      </c>
      <c r="T2171" s="257">
        <f t="shared" si="73"/>
        <v>4</v>
      </c>
      <c r="U2171" s="257">
        <f t="shared" si="74"/>
        <v>0</v>
      </c>
      <c r="V2171">
        <v>1</v>
      </c>
      <c r="W2171">
        <v>0</v>
      </c>
    </row>
    <row r="2172" spans="1:23" ht="102.6" x14ac:dyDescent="0.3">
      <c r="A2172" s="211">
        <v>41465</v>
      </c>
      <c r="B2172" s="211">
        <v>41465</v>
      </c>
      <c r="C2172" s="6">
        <v>7</v>
      </c>
      <c r="D2172" s="6">
        <v>1</v>
      </c>
      <c r="E2172" s="19">
        <v>2013</v>
      </c>
      <c r="F2172" s="15" t="s">
        <v>22</v>
      </c>
      <c r="G2172" s="18" t="s">
        <v>6256</v>
      </c>
      <c r="H2172" s="9" t="s">
        <v>121</v>
      </c>
      <c r="I2172" s="20" t="s">
        <v>2294</v>
      </c>
      <c r="J2172" s="21" t="s">
        <v>3739</v>
      </c>
      <c r="K2172" s="22">
        <v>0</v>
      </c>
      <c r="L2172" s="234">
        <v>70</v>
      </c>
      <c r="M2172" s="23">
        <v>0</v>
      </c>
      <c r="N2172" s="23">
        <v>0</v>
      </c>
      <c r="O2172" s="23">
        <v>0</v>
      </c>
      <c r="P2172" s="23">
        <v>0</v>
      </c>
      <c r="Q2172" s="23">
        <v>0</v>
      </c>
      <c r="R2172" s="24">
        <v>0.1</v>
      </c>
      <c r="S2172" s="25" t="s">
        <v>115</v>
      </c>
      <c r="T2172" s="257">
        <f t="shared" si="73"/>
        <v>70</v>
      </c>
      <c r="U2172" s="257">
        <f t="shared" si="74"/>
        <v>0</v>
      </c>
      <c r="V2172">
        <v>1</v>
      </c>
      <c r="W2172">
        <v>0</v>
      </c>
    </row>
    <row r="2173" spans="1:23" ht="34.200000000000003" x14ac:dyDescent="0.3">
      <c r="A2173" s="212">
        <v>38138</v>
      </c>
      <c r="B2173" s="212">
        <v>38138</v>
      </c>
      <c r="C2173" s="6">
        <v>5</v>
      </c>
      <c r="D2173" s="6">
        <v>1</v>
      </c>
      <c r="E2173" s="6">
        <v>2004</v>
      </c>
      <c r="F2173" s="15" t="s">
        <v>22</v>
      </c>
      <c r="G2173" s="18" t="s">
        <v>6256</v>
      </c>
      <c r="H2173" s="9" t="s">
        <v>48</v>
      </c>
      <c r="I2173" s="17" t="s">
        <v>3740</v>
      </c>
      <c r="J2173" s="66" t="s">
        <v>3741</v>
      </c>
      <c r="K2173" s="13">
        <v>0</v>
      </c>
      <c r="L2173" s="233">
        <v>55</v>
      </c>
      <c r="M2173" s="13">
        <v>11</v>
      </c>
      <c r="N2173" s="13">
        <v>0</v>
      </c>
      <c r="O2173" s="13">
        <v>0</v>
      </c>
      <c r="P2173" s="13">
        <v>0</v>
      </c>
      <c r="Q2173" s="13">
        <v>0</v>
      </c>
      <c r="R2173" s="26">
        <v>0.04</v>
      </c>
      <c r="S2173" s="7" t="s">
        <v>115</v>
      </c>
      <c r="T2173" s="257">
        <f t="shared" si="73"/>
        <v>55</v>
      </c>
      <c r="U2173" s="257">
        <f t="shared" si="74"/>
        <v>11</v>
      </c>
      <c r="V2173">
        <v>1</v>
      </c>
      <c r="W2173">
        <v>1</v>
      </c>
    </row>
    <row r="2174" spans="1:23" ht="136.80000000000001" x14ac:dyDescent="0.3">
      <c r="A2174" s="211">
        <v>41461</v>
      </c>
      <c r="B2174" s="211">
        <v>41461</v>
      </c>
      <c r="C2174" s="6">
        <v>7</v>
      </c>
      <c r="D2174" s="6">
        <v>1</v>
      </c>
      <c r="E2174" s="19">
        <v>2013</v>
      </c>
      <c r="F2174" s="15" t="s">
        <v>22</v>
      </c>
      <c r="G2174" s="18" t="s">
        <v>6256</v>
      </c>
      <c r="H2174" s="9" t="s">
        <v>56</v>
      </c>
      <c r="I2174" s="20" t="s">
        <v>1269</v>
      </c>
      <c r="J2174" s="21" t="s">
        <v>3742</v>
      </c>
      <c r="K2174" s="22">
        <v>1</v>
      </c>
      <c r="L2174" s="234">
        <v>5003</v>
      </c>
      <c r="M2174" s="23">
        <v>1000</v>
      </c>
      <c r="N2174" s="23">
        <v>0</v>
      </c>
      <c r="O2174" s="23">
        <v>0</v>
      </c>
      <c r="P2174" s="23">
        <v>0</v>
      </c>
      <c r="Q2174" s="23">
        <v>0</v>
      </c>
      <c r="R2174" s="24">
        <v>0.3</v>
      </c>
      <c r="S2174" s="25" t="s">
        <v>115</v>
      </c>
      <c r="T2174" s="257">
        <f t="shared" si="73"/>
        <v>5004</v>
      </c>
      <c r="U2174" s="257">
        <f t="shared" si="74"/>
        <v>1000</v>
      </c>
      <c r="V2174">
        <v>1</v>
      </c>
      <c r="W2174">
        <v>1</v>
      </c>
    </row>
    <row r="2175" spans="1:23" ht="34.200000000000003" x14ac:dyDescent="0.3">
      <c r="A2175" s="129">
        <v>41468</v>
      </c>
      <c r="B2175" s="129">
        <v>41468</v>
      </c>
      <c r="C2175" s="6">
        <v>7</v>
      </c>
      <c r="D2175" s="6">
        <v>1</v>
      </c>
      <c r="E2175" s="19">
        <v>2013</v>
      </c>
      <c r="F2175" s="15" t="s">
        <v>22</v>
      </c>
      <c r="G2175" s="18" t="s">
        <v>6256</v>
      </c>
      <c r="H2175" s="9" t="s">
        <v>84</v>
      </c>
      <c r="I2175" s="20" t="s">
        <v>3743</v>
      </c>
      <c r="J2175" s="21" t="s">
        <v>3744</v>
      </c>
      <c r="K2175" s="22">
        <v>0</v>
      </c>
      <c r="L2175" s="234">
        <v>1</v>
      </c>
      <c r="M2175" s="23">
        <v>0</v>
      </c>
      <c r="N2175" s="23">
        <v>0</v>
      </c>
      <c r="O2175" s="23">
        <v>0</v>
      </c>
      <c r="P2175" s="23">
        <v>0</v>
      </c>
      <c r="Q2175" s="23">
        <v>0</v>
      </c>
      <c r="R2175" s="24">
        <v>0</v>
      </c>
      <c r="S2175" s="25" t="s">
        <v>115</v>
      </c>
      <c r="T2175" s="257">
        <f t="shared" si="73"/>
        <v>1</v>
      </c>
      <c r="U2175" s="257">
        <f t="shared" si="74"/>
        <v>0</v>
      </c>
      <c r="V2175">
        <v>1</v>
      </c>
      <c r="W2175">
        <v>0</v>
      </c>
    </row>
    <row r="2176" spans="1:23" ht="68.400000000000006" x14ac:dyDescent="0.3">
      <c r="A2176" s="211">
        <v>41463</v>
      </c>
      <c r="B2176" s="211">
        <v>41463</v>
      </c>
      <c r="C2176" s="6">
        <v>7</v>
      </c>
      <c r="D2176" s="6">
        <v>1</v>
      </c>
      <c r="E2176" s="19">
        <v>2013</v>
      </c>
      <c r="F2176" s="15" t="s">
        <v>22</v>
      </c>
      <c r="G2176" s="18" t="s">
        <v>6256</v>
      </c>
      <c r="H2176" s="9" t="s">
        <v>66</v>
      </c>
      <c r="I2176" s="20" t="s">
        <v>3617</v>
      </c>
      <c r="J2176" s="21" t="s">
        <v>3745</v>
      </c>
      <c r="K2176" s="22">
        <v>1</v>
      </c>
      <c r="L2176" s="234">
        <v>5</v>
      </c>
      <c r="M2176" s="23">
        <v>0</v>
      </c>
      <c r="N2176" s="23">
        <v>0</v>
      </c>
      <c r="O2176" s="23">
        <v>0</v>
      </c>
      <c r="P2176" s="23">
        <v>0</v>
      </c>
      <c r="Q2176" s="23">
        <v>0</v>
      </c>
      <c r="R2176" s="24">
        <v>0</v>
      </c>
      <c r="S2176" s="25" t="s">
        <v>115</v>
      </c>
      <c r="T2176" s="257">
        <f t="shared" si="73"/>
        <v>6</v>
      </c>
      <c r="U2176" s="257">
        <f t="shared" si="74"/>
        <v>0</v>
      </c>
      <c r="V2176">
        <v>1</v>
      </c>
      <c r="W2176">
        <v>0</v>
      </c>
    </row>
    <row r="2177" spans="1:23" ht="102.6" x14ac:dyDescent="0.3">
      <c r="A2177" s="211">
        <v>41462</v>
      </c>
      <c r="B2177" s="211">
        <v>41462</v>
      </c>
      <c r="C2177" s="6">
        <v>7</v>
      </c>
      <c r="D2177" s="6">
        <v>1</v>
      </c>
      <c r="E2177" s="19">
        <v>2013</v>
      </c>
      <c r="F2177" s="15" t="s">
        <v>22</v>
      </c>
      <c r="G2177" s="18" t="s">
        <v>6256</v>
      </c>
      <c r="H2177" s="9" t="s">
        <v>66</v>
      </c>
      <c r="I2177" s="20" t="s">
        <v>3746</v>
      </c>
      <c r="J2177" s="21" t="s">
        <v>3747</v>
      </c>
      <c r="K2177" s="22">
        <v>0</v>
      </c>
      <c r="L2177" s="234">
        <v>245</v>
      </c>
      <c r="M2177" s="23">
        <v>49</v>
      </c>
      <c r="N2177" s="23">
        <v>1</v>
      </c>
      <c r="O2177" s="23">
        <v>1</v>
      </c>
      <c r="P2177" s="23">
        <v>0</v>
      </c>
      <c r="Q2177" s="23">
        <v>0</v>
      </c>
      <c r="R2177" s="24">
        <v>7.4999999999999997E-2</v>
      </c>
      <c r="S2177" s="25" t="s">
        <v>115</v>
      </c>
      <c r="T2177" s="257">
        <f t="shared" si="73"/>
        <v>245</v>
      </c>
      <c r="U2177" s="257">
        <f t="shared" si="74"/>
        <v>51</v>
      </c>
      <c r="V2177">
        <v>1</v>
      </c>
      <c r="W2177">
        <v>1</v>
      </c>
    </row>
    <row r="2178" spans="1:23" ht="79.8" x14ac:dyDescent="0.3">
      <c r="A2178" s="211">
        <v>41462</v>
      </c>
      <c r="B2178" s="211">
        <v>41462</v>
      </c>
      <c r="C2178" s="6">
        <v>7</v>
      </c>
      <c r="D2178" s="6">
        <v>1</v>
      </c>
      <c r="E2178" s="19">
        <v>2013</v>
      </c>
      <c r="F2178" s="15" t="s">
        <v>22</v>
      </c>
      <c r="G2178" s="18" t="s">
        <v>6256</v>
      </c>
      <c r="H2178" s="9" t="s">
        <v>70</v>
      </c>
      <c r="I2178" s="20" t="s">
        <v>3748</v>
      </c>
      <c r="J2178" s="21" t="s">
        <v>3749</v>
      </c>
      <c r="K2178" s="22">
        <v>1</v>
      </c>
      <c r="L2178" s="234">
        <v>5</v>
      </c>
      <c r="M2178" s="23">
        <v>0</v>
      </c>
      <c r="N2178" s="23">
        <v>0</v>
      </c>
      <c r="O2178" s="23">
        <v>0</v>
      </c>
      <c r="P2178" s="23">
        <v>0</v>
      </c>
      <c r="Q2178" s="23">
        <v>0</v>
      </c>
      <c r="R2178" s="24">
        <v>0</v>
      </c>
      <c r="S2178" s="25" t="s">
        <v>115</v>
      </c>
      <c r="T2178" s="257">
        <f t="shared" si="73"/>
        <v>6</v>
      </c>
      <c r="U2178" s="257">
        <f t="shared" si="74"/>
        <v>0</v>
      </c>
      <c r="V2178">
        <v>1</v>
      </c>
      <c r="W2178">
        <v>0</v>
      </c>
    </row>
    <row r="2179" spans="1:23" ht="114" x14ac:dyDescent="0.3">
      <c r="A2179" s="211">
        <v>41458</v>
      </c>
      <c r="B2179" s="211">
        <v>41458</v>
      </c>
      <c r="C2179" s="6">
        <v>7</v>
      </c>
      <c r="D2179" s="6">
        <v>1</v>
      </c>
      <c r="E2179" s="19">
        <v>2013</v>
      </c>
      <c r="F2179" s="15" t="s">
        <v>22</v>
      </c>
      <c r="G2179" s="18" t="s">
        <v>6256</v>
      </c>
      <c r="H2179" s="9" t="s">
        <v>112</v>
      </c>
      <c r="I2179" s="20" t="s">
        <v>3750</v>
      </c>
      <c r="J2179" s="21" t="s">
        <v>3751</v>
      </c>
      <c r="K2179" s="22">
        <v>0</v>
      </c>
      <c r="L2179" s="234">
        <v>3000</v>
      </c>
      <c r="M2179" s="23">
        <v>0</v>
      </c>
      <c r="N2179" s="23">
        <v>4</v>
      </c>
      <c r="O2179" s="23">
        <v>0</v>
      </c>
      <c r="P2179" s="23">
        <v>0</v>
      </c>
      <c r="Q2179" s="23">
        <v>0</v>
      </c>
      <c r="R2179" s="24">
        <v>0.1</v>
      </c>
      <c r="S2179" s="25" t="s">
        <v>115</v>
      </c>
      <c r="T2179" s="257">
        <f t="shared" ref="T2179:T2242" si="75">SUM(K2179:L2179)</f>
        <v>3000</v>
      </c>
      <c r="U2179" s="257">
        <f t="shared" ref="U2179:U2242" si="76">SUM(M2179:P2179)</f>
        <v>4</v>
      </c>
      <c r="V2179">
        <v>1</v>
      </c>
      <c r="W2179">
        <v>1</v>
      </c>
    </row>
    <row r="2180" spans="1:23" ht="102.6" x14ac:dyDescent="0.3">
      <c r="A2180" s="211">
        <v>41463</v>
      </c>
      <c r="B2180" s="211">
        <v>41463</v>
      </c>
      <c r="C2180" s="6">
        <v>7</v>
      </c>
      <c r="D2180" s="6">
        <v>1</v>
      </c>
      <c r="E2180" s="19">
        <v>2013</v>
      </c>
      <c r="F2180" s="15" t="s">
        <v>22</v>
      </c>
      <c r="G2180" s="18" t="s">
        <v>6256</v>
      </c>
      <c r="H2180" s="9" t="s">
        <v>70</v>
      </c>
      <c r="I2180" s="20" t="s">
        <v>2595</v>
      </c>
      <c r="J2180" s="21" t="s">
        <v>3752</v>
      </c>
      <c r="K2180" s="22">
        <v>0</v>
      </c>
      <c r="L2180" s="234">
        <v>10</v>
      </c>
      <c r="M2180" s="23">
        <v>2</v>
      </c>
      <c r="N2180" s="23">
        <v>0</v>
      </c>
      <c r="O2180" s="23">
        <v>0</v>
      </c>
      <c r="P2180" s="23">
        <v>0</v>
      </c>
      <c r="Q2180" s="23">
        <v>0</v>
      </c>
      <c r="R2180" s="24">
        <v>0</v>
      </c>
      <c r="S2180" s="25" t="s">
        <v>115</v>
      </c>
      <c r="T2180" s="257">
        <f t="shared" si="75"/>
        <v>10</v>
      </c>
      <c r="U2180" s="257">
        <f t="shared" si="76"/>
        <v>2</v>
      </c>
      <c r="V2180">
        <v>1</v>
      </c>
      <c r="W2180">
        <v>1</v>
      </c>
    </row>
    <row r="2181" spans="1:23" ht="125.4" x14ac:dyDescent="0.3">
      <c r="A2181" s="211">
        <v>41464</v>
      </c>
      <c r="B2181" s="211">
        <v>41464</v>
      </c>
      <c r="C2181" s="6">
        <v>7</v>
      </c>
      <c r="D2181" s="6">
        <v>1</v>
      </c>
      <c r="E2181" s="19">
        <v>2013</v>
      </c>
      <c r="F2181" s="15" t="s">
        <v>22</v>
      </c>
      <c r="G2181" s="18" t="s">
        <v>6256</v>
      </c>
      <c r="H2181" s="9" t="s">
        <v>52</v>
      </c>
      <c r="I2181" s="20" t="s">
        <v>3753</v>
      </c>
      <c r="J2181" s="21" t="s">
        <v>3754</v>
      </c>
      <c r="K2181" s="22">
        <v>1</v>
      </c>
      <c r="L2181" s="234">
        <v>7</v>
      </c>
      <c r="M2181" s="23">
        <v>0</v>
      </c>
      <c r="N2181" s="23">
        <v>0</v>
      </c>
      <c r="O2181" s="23">
        <v>0</v>
      </c>
      <c r="P2181" s="23">
        <v>0</v>
      </c>
      <c r="Q2181" s="23">
        <v>0</v>
      </c>
      <c r="R2181" s="24">
        <v>0</v>
      </c>
      <c r="S2181" s="25" t="s">
        <v>115</v>
      </c>
      <c r="T2181" s="257">
        <f t="shared" si="75"/>
        <v>8</v>
      </c>
      <c r="U2181" s="257">
        <f t="shared" si="76"/>
        <v>0</v>
      </c>
      <c r="V2181">
        <v>1</v>
      </c>
      <c r="W2181">
        <v>0</v>
      </c>
    </row>
    <row r="2182" spans="1:23" ht="159.6" x14ac:dyDescent="0.3">
      <c r="A2182" s="211">
        <v>41471</v>
      </c>
      <c r="B2182" s="211">
        <v>41476</v>
      </c>
      <c r="C2182" s="6">
        <v>7</v>
      </c>
      <c r="D2182" s="6">
        <v>6</v>
      </c>
      <c r="E2182" s="19">
        <v>2013</v>
      </c>
      <c r="F2182" s="15" t="s">
        <v>22</v>
      </c>
      <c r="G2182" s="18" t="s">
        <v>6256</v>
      </c>
      <c r="H2182" s="9" t="s">
        <v>34</v>
      </c>
      <c r="I2182" s="20" t="s">
        <v>3755</v>
      </c>
      <c r="J2182" s="21" t="s">
        <v>3756</v>
      </c>
      <c r="K2182" s="22">
        <v>0</v>
      </c>
      <c r="L2182" s="234">
        <v>10375</v>
      </c>
      <c r="M2182" s="23">
        <v>2075</v>
      </c>
      <c r="N2182" s="23">
        <v>0</v>
      </c>
      <c r="O2182" s="23">
        <v>0</v>
      </c>
      <c r="P2182" s="23">
        <v>0</v>
      </c>
      <c r="Q2182" s="23">
        <v>0</v>
      </c>
      <c r="R2182" s="24">
        <f>896.3+14.43</f>
        <v>910.7299999999999</v>
      </c>
      <c r="S2182" s="25" t="s">
        <v>149</v>
      </c>
      <c r="T2182" s="257">
        <f t="shared" si="75"/>
        <v>10375</v>
      </c>
      <c r="U2182" s="257">
        <f t="shared" si="76"/>
        <v>2075</v>
      </c>
      <c r="V2182">
        <v>2</v>
      </c>
      <c r="W2182">
        <v>2</v>
      </c>
    </row>
    <row r="2183" spans="1:23" ht="91.2" x14ac:dyDescent="0.3">
      <c r="A2183" s="211">
        <v>41475</v>
      </c>
      <c r="B2183" s="211">
        <v>41475</v>
      </c>
      <c r="C2183" s="6">
        <v>7</v>
      </c>
      <c r="D2183" s="6">
        <v>1</v>
      </c>
      <c r="E2183" s="19">
        <v>2013</v>
      </c>
      <c r="F2183" s="15" t="s">
        <v>22</v>
      </c>
      <c r="G2183" s="18" t="s">
        <v>6256</v>
      </c>
      <c r="H2183" s="9" t="s">
        <v>46</v>
      </c>
      <c r="I2183" s="20" t="s">
        <v>1024</v>
      </c>
      <c r="J2183" s="21" t="s">
        <v>3757</v>
      </c>
      <c r="K2183" s="22">
        <v>1</v>
      </c>
      <c r="L2183" s="234">
        <v>8</v>
      </c>
      <c r="M2183" s="23">
        <v>0</v>
      </c>
      <c r="N2183" s="23">
        <v>0</v>
      </c>
      <c r="O2183" s="23">
        <v>0</v>
      </c>
      <c r="P2183" s="23">
        <v>0</v>
      </c>
      <c r="Q2183" s="23">
        <v>0</v>
      </c>
      <c r="R2183" s="24">
        <v>0</v>
      </c>
      <c r="S2183" s="25" t="s">
        <v>115</v>
      </c>
      <c r="T2183" s="257">
        <f t="shared" si="75"/>
        <v>9</v>
      </c>
      <c r="U2183" s="257">
        <f t="shared" si="76"/>
        <v>0</v>
      </c>
      <c r="V2183">
        <v>1</v>
      </c>
      <c r="W2183">
        <v>0</v>
      </c>
    </row>
    <row r="2184" spans="1:23" ht="57" x14ac:dyDescent="0.3">
      <c r="A2184" s="211">
        <v>41381</v>
      </c>
      <c r="B2184" s="211">
        <v>41381</v>
      </c>
      <c r="C2184" s="6">
        <v>4</v>
      </c>
      <c r="D2184" s="6">
        <v>1</v>
      </c>
      <c r="E2184" s="19">
        <v>2013</v>
      </c>
      <c r="F2184" s="15" t="s">
        <v>22</v>
      </c>
      <c r="G2184" s="82" t="s">
        <v>6256</v>
      </c>
      <c r="H2184" s="9" t="s">
        <v>88</v>
      </c>
      <c r="I2184" s="20" t="s">
        <v>3758</v>
      </c>
      <c r="J2184" s="21" t="s">
        <v>3759</v>
      </c>
      <c r="K2184" s="22">
        <v>1</v>
      </c>
      <c r="L2184" s="234">
        <v>1</v>
      </c>
      <c r="M2184" s="23">
        <v>0</v>
      </c>
      <c r="N2184" s="23">
        <v>0</v>
      </c>
      <c r="O2184" s="23">
        <v>0</v>
      </c>
      <c r="P2184" s="23">
        <v>0</v>
      </c>
      <c r="Q2184" s="23">
        <v>0</v>
      </c>
      <c r="R2184" s="24">
        <v>0</v>
      </c>
      <c r="S2184" s="25" t="s">
        <v>115</v>
      </c>
      <c r="T2184" s="257">
        <f t="shared" si="75"/>
        <v>2</v>
      </c>
      <c r="U2184" s="257">
        <f t="shared" si="76"/>
        <v>0</v>
      </c>
      <c r="V2184">
        <v>1</v>
      </c>
      <c r="W2184">
        <v>0</v>
      </c>
    </row>
    <row r="2185" spans="1:23" ht="79.8" x14ac:dyDescent="0.3">
      <c r="A2185" s="211">
        <v>41384</v>
      </c>
      <c r="B2185" s="211">
        <v>41384</v>
      </c>
      <c r="C2185" s="6">
        <v>4</v>
      </c>
      <c r="D2185" s="6">
        <v>1</v>
      </c>
      <c r="E2185" s="19">
        <v>2013</v>
      </c>
      <c r="F2185" s="15" t="s">
        <v>22</v>
      </c>
      <c r="G2185" s="18" t="s">
        <v>6256</v>
      </c>
      <c r="H2185" s="9" t="s">
        <v>51</v>
      </c>
      <c r="I2185" s="20" t="s">
        <v>3760</v>
      </c>
      <c r="J2185" s="21" t="s">
        <v>3761</v>
      </c>
      <c r="K2185" s="22">
        <v>1</v>
      </c>
      <c r="L2185" s="234">
        <v>1</v>
      </c>
      <c r="M2185" s="23">
        <v>0</v>
      </c>
      <c r="N2185" s="23">
        <v>0</v>
      </c>
      <c r="O2185" s="23">
        <v>0</v>
      </c>
      <c r="P2185" s="23">
        <v>0</v>
      </c>
      <c r="Q2185" s="23">
        <v>0</v>
      </c>
      <c r="R2185" s="24">
        <v>0</v>
      </c>
      <c r="S2185" s="25" t="s">
        <v>115</v>
      </c>
      <c r="T2185" s="257">
        <f t="shared" si="75"/>
        <v>2</v>
      </c>
      <c r="U2185" s="257">
        <f t="shared" si="76"/>
        <v>0</v>
      </c>
      <c r="V2185">
        <v>1</v>
      </c>
      <c r="W2185">
        <v>0</v>
      </c>
    </row>
    <row r="2186" spans="1:23" ht="68.400000000000006" x14ac:dyDescent="0.3">
      <c r="A2186" s="211">
        <v>41472</v>
      </c>
      <c r="B2186" s="211">
        <v>41472</v>
      </c>
      <c r="C2186" s="6">
        <v>7</v>
      </c>
      <c r="D2186" s="6">
        <v>1</v>
      </c>
      <c r="E2186" s="19">
        <v>2013</v>
      </c>
      <c r="F2186" s="15" t="s">
        <v>22</v>
      </c>
      <c r="G2186" s="82" t="s">
        <v>6256</v>
      </c>
      <c r="H2186" s="9" t="s">
        <v>43</v>
      </c>
      <c r="I2186" s="20" t="s">
        <v>3762</v>
      </c>
      <c r="J2186" s="21" t="s">
        <v>3763</v>
      </c>
      <c r="K2186" s="22">
        <v>2</v>
      </c>
      <c r="L2186" s="234">
        <v>7</v>
      </c>
      <c r="M2186" s="23">
        <v>0</v>
      </c>
      <c r="N2186" s="23">
        <v>0</v>
      </c>
      <c r="O2186" s="23">
        <v>0</v>
      </c>
      <c r="P2186" s="23">
        <v>0</v>
      </c>
      <c r="Q2186" s="23">
        <v>0</v>
      </c>
      <c r="R2186" s="24">
        <v>0</v>
      </c>
      <c r="S2186" s="25" t="s">
        <v>115</v>
      </c>
      <c r="T2186" s="257">
        <f t="shared" si="75"/>
        <v>9</v>
      </c>
      <c r="U2186" s="257">
        <f t="shared" si="76"/>
        <v>0</v>
      </c>
      <c r="V2186">
        <v>1</v>
      </c>
      <c r="W2186">
        <v>0</v>
      </c>
    </row>
    <row r="2187" spans="1:23" ht="68.400000000000006" x14ac:dyDescent="0.3">
      <c r="A2187" s="211">
        <v>41471</v>
      </c>
      <c r="B2187" s="211">
        <v>41471</v>
      </c>
      <c r="C2187" s="6">
        <v>7</v>
      </c>
      <c r="D2187" s="6">
        <v>1</v>
      </c>
      <c r="E2187" s="19">
        <v>2013</v>
      </c>
      <c r="F2187" s="15" t="s">
        <v>22</v>
      </c>
      <c r="G2187" s="18" t="s">
        <v>6256</v>
      </c>
      <c r="H2187" s="9" t="s">
        <v>88</v>
      </c>
      <c r="I2187" s="20" t="s">
        <v>136</v>
      </c>
      <c r="J2187" s="21" t="s">
        <v>3764</v>
      </c>
      <c r="K2187" s="22">
        <v>0</v>
      </c>
      <c r="L2187" s="234">
        <v>120</v>
      </c>
      <c r="M2187" s="23">
        <v>24</v>
      </c>
      <c r="N2187" s="23">
        <v>0</v>
      </c>
      <c r="O2187" s="23">
        <v>0</v>
      </c>
      <c r="P2187" s="23">
        <v>0</v>
      </c>
      <c r="Q2187" s="23">
        <v>0</v>
      </c>
      <c r="R2187" s="24">
        <v>0.13</v>
      </c>
      <c r="S2187" s="25" t="s">
        <v>115</v>
      </c>
      <c r="T2187" s="257">
        <f t="shared" si="75"/>
        <v>120</v>
      </c>
      <c r="U2187" s="257">
        <f t="shared" si="76"/>
        <v>24</v>
      </c>
      <c r="V2187">
        <v>1</v>
      </c>
      <c r="W2187">
        <v>1</v>
      </c>
    </row>
    <row r="2188" spans="1:23" ht="79.8" x14ac:dyDescent="0.3">
      <c r="A2188" s="211">
        <v>41477</v>
      </c>
      <c r="B2188" s="211">
        <v>41477</v>
      </c>
      <c r="C2188" s="6">
        <v>7</v>
      </c>
      <c r="D2188" s="6">
        <v>1</v>
      </c>
      <c r="E2188" s="19">
        <v>2013</v>
      </c>
      <c r="F2188" s="15" t="s">
        <v>22</v>
      </c>
      <c r="G2188" s="18" t="s">
        <v>6256</v>
      </c>
      <c r="H2188" s="9" t="s">
        <v>24</v>
      </c>
      <c r="I2188" s="20" t="s">
        <v>3765</v>
      </c>
      <c r="J2188" s="21" t="s">
        <v>3766</v>
      </c>
      <c r="K2188" s="22">
        <v>0</v>
      </c>
      <c r="L2188" s="234">
        <v>250</v>
      </c>
      <c r="M2188" s="23">
        <v>50</v>
      </c>
      <c r="N2188" s="23">
        <v>0</v>
      </c>
      <c r="O2188" s="23">
        <v>0</v>
      </c>
      <c r="P2188" s="23">
        <v>0</v>
      </c>
      <c r="Q2188" s="23">
        <v>0</v>
      </c>
      <c r="R2188" s="24">
        <v>0.05</v>
      </c>
      <c r="S2188" s="25" t="s">
        <v>115</v>
      </c>
      <c r="T2188" s="257">
        <f t="shared" si="75"/>
        <v>250</v>
      </c>
      <c r="U2188" s="257">
        <f t="shared" si="76"/>
        <v>50</v>
      </c>
      <c r="V2188">
        <v>1</v>
      </c>
      <c r="W2188">
        <v>1</v>
      </c>
    </row>
    <row r="2189" spans="1:23" ht="91.2" x14ac:dyDescent="0.3">
      <c r="A2189" s="212">
        <v>41473</v>
      </c>
      <c r="B2189" s="212">
        <v>41473</v>
      </c>
      <c r="C2189" s="6">
        <v>7</v>
      </c>
      <c r="D2189" s="6">
        <v>1</v>
      </c>
      <c r="E2189" s="19">
        <v>2013</v>
      </c>
      <c r="F2189" s="15" t="s">
        <v>22</v>
      </c>
      <c r="G2189" s="18" t="s">
        <v>6256</v>
      </c>
      <c r="H2189" s="9" t="s">
        <v>41</v>
      </c>
      <c r="I2189" s="20" t="s">
        <v>3767</v>
      </c>
      <c r="J2189" s="21" t="s">
        <v>3768</v>
      </c>
      <c r="K2189" s="22">
        <v>0</v>
      </c>
      <c r="L2189" s="234">
        <v>4045</v>
      </c>
      <c r="M2189" s="23">
        <v>667</v>
      </c>
      <c r="N2189" s="23">
        <v>0</v>
      </c>
      <c r="O2189" s="23">
        <v>0</v>
      </c>
      <c r="P2189" s="23">
        <v>0</v>
      </c>
      <c r="Q2189" s="23">
        <v>0</v>
      </c>
      <c r="R2189" s="24">
        <v>0.3</v>
      </c>
      <c r="S2189" s="25" t="s">
        <v>115</v>
      </c>
      <c r="T2189" s="257">
        <f t="shared" si="75"/>
        <v>4045</v>
      </c>
      <c r="U2189" s="257">
        <f t="shared" si="76"/>
        <v>667</v>
      </c>
      <c r="V2189">
        <v>1</v>
      </c>
      <c r="W2189">
        <v>1</v>
      </c>
    </row>
    <row r="2190" spans="1:23" ht="102.6" x14ac:dyDescent="0.3">
      <c r="A2190" s="211">
        <v>41476</v>
      </c>
      <c r="B2190" s="211">
        <v>41476</v>
      </c>
      <c r="C2190" s="6">
        <v>7</v>
      </c>
      <c r="D2190" s="6">
        <v>1</v>
      </c>
      <c r="E2190" s="19">
        <v>2013</v>
      </c>
      <c r="F2190" s="15" t="s">
        <v>22</v>
      </c>
      <c r="G2190" s="18" t="s">
        <v>6256</v>
      </c>
      <c r="H2190" s="9" t="s">
        <v>46</v>
      </c>
      <c r="I2190" s="20" t="s">
        <v>494</v>
      </c>
      <c r="J2190" s="21" t="s">
        <v>3769</v>
      </c>
      <c r="K2190" s="6">
        <v>0</v>
      </c>
      <c r="L2190" s="233">
        <v>540</v>
      </c>
      <c r="M2190" s="23">
        <v>108</v>
      </c>
      <c r="N2190" s="23">
        <v>0</v>
      </c>
      <c r="O2190" s="23">
        <v>0</v>
      </c>
      <c r="P2190" s="23">
        <v>0</v>
      </c>
      <c r="Q2190" s="23">
        <v>0</v>
      </c>
      <c r="R2190" s="24">
        <v>0.15</v>
      </c>
      <c r="S2190" s="25" t="s">
        <v>115</v>
      </c>
      <c r="T2190" s="257">
        <f t="shared" si="75"/>
        <v>540</v>
      </c>
      <c r="U2190" s="257">
        <f t="shared" si="76"/>
        <v>108</v>
      </c>
      <c r="V2190">
        <v>1</v>
      </c>
      <c r="W2190">
        <v>1</v>
      </c>
    </row>
    <row r="2191" spans="1:23" ht="68.400000000000006" x14ac:dyDescent="0.3">
      <c r="A2191" s="211">
        <v>41477</v>
      </c>
      <c r="B2191" s="211">
        <v>41477</v>
      </c>
      <c r="C2191" s="6">
        <v>7</v>
      </c>
      <c r="D2191" s="6">
        <v>1</v>
      </c>
      <c r="E2191" s="19">
        <v>2013</v>
      </c>
      <c r="F2191" s="15" t="s">
        <v>22</v>
      </c>
      <c r="G2191" s="18" t="s">
        <v>6256</v>
      </c>
      <c r="H2191" s="9" t="s">
        <v>51</v>
      </c>
      <c r="I2191" s="20" t="s">
        <v>841</v>
      </c>
      <c r="J2191" s="21" t="s">
        <v>3770</v>
      </c>
      <c r="K2191" s="22">
        <v>0</v>
      </c>
      <c r="L2191" s="234">
        <v>820</v>
      </c>
      <c r="M2191" s="23">
        <v>164</v>
      </c>
      <c r="N2191" s="23">
        <v>0</v>
      </c>
      <c r="O2191" s="23">
        <v>0</v>
      </c>
      <c r="P2191" s="23">
        <v>47</v>
      </c>
      <c r="Q2191" s="23">
        <v>0</v>
      </c>
      <c r="R2191" s="24">
        <v>0</v>
      </c>
      <c r="S2191" s="25" t="s">
        <v>115</v>
      </c>
      <c r="T2191" s="257">
        <f t="shared" si="75"/>
        <v>820</v>
      </c>
      <c r="U2191" s="257">
        <f t="shared" si="76"/>
        <v>211</v>
      </c>
      <c r="V2191">
        <v>1</v>
      </c>
      <c r="W2191">
        <v>1</v>
      </c>
    </row>
    <row r="2192" spans="1:23" ht="79.8" x14ac:dyDescent="0.3">
      <c r="A2192" s="211">
        <v>41475</v>
      </c>
      <c r="B2192" s="211">
        <v>41475</v>
      </c>
      <c r="C2192" s="6">
        <v>7</v>
      </c>
      <c r="D2192" s="6">
        <v>1</v>
      </c>
      <c r="E2192" s="19">
        <v>2013</v>
      </c>
      <c r="F2192" s="15" t="s">
        <v>22</v>
      </c>
      <c r="G2192" s="18" t="s">
        <v>6256</v>
      </c>
      <c r="H2192" s="9" t="s">
        <v>66</v>
      </c>
      <c r="I2192" s="20" t="s">
        <v>3771</v>
      </c>
      <c r="J2192" s="21" t="s">
        <v>3772</v>
      </c>
      <c r="K2192" s="22">
        <v>0</v>
      </c>
      <c r="L2192" s="234">
        <v>165</v>
      </c>
      <c r="M2192" s="23">
        <v>33</v>
      </c>
      <c r="N2192" s="23">
        <v>0</v>
      </c>
      <c r="O2192" s="23">
        <v>0</v>
      </c>
      <c r="P2192" s="23">
        <v>2</v>
      </c>
      <c r="Q2192" s="23">
        <v>0</v>
      </c>
      <c r="R2192" s="24">
        <v>0</v>
      </c>
      <c r="S2192" s="25" t="s">
        <v>115</v>
      </c>
      <c r="T2192" s="257">
        <f t="shared" si="75"/>
        <v>165</v>
      </c>
      <c r="U2192" s="257">
        <f t="shared" si="76"/>
        <v>35</v>
      </c>
      <c r="V2192">
        <v>1</v>
      </c>
      <c r="W2192">
        <v>1</v>
      </c>
    </row>
    <row r="2193" spans="1:23" ht="68.400000000000006" x14ac:dyDescent="0.3">
      <c r="A2193" s="211">
        <v>41490</v>
      </c>
      <c r="B2193" s="211">
        <v>41490</v>
      </c>
      <c r="C2193" s="6">
        <v>8</v>
      </c>
      <c r="D2193" s="6">
        <v>1</v>
      </c>
      <c r="E2193" s="19">
        <v>2013</v>
      </c>
      <c r="F2193" s="15" t="s">
        <v>22</v>
      </c>
      <c r="G2193" s="82" t="s">
        <v>6256</v>
      </c>
      <c r="H2193" s="9" t="s">
        <v>74</v>
      </c>
      <c r="I2193" s="20" t="s">
        <v>1349</v>
      </c>
      <c r="J2193" s="21" t="s">
        <v>3773</v>
      </c>
      <c r="K2193" s="22">
        <v>1</v>
      </c>
      <c r="L2193" s="234">
        <v>1</v>
      </c>
      <c r="M2193" s="23">
        <v>0</v>
      </c>
      <c r="N2193" s="23">
        <v>0</v>
      </c>
      <c r="O2193" s="23">
        <v>0</v>
      </c>
      <c r="P2193" s="23">
        <v>0</v>
      </c>
      <c r="Q2193" s="23">
        <v>0</v>
      </c>
      <c r="R2193" s="24">
        <v>0</v>
      </c>
      <c r="S2193" s="25" t="s">
        <v>115</v>
      </c>
      <c r="T2193" s="257">
        <f t="shared" si="75"/>
        <v>2</v>
      </c>
      <c r="U2193" s="257">
        <f t="shared" si="76"/>
        <v>0</v>
      </c>
      <c r="V2193">
        <v>1</v>
      </c>
      <c r="W2193">
        <v>0</v>
      </c>
    </row>
    <row r="2194" spans="1:23" ht="45.6" x14ac:dyDescent="0.3">
      <c r="A2194" s="211">
        <v>41497</v>
      </c>
      <c r="B2194" s="211">
        <v>41497</v>
      </c>
      <c r="C2194" s="6">
        <v>8</v>
      </c>
      <c r="D2194" s="6">
        <v>1</v>
      </c>
      <c r="E2194" s="19">
        <v>2013</v>
      </c>
      <c r="F2194" s="15" t="s">
        <v>22</v>
      </c>
      <c r="G2194" s="18" t="s">
        <v>6256</v>
      </c>
      <c r="H2194" s="9" t="s">
        <v>46</v>
      </c>
      <c r="I2194" s="20" t="s">
        <v>3774</v>
      </c>
      <c r="J2194" s="21" t="s">
        <v>3775</v>
      </c>
      <c r="K2194" s="22">
        <v>0</v>
      </c>
      <c r="L2194" s="234">
        <v>50</v>
      </c>
      <c r="M2194" s="23">
        <v>10</v>
      </c>
      <c r="N2194" s="23">
        <v>0</v>
      </c>
      <c r="O2194" s="23">
        <v>0</v>
      </c>
      <c r="P2194" s="23">
        <v>0</v>
      </c>
      <c r="Q2194" s="23">
        <v>0</v>
      </c>
      <c r="R2194" s="24">
        <v>0</v>
      </c>
      <c r="S2194" s="25" t="s">
        <v>115</v>
      </c>
      <c r="T2194" s="257">
        <f t="shared" si="75"/>
        <v>50</v>
      </c>
      <c r="U2194" s="257">
        <f t="shared" si="76"/>
        <v>10</v>
      </c>
      <c r="V2194">
        <v>1</v>
      </c>
      <c r="W2194">
        <v>1</v>
      </c>
    </row>
    <row r="2195" spans="1:23" ht="91.2" x14ac:dyDescent="0.3">
      <c r="A2195" s="211">
        <v>41497</v>
      </c>
      <c r="B2195" s="211">
        <v>41497</v>
      </c>
      <c r="C2195" s="6">
        <v>8</v>
      </c>
      <c r="D2195" s="6">
        <v>1</v>
      </c>
      <c r="E2195" s="19">
        <v>2013</v>
      </c>
      <c r="F2195" s="15" t="s">
        <v>22</v>
      </c>
      <c r="G2195" s="18" t="s">
        <v>6256</v>
      </c>
      <c r="H2195" s="9" t="s">
        <v>52</v>
      </c>
      <c r="I2195" s="20" t="s">
        <v>3776</v>
      </c>
      <c r="J2195" s="21" t="s">
        <v>3777</v>
      </c>
      <c r="K2195" s="22">
        <v>1</v>
      </c>
      <c r="L2195" s="234">
        <v>150</v>
      </c>
      <c r="M2195" s="23">
        <v>30</v>
      </c>
      <c r="N2195" s="23">
        <v>0</v>
      </c>
      <c r="O2195" s="23">
        <v>0</v>
      </c>
      <c r="P2195" s="23">
        <v>0</v>
      </c>
      <c r="Q2195" s="23">
        <v>0</v>
      </c>
      <c r="R2195" s="24">
        <v>0.03</v>
      </c>
      <c r="S2195" s="25" t="s">
        <v>115</v>
      </c>
      <c r="T2195" s="257">
        <f t="shared" si="75"/>
        <v>151</v>
      </c>
      <c r="U2195" s="257">
        <f t="shared" si="76"/>
        <v>30</v>
      </c>
      <c r="V2195">
        <v>1</v>
      </c>
      <c r="W2195">
        <v>1</v>
      </c>
    </row>
    <row r="2196" spans="1:23" ht="79.8" x14ac:dyDescent="0.3">
      <c r="A2196" s="211">
        <v>41496</v>
      </c>
      <c r="B2196" s="211">
        <v>41496</v>
      </c>
      <c r="C2196" s="6">
        <v>8</v>
      </c>
      <c r="D2196" s="6">
        <v>1</v>
      </c>
      <c r="E2196" s="19">
        <v>2013</v>
      </c>
      <c r="F2196" s="15" t="s">
        <v>22</v>
      </c>
      <c r="G2196" s="18" t="s">
        <v>6256</v>
      </c>
      <c r="H2196" s="9" t="s">
        <v>57</v>
      </c>
      <c r="I2196" s="20" t="s">
        <v>535</v>
      </c>
      <c r="J2196" s="21" t="s">
        <v>3778</v>
      </c>
      <c r="K2196" s="22">
        <v>1</v>
      </c>
      <c r="L2196" s="234">
        <v>1</v>
      </c>
      <c r="M2196" s="23">
        <v>0</v>
      </c>
      <c r="N2196" s="23">
        <v>0</v>
      </c>
      <c r="O2196" s="23">
        <v>0</v>
      </c>
      <c r="P2196" s="23">
        <v>0</v>
      </c>
      <c r="Q2196" s="23">
        <v>0</v>
      </c>
      <c r="R2196" s="24">
        <v>0</v>
      </c>
      <c r="S2196" s="25" t="s">
        <v>115</v>
      </c>
      <c r="T2196" s="257">
        <f t="shared" si="75"/>
        <v>2</v>
      </c>
      <c r="U2196" s="257">
        <f t="shared" si="76"/>
        <v>0</v>
      </c>
      <c r="V2196">
        <v>1</v>
      </c>
      <c r="W2196">
        <v>0</v>
      </c>
    </row>
    <row r="2197" spans="1:23" ht="57" x14ac:dyDescent="0.3">
      <c r="A2197" s="211">
        <v>41487</v>
      </c>
      <c r="B2197" s="211">
        <v>41487</v>
      </c>
      <c r="C2197" s="6">
        <v>8</v>
      </c>
      <c r="D2197" s="6">
        <v>1</v>
      </c>
      <c r="E2197" s="19">
        <v>2013</v>
      </c>
      <c r="F2197" s="15" t="s">
        <v>22</v>
      </c>
      <c r="G2197" s="18" t="s">
        <v>6256</v>
      </c>
      <c r="H2197" s="9" t="s">
        <v>46</v>
      </c>
      <c r="I2197" s="20" t="s">
        <v>1376</v>
      </c>
      <c r="J2197" s="21" t="s">
        <v>3779</v>
      </c>
      <c r="K2197" s="22">
        <v>1</v>
      </c>
      <c r="L2197" s="234">
        <v>1</v>
      </c>
      <c r="M2197" s="23">
        <v>0</v>
      </c>
      <c r="N2197" s="23">
        <v>0</v>
      </c>
      <c r="O2197" s="23">
        <v>0</v>
      </c>
      <c r="P2197" s="23">
        <v>1</v>
      </c>
      <c r="Q2197" s="23">
        <v>0</v>
      </c>
      <c r="R2197" s="24">
        <v>0</v>
      </c>
      <c r="S2197" s="25" t="s">
        <v>115</v>
      </c>
      <c r="T2197" s="257">
        <f t="shared" si="75"/>
        <v>2</v>
      </c>
      <c r="U2197" s="257">
        <f t="shared" si="76"/>
        <v>1</v>
      </c>
      <c r="V2197">
        <v>1</v>
      </c>
      <c r="W2197">
        <v>1</v>
      </c>
    </row>
    <row r="2198" spans="1:23" ht="79.8" x14ac:dyDescent="0.3">
      <c r="A2198" s="211">
        <v>41481</v>
      </c>
      <c r="B2198" s="211">
        <v>41481</v>
      </c>
      <c r="C2198" s="6">
        <v>7</v>
      </c>
      <c r="D2198" s="6">
        <v>1</v>
      </c>
      <c r="E2198" s="19">
        <v>2013</v>
      </c>
      <c r="F2198" s="15" t="s">
        <v>22</v>
      </c>
      <c r="G2198" s="82" t="s">
        <v>6256</v>
      </c>
      <c r="H2198" s="9" t="s">
        <v>34</v>
      </c>
      <c r="I2198" s="20" t="s">
        <v>3780</v>
      </c>
      <c r="J2198" s="21" t="s">
        <v>3781</v>
      </c>
      <c r="K2198" s="22">
        <v>0</v>
      </c>
      <c r="L2198" s="234">
        <v>250</v>
      </c>
      <c r="M2198" s="23">
        <v>50</v>
      </c>
      <c r="N2198" s="23">
        <v>0</v>
      </c>
      <c r="O2198" s="23">
        <v>0</v>
      </c>
      <c r="P2198" s="23">
        <v>0</v>
      </c>
      <c r="Q2198" s="23">
        <v>0</v>
      </c>
      <c r="R2198" s="24">
        <f>1.8+10.76</f>
        <v>12.56</v>
      </c>
      <c r="S2198" s="25" t="s">
        <v>149</v>
      </c>
      <c r="T2198" s="257">
        <f t="shared" si="75"/>
        <v>250</v>
      </c>
      <c r="U2198" s="257">
        <f t="shared" si="76"/>
        <v>50</v>
      </c>
      <c r="V2198">
        <v>1</v>
      </c>
      <c r="W2198">
        <v>1</v>
      </c>
    </row>
    <row r="2199" spans="1:23" ht="159.6" x14ac:dyDescent="0.3">
      <c r="A2199" s="211">
        <v>41483</v>
      </c>
      <c r="B2199" s="211">
        <v>41483</v>
      </c>
      <c r="C2199" s="6">
        <v>7</v>
      </c>
      <c r="D2199" s="6">
        <v>1</v>
      </c>
      <c r="E2199" s="19">
        <v>2013</v>
      </c>
      <c r="F2199" s="15" t="s">
        <v>22</v>
      </c>
      <c r="G2199" s="18" t="s">
        <v>6256</v>
      </c>
      <c r="H2199" s="9" t="s">
        <v>46</v>
      </c>
      <c r="I2199" s="20" t="s">
        <v>3782</v>
      </c>
      <c r="J2199" s="21" t="s">
        <v>3783</v>
      </c>
      <c r="K2199" s="22">
        <v>1</v>
      </c>
      <c r="L2199" s="234">
        <v>400</v>
      </c>
      <c r="M2199" s="23">
        <v>80</v>
      </c>
      <c r="N2199" s="23">
        <v>0</v>
      </c>
      <c r="O2199" s="23">
        <v>0</v>
      </c>
      <c r="P2199" s="23">
        <v>0</v>
      </c>
      <c r="Q2199" s="23">
        <v>0</v>
      </c>
      <c r="R2199" s="24">
        <v>0.1</v>
      </c>
      <c r="S2199" s="25" t="s">
        <v>115</v>
      </c>
      <c r="T2199" s="257">
        <f t="shared" si="75"/>
        <v>401</v>
      </c>
      <c r="U2199" s="257">
        <f t="shared" si="76"/>
        <v>80</v>
      </c>
      <c r="V2199">
        <v>1</v>
      </c>
      <c r="W2199">
        <v>1</v>
      </c>
    </row>
    <row r="2200" spans="1:23" ht="79.8" x14ac:dyDescent="0.3">
      <c r="A2200" s="211">
        <v>41497</v>
      </c>
      <c r="B2200" s="211">
        <v>41497</v>
      </c>
      <c r="C2200" s="6">
        <v>8</v>
      </c>
      <c r="D2200" s="6">
        <v>1</v>
      </c>
      <c r="E2200" s="19">
        <v>2013</v>
      </c>
      <c r="F2200" s="15" t="s">
        <v>22</v>
      </c>
      <c r="G2200" s="82" t="s">
        <v>6256</v>
      </c>
      <c r="H2200" s="9" t="s">
        <v>121</v>
      </c>
      <c r="I2200" s="20" t="s">
        <v>3784</v>
      </c>
      <c r="J2200" s="21" t="s">
        <v>3785</v>
      </c>
      <c r="K2200" s="57">
        <v>0</v>
      </c>
      <c r="L2200" s="233">
        <v>6</v>
      </c>
      <c r="M2200" s="23">
        <v>0</v>
      </c>
      <c r="N2200" s="23">
        <v>0</v>
      </c>
      <c r="O2200" s="23">
        <v>0</v>
      </c>
      <c r="P2200" s="23">
        <v>0</v>
      </c>
      <c r="Q2200" s="23">
        <v>0</v>
      </c>
      <c r="R2200" s="24">
        <v>0</v>
      </c>
      <c r="S2200" s="25" t="s">
        <v>115</v>
      </c>
      <c r="T2200" s="257">
        <f t="shared" si="75"/>
        <v>6</v>
      </c>
      <c r="U2200" s="257">
        <f t="shared" si="76"/>
        <v>0</v>
      </c>
      <c r="V2200">
        <v>1</v>
      </c>
      <c r="W2200">
        <v>0</v>
      </c>
    </row>
    <row r="2201" spans="1:23" ht="102.6" x14ac:dyDescent="0.3">
      <c r="A2201" s="211">
        <v>41497</v>
      </c>
      <c r="B2201" s="211">
        <v>41497</v>
      </c>
      <c r="C2201" s="6">
        <v>8</v>
      </c>
      <c r="D2201" s="6">
        <v>1</v>
      </c>
      <c r="E2201" s="19">
        <v>2013</v>
      </c>
      <c r="F2201" s="15" t="s">
        <v>22</v>
      </c>
      <c r="G2201" s="18" t="s">
        <v>6256</v>
      </c>
      <c r="H2201" s="9" t="s">
        <v>51</v>
      </c>
      <c r="I2201" s="20" t="s">
        <v>3786</v>
      </c>
      <c r="J2201" s="21" t="s">
        <v>3787</v>
      </c>
      <c r="K2201" s="57">
        <v>0</v>
      </c>
      <c r="L2201" s="233">
        <v>10</v>
      </c>
      <c r="M2201" s="23">
        <v>2</v>
      </c>
      <c r="N2201" s="23">
        <v>0</v>
      </c>
      <c r="O2201" s="23">
        <v>0</v>
      </c>
      <c r="P2201" s="23">
        <v>0</v>
      </c>
      <c r="Q2201" s="23">
        <v>0</v>
      </c>
      <c r="R2201" s="24">
        <v>0</v>
      </c>
      <c r="S2201" s="25" t="s">
        <v>115</v>
      </c>
      <c r="T2201" s="257">
        <f t="shared" si="75"/>
        <v>10</v>
      </c>
      <c r="U2201" s="257">
        <f t="shared" si="76"/>
        <v>2</v>
      </c>
      <c r="V2201">
        <v>1</v>
      </c>
      <c r="W2201">
        <v>1</v>
      </c>
    </row>
    <row r="2202" spans="1:23" ht="57" x14ac:dyDescent="0.3">
      <c r="A2202" s="211">
        <v>41512</v>
      </c>
      <c r="B2202" s="211">
        <v>41512</v>
      </c>
      <c r="C2202" s="6">
        <v>8</v>
      </c>
      <c r="D2202" s="6">
        <v>1</v>
      </c>
      <c r="E2202" s="19">
        <v>2013</v>
      </c>
      <c r="F2202" s="15" t="s">
        <v>22</v>
      </c>
      <c r="G2202" s="18" t="s">
        <v>6256</v>
      </c>
      <c r="H2202" s="9" t="s">
        <v>121</v>
      </c>
      <c r="I2202" s="20" t="s">
        <v>1284</v>
      </c>
      <c r="J2202" s="21" t="s">
        <v>3788</v>
      </c>
      <c r="K2202" s="6">
        <v>1</v>
      </c>
      <c r="L2202" s="233">
        <v>1</v>
      </c>
      <c r="M2202" s="23">
        <v>0</v>
      </c>
      <c r="N2202" s="23">
        <v>0</v>
      </c>
      <c r="O2202" s="23">
        <v>0</v>
      </c>
      <c r="P2202" s="23">
        <v>0</v>
      </c>
      <c r="Q2202" s="23">
        <v>0</v>
      </c>
      <c r="R2202" s="24">
        <v>0</v>
      </c>
      <c r="S2202" s="25" t="s">
        <v>115</v>
      </c>
      <c r="T2202" s="257">
        <f t="shared" si="75"/>
        <v>2</v>
      </c>
      <c r="U2202" s="257">
        <f t="shared" si="76"/>
        <v>0</v>
      </c>
      <c r="V2202">
        <v>1</v>
      </c>
      <c r="W2202">
        <v>0</v>
      </c>
    </row>
    <row r="2203" spans="1:23" ht="57" x14ac:dyDescent="0.3">
      <c r="A2203" s="211">
        <v>41538</v>
      </c>
      <c r="B2203" s="211">
        <v>41538</v>
      </c>
      <c r="C2203" s="6">
        <v>9</v>
      </c>
      <c r="D2203" s="6">
        <v>1</v>
      </c>
      <c r="E2203" s="19">
        <v>2013</v>
      </c>
      <c r="F2203" s="7" t="s">
        <v>17</v>
      </c>
      <c r="G2203" s="28" t="s">
        <v>6261</v>
      </c>
      <c r="H2203" s="9" t="s">
        <v>118</v>
      </c>
      <c r="I2203" s="20" t="s">
        <v>3789</v>
      </c>
      <c r="J2203" s="21" t="s">
        <v>3790</v>
      </c>
      <c r="K2203" s="22">
        <v>1</v>
      </c>
      <c r="L2203" s="234">
        <v>4</v>
      </c>
      <c r="M2203" s="23">
        <v>0</v>
      </c>
      <c r="N2203" s="23">
        <v>0</v>
      </c>
      <c r="O2203" s="23">
        <v>0</v>
      </c>
      <c r="P2203" s="23">
        <v>0</v>
      </c>
      <c r="Q2203" s="23">
        <v>0</v>
      </c>
      <c r="R2203" s="24">
        <v>0</v>
      </c>
      <c r="S2203" s="25" t="s">
        <v>115</v>
      </c>
      <c r="T2203" s="257">
        <f t="shared" si="75"/>
        <v>5</v>
      </c>
      <c r="U2203" s="257">
        <f t="shared" si="76"/>
        <v>0</v>
      </c>
      <c r="V2203">
        <v>1</v>
      </c>
      <c r="W2203">
        <v>0</v>
      </c>
    </row>
    <row r="2204" spans="1:23" ht="68.400000000000006" x14ac:dyDescent="0.3">
      <c r="A2204" s="212">
        <v>38222</v>
      </c>
      <c r="B2204" s="212">
        <v>38222</v>
      </c>
      <c r="C2204" s="6">
        <v>8</v>
      </c>
      <c r="D2204" s="6">
        <v>1</v>
      </c>
      <c r="E2204" s="6">
        <v>2004</v>
      </c>
      <c r="F2204" s="15" t="s">
        <v>22</v>
      </c>
      <c r="G2204" s="18" t="s">
        <v>6256</v>
      </c>
      <c r="H2204" s="9" t="s">
        <v>48</v>
      </c>
      <c r="I2204" s="17" t="s">
        <v>3791</v>
      </c>
      <c r="J2204" s="53" t="s">
        <v>3792</v>
      </c>
      <c r="K2204" s="13">
        <v>0</v>
      </c>
      <c r="L2204" s="233">
        <v>5</v>
      </c>
      <c r="M2204" s="13">
        <v>1</v>
      </c>
      <c r="N2204" s="13">
        <v>0</v>
      </c>
      <c r="O2204" s="13">
        <v>0</v>
      </c>
      <c r="P2204" s="13">
        <v>0</v>
      </c>
      <c r="Q2204" s="13">
        <v>0</v>
      </c>
      <c r="R2204" s="26">
        <v>0.04</v>
      </c>
      <c r="S2204" s="7" t="s">
        <v>115</v>
      </c>
      <c r="T2204" s="257">
        <f t="shared" si="75"/>
        <v>5</v>
      </c>
      <c r="U2204" s="257">
        <f t="shared" si="76"/>
        <v>1</v>
      </c>
      <c r="V2204">
        <v>1</v>
      </c>
      <c r="W2204">
        <v>1</v>
      </c>
    </row>
    <row r="2205" spans="1:23" ht="22.8" x14ac:dyDescent="0.3">
      <c r="A2205" s="212">
        <v>39380</v>
      </c>
      <c r="B2205" s="212">
        <v>39380</v>
      </c>
      <c r="C2205" s="6">
        <v>10</v>
      </c>
      <c r="D2205" s="6">
        <v>1</v>
      </c>
      <c r="E2205" s="6">
        <v>2007</v>
      </c>
      <c r="F2205" s="7" t="s">
        <v>17</v>
      </c>
      <c r="G2205" s="28" t="s">
        <v>6261</v>
      </c>
      <c r="H2205" s="9" t="s">
        <v>48</v>
      </c>
      <c r="I2205" s="17" t="s">
        <v>685</v>
      </c>
      <c r="J2205" s="17" t="s">
        <v>3793</v>
      </c>
      <c r="K2205" s="13">
        <v>0</v>
      </c>
      <c r="L2205" s="233">
        <v>5</v>
      </c>
      <c r="M2205" s="13">
        <v>1</v>
      </c>
      <c r="N2205" s="13">
        <v>0</v>
      </c>
      <c r="O2205" s="13">
        <v>0</v>
      </c>
      <c r="P2205" s="13">
        <v>0</v>
      </c>
      <c r="Q2205" s="60">
        <v>0</v>
      </c>
      <c r="R2205" s="61">
        <v>0.04</v>
      </c>
      <c r="S2205" s="7" t="s">
        <v>115</v>
      </c>
      <c r="T2205" s="257">
        <f t="shared" si="75"/>
        <v>5</v>
      </c>
      <c r="U2205" s="257">
        <f t="shared" si="76"/>
        <v>1</v>
      </c>
      <c r="V2205">
        <v>1</v>
      </c>
      <c r="W2205">
        <v>1</v>
      </c>
    </row>
    <row r="2206" spans="1:23" ht="68.400000000000006" x14ac:dyDescent="0.3">
      <c r="A2206" s="211">
        <v>41512</v>
      </c>
      <c r="B2206" s="211">
        <v>41512</v>
      </c>
      <c r="C2206" s="6">
        <v>8</v>
      </c>
      <c r="D2206" s="6">
        <v>1</v>
      </c>
      <c r="E2206" s="19">
        <v>2013</v>
      </c>
      <c r="F2206" s="15" t="s">
        <v>22</v>
      </c>
      <c r="G2206" s="18" t="s">
        <v>6256</v>
      </c>
      <c r="H2206" s="9" t="s">
        <v>64</v>
      </c>
      <c r="I2206" s="20" t="s">
        <v>3794</v>
      </c>
      <c r="J2206" s="21" t="s">
        <v>3795</v>
      </c>
      <c r="K2206" s="22">
        <v>1</v>
      </c>
      <c r="L2206" s="234">
        <v>2</v>
      </c>
      <c r="M2206" s="23">
        <v>0</v>
      </c>
      <c r="N2206" s="23">
        <v>0</v>
      </c>
      <c r="O2206" s="23">
        <v>0</v>
      </c>
      <c r="P2206" s="23">
        <v>0</v>
      </c>
      <c r="Q2206" s="23">
        <v>0</v>
      </c>
      <c r="R2206" s="24">
        <v>0</v>
      </c>
      <c r="S2206" s="25" t="s">
        <v>115</v>
      </c>
      <c r="T2206" s="257">
        <f t="shared" si="75"/>
        <v>3</v>
      </c>
      <c r="U2206" s="257">
        <f t="shared" si="76"/>
        <v>0</v>
      </c>
      <c r="V2206">
        <v>1</v>
      </c>
      <c r="W2206">
        <v>0</v>
      </c>
    </row>
    <row r="2207" spans="1:23" ht="57" x14ac:dyDescent="0.3">
      <c r="A2207" s="211">
        <v>41532</v>
      </c>
      <c r="B2207" s="211">
        <v>41532</v>
      </c>
      <c r="C2207" s="6">
        <v>9</v>
      </c>
      <c r="D2207" s="6">
        <v>1</v>
      </c>
      <c r="E2207" s="19">
        <v>2013</v>
      </c>
      <c r="F2207" s="15" t="s">
        <v>22</v>
      </c>
      <c r="G2207" s="82" t="s">
        <v>6256</v>
      </c>
      <c r="H2207" s="9" t="s">
        <v>52</v>
      </c>
      <c r="I2207" s="20" t="s">
        <v>1679</v>
      </c>
      <c r="J2207" s="21" t="s">
        <v>3796</v>
      </c>
      <c r="K2207" s="22">
        <v>1</v>
      </c>
      <c r="L2207" s="234">
        <v>1</v>
      </c>
      <c r="M2207" s="23">
        <v>0</v>
      </c>
      <c r="N2207" s="23">
        <v>0</v>
      </c>
      <c r="O2207" s="23">
        <v>0</v>
      </c>
      <c r="P2207" s="23">
        <v>0</v>
      </c>
      <c r="Q2207" s="23">
        <v>0</v>
      </c>
      <c r="R2207" s="24">
        <v>0</v>
      </c>
      <c r="S2207" s="25" t="s">
        <v>115</v>
      </c>
      <c r="T2207" s="257">
        <f t="shared" si="75"/>
        <v>2</v>
      </c>
      <c r="U2207" s="257">
        <f t="shared" si="76"/>
        <v>0</v>
      </c>
      <c r="V2207">
        <v>1</v>
      </c>
      <c r="W2207">
        <v>0</v>
      </c>
    </row>
    <row r="2208" spans="1:23" ht="45.6" x14ac:dyDescent="0.3">
      <c r="A2208" s="211">
        <v>41518</v>
      </c>
      <c r="B2208" s="211">
        <v>41518</v>
      </c>
      <c r="C2208" s="6">
        <v>9</v>
      </c>
      <c r="D2208" s="6">
        <v>1</v>
      </c>
      <c r="E2208" s="19">
        <v>2013</v>
      </c>
      <c r="F2208" s="15" t="s">
        <v>22</v>
      </c>
      <c r="G2208" s="82" t="s">
        <v>6256</v>
      </c>
      <c r="H2208" s="9" t="s">
        <v>88</v>
      </c>
      <c r="I2208" s="20" t="s">
        <v>88</v>
      </c>
      <c r="J2208" s="21" t="s">
        <v>3797</v>
      </c>
      <c r="K2208" s="22">
        <v>1</v>
      </c>
      <c r="L2208" s="234">
        <v>1</v>
      </c>
      <c r="M2208" s="23">
        <v>0</v>
      </c>
      <c r="N2208" s="23">
        <v>0</v>
      </c>
      <c r="O2208" s="23">
        <v>0</v>
      </c>
      <c r="P2208" s="23">
        <v>0</v>
      </c>
      <c r="Q2208" s="23">
        <v>0</v>
      </c>
      <c r="R2208" s="24">
        <v>0</v>
      </c>
      <c r="S2208" s="25" t="s">
        <v>115</v>
      </c>
      <c r="T2208" s="257">
        <f t="shared" si="75"/>
        <v>2</v>
      </c>
      <c r="U2208" s="257">
        <f t="shared" si="76"/>
        <v>0</v>
      </c>
      <c r="V2208">
        <v>1</v>
      </c>
      <c r="W2208">
        <v>0</v>
      </c>
    </row>
    <row r="2209" spans="1:23" ht="57" x14ac:dyDescent="0.3">
      <c r="A2209" s="211">
        <v>41489</v>
      </c>
      <c r="B2209" s="211">
        <v>41489</v>
      </c>
      <c r="C2209" s="6">
        <v>8</v>
      </c>
      <c r="D2209" s="6">
        <v>1</v>
      </c>
      <c r="E2209" s="19">
        <v>2013</v>
      </c>
      <c r="F2209" s="7" t="s">
        <v>17</v>
      </c>
      <c r="G2209" s="28" t="s">
        <v>6261</v>
      </c>
      <c r="H2209" s="9" t="s">
        <v>64</v>
      </c>
      <c r="I2209" s="20" t="s">
        <v>1875</v>
      </c>
      <c r="J2209" s="21" t="s">
        <v>3798</v>
      </c>
      <c r="K2209" s="22">
        <v>1</v>
      </c>
      <c r="L2209" s="234">
        <v>5</v>
      </c>
      <c r="M2209" s="23">
        <v>1</v>
      </c>
      <c r="N2209" s="23">
        <v>0</v>
      </c>
      <c r="O2209" s="23">
        <v>0</v>
      </c>
      <c r="P2209" s="23">
        <v>0</v>
      </c>
      <c r="Q2209" s="23">
        <v>0</v>
      </c>
      <c r="R2209" s="24">
        <v>0</v>
      </c>
      <c r="S2209" s="25" t="s">
        <v>115</v>
      </c>
      <c r="T2209" s="257">
        <f t="shared" si="75"/>
        <v>6</v>
      </c>
      <c r="U2209" s="257">
        <f t="shared" si="76"/>
        <v>1</v>
      </c>
      <c r="V2209">
        <v>1</v>
      </c>
      <c r="W2209">
        <v>1</v>
      </c>
    </row>
    <row r="2210" spans="1:23" ht="136.80000000000001" x14ac:dyDescent="0.3">
      <c r="A2210" s="211">
        <v>41511</v>
      </c>
      <c r="B2210" s="211">
        <v>41513</v>
      </c>
      <c r="C2210" s="6">
        <v>8</v>
      </c>
      <c r="D2210" s="6">
        <v>3</v>
      </c>
      <c r="E2210" s="19">
        <v>2013</v>
      </c>
      <c r="F2210" s="15" t="s">
        <v>22</v>
      </c>
      <c r="G2210" s="16" t="s">
        <v>6254</v>
      </c>
      <c r="H2210" s="9" t="s">
        <v>174</v>
      </c>
      <c r="I2210" s="20" t="s">
        <v>3799</v>
      </c>
      <c r="J2210" s="21" t="s">
        <v>3800</v>
      </c>
      <c r="K2210" s="22">
        <v>13</v>
      </c>
      <c r="L2210" s="234">
        <v>68310</v>
      </c>
      <c r="M2210" s="23">
        <v>109</v>
      </c>
      <c r="N2210" s="23">
        <v>3</v>
      </c>
      <c r="O2210" s="23">
        <v>0</v>
      </c>
      <c r="P2210" s="23">
        <v>0</v>
      </c>
      <c r="Q2210" s="23">
        <v>0</v>
      </c>
      <c r="R2210" s="24">
        <f>461.5+66.5</f>
        <v>528</v>
      </c>
      <c r="S2210" s="25" t="s">
        <v>149</v>
      </c>
      <c r="T2210" s="257">
        <f t="shared" si="75"/>
        <v>68323</v>
      </c>
      <c r="U2210" s="257">
        <f t="shared" si="76"/>
        <v>112</v>
      </c>
      <c r="V2210">
        <v>2</v>
      </c>
      <c r="W2210">
        <v>1</v>
      </c>
    </row>
    <row r="2211" spans="1:23" ht="125.4" x14ac:dyDescent="0.3">
      <c r="A2211" s="211">
        <v>41527</v>
      </c>
      <c r="B2211" s="211">
        <v>41527</v>
      </c>
      <c r="C2211" s="6">
        <v>9</v>
      </c>
      <c r="D2211" s="6">
        <v>1</v>
      </c>
      <c r="E2211" s="19">
        <v>2013</v>
      </c>
      <c r="F2211" s="15" t="s">
        <v>22</v>
      </c>
      <c r="G2211" s="18" t="s">
        <v>6256</v>
      </c>
      <c r="H2211" s="9" t="s">
        <v>66</v>
      </c>
      <c r="I2211" s="20" t="s">
        <v>2291</v>
      </c>
      <c r="J2211" s="21" t="s">
        <v>3801</v>
      </c>
      <c r="K2211" s="22">
        <v>3</v>
      </c>
      <c r="L2211" s="234">
        <v>10</v>
      </c>
      <c r="M2211" s="23">
        <v>1</v>
      </c>
      <c r="N2211" s="23">
        <v>0</v>
      </c>
      <c r="O2211" s="23">
        <v>0</v>
      </c>
      <c r="P2211" s="23">
        <v>0</v>
      </c>
      <c r="Q2211" s="23">
        <v>0</v>
      </c>
      <c r="R2211" s="24">
        <v>0</v>
      </c>
      <c r="S2211" s="25" t="s">
        <v>115</v>
      </c>
      <c r="T2211" s="257">
        <f t="shared" si="75"/>
        <v>13</v>
      </c>
      <c r="U2211" s="257">
        <f t="shared" si="76"/>
        <v>1</v>
      </c>
      <c r="V2211">
        <v>1</v>
      </c>
      <c r="W2211">
        <v>1</v>
      </c>
    </row>
    <row r="2212" spans="1:23" ht="148.19999999999999" x14ac:dyDescent="0.3">
      <c r="A2212" s="211">
        <v>41510</v>
      </c>
      <c r="B2212" s="211">
        <v>41514</v>
      </c>
      <c r="C2212" s="6">
        <v>8</v>
      </c>
      <c r="D2212" s="6">
        <v>5</v>
      </c>
      <c r="E2212" s="19">
        <v>2013</v>
      </c>
      <c r="F2212" s="15" t="s">
        <v>22</v>
      </c>
      <c r="G2212" s="16" t="s">
        <v>6254</v>
      </c>
      <c r="H2212" s="9" t="s">
        <v>28</v>
      </c>
      <c r="I2212" s="20" t="s">
        <v>3802</v>
      </c>
      <c r="J2212" s="21" t="s">
        <v>3803</v>
      </c>
      <c r="K2212" s="22">
        <v>5</v>
      </c>
      <c r="L2212" s="234">
        <v>42500</v>
      </c>
      <c r="M2212" s="23">
        <v>8500</v>
      </c>
      <c r="N2212" s="23">
        <v>0</v>
      </c>
      <c r="O2212" s="23">
        <v>0</v>
      </c>
      <c r="P2212" s="23">
        <v>0</v>
      </c>
      <c r="Q2212" s="23">
        <v>0</v>
      </c>
      <c r="R2212" s="24">
        <v>25.91</v>
      </c>
      <c r="S2212" s="25" t="s">
        <v>115</v>
      </c>
      <c r="T2212" s="257">
        <f t="shared" si="75"/>
        <v>42505</v>
      </c>
      <c r="U2212" s="257">
        <f t="shared" si="76"/>
        <v>8500</v>
      </c>
      <c r="V2212">
        <v>2</v>
      </c>
      <c r="W2212">
        <v>2</v>
      </c>
    </row>
    <row r="2213" spans="1:23" ht="159.6" x14ac:dyDescent="0.3">
      <c r="A2213" s="211">
        <v>41526</v>
      </c>
      <c r="B2213" s="211">
        <v>41539</v>
      </c>
      <c r="C2213" s="6">
        <v>9</v>
      </c>
      <c r="D2213" s="6">
        <v>14</v>
      </c>
      <c r="E2213" s="19">
        <v>2013</v>
      </c>
      <c r="F2213" s="15" t="s">
        <v>22</v>
      </c>
      <c r="G2213" s="16" t="s">
        <v>6254</v>
      </c>
      <c r="H2213" s="9" t="s">
        <v>174</v>
      </c>
      <c r="I2213" s="20" t="s">
        <v>3804</v>
      </c>
      <c r="J2213" s="21" t="s">
        <v>3805</v>
      </c>
      <c r="K2213" s="22">
        <v>14</v>
      </c>
      <c r="L2213" s="234">
        <v>133155</v>
      </c>
      <c r="M2213" s="23">
        <v>50</v>
      </c>
      <c r="N2213" s="23">
        <v>8</v>
      </c>
      <c r="O2213" s="23">
        <v>0</v>
      </c>
      <c r="P2213" s="23" t="s">
        <v>95</v>
      </c>
      <c r="Q2213" s="23"/>
      <c r="R2213" s="24">
        <f>266.3+24.1</f>
        <v>290.40000000000003</v>
      </c>
      <c r="S2213" s="25" t="s">
        <v>149</v>
      </c>
      <c r="T2213" s="257">
        <f t="shared" si="75"/>
        <v>133169</v>
      </c>
      <c r="U2213" s="257">
        <f t="shared" si="76"/>
        <v>58</v>
      </c>
      <c r="V2213">
        <v>3</v>
      </c>
      <c r="W2213">
        <v>1</v>
      </c>
    </row>
    <row r="2214" spans="1:23" ht="105.6" x14ac:dyDescent="0.3">
      <c r="A2214" s="223">
        <v>40359</v>
      </c>
      <c r="B2214" s="223">
        <v>40359</v>
      </c>
      <c r="C2214" s="6">
        <v>6</v>
      </c>
      <c r="D2214" s="6">
        <v>1</v>
      </c>
      <c r="E2214" s="73">
        <v>2010</v>
      </c>
      <c r="F2214" s="15" t="s">
        <v>22</v>
      </c>
      <c r="G2214" s="16" t="s">
        <v>6254</v>
      </c>
      <c r="H2214" s="9" t="s">
        <v>57</v>
      </c>
      <c r="I2214" s="74" t="s">
        <v>3806</v>
      </c>
      <c r="J2214" s="74" t="s">
        <v>3807</v>
      </c>
      <c r="K2214" s="75">
        <v>9</v>
      </c>
      <c r="L2214" s="241">
        <v>97304</v>
      </c>
      <c r="M2214" s="75">
        <v>11936</v>
      </c>
      <c r="N2214" s="75">
        <v>1502</v>
      </c>
      <c r="O2214" s="75">
        <v>224</v>
      </c>
      <c r="P2214" s="75">
        <v>1406</v>
      </c>
      <c r="Q2214" s="75">
        <v>10012</v>
      </c>
      <c r="R2214" s="61">
        <v>21500.857</v>
      </c>
      <c r="S2214" s="73" t="s">
        <v>21</v>
      </c>
      <c r="T2214" s="257">
        <f t="shared" si="75"/>
        <v>97313</v>
      </c>
      <c r="U2214" s="257">
        <f t="shared" si="76"/>
        <v>15068</v>
      </c>
      <c r="V2214">
        <v>2</v>
      </c>
      <c r="W2214">
        <v>3</v>
      </c>
    </row>
    <row r="2215" spans="1:23" ht="57" x14ac:dyDescent="0.3">
      <c r="A2215" s="211">
        <v>41518</v>
      </c>
      <c r="B2215" s="211">
        <v>41519</v>
      </c>
      <c r="C2215" s="6">
        <v>9</v>
      </c>
      <c r="D2215" s="6">
        <v>2</v>
      </c>
      <c r="E2215" s="19">
        <v>2013</v>
      </c>
      <c r="F2215" s="7" t="s">
        <v>17</v>
      </c>
      <c r="G2215" s="28" t="s">
        <v>6261</v>
      </c>
      <c r="H2215" s="9" t="s">
        <v>61</v>
      </c>
      <c r="I2215" s="20" t="s">
        <v>3808</v>
      </c>
      <c r="J2215" s="21" t="s">
        <v>3809</v>
      </c>
      <c r="K2215" s="22">
        <v>0</v>
      </c>
      <c r="L2215" s="234">
        <v>150</v>
      </c>
      <c r="M2215" s="23">
        <v>30</v>
      </c>
      <c r="N2215" s="23">
        <v>0</v>
      </c>
      <c r="O2215" s="23">
        <v>0</v>
      </c>
      <c r="P2215" s="23" t="s">
        <v>95</v>
      </c>
      <c r="Q2215" s="23"/>
      <c r="R2215" s="24">
        <v>9.9</v>
      </c>
      <c r="S2215" s="25" t="s">
        <v>149</v>
      </c>
      <c r="T2215" s="257">
        <f t="shared" si="75"/>
        <v>150</v>
      </c>
      <c r="U2215" s="257">
        <f t="shared" si="76"/>
        <v>30</v>
      </c>
      <c r="V2215">
        <v>1</v>
      </c>
      <c r="W2215">
        <v>1</v>
      </c>
    </row>
    <row r="2216" spans="1:23" ht="57" x14ac:dyDescent="0.3">
      <c r="A2216" s="211">
        <v>41526</v>
      </c>
      <c r="B2216" s="211">
        <v>41526</v>
      </c>
      <c r="C2216" s="6">
        <v>9</v>
      </c>
      <c r="D2216" s="6">
        <v>1</v>
      </c>
      <c r="E2216" s="19">
        <v>2013</v>
      </c>
      <c r="F2216" s="7" t="s">
        <v>17</v>
      </c>
      <c r="G2216" s="28" t="s">
        <v>6261</v>
      </c>
      <c r="H2216" s="9" t="s">
        <v>61</v>
      </c>
      <c r="I2216" s="20" t="s">
        <v>3810</v>
      </c>
      <c r="J2216" s="21" t="s">
        <v>3811</v>
      </c>
      <c r="K2216" s="22" t="s">
        <v>95</v>
      </c>
      <c r="L2216" s="248" t="s">
        <v>95</v>
      </c>
      <c r="M2216" s="43" t="s">
        <v>95</v>
      </c>
      <c r="N2216" s="43" t="s">
        <v>95</v>
      </c>
      <c r="O2216" s="43" t="s">
        <v>95</v>
      </c>
      <c r="P2216" s="23" t="s">
        <v>95</v>
      </c>
      <c r="Q2216" s="43"/>
      <c r="R2216" s="24">
        <v>36.200000000000003</v>
      </c>
      <c r="S2216" s="25" t="s">
        <v>149</v>
      </c>
      <c r="T2216" s="257">
        <f t="shared" si="75"/>
        <v>0</v>
      </c>
      <c r="U2216" s="257">
        <f t="shared" si="76"/>
        <v>0</v>
      </c>
      <c r="V2216">
        <v>0</v>
      </c>
      <c r="W2216">
        <v>0</v>
      </c>
    </row>
    <row r="2217" spans="1:23" ht="193.8" x14ac:dyDescent="0.3">
      <c r="A2217" s="211">
        <v>41536</v>
      </c>
      <c r="B2217" s="211">
        <v>41540</v>
      </c>
      <c r="C2217" s="6">
        <v>9</v>
      </c>
      <c r="D2217" s="6">
        <v>5</v>
      </c>
      <c r="E2217" s="19">
        <v>2013</v>
      </c>
      <c r="F2217" s="7" t="s">
        <v>17</v>
      </c>
      <c r="G2217" s="28" t="s">
        <v>6261</v>
      </c>
      <c r="H2217" s="9" t="s">
        <v>61</v>
      </c>
      <c r="I2217" s="20" t="s">
        <v>3812</v>
      </c>
      <c r="J2217" s="21" t="s">
        <v>3813</v>
      </c>
      <c r="K2217" s="22">
        <v>0</v>
      </c>
      <c r="L2217" s="234">
        <v>1940</v>
      </c>
      <c r="M2217" s="23">
        <v>388</v>
      </c>
      <c r="N2217" s="23">
        <v>10</v>
      </c>
      <c r="O2217" s="23">
        <v>0</v>
      </c>
      <c r="P2217" s="23" t="s">
        <v>95</v>
      </c>
      <c r="Q2217" s="23"/>
      <c r="R2217" s="24">
        <v>187.5</v>
      </c>
      <c r="S2217" s="25" t="s">
        <v>149</v>
      </c>
      <c r="T2217" s="257">
        <f t="shared" si="75"/>
        <v>1940</v>
      </c>
      <c r="U2217" s="257">
        <f t="shared" si="76"/>
        <v>398</v>
      </c>
      <c r="V2217">
        <v>1</v>
      </c>
      <c r="W2217">
        <v>1</v>
      </c>
    </row>
    <row r="2218" spans="1:23" ht="57" x14ac:dyDescent="0.3">
      <c r="A2218" s="211">
        <v>41526</v>
      </c>
      <c r="B2218" s="211">
        <v>41540</v>
      </c>
      <c r="C2218" s="6">
        <v>9</v>
      </c>
      <c r="D2218" s="6">
        <v>15</v>
      </c>
      <c r="E2218" s="19">
        <v>2013</v>
      </c>
      <c r="F2218" s="15" t="s">
        <v>22</v>
      </c>
      <c r="G2218" s="16" t="s">
        <v>6254</v>
      </c>
      <c r="H2218" s="9" t="s">
        <v>61</v>
      </c>
      <c r="I2218" s="20" t="s">
        <v>3814</v>
      </c>
      <c r="J2218" s="21" t="s">
        <v>3815</v>
      </c>
      <c r="K2218" s="22">
        <v>10</v>
      </c>
      <c r="L2218" s="234">
        <v>78928</v>
      </c>
      <c r="M2218" s="23">
        <v>262</v>
      </c>
      <c r="N2218" s="23">
        <v>10</v>
      </c>
      <c r="O2218" s="23">
        <v>0</v>
      </c>
      <c r="P2218" s="23" t="s">
        <v>95</v>
      </c>
      <c r="Q2218" s="23"/>
      <c r="R2218" s="24">
        <f>759.1+50.31</f>
        <v>809.41000000000008</v>
      </c>
      <c r="S2218" s="25" t="s">
        <v>149</v>
      </c>
      <c r="T2218" s="257">
        <f t="shared" si="75"/>
        <v>78938</v>
      </c>
      <c r="U2218" s="257">
        <f t="shared" si="76"/>
        <v>272</v>
      </c>
      <c r="V2218">
        <v>2</v>
      </c>
      <c r="W2218">
        <v>1</v>
      </c>
    </row>
    <row r="2219" spans="1:23" ht="171" x14ac:dyDescent="0.3">
      <c r="A2219" s="211">
        <v>41526</v>
      </c>
      <c r="B2219" s="211">
        <v>41530</v>
      </c>
      <c r="C2219" s="6">
        <v>9</v>
      </c>
      <c r="D2219" s="6">
        <v>5</v>
      </c>
      <c r="E2219" s="19">
        <v>2013</v>
      </c>
      <c r="F2219" s="15" t="s">
        <v>22</v>
      </c>
      <c r="G2219" s="16" t="s">
        <v>6254</v>
      </c>
      <c r="H2219" s="9" t="s">
        <v>34</v>
      </c>
      <c r="I2219" s="20" t="s">
        <v>3816</v>
      </c>
      <c r="J2219" s="21" t="s">
        <v>3817</v>
      </c>
      <c r="K2219" s="22">
        <v>1</v>
      </c>
      <c r="L2219" s="234">
        <v>61077</v>
      </c>
      <c r="M2219" s="23">
        <v>116</v>
      </c>
      <c r="N2219" s="23">
        <v>0</v>
      </c>
      <c r="O2219" s="23">
        <v>0</v>
      </c>
      <c r="P2219" s="23" t="s">
        <v>95</v>
      </c>
      <c r="Q2219" s="23"/>
      <c r="R2219" s="24">
        <f>438.04+20.23</f>
        <v>458.27000000000004</v>
      </c>
      <c r="S2219" s="25" t="s">
        <v>149</v>
      </c>
      <c r="T2219" s="257">
        <f t="shared" si="75"/>
        <v>61078</v>
      </c>
      <c r="U2219" s="257">
        <f t="shared" si="76"/>
        <v>116</v>
      </c>
      <c r="V2219">
        <v>2</v>
      </c>
      <c r="W2219">
        <v>1</v>
      </c>
    </row>
    <row r="2220" spans="1:23" ht="171" x14ac:dyDescent="0.3">
      <c r="A2220" s="211">
        <v>41530</v>
      </c>
      <c r="B2220" s="211">
        <v>41535</v>
      </c>
      <c r="C2220" s="6">
        <v>9</v>
      </c>
      <c r="D2220" s="6">
        <v>6</v>
      </c>
      <c r="E2220" s="19">
        <v>2013</v>
      </c>
      <c r="F2220" s="15" t="s">
        <v>22</v>
      </c>
      <c r="G2220" s="16" t="s">
        <v>6254</v>
      </c>
      <c r="H2220" s="9" t="s">
        <v>121</v>
      </c>
      <c r="I2220" s="20" t="s">
        <v>3818</v>
      </c>
      <c r="J2220" s="20" t="s">
        <v>3819</v>
      </c>
      <c r="K2220" s="22">
        <v>4</v>
      </c>
      <c r="L2220" s="234" t="s">
        <v>95</v>
      </c>
      <c r="M2220" s="23">
        <v>154</v>
      </c>
      <c r="N2220" s="23">
        <v>62</v>
      </c>
      <c r="O2220" s="23">
        <v>9</v>
      </c>
      <c r="P2220" s="23" t="s">
        <v>95</v>
      </c>
      <c r="Q2220" s="23"/>
      <c r="R2220" s="24">
        <v>1357.5</v>
      </c>
      <c r="S2220" s="25" t="s">
        <v>149</v>
      </c>
      <c r="T2220" s="257">
        <f t="shared" si="75"/>
        <v>4</v>
      </c>
      <c r="U2220" s="257">
        <f t="shared" si="76"/>
        <v>225</v>
      </c>
      <c r="V2220">
        <v>1</v>
      </c>
      <c r="W2220">
        <v>1</v>
      </c>
    </row>
    <row r="2221" spans="1:23" ht="148.19999999999999" x14ac:dyDescent="0.3">
      <c r="A2221" s="211">
        <v>41531</v>
      </c>
      <c r="B2221" s="211">
        <v>41535</v>
      </c>
      <c r="C2221" s="6">
        <v>9</v>
      </c>
      <c r="D2221" s="6">
        <v>5</v>
      </c>
      <c r="E2221" s="19">
        <v>2013</v>
      </c>
      <c r="F2221" s="15" t="s">
        <v>22</v>
      </c>
      <c r="G2221" s="16" t="s">
        <v>6254</v>
      </c>
      <c r="H2221" s="9" t="s">
        <v>51</v>
      </c>
      <c r="I2221" s="20" t="s">
        <v>3820</v>
      </c>
      <c r="J2221" s="21" t="s">
        <v>3821</v>
      </c>
      <c r="K2221" s="22">
        <v>2</v>
      </c>
      <c r="L2221" s="234">
        <v>31598</v>
      </c>
      <c r="M2221" s="23">
        <v>37</v>
      </c>
      <c r="N2221" s="23">
        <v>15</v>
      </c>
      <c r="O2221" s="23">
        <v>0</v>
      </c>
      <c r="P2221" s="23" t="s">
        <v>95</v>
      </c>
      <c r="Q2221" s="23"/>
      <c r="R2221" s="24">
        <f>467.9+5.36</f>
        <v>473.26</v>
      </c>
      <c r="S2221" s="25" t="s">
        <v>149</v>
      </c>
      <c r="T2221" s="257">
        <f t="shared" si="75"/>
        <v>31600</v>
      </c>
      <c r="U2221" s="257">
        <f t="shared" si="76"/>
        <v>52</v>
      </c>
      <c r="V2221">
        <v>2</v>
      </c>
      <c r="W2221">
        <v>1</v>
      </c>
    </row>
    <row r="2222" spans="1:23" ht="57" x14ac:dyDescent="0.3">
      <c r="A2222" s="211">
        <v>41530</v>
      </c>
      <c r="B2222" s="211">
        <v>41533</v>
      </c>
      <c r="C2222" s="6">
        <v>9</v>
      </c>
      <c r="D2222" s="6">
        <v>4</v>
      </c>
      <c r="E2222" s="19">
        <v>2013</v>
      </c>
      <c r="F2222" s="15" t="s">
        <v>22</v>
      </c>
      <c r="G2222" s="16" t="s">
        <v>6254</v>
      </c>
      <c r="H2222" s="9" t="s">
        <v>55</v>
      </c>
      <c r="I2222" s="20" t="s">
        <v>3822</v>
      </c>
      <c r="J2222" s="21" t="s">
        <v>3823</v>
      </c>
      <c r="K2222" s="22">
        <v>2</v>
      </c>
      <c r="L2222" s="234">
        <v>4014</v>
      </c>
      <c r="M2222" s="23">
        <v>0</v>
      </c>
      <c r="N2222" s="23">
        <v>15</v>
      </c>
      <c r="O2222" s="23">
        <v>0</v>
      </c>
      <c r="P2222" s="23" t="s">
        <v>95</v>
      </c>
      <c r="Q2222" s="23"/>
      <c r="R2222" s="24">
        <f>132.6+1.87</f>
        <v>134.47</v>
      </c>
      <c r="S2222" s="25" t="s">
        <v>149</v>
      </c>
      <c r="T2222" s="257">
        <f t="shared" si="75"/>
        <v>4016</v>
      </c>
      <c r="U2222" s="257">
        <f t="shared" si="76"/>
        <v>15</v>
      </c>
      <c r="V2222">
        <v>1</v>
      </c>
      <c r="W2222">
        <v>1</v>
      </c>
    </row>
    <row r="2223" spans="1:23" ht="114" x14ac:dyDescent="0.3">
      <c r="A2223" s="211">
        <v>41531</v>
      </c>
      <c r="B2223" s="211">
        <v>41534</v>
      </c>
      <c r="C2223" s="6">
        <v>9</v>
      </c>
      <c r="D2223" s="6">
        <v>4</v>
      </c>
      <c r="E2223" s="19">
        <v>2013</v>
      </c>
      <c r="F2223" s="15" t="s">
        <v>22</v>
      </c>
      <c r="G2223" s="16" t="s">
        <v>6254</v>
      </c>
      <c r="H2223" s="9" t="s">
        <v>57</v>
      </c>
      <c r="I2223" s="20" t="s">
        <v>3824</v>
      </c>
      <c r="J2223" s="21" t="s">
        <v>3825</v>
      </c>
      <c r="K2223" s="22">
        <v>1</v>
      </c>
      <c r="L2223" s="234">
        <v>55532</v>
      </c>
      <c r="M2223" s="23">
        <v>575</v>
      </c>
      <c r="N2223" s="23">
        <v>196</v>
      </c>
      <c r="O2223" s="23">
        <v>0</v>
      </c>
      <c r="P2223" s="23">
        <v>229</v>
      </c>
      <c r="Q2223" s="23">
        <v>3617</v>
      </c>
      <c r="R2223" s="24">
        <v>2445.9</v>
      </c>
      <c r="S2223" s="25" t="s">
        <v>21</v>
      </c>
      <c r="T2223" s="257">
        <f t="shared" si="75"/>
        <v>55533</v>
      </c>
      <c r="U2223" s="257">
        <f t="shared" si="76"/>
        <v>1000</v>
      </c>
      <c r="V2223">
        <v>2</v>
      </c>
      <c r="W2223">
        <v>1</v>
      </c>
    </row>
    <row r="2224" spans="1:23" ht="102.6" x14ac:dyDescent="0.3">
      <c r="A2224" s="211">
        <v>41532</v>
      </c>
      <c r="B2224" s="211">
        <v>41536</v>
      </c>
      <c r="C2224" s="6">
        <v>9</v>
      </c>
      <c r="D2224" s="6">
        <v>5</v>
      </c>
      <c r="E2224" s="19">
        <v>2013</v>
      </c>
      <c r="F2224" s="15" t="s">
        <v>22</v>
      </c>
      <c r="G2224" s="16" t="s">
        <v>6254</v>
      </c>
      <c r="H2224" s="9" t="s">
        <v>52</v>
      </c>
      <c r="I2224" s="20" t="s">
        <v>3826</v>
      </c>
      <c r="J2224" s="21" t="s">
        <v>3827</v>
      </c>
      <c r="K2224" s="22">
        <v>3</v>
      </c>
      <c r="L2224" s="234">
        <v>52598</v>
      </c>
      <c r="M2224" s="23">
        <v>749</v>
      </c>
      <c r="N2224" s="23">
        <v>39</v>
      </c>
      <c r="O2224" s="23">
        <v>0</v>
      </c>
      <c r="P2224" s="23" t="s">
        <v>95</v>
      </c>
      <c r="Q2224" s="23"/>
      <c r="R2224" s="24">
        <f>1031.5+16.47</f>
        <v>1047.97</v>
      </c>
      <c r="S2224" s="25" t="s">
        <v>149</v>
      </c>
      <c r="T2224" s="257">
        <f t="shared" si="75"/>
        <v>52601</v>
      </c>
      <c r="U2224" s="257">
        <f t="shared" si="76"/>
        <v>788</v>
      </c>
      <c r="V2224">
        <v>2</v>
      </c>
      <c r="W2224">
        <v>1</v>
      </c>
    </row>
    <row r="2225" spans="1:23" ht="148.19999999999999" x14ac:dyDescent="0.3">
      <c r="A2225" s="211">
        <v>41529</v>
      </c>
      <c r="B2225" s="211">
        <v>41533</v>
      </c>
      <c r="C2225" s="6">
        <v>9</v>
      </c>
      <c r="D2225" s="6">
        <v>5</v>
      </c>
      <c r="E2225" s="19">
        <v>2013</v>
      </c>
      <c r="F2225" s="15" t="s">
        <v>22</v>
      </c>
      <c r="G2225" s="16" t="s">
        <v>6254</v>
      </c>
      <c r="H2225" s="9" t="s">
        <v>64</v>
      </c>
      <c r="I2225" s="20" t="s">
        <v>3828</v>
      </c>
      <c r="J2225" s="21" t="s">
        <v>3829</v>
      </c>
      <c r="K2225" s="22">
        <v>3</v>
      </c>
      <c r="L2225" s="234" t="s">
        <v>95</v>
      </c>
      <c r="M2225" s="23">
        <v>563</v>
      </c>
      <c r="N2225" s="23">
        <v>2</v>
      </c>
      <c r="O2225" s="23">
        <v>0</v>
      </c>
      <c r="P2225" s="23" t="s">
        <v>95</v>
      </c>
      <c r="Q2225" s="23"/>
      <c r="R2225" s="24">
        <v>728.8</v>
      </c>
      <c r="S2225" s="25" t="s">
        <v>149</v>
      </c>
      <c r="T2225" s="257">
        <f t="shared" si="75"/>
        <v>3</v>
      </c>
      <c r="U2225" s="257">
        <f t="shared" si="76"/>
        <v>565</v>
      </c>
      <c r="V2225">
        <v>1</v>
      </c>
      <c r="W2225">
        <v>1</v>
      </c>
    </row>
    <row r="2226" spans="1:23" ht="68.400000000000006" x14ac:dyDescent="0.3">
      <c r="A2226" s="211">
        <v>41535</v>
      </c>
      <c r="B2226" s="211">
        <v>41536</v>
      </c>
      <c r="C2226" s="6">
        <v>9</v>
      </c>
      <c r="D2226" s="6">
        <v>2</v>
      </c>
      <c r="E2226" s="19">
        <v>2013</v>
      </c>
      <c r="F2226" s="15" t="s">
        <v>22</v>
      </c>
      <c r="G2226" s="16" t="s">
        <v>6254</v>
      </c>
      <c r="H2226" s="9" t="s">
        <v>72</v>
      </c>
      <c r="I2226" s="20" t="s">
        <v>3830</v>
      </c>
      <c r="J2226" s="21" t="s">
        <v>3831</v>
      </c>
      <c r="K2226" s="22">
        <v>3</v>
      </c>
      <c r="L2226" s="234">
        <v>435290</v>
      </c>
      <c r="M2226" s="23">
        <v>404</v>
      </c>
      <c r="N2226" s="23">
        <v>1027</v>
      </c>
      <c r="O2226" s="23">
        <v>8</v>
      </c>
      <c r="P2226" s="23">
        <v>3945</v>
      </c>
      <c r="Q2226" s="23">
        <v>6895.2</v>
      </c>
      <c r="R2226" s="24">
        <v>3039.6</v>
      </c>
      <c r="S2226" s="25" t="s">
        <v>21</v>
      </c>
      <c r="T2226" s="257">
        <f t="shared" si="75"/>
        <v>435293</v>
      </c>
      <c r="U2226" s="257">
        <f t="shared" si="76"/>
        <v>5384</v>
      </c>
      <c r="V2226">
        <v>3</v>
      </c>
      <c r="W2226">
        <v>2</v>
      </c>
    </row>
    <row r="2227" spans="1:23" ht="125.4" x14ac:dyDescent="0.3">
      <c r="A2227" s="211">
        <v>41533</v>
      </c>
      <c r="B2227" s="211">
        <v>41533</v>
      </c>
      <c r="C2227" s="6">
        <v>9</v>
      </c>
      <c r="D2227" s="6">
        <v>1</v>
      </c>
      <c r="E2227" s="19">
        <v>2013</v>
      </c>
      <c r="F2227" s="15" t="s">
        <v>22</v>
      </c>
      <c r="G2227" s="16" t="s">
        <v>6254</v>
      </c>
      <c r="H2227" s="9" t="s">
        <v>78</v>
      </c>
      <c r="I2227" s="20" t="s">
        <v>3832</v>
      </c>
      <c r="J2227" s="21" t="s">
        <v>3833</v>
      </c>
      <c r="K2227" s="22">
        <v>3</v>
      </c>
      <c r="L2227" s="234">
        <v>29958</v>
      </c>
      <c r="M2227" s="23">
        <v>346</v>
      </c>
      <c r="N2227" s="23">
        <v>36</v>
      </c>
      <c r="O2227" s="23">
        <v>1</v>
      </c>
      <c r="P2227" s="23" t="s">
        <v>95</v>
      </c>
      <c r="Q2227" s="23"/>
      <c r="R2227" s="24">
        <f>1047.1+12.18</f>
        <v>1059.28</v>
      </c>
      <c r="S2227" s="25" t="s">
        <v>149</v>
      </c>
      <c r="T2227" s="257">
        <f t="shared" si="75"/>
        <v>29961</v>
      </c>
      <c r="U2227" s="257">
        <f t="shared" si="76"/>
        <v>383</v>
      </c>
      <c r="V2227">
        <v>2</v>
      </c>
      <c r="W2227">
        <v>1</v>
      </c>
    </row>
    <row r="2228" spans="1:23" ht="125.4" x14ac:dyDescent="0.3">
      <c r="A2228" s="211">
        <v>41529</v>
      </c>
      <c r="B2228" s="211">
        <v>41535</v>
      </c>
      <c r="C2228" s="6">
        <v>9</v>
      </c>
      <c r="D2228" s="6">
        <v>7</v>
      </c>
      <c r="E2228" s="19">
        <v>2013</v>
      </c>
      <c r="F2228" s="15" t="s">
        <v>22</v>
      </c>
      <c r="G2228" s="16" t="s">
        <v>6254</v>
      </c>
      <c r="H2228" s="9" t="s">
        <v>70</v>
      </c>
      <c r="I2228" s="20" t="s">
        <v>3834</v>
      </c>
      <c r="J2228" s="21" t="s">
        <v>3835</v>
      </c>
      <c r="K2228" s="22">
        <v>1</v>
      </c>
      <c r="L2228" s="234">
        <v>47332</v>
      </c>
      <c r="M2228" s="23">
        <v>506</v>
      </c>
      <c r="N2228" s="23">
        <v>4</v>
      </c>
      <c r="O2228" s="23">
        <v>0</v>
      </c>
      <c r="P2228" s="23" t="s">
        <v>95</v>
      </c>
      <c r="Q2228" s="23"/>
      <c r="R2228" s="24">
        <f>402.1+4.95</f>
        <v>407.05</v>
      </c>
      <c r="S2228" s="25" t="s">
        <v>149</v>
      </c>
      <c r="T2228" s="257">
        <f t="shared" si="75"/>
        <v>47333</v>
      </c>
      <c r="U2228" s="257">
        <f t="shared" si="76"/>
        <v>510</v>
      </c>
      <c r="V2228">
        <v>2</v>
      </c>
      <c r="W2228">
        <v>1</v>
      </c>
    </row>
    <row r="2229" spans="1:23" ht="57" x14ac:dyDescent="0.3">
      <c r="A2229" s="211">
        <v>41534</v>
      </c>
      <c r="B2229" s="211">
        <v>41535</v>
      </c>
      <c r="C2229" s="6">
        <v>9</v>
      </c>
      <c r="D2229" s="6">
        <v>2</v>
      </c>
      <c r="E2229" s="19">
        <v>2013</v>
      </c>
      <c r="F2229" s="15" t="s">
        <v>22</v>
      </c>
      <c r="G2229" s="16" t="s">
        <v>6254</v>
      </c>
      <c r="H2229" s="9" t="s">
        <v>56</v>
      </c>
      <c r="I2229" s="20" t="s">
        <v>3836</v>
      </c>
      <c r="J2229" s="21" t="s">
        <v>3837</v>
      </c>
      <c r="K2229" s="22">
        <v>2</v>
      </c>
      <c r="L2229" s="234">
        <v>9762</v>
      </c>
      <c r="M2229" s="23">
        <v>208</v>
      </c>
      <c r="N2229" s="23">
        <v>18</v>
      </c>
      <c r="O2229" s="23">
        <v>0</v>
      </c>
      <c r="P2229" s="23" t="s">
        <v>95</v>
      </c>
      <c r="Q2229" s="23"/>
      <c r="R2229" s="24">
        <f>385.6+0.82</f>
        <v>386.42</v>
      </c>
      <c r="S2229" s="25" t="s">
        <v>149</v>
      </c>
      <c r="T2229" s="257">
        <f t="shared" si="75"/>
        <v>9764</v>
      </c>
      <c r="U2229" s="257">
        <f t="shared" si="76"/>
        <v>226</v>
      </c>
      <c r="V2229">
        <v>1</v>
      </c>
      <c r="W2229">
        <v>1</v>
      </c>
    </row>
    <row r="2230" spans="1:23" ht="68.400000000000006" x14ac:dyDescent="0.3">
      <c r="A2230" s="211">
        <v>41533</v>
      </c>
      <c r="B2230" s="211">
        <v>41534</v>
      </c>
      <c r="C2230" s="6">
        <v>9</v>
      </c>
      <c r="D2230" s="6">
        <v>2</v>
      </c>
      <c r="E2230" s="19">
        <v>2013</v>
      </c>
      <c r="F2230" s="15" t="s">
        <v>22</v>
      </c>
      <c r="G2230" s="16" t="s">
        <v>6254</v>
      </c>
      <c r="H2230" s="9" t="s">
        <v>39</v>
      </c>
      <c r="I2230" s="21" t="s">
        <v>3838</v>
      </c>
      <c r="J2230" s="21" t="s">
        <v>3839</v>
      </c>
      <c r="K2230" s="22">
        <v>0</v>
      </c>
      <c r="L2230" s="234">
        <v>15523</v>
      </c>
      <c r="M2230" s="23">
        <v>30</v>
      </c>
      <c r="N2230" s="23">
        <v>15</v>
      </c>
      <c r="O2230" s="23">
        <v>34</v>
      </c>
      <c r="P2230" s="23" t="s">
        <v>95</v>
      </c>
      <c r="Q2230" s="23"/>
      <c r="R2230" s="24">
        <f>190.3+1.93</f>
        <v>192.23000000000002</v>
      </c>
      <c r="S2230" s="25" t="s">
        <v>149</v>
      </c>
      <c r="T2230" s="257">
        <f t="shared" si="75"/>
        <v>15523</v>
      </c>
      <c r="U2230" s="257">
        <f t="shared" si="76"/>
        <v>79</v>
      </c>
      <c r="V2230">
        <v>2</v>
      </c>
      <c r="W2230">
        <v>1</v>
      </c>
    </row>
    <row r="2231" spans="1:23" ht="125.4" x14ac:dyDescent="0.3">
      <c r="A2231" s="211">
        <v>41529</v>
      </c>
      <c r="B2231" s="211">
        <v>41532</v>
      </c>
      <c r="C2231" s="6">
        <v>9</v>
      </c>
      <c r="D2231" s="6">
        <v>4</v>
      </c>
      <c r="E2231" s="19">
        <v>2013</v>
      </c>
      <c r="F2231" s="15" t="s">
        <v>22</v>
      </c>
      <c r="G2231" s="16" t="s">
        <v>6254</v>
      </c>
      <c r="H2231" s="9" t="s">
        <v>31</v>
      </c>
      <c r="I2231" s="20" t="s">
        <v>3840</v>
      </c>
      <c r="J2231" s="21" t="s">
        <v>3841</v>
      </c>
      <c r="K2231" s="22">
        <v>0</v>
      </c>
      <c r="L2231" s="234">
        <v>33959</v>
      </c>
      <c r="M2231" s="23">
        <v>12</v>
      </c>
      <c r="N2231" s="23">
        <v>19</v>
      </c>
      <c r="O2231" s="23">
        <v>0</v>
      </c>
      <c r="P2231" s="23" t="s">
        <v>95</v>
      </c>
      <c r="Q2231" s="23"/>
      <c r="R2231" s="24">
        <f>334.6+24.28</f>
        <v>358.88</v>
      </c>
      <c r="S2231" s="25" t="s">
        <v>149</v>
      </c>
      <c r="T2231" s="257">
        <f t="shared" si="75"/>
        <v>33959</v>
      </c>
      <c r="U2231" s="257">
        <f t="shared" si="76"/>
        <v>31</v>
      </c>
      <c r="V2231">
        <v>2</v>
      </c>
      <c r="W2231">
        <v>1</v>
      </c>
    </row>
    <row r="2232" spans="1:23" ht="68.400000000000006" x14ac:dyDescent="0.3">
      <c r="A2232" s="211">
        <v>41532</v>
      </c>
      <c r="B2232" s="211">
        <v>41533</v>
      </c>
      <c r="C2232" s="6">
        <v>9</v>
      </c>
      <c r="D2232" s="6">
        <v>2</v>
      </c>
      <c r="E2232" s="19">
        <v>2013</v>
      </c>
      <c r="F2232" s="15" t="s">
        <v>22</v>
      </c>
      <c r="G2232" s="16" t="s">
        <v>6254</v>
      </c>
      <c r="H2232" s="9" t="s">
        <v>41</v>
      </c>
      <c r="I2232" s="20" t="s">
        <v>3842</v>
      </c>
      <c r="J2232" s="20" t="s">
        <v>3843</v>
      </c>
      <c r="K2232" s="22">
        <v>0</v>
      </c>
      <c r="L2232" s="234">
        <v>396646</v>
      </c>
      <c r="M2232" s="23">
        <v>62</v>
      </c>
      <c r="N2232" s="23">
        <v>35</v>
      </c>
      <c r="O2232" s="23">
        <v>0</v>
      </c>
      <c r="P2232" s="23">
        <v>3000</v>
      </c>
      <c r="Q2232" s="23">
        <v>0</v>
      </c>
      <c r="R2232" s="24">
        <v>2437.9</v>
      </c>
      <c r="S2232" s="25" t="s">
        <v>173</v>
      </c>
      <c r="T2232" s="257">
        <f t="shared" si="75"/>
        <v>396646</v>
      </c>
      <c r="U2232" s="257">
        <f t="shared" si="76"/>
        <v>3097</v>
      </c>
      <c r="V2232">
        <v>3</v>
      </c>
      <c r="W2232">
        <v>2</v>
      </c>
    </row>
    <row r="2233" spans="1:23" ht="45.6" x14ac:dyDescent="0.3">
      <c r="A2233" s="211">
        <v>41538</v>
      </c>
      <c r="B2233" s="211">
        <v>41538</v>
      </c>
      <c r="C2233" s="6">
        <v>9</v>
      </c>
      <c r="D2233" s="6">
        <v>1</v>
      </c>
      <c r="E2233" s="19">
        <v>2013</v>
      </c>
      <c r="F2233" s="15" t="s">
        <v>22</v>
      </c>
      <c r="G2233" s="16" t="s">
        <v>6254</v>
      </c>
      <c r="H2233" s="9" t="s">
        <v>46</v>
      </c>
      <c r="I2233" s="20" t="s">
        <v>843</v>
      </c>
      <c r="J2233" s="21" t="s">
        <v>3844</v>
      </c>
      <c r="K2233" s="22">
        <v>0</v>
      </c>
      <c r="L2233" s="234" t="s">
        <v>95</v>
      </c>
      <c r="M2233" s="23">
        <v>0</v>
      </c>
      <c r="N2233" s="23">
        <v>6</v>
      </c>
      <c r="O2233" s="23">
        <v>0</v>
      </c>
      <c r="P2233" s="23" t="s">
        <v>95</v>
      </c>
      <c r="Q2233" s="23"/>
      <c r="R2233" s="24">
        <v>91.7</v>
      </c>
      <c r="S2233" s="25" t="s">
        <v>149</v>
      </c>
      <c r="T2233" s="257">
        <f t="shared" si="75"/>
        <v>0</v>
      </c>
      <c r="U2233" s="257">
        <f t="shared" si="76"/>
        <v>6</v>
      </c>
      <c r="V2233">
        <v>0</v>
      </c>
      <c r="W2233">
        <v>1</v>
      </c>
    </row>
    <row r="2234" spans="1:23" ht="45.6" x14ac:dyDescent="0.3">
      <c r="A2234" s="211">
        <v>41426</v>
      </c>
      <c r="B2234" s="211">
        <v>41430</v>
      </c>
      <c r="C2234" s="6">
        <v>6</v>
      </c>
      <c r="D2234" s="6">
        <v>5</v>
      </c>
      <c r="E2234" s="19">
        <v>2013</v>
      </c>
      <c r="F2234" s="15" t="s">
        <v>22</v>
      </c>
      <c r="G2234" s="18" t="s">
        <v>6256</v>
      </c>
      <c r="H2234" s="9" t="s">
        <v>69</v>
      </c>
      <c r="I2234" s="21" t="s">
        <v>3845</v>
      </c>
      <c r="J2234" s="21" t="s">
        <v>3846</v>
      </c>
      <c r="K2234" s="22" t="s">
        <v>95</v>
      </c>
      <c r="L2234" s="248" t="s">
        <v>95</v>
      </c>
      <c r="M2234" s="43" t="s">
        <v>95</v>
      </c>
      <c r="N2234" s="43" t="s">
        <v>95</v>
      </c>
      <c r="O2234" s="43" t="s">
        <v>95</v>
      </c>
      <c r="P2234" s="23" t="s">
        <v>95</v>
      </c>
      <c r="Q2234" s="43"/>
      <c r="R2234" s="24">
        <f>62.4 +45.75</f>
        <v>108.15</v>
      </c>
      <c r="S2234" s="25" t="s">
        <v>149</v>
      </c>
      <c r="T2234" s="257">
        <f t="shared" si="75"/>
        <v>0</v>
      </c>
      <c r="U2234" s="257">
        <f t="shared" si="76"/>
        <v>0</v>
      </c>
      <c r="V2234">
        <v>0</v>
      </c>
      <c r="W2234">
        <v>0</v>
      </c>
    </row>
    <row r="2235" spans="1:23" ht="34.200000000000003" x14ac:dyDescent="0.3">
      <c r="A2235" s="211">
        <v>41536</v>
      </c>
      <c r="B2235" s="211">
        <v>41540</v>
      </c>
      <c r="C2235" s="6">
        <v>9</v>
      </c>
      <c r="D2235" s="6">
        <v>5</v>
      </c>
      <c r="E2235" s="19">
        <v>2013</v>
      </c>
      <c r="F2235" s="15" t="s">
        <v>22</v>
      </c>
      <c r="G2235" s="16" t="s">
        <v>6254</v>
      </c>
      <c r="H2235" s="9" t="s">
        <v>69</v>
      </c>
      <c r="I2235" s="21" t="s">
        <v>3845</v>
      </c>
      <c r="J2235" s="21" t="s">
        <v>3847</v>
      </c>
      <c r="K2235" s="22">
        <v>1</v>
      </c>
      <c r="L2235" s="248" t="s">
        <v>95</v>
      </c>
      <c r="M2235" s="43" t="s">
        <v>95</v>
      </c>
      <c r="N2235" s="43" t="s">
        <v>95</v>
      </c>
      <c r="O2235" s="43" t="s">
        <v>95</v>
      </c>
      <c r="P2235" s="23" t="s">
        <v>95</v>
      </c>
      <c r="Q2235" s="43"/>
      <c r="R2235" s="24">
        <f>6.5+5.82</f>
        <v>12.32</v>
      </c>
      <c r="S2235" s="25" t="s">
        <v>149</v>
      </c>
      <c r="T2235" s="257">
        <f t="shared" si="75"/>
        <v>1</v>
      </c>
      <c r="U2235" s="257">
        <f t="shared" si="76"/>
        <v>0</v>
      </c>
      <c r="V2235">
        <v>1</v>
      </c>
      <c r="W2235">
        <v>0</v>
      </c>
    </row>
    <row r="2236" spans="1:23" ht="68.400000000000006" x14ac:dyDescent="0.3">
      <c r="A2236" s="211">
        <v>41532</v>
      </c>
      <c r="B2236" s="211">
        <v>41533</v>
      </c>
      <c r="C2236" s="6">
        <v>9</v>
      </c>
      <c r="D2236" s="6">
        <v>2</v>
      </c>
      <c r="E2236" s="19">
        <v>2013</v>
      </c>
      <c r="F2236" s="15" t="s">
        <v>22</v>
      </c>
      <c r="G2236" s="16" t="s">
        <v>6254</v>
      </c>
      <c r="H2236" s="9" t="s">
        <v>88</v>
      </c>
      <c r="I2236" s="20" t="s">
        <v>3848</v>
      </c>
      <c r="J2236" s="21" t="s">
        <v>3849</v>
      </c>
      <c r="K2236" s="22">
        <v>1</v>
      </c>
      <c r="L2236" s="234">
        <v>11001</v>
      </c>
      <c r="M2236" s="23">
        <v>273</v>
      </c>
      <c r="N2236" s="23">
        <v>31</v>
      </c>
      <c r="O2236" s="23">
        <v>0</v>
      </c>
      <c r="P2236" s="23" t="s">
        <v>95</v>
      </c>
      <c r="Q2236" s="23"/>
      <c r="R2236" s="24">
        <f>46.1+4.45</f>
        <v>50.550000000000004</v>
      </c>
      <c r="S2236" s="25" t="s">
        <v>149</v>
      </c>
      <c r="T2236" s="257">
        <f t="shared" si="75"/>
        <v>11002</v>
      </c>
      <c r="U2236" s="257">
        <f t="shared" si="76"/>
        <v>304</v>
      </c>
      <c r="V2236">
        <v>2</v>
      </c>
      <c r="W2236">
        <v>1</v>
      </c>
    </row>
    <row r="2237" spans="1:23" ht="45.6" x14ac:dyDescent="0.3">
      <c r="A2237" s="211">
        <v>41538</v>
      </c>
      <c r="B2237" s="211">
        <v>41538</v>
      </c>
      <c r="C2237" s="6">
        <v>9</v>
      </c>
      <c r="D2237" s="6">
        <v>1</v>
      </c>
      <c r="E2237" s="19">
        <v>2013</v>
      </c>
      <c r="F2237" s="15" t="s">
        <v>22</v>
      </c>
      <c r="G2237" s="18" t="s">
        <v>6256</v>
      </c>
      <c r="H2237" s="9" t="s">
        <v>24</v>
      </c>
      <c r="I2237" s="20" t="s">
        <v>3850</v>
      </c>
      <c r="J2237" s="21" t="s">
        <v>3851</v>
      </c>
      <c r="K2237" s="22">
        <v>0</v>
      </c>
      <c r="L2237" s="234">
        <v>43</v>
      </c>
      <c r="M2237" s="23">
        <v>12</v>
      </c>
      <c r="N2237" s="23">
        <v>0</v>
      </c>
      <c r="O2237" s="23">
        <v>0</v>
      </c>
      <c r="P2237" s="23">
        <v>0</v>
      </c>
      <c r="Q2237" s="23">
        <v>0</v>
      </c>
      <c r="R2237" s="24">
        <v>0</v>
      </c>
      <c r="S2237" s="25" t="s">
        <v>115</v>
      </c>
      <c r="T2237" s="257">
        <f t="shared" si="75"/>
        <v>43</v>
      </c>
      <c r="U2237" s="257">
        <f t="shared" si="76"/>
        <v>12</v>
      </c>
      <c r="V2237">
        <v>1</v>
      </c>
      <c r="W2237">
        <v>1</v>
      </c>
    </row>
    <row r="2238" spans="1:23" ht="114" x14ac:dyDescent="0.3">
      <c r="A2238" s="211">
        <v>41501</v>
      </c>
      <c r="B2238" s="211">
        <v>41501</v>
      </c>
      <c r="C2238" s="6">
        <v>8</v>
      </c>
      <c r="D2238" s="6">
        <v>1</v>
      </c>
      <c r="E2238" s="19">
        <v>2013</v>
      </c>
      <c r="F2238" s="15" t="s">
        <v>22</v>
      </c>
      <c r="G2238" s="82" t="s">
        <v>6256</v>
      </c>
      <c r="H2238" s="9" t="s">
        <v>56</v>
      </c>
      <c r="I2238" s="20" t="s">
        <v>1385</v>
      </c>
      <c r="J2238" s="21" t="s">
        <v>3852</v>
      </c>
      <c r="K2238" s="22">
        <v>1</v>
      </c>
      <c r="L2238" s="234">
        <v>1002</v>
      </c>
      <c r="M2238" s="23">
        <v>200</v>
      </c>
      <c r="N2238" s="23">
        <v>0</v>
      </c>
      <c r="O2238" s="23">
        <v>0</v>
      </c>
      <c r="P2238" s="23">
        <v>0</v>
      </c>
      <c r="Q2238" s="23">
        <v>0</v>
      </c>
      <c r="R2238" s="24">
        <v>0.2</v>
      </c>
      <c r="S2238" s="25" t="s">
        <v>115</v>
      </c>
      <c r="T2238" s="257">
        <f t="shared" si="75"/>
        <v>1003</v>
      </c>
      <c r="U2238" s="257">
        <f t="shared" si="76"/>
        <v>200</v>
      </c>
      <c r="V2238">
        <v>1</v>
      </c>
      <c r="W2238">
        <v>1</v>
      </c>
    </row>
    <row r="2239" spans="1:23" ht="68.400000000000006" x14ac:dyDescent="0.3">
      <c r="A2239" s="211">
        <v>41143</v>
      </c>
      <c r="B2239" s="211">
        <v>41143</v>
      </c>
      <c r="C2239" s="6">
        <v>8</v>
      </c>
      <c r="D2239" s="6">
        <v>1</v>
      </c>
      <c r="E2239" s="19">
        <v>2012</v>
      </c>
      <c r="F2239" s="15" t="s">
        <v>22</v>
      </c>
      <c r="G2239" s="18" t="s">
        <v>6256</v>
      </c>
      <c r="H2239" s="9" t="s">
        <v>48</v>
      </c>
      <c r="I2239" s="20" t="s">
        <v>2689</v>
      </c>
      <c r="J2239" s="21" t="s">
        <v>3853</v>
      </c>
      <c r="K2239" s="43">
        <v>1</v>
      </c>
      <c r="L2239" s="234">
        <v>1</v>
      </c>
      <c r="M2239" s="23">
        <v>0</v>
      </c>
      <c r="N2239" s="23">
        <v>0</v>
      </c>
      <c r="O2239" s="23">
        <v>0</v>
      </c>
      <c r="P2239" s="23">
        <v>0</v>
      </c>
      <c r="Q2239" s="23">
        <v>0</v>
      </c>
      <c r="R2239" s="24">
        <v>3.9690000000000003E-2</v>
      </c>
      <c r="S2239" s="6" t="s">
        <v>115</v>
      </c>
      <c r="T2239" s="257">
        <f t="shared" si="75"/>
        <v>2</v>
      </c>
      <c r="U2239" s="257">
        <f t="shared" si="76"/>
        <v>0</v>
      </c>
      <c r="V2239">
        <v>1</v>
      </c>
      <c r="W2239">
        <v>0</v>
      </c>
    </row>
    <row r="2240" spans="1:23" ht="193.8" x14ac:dyDescent="0.3">
      <c r="A2240" s="211">
        <v>41523</v>
      </c>
      <c r="B2240" s="211">
        <v>41523</v>
      </c>
      <c r="C2240" s="6">
        <v>9</v>
      </c>
      <c r="D2240" s="6">
        <v>1</v>
      </c>
      <c r="E2240" s="19">
        <v>2013</v>
      </c>
      <c r="F2240" s="15" t="s">
        <v>22</v>
      </c>
      <c r="G2240" s="18" t="s">
        <v>6256</v>
      </c>
      <c r="H2240" s="9" t="s">
        <v>118</v>
      </c>
      <c r="I2240" s="20" t="s">
        <v>1893</v>
      </c>
      <c r="J2240" s="21" t="s">
        <v>3854</v>
      </c>
      <c r="K2240" s="22">
        <v>0</v>
      </c>
      <c r="L2240" s="234">
        <v>101</v>
      </c>
      <c r="M2240" s="23">
        <v>0</v>
      </c>
      <c r="N2240" s="23">
        <v>0</v>
      </c>
      <c r="O2240" s="23">
        <v>0</v>
      </c>
      <c r="P2240" s="23">
        <v>0</v>
      </c>
      <c r="Q2240" s="23">
        <v>0</v>
      </c>
      <c r="R2240" s="24">
        <v>0.1</v>
      </c>
      <c r="S2240" s="25" t="s">
        <v>115</v>
      </c>
      <c r="T2240" s="257">
        <f t="shared" si="75"/>
        <v>101</v>
      </c>
      <c r="U2240" s="257">
        <f t="shared" si="76"/>
        <v>0</v>
      </c>
      <c r="V2240">
        <v>1</v>
      </c>
      <c r="W2240">
        <v>0</v>
      </c>
    </row>
    <row r="2241" spans="1:23" ht="45.6" x14ac:dyDescent="0.3">
      <c r="A2241" s="129">
        <v>41529</v>
      </c>
      <c r="B2241" s="129">
        <v>41531</v>
      </c>
      <c r="C2241" s="6">
        <v>9</v>
      </c>
      <c r="D2241" s="6">
        <v>3</v>
      </c>
      <c r="E2241" s="19">
        <v>2013</v>
      </c>
      <c r="F2241" s="7" t="s">
        <v>17</v>
      </c>
      <c r="G2241" s="28" t="s">
        <v>6261</v>
      </c>
      <c r="H2241" s="9" t="s">
        <v>31</v>
      </c>
      <c r="I2241" s="20" t="s">
        <v>1900</v>
      </c>
      <c r="J2241" s="21" t="s">
        <v>3855</v>
      </c>
      <c r="K2241" s="57" t="s">
        <v>95</v>
      </c>
      <c r="L2241" s="233" t="s">
        <v>95</v>
      </c>
      <c r="M2241" s="23">
        <v>379</v>
      </c>
      <c r="N2241" s="23">
        <v>0</v>
      </c>
      <c r="O2241" s="23">
        <v>0</v>
      </c>
      <c r="P2241" s="23" t="s">
        <v>95</v>
      </c>
      <c r="Q2241" s="23">
        <v>0</v>
      </c>
      <c r="R2241" s="24">
        <v>111.7</v>
      </c>
      <c r="S2241" s="25" t="s">
        <v>149</v>
      </c>
      <c r="T2241" s="257">
        <f t="shared" si="75"/>
        <v>0</v>
      </c>
      <c r="U2241" s="257">
        <f t="shared" si="76"/>
        <v>379</v>
      </c>
      <c r="V2241">
        <v>0</v>
      </c>
      <c r="W2241">
        <v>1</v>
      </c>
    </row>
    <row r="2242" spans="1:23" ht="79.8" x14ac:dyDescent="0.3">
      <c r="A2242" s="129">
        <v>41525</v>
      </c>
      <c r="B2242" s="129">
        <v>41525</v>
      </c>
      <c r="C2242" s="6">
        <v>9</v>
      </c>
      <c r="D2242" s="6">
        <v>1</v>
      </c>
      <c r="E2242" s="19">
        <v>2013</v>
      </c>
      <c r="F2242" s="7" t="s">
        <v>17</v>
      </c>
      <c r="G2242" s="28" t="s">
        <v>6261</v>
      </c>
      <c r="H2242" s="9" t="s">
        <v>31</v>
      </c>
      <c r="I2242" s="20" t="s">
        <v>3856</v>
      </c>
      <c r="J2242" s="21" t="s">
        <v>3857</v>
      </c>
      <c r="K2242" s="57">
        <v>0</v>
      </c>
      <c r="L2242" s="233">
        <v>40</v>
      </c>
      <c r="M2242" s="23">
        <v>1</v>
      </c>
      <c r="N2242" s="23">
        <v>0</v>
      </c>
      <c r="O2242" s="23">
        <v>0</v>
      </c>
      <c r="P2242" s="23">
        <v>0</v>
      </c>
      <c r="Q2242" s="23">
        <v>0</v>
      </c>
      <c r="R2242" s="24">
        <v>0</v>
      </c>
      <c r="S2242" s="25" t="s">
        <v>115</v>
      </c>
      <c r="T2242" s="257">
        <f t="shared" si="75"/>
        <v>40</v>
      </c>
      <c r="U2242" s="257">
        <f t="shared" si="76"/>
        <v>1</v>
      </c>
      <c r="V2242">
        <v>1</v>
      </c>
      <c r="W2242">
        <v>1</v>
      </c>
    </row>
    <row r="2243" spans="1:23" ht="57" x14ac:dyDescent="0.3">
      <c r="A2243" s="129">
        <v>41525</v>
      </c>
      <c r="B2243" s="129">
        <v>41525</v>
      </c>
      <c r="C2243" s="6">
        <v>9</v>
      </c>
      <c r="D2243" s="6">
        <v>1</v>
      </c>
      <c r="E2243" s="19">
        <v>2013</v>
      </c>
      <c r="F2243" s="7" t="s">
        <v>17</v>
      </c>
      <c r="G2243" s="8" t="s">
        <v>6261</v>
      </c>
      <c r="H2243" s="9" t="s">
        <v>52</v>
      </c>
      <c r="I2243" s="20" t="s">
        <v>3858</v>
      </c>
      <c r="J2243" s="21" t="s">
        <v>3859</v>
      </c>
      <c r="K2243" s="22">
        <v>0</v>
      </c>
      <c r="L2243" s="248">
        <v>30</v>
      </c>
      <c r="M2243" s="23">
        <v>5</v>
      </c>
      <c r="N2243" s="23">
        <v>0</v>
      </c>
      <c r="O2243" s="23">
        <v>0</v>
      </c>
      <c r="P2243" s="23">
        <v>0</v>
      </c>
      <c r="Q2243" s="23">
        <v>0</v>
      </c>
      <c r="R2243" s="24">
        <v>0</v>
      </c>
      <c r="S2243" s="25" t="s">
        <v>115</v>
      </c>
      <c r="T2243" s="257">
        <f t="shared" ref="T2243:T2306" si="77">SUM(K2243:L2243)</f>
        <v>30</v>
      </c>
      <c r="U2243" s="257">
        <f t="shared" ref="U2243:U2306" si="78">SUM(M2243:P2243)</f>
        <v>5</v>
      </c>
      <c r="V2243">
        <v>1</v>
      </c>
      <c r="W2243">
        <v>1</v>
      </c>
    </row>
    <row r="2244" spans="1:23" ht="57" x14ac:dyDescent="0.3">
      <c r="A2244" s="129">
        <v>41582</v>
      </c>
      <c r="B2244" s="129">
        <v>41582</v>
      </c>
      <c r="C2244" s="6">
        <v>11</v>
      </c>
      <c r="D2244" s="6">
        <v>1</v>
      </c>
      <c r="E2244" s="19">
        <v>2013</v>
      </c>
      <c r="F2244" s="15" t="s">
        <v>22</v>
      </c>
      <c r="G2244" s="82" t="s">
        <v>6256</v>
      </c>
      <c r="H2244" s="9" t="s">
        <v>46</v>
      </c>
      <c r="I2244" s="20" t="s">
        <v>1323</v>
      </c>
      <c r="J2244" s="21" t="s">
        <v>3860</v>
      </c>
      <c r="K2244" s="22">
        <v>1</v>
      </c>
      <c r="L2244" s="248">
        <v>1</v>
      </c>
      <c r="M2244" s="23">
        <v>0</v>
      </c>
      <c r="N2244" s="23">
        <v>0</v>
      </c>
      <c r="O2244" s="23">
        <v>0</v>
      </c>
      <c r="P2244" s="23">
        <v>0</v>
      </c>
      <c r="Q2244" s="23">
        <v>0</v>
      </c>
      <c r="R2244" s="24">
        <v>0</v>
      </c>
      <c r="S2244" s="25" t="s">
        <v>115</v>
      </c>
      <c r="T2244" s="257">
        <f t="shared" si="77"/>
        <v>2</v>
      </c>
      <c r="U2244" s="257">
        <f t="shared" si="78"/>
        <v>0</v>
      </c>
      <c r="V2244">
        <v>1</v>
      </c>
      <c r="W2244">
        <v>0</v>
      </c>
    </row>
    <row r="2245" spans="1:23" ht="91.2" x14ac:dyDescent="0.3">
      <c r="A2245" s="129">
        <v>41582</v>
      </c>
      <c r="B2245" s="129">
        <v>41582</v>
      </c>
      <c r="C2245" s="6">
        <v>11</v>
      </c>
      <c r="D2245" s="6">
        <v>1</v>
      </c>
      <c r="E2245" s="19">
        <v>2013</v>
      </c>
      <c r="F2245" s="15" t="s">
        <v>22</v>
      </c>
      <c r="G2245" s="18" t="s">
        <v>6256</v>
      </c>
      <c r="H2245" s="9" t="s">
        <v>56</v>
      </c>
      <c r="I2245" s="20" t="s">
        <v>3861</v>
      </c>
      <c r="J2245" s="21" t="s">
        <v>3862</v>
      </c>
      <c r="K2245" s="22">
        <v>1</v>
      </c>
      <c r="L2245" s="248">
        <v>1700</v>
      </c>
      <c r="M2245" s="23">
        <v>340</v>
      </c>
      <c r="N2245" s="23">
        <v>0</v>
      </c>
      <c r="O2245" s="23">
        <v>0</v>
      </c>
      <c r="P2245" s="23">
        <v>0</v>
      </c>
      <c r="Q2245" s="23">
        <v>0</v>
      </c>
      <c r="R2245" s="24">
        <v>0.25</v>
      </c>
      <c r="S2245" s="25" t="s">
        <v>115</v>
      </c>
      <c r="T2245" s="257">
        <f t="shared" si="77"/>
        <v>1701</v>
      </c>
      <c r="U2245" s="257">
        <f t="shared" si="78"/>
        <v>340</v>
      </c>
      <c r="V2245">
        <v>1</v>
      </c>
      <c r="W2245">
        <v>1</v>
      </c>
    </row>
    <row r="2246" spans="1:23" ht="57" x14ac:dyDescent="0.3">
      <c r="A2246" s="129">
        <v>41511</v>
      </c>
      <c r="B2246" s="129">
        <v>41511</v>
      </c>
      <c r="C2246" s="6">
        <v>8</v>
      </c>
      <c r="D2246" s="6">
        <v>1</v>
      </c>
      <c r="E2246" s="19">
        <v>2013</v>
      </c>
      <c r="F2246" s="15" t="s">
        <v>22</v>
      </c>
      <c r="G2246" s="18" t="s">
        <v>6256</v>
      </c>
      <c r="H2246" s="9" t="s">
        <v>61</v>
      </c>
      <c r="I2246" s="20" t="s">
        <v>3863</v>
      </c>
      <c r="J2246" s="21" t="s">
        <v>3864</v>
      </c>
      <c r="K2246" s="22">
        <v>1</v>
      </c>
      <c r="L2246" s="248">
        <v>1</v>
      </c>
      <c r="M2246" s="23">
        <v>0</v>
      </c>
      <c r="N2246" s="23">
        <v>0</v>
      </c>
      <c r="O2246" s="23">
        <v>0</v>
      </c>
      <c r="P2246" s="23">
        <v>0</v>
      </c>
      <c r="Q2246" s="23">
        <v>0</v>
      </c>
      <c r="R2246" s="24">
        <v>0</v>
      </c>
      <c r="S2246" s="25" t="s">
        <v>115</v>
      </c>
      <c r="T2246" s="257">
        <f t="shared" si="77"/>
        <v>2</v>
      </c>
      <c r="U2246" s="257">
        <f t="shared" si="78"/>
        <v>0</v>
      </c>
      <c r="V2246">
        <v>1</v>
      </c>
      <c r="W2246">
        <v>0</v>
      </c>
    </row>
    <row r="2247" spans="1:23" ht="45.6" x14ac:dyDescent="0.3">
      <c r="A2247" s="129">
        <v>41590</v>
      </c>
      <c r="B2247" s="129">
        <v>41590</v>
      </c>
      <c r="C2247" s="6">
        <v>11</v>
      </c>
      <c r="D2247" s="6">
        <v>1</v>
      </c>
      <c r="E2247" s="19">
        <v>2013</v>
      </c>
      <c r="F2247" s="7" t="s">
        <v>17</v>
      </c>
      <c r="G2247" s="28" t="s">
        <v>6261</v>
      </c>
      <c r="H2247" s="9" t="s">
        <v>31</v>
      </c>
      <c r="I2247" s="20" t="s">
        <v>3865</v>
      </c>
      <c r="J2247" s="21" t="s">
        <v>3866</v>
      </c>
      <c r="K2247" s="57">
        <v>0</v>
      </c>
      <c r="L2247" s="233">
        <v>195</v>
      </c>
      <c r="M2247" s="23">
        <v>5</v>
      </c>
      <c r="N2247" s="23">
        <v>0</v>
      </c>
      <c r="O2247" s="23">
        <v>0</v>
      </c>
      <c r="P2247" s="23">
        <v>0</v>
      </c>
      <c r="Q2247" s="23">
        <v>0</v>
      </c>
      <c r="R2247" s="24">
        <v>0</v>
      </c>
      <c r="S2247" s="25" t="s">
        <v>115</v>
      </c>
      <c r="T2247" s="257">
        <f t="shared" si="77"/>
        <v>195</v>
      </c>
      <c r="U2247" s="257">
        <f t="shared" si="78"/>
        <v>5</v>
      </c>
      <c r="V2247">
        <v>1</v>
      </c>
      <c r="W2247">
        <v>1</v>
      </c>
    </row>
    <row r="2248" spans="1:23" ht="79.8" x14ac:dyDescent="0.3">
      <c r="A2248" s="129">
        <v>41578</v>
      </c>
      <c r="B2248" s="129">
        <v>41578</v>
      </c>
      <c r="C2248" s="6">
        <v>10</v>
      </c>
      <c r="D2248" s="6">
        <v>1</v>
      </c>
      <c r="E2248" s="19">
        <v>2013</v>
      </c>
      <c r="F2248" s="15" t="s">
        <v>22</v>
      </c>
      <c r="G2248" s="18" t="s">
        <v>6256</v>
      </c>
      <c r="H2248" s="17" t="s">
        <v>565</v>
      </c>
      <c r="I2248" s="20" t="s">
        <v>2931</v>
      </c>
      <c r="J2248" s="21" t="s">
        <v>3867</v>
      </c>
      <c r="K2248" s="57">
        <v>0</v>
      </c>
      <c r="L2248" s="234">
        <v>120408</v>
      </c>
      <c r="M2248" s="23">
        <v>1289</v>
      </c>
      <c r="N2248" s="23">
        <v>0</v>
      </c>
      <c r="O2248" s="23">
        <v>0</v>
      </c>
      <c r="P2248" s="23">
        <v>0</v>
      </c>
      <c r="Q2248" s="23">
        <v>0</v>
      </c>
      <c r="R2248" s="24">
        <v>6.47</v>
      </c>
      <c r="S2248" s="25" t="s">
        <v>149</v>
      </c>
      <c r="T2248" s="257">
        <f t="shared" si="77"/>
        <v>120408</v>
      </c>
      <c r="U2248" s="257">
        <f t="shared" si="78"/>
        <v>1289</v>
      </c>
      <c r="V2248">
        <v>3</v>
      </c>
      <c r="W2248">
        <v>2</v>
      </c>
    </row>
    <row r="2249" spans="1:23" ht="91.2" x14ac:dyDescent="0.3">
      <c r="A2249" s="129">
        <v>41589</v>
      </c>
      <c r="B2249" s="129">
        <v>41589</v>
      </c>
      <c r="C2249" s="6">
        <v>11</v>
      </c>
      <c r="D2249" s="6">
        <v>1</v>
      </c>
      <c r="E2249" s="19">
        <v>2013</v>
      </c>
      <c r="F2249" s="15" t="s">
        <v>22</v>
      </c>
      <c r="G2249" s="18" t="s">
        <v>6256</v>
      </c>
      <c r="H2249" s="9" t="s">
        <v>31</v>
      </c>
      <c r="I2249" s="20" t="s">
        <v>1690</v>
      </c>
      <c r="J2249" s="21" t="s">
        <v>3868</v>
      </c>
      <c r="K2249" s="22">
        <v>0</v>
      </c>
      <c r="L2249" s="234">
        <f>(M2249*5)*1</f>
        <v>515</v>
      </c>
      <c r="M2249" s="23">
        <v>103</v>
      </c>
      <c r="N2249" s="23">
        <v>0</v>
      </c>
      <c r="O2249" s="23">
        <v>0</v>
      </c>
      <c r="P2249" s="23">
        <v>0</v>
      </c>
      <c r="Q2249" s="23">
        <v>0</v>
      </c>
      <c r="R2249" s="24">
        <v>0.15</v>
      </c>
      <c r="S2249" s="25" t="s">
        <v>115</v>
      </c>
      <c r="T2249" s="257">
        <f t="shared" si="77"/>
        <v>515</v>
      </c>
      <c r="U2249" s="257">
        <f t="shared" si="78"/>
        <v>103</v>
      </c>
      <c r="V2249">
        <v>1</v>
      </c>
      <c r="W2249">
        <v>1</v>
      </c>
    </row>
    <row r="2250" spans="1:23" ht="68.400000000000006" x14ac:dyDescent="0.3">
      <c r="A2250" s="129">
        <v>41547</v>
      </c>
      <c r="B2250" s="129">
        <v>41549</v>
      </c>
      <c r="C2250" s="6">
        <v>9</v>
      </c>
      <c r="D2250" s="6">
        <v>3</v>
      </c>
      <c r="E2250" s="19">
        <v>2013</v>
      </c>
      <c r="F2250" s="7" t="s">
        <v>17</v>
      </c>
      <c r="G2250" s="28" t="s">
        <v>6261</v>
      </c>
      <c r="H2250" s="9" t="s">
        <v>174</v>
      </c>
      <c r="I2250" s="20" t="s">
        <v>3869</v>
      </c>
      <c r="J2250" s="21" t="s">
        <v>3870</v>
      </c>
      <c r="K2250" s="22" t="s">
        <v>95</v>
      </c>
      <c r="L2250" s="234" t="s">
        <v>95</v>
      </c>
      <c r="M2250" s="23">
        <v>89</v>
      </c>
      <c r="N2250" s="23">
        <v>2</v>
      </c>
      <c r="O2250" s="23">
        <v>0</v>
      </c>
      <c r="P2250" s="23" t="s">
        <v>95</v>
      </c>
      <c r="Q2250" s="23">
        <v>0</v>
      </c>
      <c r="R2250" s="24">
        <v>308.8</v>
      </c>
      <c r="S2250" s="25" t="s">
        <v>149</v>
      </c>
      <c r="T2250" s="257">
        <f t="shared" si="77"/>
        <v>0</v>
      </c>
      <c r="U2250" s="257">
        <f t="shared" si="78"/>
        <v>91</v>
      </c>
      <c r="V2250">
        <v>0</v>
      </c>
      <c r="W2250">
        <v>1</v>
      </c>
    </row>
    <row r="2251" spans="1:23" ht="68.400000000000006" x14ac:dyDescent="0.3">
      <c r="A2251" s="211">
        <v>41589</v>
      </c>
      <c r="B2251" s="211">
        <v>41591</v>
      </c>
      <c r="C2251" s="6">
        <v>11</v>
      </c>
      <c r="D2251" s="6">
        <v>3</v>
      </c>
      <c r="E2251" s="19">
        <v>2013</v>
      </c>
      <c r="F2251" s="15" t="s">
        <v>22</v>
      </c>
      <c r="G2251" s="18" t="s">
        <v>6256</v>
      </c>
      <c r="H2251" s="9" t="s">
        <v>174</v>
      </c>
      <c r="I2251" s="20" t="s">
        <v>3871</v>
      </c>
      <c r="J2251" s="21" t="s">
        <v>3872</v>
      </c>
      <c r="K2251" s="22">
        <v>0</v>
      </c>
      <c r="L2251" s="234">
        <v>62141</v>
      </c>
      <c r="M2251" s="23">
        <v>16702</v>
      </c>
      <c r="N2251" s="23">
        <v>2</v>
      </c>
      <c r="O2251" s="23">
        <v>0</v>
      </c>
      <c r="P2251" s="23">
        <v>0</v>
      </c>
      <c r="Q2251" s="23">
        <v>0</v>
      </c>
      <c r="R2251" s="24">
        <v>0</v>
      </c>
      <c r="S2251" s="25" t="s">
        <v>115</v>
      </c>
      <c r="T2251" s="257">
        <f t="shared" si="77"/>
        <v>62141</v>
      </c>
      <c r="U2251" s="257">
        <f t="shared" si="78"/>
        <v>16704</v>
      </c>
      <c r="V2251">
        <v>2</v>
      </c>
      <c r="W2251">
        <v>3</v>
      </c>
    </row>
    <row r="2252" spans="1:23" ht="91.2" x14ac:dyDescent="0.3">
      <c r="A2252" s="211">
        <v>41581</v>
      </c>
      <c r="B2252" s="211">
        <v>41581</v>
      </c>
      <c r="C2252" s="6">
        <v>11</v>
      </c>
      <c r="D2252" s="6">
        <v>1</v>
      </c>
      <c r="E2252" s="19">
        <v>2013</v>
      </c>
      <c r="F2252" s="15" t="s">
        <v>22</v>
      </c>
      <c r="G2252" s="16" t="s">
        <v>6254</v>
      </c>
      <c r="H2252" s="9" t="s">
        <v>72</v>
      </c>
      <c r="I2252" s="20" t="s">
        <v>3873</v>
      </c>
      <c r="J2252" s="21" t="s">
        <v>3874</v>
      </c>
      <c r="K2252" s="23">
        <v>0</v>
      </c>
      <c r="L2252" s="234">
        <v>9000</v>
      </c>
      <c r="M2252" s="23">
        <v>180</v>
      </c>
      <c r="N2252" s="23">
        <v>0</v>
      </c>
      <c r="O2252" s="23">
        <v>0</v>
      </c>
      <c r="P2252" s="23">
        <v>0</v>
      </c>
      <c r="Q2252" s="23">
        <v>0</v>
      </c>
      <c r="R2252" s="24">
        <v>8.8000000000000007</v>
      </c>
      <c r="S2252" s="25" t="s">
        <v>149</v>
      </c>
      <c r="T2252" s="257">
        <f t="shared" si="77"/>
        <v>9000</v>
      </c>
      <c r="U2252" s="257">
        <f t="shared" si="78"/>
        <v>180</v>
      </c>
      <c r="V2252">
        <v>1</v>
      </c>
      <c r="W2252">
        <v>1</v>
      </c>
    </row>
    <row r="2253" spans="1:23" ht="79.8" x14ac:dyDescent="0.3">
      <c r="A2253" s="211">
        <v>41554</v>
      </c>
      <c r="B2253" s="211">
        <v>41554</v>
      </c>
      <c r="C2253" s="6">
        <v>10</v>
      </c>
      <c r="D2253" s="6">
        <v>1</v>
      </c>
      <c r="E2253" s="19">
        <v>2013</v>
      </c>
      <c r="F2253" s="15" t="s">
        <v>22</v>
      </c>
      <c r="G2253" s="18" t="s">
        <v>6256</v>
      </c>
      <c r="H2253" s="9" t="s">
        <v>121</v>
      </c>
      <c r="I2253" s="20" t="s">
        <v>2584</v>
      </c>
      <c r="J2253" s="21" t="s">
        <v>3875</v>
      </c>
      <c r="K2253" s="22">
        <v>2</v>
      </c>
      <c r="L2253" s="234">
        <v>2</v>
      </c>
      <c r="M2253" s="23">
        <v>0</v>
      </c>
      <c r="N2253" s="23">
        <v>0</v>
      </c>
      <c r="O2253" s="23">
        <v>0</v>
      </c>
      <c r="P2253" s="23">
        <v>0</v>
      </c>
      <c r="Q2253" s="23">
        <v>0</v>
      </c>
      <c r="R2253" s="24">
        <v>0</v>
      </c>
      <c r="S2253" s="25" t="s">
        <v>115</v>
      </c>
      <c r="T2253" s="257">
        <f t="shared" si="77"/>
        <v>4</v>
      </c>
      <c r="U2253" s="257">
        <f t="shared" si="78"/>
        <v>0</v>
      </c>
      <c r="V2253">
        <v>1</v>
      </c>
      <c r="W2253">
        <v>0</v>
      </c>
    </row>
    <row r="2254" spans="1:23" ht="125.4" x14ac:dyDescent="0.3">
      <c r="A2254" s="211">
        <v>41510</v>
      </c>
      <c r="B2254" s="211">
        <v>41511</v>
      </c>
      <c r="C2254" s="6">
        <v>8</v>
      </c>
      <c r="D2254" s="6">
        <v>2</v>
      </c>
      <c r="E2254" s="19">
        <v>2013</v>
      </c>
      <c r="F2254" s="15" t="s">
        <v>22</v>
      </c>
      <c r="G2254" s="16" t="s">
        <v>6254</v>
      </c>
      <c r="H2254" s="9" t="s">
        <v>27</v>
      </c>
      <c r="I2254" s="20" t="s">
        <v>3876</v>
      </c>
      <c r="J2254" s="21" t="s">
        <v>3877</v>
      </c>
      <c r="K2254" s="22">
        <v>0</v>
      </c>
      <c r="L2254" s="234" t="s">
        <v>95</v>
      </c>
      <c r="M2254" s="23" t="s">
        <v>95</v>
      </c>
      <c r="N2254" s="23" t="s">
        <v>95</v>
      </c>
      <c r="O2254" s="23" t="s">
        <v>95</v>
      </c>
      <c r="P2254" s="23" t="s">
        <v>95</v>
      </c>
      <c r="Q2254" s="23"/>
      <c r="R2254" s="24">
        <v>1126.1300000000001</v>
      </c>
      <c r="S2254" s="25" t="s">
        <v>149</v>
      </c>
      <c r="T2254" s="257">
        <f t="shared" si="77"/>
        <v>0</v>
      </c>
      <c r="U2254" s="257">
        <f t="shared" si="78"/>
        <v>0</v>
      </c>
      <c r="V2254">
        <v>0</v>
      </c>
      <c r="W2254">
        <v>0</v>
      </c>
    </row>
    <row r="2255" spans="1:23" ht="68.400000000000006" x14ac:dyDescent="0.3">
      <c r="A2255" s="211">
        <v>41600</v>
      </c>
      <c r="B2255" s="211">
        <v>41600</v>
      </c>
      <c r="C2255" s="6">
        <v>11</v>
      </c>
      <c r="D2255" s="6">
        <v>1</v>
      </c>
      <c r="E2255" s="19">
        <v>2013</v>
      </c>
      <c r="F2255" s="15" t="s">
        <v>22</v>
      </c>
      <c r="G2255" s="82" t="s">
        <v>6256</v>
      </c>
      <c r="H2255" s="9" t="s">
        <v>27</v>
      </c>
      <c r="I2255" s="20" t="s">
        <v>671</v>
      </c>
      <c r="J2255" s="21" t="s">
        <v>3878</v>
      </c>
      <c r="K2255" s="22">
        <v>0</v>
      </c>
      <c r="L2255" s="234">
        <v>185</v>
      </c>
      <c r="M2255" s="23">
        <v>37</v>
      </c>
      <c r="N2255" s="23">
        <v>0</v>
      </c>
      <c r="O2255" s="23">
        <v>0</v>
      </c>
      <c r="P2255" s="23">
        <v>0</v>
      </c>
      <c r="Q2255" s="23">
        <v>0</v>
      </c>
      <c r="R2255" s="24">
        <v>0</v>
      </c>
      <c r="S2255" s="25" t="s">
        <v>115</v>
      </c>
      <c r="T2255" s="257">
        <f t="shared" si="77"/>
        <v>185</v>
      </c>
      <c r="U2255" s="257">
        <f t="shared" si="78"/>
        <v>37</v>
      </c>
      <c r="V2255">
        <v>1</v>
      </c>
      <c r="W2255">
        <v>1</v>
      </c>
    </row>
    <row r="2256" spans="1:23" ht="148.19999999999999" x14ac:dyDescent="0.3">
      <c r="A2256" s="224">
        <v>43406</v>
      </c>
      <c r="B2256" s="224">
        <v>43406</v>
      </c>
      <c r="C2256" s="6">
        <v>11</v>
      </c>
      <c r="D2256" s="6">
        <v>1</v>
      </c>
      <c r="E2256" s="84">
        <v>2018</v>
      </c>
      <c r="F2256" s="15" t="s">
        <v>22</v>
      </c>
      <c r="G2256" s="18" t="s">
        <v>6256</v>
      </c>
      <c r="H2256" s="9" t="s">
        <v>48</v>
      </c>
      <c r="I2256" s="86" t="s">
        <v>685</v>
      </c>
      <c r="J2256" s="34" t="s">
        <v>3879</v>
      </c>
      <c r="K2256" s="84">
        <v>2</v>
      </c>
      <c r="L2256" s="173">
        <v>2</v>
      </c>
      <c r="M2256" s="84">
        <v>0</v>
      </c>
      <c r="N2256" s="84">
        <v>0</v>
      </c>
      <c r="O2256" s="84">
        <v>0</v>
      </c>
      <c r="P2256" s="84">
        <v>0</v>
      </c>
      <c r="Q2256" s="88">
        <v>0</v>
      </c>
      <c r="R2256" s="126">
        <v>3.9690000000000003E-2</v>
      </c>
      <c r="S2256" s="89" t="s">
        <v>115</v>
      </c>
      <c r="T2256" s="257">
        <f t="shared" si="77"/>
        <v>4</v>
      </c>
      <c r="U2256" s="257">
        <f t="shared" si="78"/>
        <v>0</v>
      </c>
      <c r="V2256">
        <v>1</v>
      </c>
      <c r="W2256">
        <v>0</v>
      </c>
    </row>
    <row r="2257" spans="1:23" ht="114" x14ac:dyDescent="0.3">
      <c r="A2257" s="212">
        <v>40586</v>
      </c>
      <c r="B2257" s="212">
        <v>40586</v>
      </c>
      <c r="C2257" s="6">
        <v>2</v>
      </c>
      <c r="D2257" s="6">
        <v>1</v>
      </c>
      <c r="E2257" s="6">
        <v>2011</v>
      </c>
      <c r="F2257" s="15" t="s">
        <v>22</v>
      </c>
      <c r="G2257" s="18" t="s">
        <v>6256</v>
      </c>
      <c r="H2257" s="9" t="s">
        <v>48</v>
      </c>
      <c r="I2257" s="53" t="s">
        <v>3880</v>
      </c>
      <c r="J2257" s="53" t="s">
        <v>3881</v>
      </c>
      <c r="K2257" s="13">
        <v>0</v>
      </c>
      <c r="L2257" s="233">
        <v>45</v>
      </c>
      <c r="M2257" s="13">
        <v>9</v>
      </c>
      <c r="N2257" s="13">
        <v>1</v>
      </c>
      <c r="O2257" s="13">
        <v>0</v>
      </c>
      <c r="P2257" s="13">
        <v>0</v>
      </c>
      <c r="Q2257" s="13">
        <v>0</v>
      </c>
      <c r="R2257" s="26">
        <v>3.8473E-2</v>
      </c>
      <c r="S2257" s="19" t="s">
        <v>115</v>
      </c>
      <c r="T2257" s="257">
        <f t="shared" si="77"/>
        <v>45</v>
      </c>
      <c r="U2257" s="257">
        <f t="shared" si="78"/>
        <v>10</v>
      </c>
      <c r="V2257">
        <v>1</v>
      </c>
      <c r="W2257">
        <v>1</v>
      </c>
    </row>
    <row r="2258" spans="1:23" ht="57" x14ac:dyDescent="0.3">
      <c r="A2258" s="211">
        <v>41571</v>
      </c>
      <c r="B2258" s="211">
        <v>41571</v>
      </c>
      <c r="C2258" s="6">
        <v>10</v>
      </c>
      <c r="D2258" s="6">
        <v>1</v>
      </c>
      <c r="E2258" s="19">
        <v>2013</v>
      </c>
      <c r="F2258" s="15" t="s">
        <v>22</v>
      </c>
      <c r="G2258" s="18" t="s">
        <v>6256</v>
      </c>
      <c r="H2258" s="9" t="s">
        <v>174</v>
      </c>
      <c r="I2258" s="20" t="s">
        <v>1078</v>
      </c>
      <c r="J2258" s="53" t="s">
        <v>3882</v>
      </c>
      <c r="K2258" s="22">
        <v>0</v>
      </c>
      <c r="L2258" s="234">
        <v>204</v>
      </c>
      <c r="M2258" s="23">
        <v>0</v>
      </c>
      <c r="N2258" s="23">
        <v>0</v>
      </c>
      <c r="O2258" s="23">
        <v>0</v>
      </c>
      <c r="P2258" s="23">
        <v>0</v>
      </c>
      <c r="Q2258" s="23">
        <v>0</v>
      </c>
      <c r="R2258" s="24">
        <v>0</v>
      </c>
      <c r="S2258" s="25" t="s">
        <v>115</v>
      </c>
      <c r="T2258" s="257">
        <f t="shared" si="77"/>
        <v>204</v>
      </c>
      <c r="U2258" s="257">
        <f t="shared" si="78"/>
        <v>0</v>
      </c>
      <c r="V2258">
        <v>1</v>
      </c>
      <c r="W2258">
        <v>0</v>
      </c>
    </row>
    <row r="2259" spans="1:23" ht="57" x14ac:dyDescent="0.3">
      <c r="A2259" s="211">
        <v>41605</v>
      </c>
      <c r="B2259" s="211">
        <v>41605</v>
      </c>
      <c r="C2259" s="6">
        <v>11</v>
      </c>
      <c r="D2259" s="6">
        <v>1</v>
      </c>
      <c r="E2259" s="19">
        <v>2013</v>
      </c>
      <c r="F2259" s="15" t="s">
        <v>22</v>
      </c>
      <c r="G2259" s="18" t="s">
        <v>6255</v>
      </c>
      <c r="H2259" s="9" t="s">
        <v>78</v>
      </c>
      <c r="I2259" s="20" t="s">
        <v>1109</v>
      </c>
      <c r="J2259" s="21" t="s">
        <v>3883</v>
      </c>
      <c r="K2259" s="22">
        <v>0</v>
      </c>
      <c r="L2259" s="234">
        <v>152</v>
      </c>
      <c r="M2259" s="23">
        <v>0</v>
      </c>
      <c r="N2259" s="23">
        <v>0</v>
      </c>
      <c r="O2259" s="23">
        <v>0</v>
      </c>
      <c r="P2259" s="23">
        <v>0</v>
      </c>
      <c r="Q2259" s="23">
        <v>0</v>
      </c>
      <c r="R2259" s="24">
        <v>0</v>
      </c>
      <c r="S2259" s="25" t="s">
        <v>115</v>
      </c>
      <c r="T2259" s="257">
        <f t="shared" si="77"/>
        <v>152</v>
      </c>
      <c r="U2259" s="257">
        <f t="shared" si="78"/>
        <v>0</v>
      </c>
      <c r="V2259">
        <v>1</v>
      </c>
      <c r="W2259">
        <v>0</v>
      </c>
    </row>
    <row r="2260" spans="1:23" ht="79.8" x14ac:dyDescent="0.3">
      <c r="A2260" s="211">
        <v>41554</v>
      </c>
      <c r="B2260" s="211">
        <v>41554</v>
      </c>
      <c r="C2260" s="6">
        <v>10</v>
      </c>
      <c r="D2260" s="6">
        <v>1</v>
      </c>
      <c r="E2260" s="19">
        <v>2013</v>
      </c>
      <c r="F2260" s="15" t="s">
        <v>22</v>
      </c>
      <c r="G2260" s="18" t="s">
        <v>6256</v>
      </c>
      <c r="H2260" s="9" t="s">
        <v>174</v>
      </c>
      <c r="I2260" s="20" t="s">
        <v>3884</v>
      </c>
      <c r="J2260" s="21" t="s">
        <v>3885</v>
      </c>
      <c r="K2260" s="22">
        <v>2</v>
      </c>
      <c r="L2260" s="234">
        <v>1542</v>
      </c>
      <c r="M2260" s="23">
        <v>386</v>
      </c>
      <c r="N2260" s="23">
        <v>0</v>
      </c>
      <c r="O2260" s="23">
        <v>0</v>
      </c>
      <c r="P2260" s="23">
        <v>0</v>
      </c>
      <c r="Q2260" s="23">
        <v>0</v>
      </c>
      <c r="R2260" s="24">
        <v>2.1800000000000002</v>
      </c>
      <c r="S2260" s="25" t="s">
        <v>149</v>
      </c>
      <c r="T2260" s="257">
        <f t="shared" si="77"/>
        <v>1544</v>
      </c>
      <c r="U2260" s="257">
        <f t="shared" si="78"/>
        <v>386</v>
      </c>
      <c r="V2260">
        <v>1</v>
      </c>
      <c r="W2260">
        <v>1</v>
      </c>
    </row>
    <row r="2261" spans="1:23" ht="102.6" x14ac:dyDescent="0.3">
      <c r="A2261" s="211">
        <v>41522</v>
      </c>
      <c r="B2261" s="211">
        <v>41522</v>
      </c>
      <c r="C2261" s="6">
        <v>9</v>
      </c>
      <c r="D2261" s="6">
        <v>1</v>
      </c>
      <c r="E2261" s="19">
        <v>2013</v>
      </c>
      <c r="F2261" s="15" t="s">
        <v>22</v>
      </c>
      <c r="G2261" s="16" t="s">
        <v>6254</v>
      </c>
      <c r="H2261" s="9" t="s">
        <v>28</v>
      </c>
      <c r="I2261" s="20" t="s">
        <v>3886</v>
      </c>
      <c r="J2261" s="21" t="s">
        <v>3887</v>
      </c>
      <c r="K2261" s="22">
        <v>0</v>
      </c>
      <c r="L2261" s="234">
        <v>63</v>
      </c>
      <c r="M2261" s="23">
        <v>0</v>
      </c>
      <c r="N2261" s="23">
        <v>0</v>
      </c>
      <c r="O2261" s="23">
        <v>0</v>
      </c>
      <c r="P2261" s="23">
        <v>0</v>
      </c>
      <c r="Q2261" s="23">
        <v>0</v>
      </c>
      <c r="R2261" s="24">
        <v>18.899999999999999</v>
      </c>
      <c r="S2261" s="25" t="s">
        <v>115</v>
      </c>
      <c r="T2261" s="257">
        <f t="shared" si="77"/>
        <v>63</v>
      </c>
      <c r="U2261" s="257">
        <f t="shared" si="78"/>
        <v>0</v>
      </c>
      <c r="V2261">
        <v>1</v>
      </c>
      <c r="W2261">
        <v>0</v>
      </c>
    </row>
    <row r="2262" spans="1:23" ht="102.6" x14ac:dyDescent="0.3">
      <c r="A2262" s="211">
        <v>41523</v>
      </c>
      <c r="B2262" s="211">
        <v>41523</v>
      </c>
      <c r="C2262" s="6">
        <v>9</v>
      </c>
      <c r="D2262" s="6">
        <v>1</v>
      </c>
      <c r="E2262" s="19">
        <v>2013</v>
      </c>
      <c r="F2262" s="15" t="s">
        <v>22</v>
      </c>
      <c r="G2262" s="18" t="s">
        <v>6256</v>
      </c>
      <c r="H2262" s="9" t="s">
        <v>52</v>
      </c>
      <c r="I2262" s="20" t="s">
        <v>3888</v>
      </c>
      <c r="J2262" s="21" t="s">
        <v>3889</v>
      </c>
      <c r="K2262" s="22">
        <v>1</v>
      </c>
      <c r="L2262" s="234">
        <v>521</v>
      </c>
      <c r="M2262" s="23">
        <v>130</v>
      </c>
      <c r="N2262" s="23">
        <v>0</v>
      </c>
      <c r="O2262" s="23">
        <v>0</v>
      </c>
      <c r="P2262" s="23">
        <v>0</v>
      </c>
      <c r="Q2262" s="23">
        <v>0</v>
      </c>
      <c r="R2262" s="24">
        <v>0</v>
      </c>
      <c r="S2262" s="25" t="s">
        <v>115</v>
      </c>
      <c r="T2262" s="257">
        <f t="shared" si="77"/>
        <v>522</v>
      </c>
      <c r="U2262" s="257">
        <f t="shared" si="78"/>
        <v>130</v>
      </c>
      <c r="V2262">
        <v>1</v>
      </c>
      <c r="W2262">
        <v>1</v>
      </c>
    </row>
    <row r="2263" spans="1:23" ht="45.6" x14ac:dyDescent="0.3">
      <c r="A2263" s="211">
        <v>41566</v>
      </c>
      <c r="B2263" s="211">
        <v>41566</v>
      </c>
      <c r="C2263" s="6">
        <v>10</v>
      </c>
      <c r="D2263" s="6">
        <v>1</v>
      </c>
      <c r="E2263" s="19">
        <v>2013</v>
      </c>
      <c r="F2263" s="15" t="s">
        <v>22</v>
      </c>
      <c r="G2263" s="18" t="s">
        <v>6256</v>
      </c>
      <c r="H2263" s="9" t="s">
        <v>31</v>
      </c>
      <c r="I2263" s="20" t="s">
        <v>1034</v>
      </c>
      <c r="J2263" s="21" t="s">
        <v>3890</v>
      </c>
      <c r="K2263" s="22">
        <v>0</v>
      </c>
      <c r="L2263" s="234">
        <v>1145</v>
      </c>
      <c r="M2263" s="23">
        <v>229</v>
      </c>
      <c r="N2263" s="23">
        <v>0</v>
      </c>
      <c r="O2263" s="23">
        <v>0</v>
      </c>
      <c r="P2263" s="23">
        <v>0</v>
      </c>
      <c r="Q2263" s="23">
        <v>0</v>
      </c>
      <c r="R2263" s="24">
        <v>0.2</v>
      </c>
      <c r="S2263" s="25" t="s">
        <v>115</v>
      </c>
      <c r="T2263" s="257">
        <f t="shared" si="77"/>
        <v>1145</v>
      </c>
      <c r="U2263" s="257">
        <f t="shared" si="78"/>
        <v>229</v>
      </c>
      <c r="V2263">
        <v>1</v>
      </c>
      <c r="W2263">
        <v>1</v>
      </c>
    </row>
    <row r="2264" spans="1:23" ht="148.19999999999999" x14ac:dyDescent="0.3">
      <c r="A2264" s="212">
        <v>40645</v>
      </c>
      <c r="B2264" s="212">
        <v>40645</v>
      </c>
      <c r="C2264" s="6">
        <v>4</v>
      </c>
      <c r="D2264" s="6">
        <v>1</v>
      </c>
      <c r="E2264" s="6">
        <v>2011</v>
      </c>
      <c r="F2264" s="15" t="s">
        <v>22</v>
      </c>
      <c r="G2264" s="18" t="s">
        <v>6256</v>
      </c>
      <c r="H2264" s="9" t="s">
        <v>48</v>
      </c>
      <c r="I2264" s="53" t="s">
        <v>310</v>
      </c>
      <c r="J2264" s="53" t="s">
        <v>3891</v>
      </c>
      <c r="K2264" s="13">
        <v>2</v>
      </c>
      <c r="L2264" s="233">
        <v>2</v>
      </c>
      <c r="M2264" s="13">
        <v>0</v>
      </c>
      <c r="N2264" s="13">
        <v>0</v>
      </c>
      <c r="O2264" s="13">
        <v>0</v>
      </c>
      <c r="P2264" s="13">
        <v>0</v>
      </c>
      <c r="Q2264" s="13">
        <v>0</v>
      </c>
      <c r="R2264" s="26">
        <v>3.78E-2</v>
      </c>
      <c r="S2264" s="19" t="s">
        <v>115</v>
      </c>
      <c r="T2264" s="257">
        <f t="shared" si="77"/>
        <v>4</v>
      </c>
      <c r="U2264" s="257">
        <f t="shared" si="78"/>
        <v>0</v>
      </c>
      <c r="V2264">
        <v>1</v>
      </c>
      <c r="W2264">
        <v>0</v>
      </c>
    </row>
    <row r="2265" spans="1:23" ht="240" x14ac:dyDescent="0.3">
      <c r="A2265" s="114">
        <v>44817</v>
      </c>
      <c r="B2265" s="114">
        <v>44817</v>
      </c>
      <c r="C2265" s="6">
        <v>9</v>
      </c>
      <c r="D2265" s="6">
        <v>1</v>
      </c>
      <c r="E2265" s="115">
        <v>2022</v>
      </c>
      <c r="F2265" s="15" t="s">
        <v>22</v>
      </c>
      <c r="G2265" s="16" t="s">
        <v>6256</v>
      </c>
      <c r="H2265" s="9" t="s">
        <v>48</v>
      </c>
      <c r="I2265" s="117" t="s">
        <v>3169</v>
      </c>
      <c r="J2265" s="118" t="s">
        <v>3892</v>
      </c>
      <c r="K2265" s="117">
        <v>0</v>
      </c>
      <c r="L2265" s="245">
        <v>57</v>
      </c>
      <c r="M2265" s="119">
        <v>10</v>
      </c>
      <c r="N2265" s="119">
        <v>0</v>
      </c>
      <c r="O2265" s="119">
        <v>0</v>
      </c>
      <c r="P2265" s="119">
        <v>0</v>
      </c>
      <c r="Q2265" s="119">
        <v>0</v>
      </c>
      <c r="R2265" s="120">
        <v>3.5160385699999998E-2</v>
      </c>
      <c r="S2265" s="119" t="s">
        <v>115</v>
      </c>
      <c r="T2265" s="257">
        <f t="shared" si="77"/>
        <v>57</v>
      </c>
      <c r="U2265" s="257">
        <f t="shared" si="78"/>
        <v>10</v>
      </c>
      <c r="V2265">
        <v>1</v>
      </c>
      <c r="W2265">
        <v>1</v>
      </c>
    </row>
    <row r="2266" spans="1:23" ht="171" x14ac:dyDescent="0.3">
      <c r="A2266" s="211">
        <v>41536</v>
      </c>
      <c r="B2266" s="211">
        <v>41538</v>
      </c>
      <c r="C2266" s="6">
        <v>9</v>
      </c>
      <c r="D2266" s="6">
        <v>3</v>
      </c>
      <c r="E2266" s="19">
        <v>2013</v>
      </c>
      <c r="F2266" s="15" t="s">
        <v>22</v>
      </c>
      <c r="G2266" s="16" t="s">
        <v>6254</v>
      </c>
      <c r="H2266" s="9" t="s">
        <v>34</v>
      </c>
      <c r="I2266" s="20" t="s">
        <v>3893</v>
      </c>
      <c r="J2266" s="21" t="s">
        <v>3894</v>
      </c>
      <c r="K2266" s="22">
        <v>1</v>
      </c>
      <c r="L2266" s="234" t="s">
        <v>95</v>
      </c>
      <c r="M2266" s="23">
        <v>45</v>
      </c>
      <c r="N2266" s="23">
        <v>0</v>
      </c>
      <c r="O2266" s="23">
        <v>0</v>
      </c>
      <c r="P2266" s="23" t="s">
        <v>95</v>
      </c>
      <c r="Q2266" s="23"/>
      <c r="R2266" s="24">
        <f>79.2+1.14</f>
        <v>80.34</v>
      </c>
      <c r="S2266" s="25" t="s">
        <v>149</v>
      </c>
      <c r="T2266" s="257">
        <f t="shared" si="77"/>
        <v>1</v>
      </c>
      <c r="U2266" s="257">
        <f t="shared" si="78"/>
        <v>45</v>
      </c>
      <c r="V2266">
        <v>1</v>
      </c>
      <c r="W2266">
        <v>1</v>
      </c>
    </row>
    <row r="2267" spans="1:23" ht="91.2" x14ac:dyDescent="0.3">
      <c r="A2267" s="211">
        <v>41628</v>
      </c>
      <c r="B2267" s="211">
        <v>41629</v>
      </c>
      <c r="C2267" s="6">
        <v>12</v>
      </c>
      <c r="D2267" s="6">
        <v>2</v>
      </c>
      <c r="E2267" s="19">
        <v>2013</v>
      </c>
      <c r="F2267" s="15" t="s">
        <v>22</v>
      </c>
      <c r="G2267" s="18" t="s">
        <v>6256</v>
      </c>
      <c r="H2267" s="9" t="s">
        <v>34</v>
      </c>
      <c r="I2267" s="20" t="s">
        <v>3895</v>
      </c>
      <c r="J2267" s="21" t="s">
        <v>3896</v>
      </c>
      <c r="K2267" s="22">
        <v>4</v>
      </c>
      <c r="L2267" s="233">
        <v>10</v>
      </c>
      <c r="M2267" s="23">
        <v>1</v>
      </c>
      <c r="N2267" s="23">
        <v>0</v>
      </c>
      <c r="O2267" s="23">
        <v>0</v>
      </c>
      <c r="P2267" s="23">
        <v>0</v>
      </c>
      <c r="Q2267" s="23">
        <v>0</v>
      </c>
      <c r="R2267" s="24">
        <v>2.15</v>
      </c>
      <c r="S2267" s="25" t="s">
        <v>115</v>
      </c>
      <c r="T2267" s="257">
        <f t="shared" si="77"/>
        <v>14</v>
      </c>
      <c r="U2267" s="257">
        <f t="shared" si="78"/>
        <v>1</v>
      </c>
      <c r="V2267">
        <v>1</v>
      </c>
      <c r="W2267">
        <v>1</v>
      </c>
    </row>
    <row r="2268" spans="1:23" ht="193.8" x14ac:dyDescent="0.3">
      <c r="A2268" s="211">
        <v>41631</v>
      </c>
      <c r="B2268" s="211">
        <v>41631</v>
      </c>
      <c r="C2268" s="6">
        <v>12</v>
      </c>
      <c r="D2268" s="6">
        <v>1</v>
      </c>
      <c r="E2268" s="19">
        <v>2013</v>
      </c>
      <c r="F2268" s="15" t="s">
        <v>22</v>
      </c>
      <c r="G2268" s="18" t="s">
        <v>6256</v>
      </c>
      <c r="H2268" s="9" t="s">
        <v>31</v>
      </c>
      <c r="I2268" s="21" t="s">
        <v>3897</v>
      </c>
      <c r="J2268" s="21" t="s">
        <v>3898</v>
      </c>
      <c r="K2268" s="57">
        <v>0</v>
      </c>
      <c r="L2268" s="234">
        <v>3315</v>
      </c>
      <c r="M2268" s="23">
        <v>663</v>
      </c>
      <c r="N2268" s="23">
        <v>0</v>
      </c>
      <c r="O2268" s="23">
        <v>0</v>
      </c>
      <c r="P2268" s="23">
        <v>0</v>
      </c>
      <c r="Q2268" s="23">
        <v>0</v>
      </c>
      <c r="R2268" s="24">
        <v>1</v>
      </c>
      <c r="S2268" s="25" t="s">
        <v>115</v>
      </c>
      <c r="T2268" s="257">
        <f t="shared" si="77"/>
        <v>3315</v>
      </c>
      <c r="U2268" s="257">
        <f t="shared" si="78"/>
        <v>663</v>
      </c>
      <c r="V2268">
        <v>1</v>
      </c>
      <c r="W2268">
        <v>1</v>
      </c>
    </row>
    <row r="2269" spans="1:23" ht="57" x14ac:dyDescent="0.3">
      <c r="A2269" s="211">
        <v>41631</v>
      </c>
      <c r="B2269" s="211">
        <v>41631</v>
      </c>
      <c r="C2269" s="6">
        <v>12</v>
      </c>
      <c r="D2269" s="6">
        <v>1</v>
      </c>
      <c r="E2269" s="19">
        <v>2013</v>
      </c>
      <c r="F2269" s="15" t="s">
        <v>22</v>
      </c>
      <c r="G2269" s="18" t="s">
        <v>6256</v>
      </c>
      <c r="H2269" s="17" t="s">
        <v>565</v>
      </c>
      <c r="I2269" s="20" t="s">
        <v>2931</v>
      </c>
      <c r="J2269" s="21" t="s">
        <v>3899</v>
      </c>
      <c r="K2269" s="22">
        <v>0</v>
      </c>
      <c r="L2269" s="234">
        <v>234971</v>
      </c>
      <c r="M2269" s="23">
        <v>0</v>
      </c>
      <c r="N2269" s="23">
        <v>0</v>
      </c>
      <c r="O2269" s="23">
        <v>0</v>
      </c>
      <c r="P2269" s="23">
        <v>0</v>
      </c>
      <c r="Q2269" s="23">
        <v>0</v>
      </c>
      <c r="R2269" s="24">
        <v>8.48</v>
      </c>
      <c r="S2269" s="25" t="s">
        <v>149</v>
      </c>
      <c r="T2269" s="257">
        <f t="shared" si="77"/>
        <v>234971</v>
      </c>
      <c r="U2269" s="257">
        <f t="shared" si="78"/>
        <v>0</v>
      </c>
      <c r="V2269">
        <v>3</v>
      </c>
      <c r="W2269">
        <v>0</v>
      </c>
    </row>
    <row r="2270" spans="1:23" ht="57" x14ac:dyDescent="0.3">
      <c r="A2270" s="212">
        <v>41275</v>
      </c>
      <c r="B2270" s="212">
        <v>41639</v>
      </c>
      <c r="C2270" s="6">
        <v>1</v>
      </c>
      <c r="D2270" s="6">
        <v>365</v>
      </c>
      <c r="E2270" s="19">
        <v>2013</v>
      </c>
      <c r="F2270" s="15" t="s">
        <v>22</v>
      </c>
      <c r="G2270" s="18" t="s">
        <v>6255</v>
      </c>
      <c r="H2270" s="9" t="s">
        <v>37</v>
      </c>
      <c r="I2270" s="53" t="s">
        <v>1109</v>
      </c>
      <c r="J2270" s="53" t="s">
        <v>3900</v>
      </c>
      <c r="K2270" s="6">
        <v>6</v>
      </c>
      <c r="L2270" s="233">
        <v>0</v>
      </c>
      <c r="M2270" s="13">
        <v>0</v>
      </c>
      <c r="N2270" s="13">
        <v>0</v>
      </c>
      <c r="O2270" s="13">
        <v>0</v>
      </c>
      <c r="P2270" s="13">
        <v>0</v>
      </c>
      <c r="Q2270" s="13">
        <v>0</v>
      </c>
      <c r="R2270" s="26">
        <v>0</v>
      </c>
      <c r="S2270" s="19" t="s">
        <v>1219</v>
      </c>
      <c r="T2270" s="257">
        <f t="shared" si="77"/>
        <v>6</v>
      </c>
      <c r="U2270" s="257">
        <f t="shared" si="78"/>
        <v>0</v>
      </c>
      <c r="V2270">
        <v>1</v>
      </c>
      <c r="W2270">
        <v>0</v>
      </c>
    </row>
    <row r="2271" spans="1:23" ht="57" x14ac:dyDescent="0.3">
      <c r="A2271" s="212">
        <v>41276</v>
      </c>
      <c r="B2271" s="212"/>
      <c r="C2271" s="6">
        <v>1</v>
      </c>
      <c r="D2271" s="6">
        <v>1</v>
      </c>
      <c r="E2271" s="19">
        <v>2013</v>
      </c>
      <c r="F2271" s="15" t="s">
        <v>22</v>
      </c>
      <c r="G2271" s="18" t="s">
        <v>6255</v>
      </c>
      <c r="H2271" s="9" t="s">
        <v>34</v>
      </c>
      <c r="I2271" s="53" t="s">
        <v>1109</v>
      </c>
      <c r="J2271" s="53" t="s">
        <v>3901</v>
      </c>
      <c r="K2271" s="6">
        <v>29</v>
      </c>
      <c r="L2271" s="233">
        <v>0</v>
      </c>
      <c r="M2271" s="13">
        <v>0</v>
      </c>
      <c r="N2271" s="13">
        <v>0</v>
      </c>
      <c r="O2271" s="13">
        <v>0</v>
      </c>
      <c r="P2271" s="13">
        <v>0</v>
      </c>
      <c r="Q2271" s="13">
        <v>0</v>
      </c>
      <c r="R2271" s="26">
        <v>0</v>
      </c>
      <c r="S2271" s="19" t="s">
        <v>1219</v>
      </c>
      <c r="T2271" s="257">
        <f t="shared" si="77"/>
        <v>29</v>
      </c>
      <c r="U2271" s="257">
        <f t="shared" si="78"/>
        <v>0</v>
      </c>
      <c r="V2271">
        <v>1</v>
      </c>
      <c r="W2271">
        <v>0</v>
      </c>
    </row>
    <row r="2272" spans="1:23" ht="22.8" x14ac:dyDescent="0.3">
      <c r="A2272" s="212">
        <v>41277</v>
      </c>
      <c r="B2272" s="212"/>
      <c r="C2272" s="6">
        <v>1</v>
      </c>
      <c r="D2272" s="6">
        <v>1</v>
      </c>
      <c r="E2272" s="19">
        <v>2013</v>
      </c>
      <c r="F2272" s="15" t="s">
        <v>22</v>
      </c>
      <c r="G2272" s="18" t="s">
        <v>6255</v>
      </c>
      <c r="H2272" s="9" t="s">
        <v>78</v>
      </c>
      <c r="I2272" s="53" t="s">
        <v>1109</v>
      </c>
      <c r="J2272" s="53" t="s">
        <v>3902</v>
      </c>
      <c r="K2272" s="6">
        <v>1</v>
      </c>
      <c r="L2272" s="233">
        <v>0</v>
      </c>
      <c r="M2272" s="13">
        <v>0</v>
      </c>
      <c r="N2272" s="13">
        <v>0</v>
      </c>
      <c r="O2272" s="13">
        <v>0</v>
      </c>
      <c r="P2272" s="13">
        <v>0</v>
      </c>
      <c r="Q2272" s="13">
        <v>0</v>
      </c>
      <c r="R2272" s="26">
        <v>0</v>
      </c>
      <c r="S2272" s="19" t="s">
        <v>1219</v>
      </c>
      <c r="T2272" s="257">
        <f t="shared" si="77"/>
        <v>1</v>
      </c>
      <c r="U2272" s="257">
        <f t="shared" si="78"/>
        <v>0</v>
      </c>
      <c r="V2272">
        <v>1</v>
      </c>
      <c r="W2272">
        <v>0</v>
      </c>
    </row>
    <row r="2273" spans="1:23" ht="34.200000000000003" x14ac:dyDescent="0.3">
      <c r="A2273" s="212">
        <v>41278</v>
      </c>
      <c r="B2273" s="212"/>
      <c r="C2273" s="6">
        <v>1</v>
      </c>
      <c r="D2273" s="6">
        <v>1</v>
      </c>
      <c r="E2273" s="19">
        <v>2013</v>
      </c>
      <c r="F2273" s="15" t="s">
        <v>22</v>
      </c>
      <c r="G2273" s="18" t="s">
        <v>6255</v>
      </c>
      <c r="H2273" s="9" t="s">
        <v>27</v>
      </c>
      <c r="I2273" s="53" t="s">
        <v>1109</v>
      </c>
      <c r="J2273" s="53" t="s">
        <v>3903</v>
      </c>
      <c r="K2273" s="6">
        <v>2</v>
      </c>
      <c r="L2273" s="233">
        <v>0</v>
      </c>
      <c r="M2273" s="13">
        <v>0</v>
      </c>
      <c r="N2273" s="13">
        <v>0</v>
      </c>
      <c r="O2273" s="13">
        <v>0</v>
      </c>
      <c r="P2273" s="13">
        <v>0</v>
      </c>
      <c r="Q2273" s="13">
        <v>0</v>
      </c>
      <c r="R2273" s="26">
        <v>0</v>
      </c>
      <c r="S2273" s="19" t="s">
        <v>1219</v>
      </c>
      <c r="T2273" s="257">
        <f t="shared" si="77"/>
        <v>2</v>
      </c>
      <c r="U2273" s="257">
        <f t="shared" si="78"/>
        <v>0</v>
      </c>
      <c r="V2273">
        <v>1</v>
      </c>
      <c r="W2273">
        <v>0</v>
      </c>
    </row>
    <row r="2274" spans="1:23" ht="34.200000000000003" x14ac:dyDescent="0.3">
      <c r="A2274" s="212">
        <v>41280</v>
      </c>
      <c r="B2274" s="212"/>
      <c r="C2274" s="6">
        <v>1</v>
      </c>
      <c r="D2274" s="6">
        <v>1</v>
      </c>
      <c r="E2274" s="19">
        <v>2013</v>
      </c>
      <c r="F2274" s="15" t="s">
        <v>22</v>
      </c>
      <c r="G2274" s="18" t="s">
        <v>6255</v>
      </c>
      <c r="H2274" s="9" t="s">
        <v>41</v>
      </c>
      <c r="I2274" s="53" t="s">
        <v>1109</v>
      </c>
      <c r="J2274" s="53" t="s">
        <v>3904</v>
      </c>
      <c r="K2274" s="6">
        <v>1</v>
      </c>
      <c r="L2274" s="233">
        <v>0</v>
      </c>
      <c r="M2274" s="13">
        <v>0</v>
      </c>
      <c r="N2274" s="13">
        <v>0</v>
      </c>
      <c r="O2274" s="13">
        <v>0</v>
      </c>
      <c r="P2274" s="13">
        <v>0</v>
      </c>
      <c r="Q2274" s="13">
        <v>0</v>
      </c>
      <c r="R2274" s="26">
        <v>0</v>
      </c>
      <c r="S2274" s="19" t="s">
        <v>1219</v>
      </c>
      <c r="T2274" s="257">
        <f t="shared" si="77"/>
        <v>1</v>
      </c>
      <c r="U2274" s="257">
        <f t="shared" si="78"/>
        <v>0</v>
      </c>
      <c r="V2274">
        <v>1</v>
      </c>
      <c r="W2274">
        <v>0</v>
      </c>
    </row>
    <row r="2275" spans="1:23" ht="34.200000000000003" x14ac:dyDescent="0.3">
      <c r="A2275" s="212">
        <v>41281</v>
      </c>
      <c r="B2275" s="212"/>
      <c r="C2275" s="6">
        <v>1</v>
      </c>
      <c r="D2275" s="6">
        <v>1</v>
      </c>
      <c r="E2275" s="19">
        <v>2013</v>
      </c>
      <c r="F2275" s="15" t="s">
        <v>22</v>
      </c>
      <c r="G2275" s="18" t="s">
        <v>6255</v>
      </c>
      <c r="H2275" s="9" t="s">
        <v>74</v>
      </c>
      <c r="I2275" s="53" t="s">
        <v>1109</v>
      </c>
      <c r="J2275" s="53" t="s">
        <v>3905</v>
      </c>
      <c r="K2275" s="6">
        <v>15</v>
      </c>
      <c r="L2275" s="233">
        <v>0</v>
      </c>
      <c r="M2275" s="13">
        <v>0</v>
      </c>
      <c r="N2275" s="13">
        <v>0</v>
      </c>
      <c r="O2275" s="13">
        <v>0</v>
      </c>
      <c r="P2275" s="13">
        <v>0</v>
      </c>
      <c r="Q2275" s="13">
        <v>0</v>
      </c>
      <c r="R2275" s="26">
        <v>6.78</v>
      </c>
      <c r="S2275" s="19" t="s">
        <v>1219</v>
      </c>
      <c r="T2275" s="257">
        <f t="shared" si="77"/>
        <v>15</v>
      </c>
      <c r="U2275" s="257">
        <f t="shared" si="78"/>
        <v>0</v>
      </c>
      <c r="V2275">
        <v>1</v>
      </c>
      <c r="W2275">
        <v>0</v>
      </c>
    </row>
    <row r="2276" spans="1:23" ht="34.200000000000003" x14ac:dyDescent="0.3">
      <c r="A2276" s="212">
        <v>41282</v>
      </c>
      <c r="B2276" s="212"/>
      <c r="C2276" s="6">
        <v>1</v>
      </c>
      <c r="D2276" s="6">
        <v>1</v>
      </c>
      <c r="E2276" s="19">
        <v>2013</v>
      </c>
      <c r="F2276" s="15" t="s">
        <v>22</v>
      </c>
      <c r="G2276" s="18" t="s">
        <v>6255</v>
      </c>
      <c r="H2276" s="9" t="s">
        <v>88</v>
      </c>
      <c r="I2276" s="53" t="s">
        <v>1109</v>
      </c>
      <c r="J2276" s="53" t="s">
        <v>3906</v>
      </c>
      <c r="K2276" s="6">
        <v>6</v>
      </c>
      <c r="L2276" s="233">
        <v>0</v>
      </c>
      <c r="M2276" s="13">
        <v>0</v>
      </c>
      <c r="N2276" s="13">
        <v>0</v>
      </c>
      <c r="O2276" s="13">
        <v>0</v>
      </c>
      <c r="P2276" s="13">
        <v>0</v>
      </c>
      <c r="Q2276" s="13">
        <v>0</v>
      </c>
      <c r="R2276" s="26">
        <v>0</v>
      </c>
      <c r="S2276" s="19" t="s">
        <v>1219</v>
      </c>
      <c r="T2276" s="257">
        <f t="shared" si="77"/>
        <v>6</v>
      </c>
      <c r="U2276" s="257">
        <f t="shared" si="78"/>
        <v>0</v>
      </c>
      <c r="V2276">
        <v>1</v>
      </c>
      <c r="W2276">
        <v>0</v>
      </c>
    </row>
    <row r="2277" spans="1:23" ht="22.8" x14ac:dyDescent="0.3">
      <c r="A2277" s="212">
        <v>41289</v>
      </c>
      <c r="B2277" s="212"/>
      <c r="C2277" s="6">
        <v>1</v>
      </c>
      <c r="D2277" s="6">
        <v>1</v>
      </c>
      <c r="E2277" s="19">
        <v>2013</v>
      </c>
      <c r="F2277" s="15" t="s">
        <v>22</v>
      </c>
      <c r="G2277" s="18" t="s">
        <v>6255</v>
      </c>
      <c r="H2277" s="9" t="s">
        <v>64</v>
      </c>
      <c r="I2277" s="53" t="s">
        <v>1109</v>
      </c>
      <c r="J2277" s="53" t="s">
        <v>3907</v>
      </c>
      <c r="K2277" s="6">
        <v>2</v>
      </c>
      <c r="L2277" s="233">
        <v>0</v>
      </c>
      <c r="M2277" s="13">
        <v>0</v>
      </c>
      <c r="N2277" s="13">
        <v>0</v>
      </c>
      <c r="O2277" s="13">
        <v>0</v>
      </c>
      <c r="P2277" s="13">
        <v>0</v>
      </c>
      <c r="Q2277" s="13">
        <v>0</v>
      </c>
      <c r="R2277" s="26">
        <v>0</v>
      </c>
      <c r="S2277" s="19" t="s">
        <v>1219</v>
      </c>
      <c r="T2277" s="257">
        <f t="shared" si="77"/>
        <v>2</v>
      </c>
      <c r="U2277" s="257">
        <f t="shared" si="78"/>
        <v>0</v>
      </c>
      <c r="V2277">
        <v>1</v>
      </c>
      <c r="W2277">
        <v>0</v>
      </c>
    </row>
    <row r="2278" spans="1:23" ht="22.8" x14ac:dyDescent="0.3">
      <c r="A2278" s="212">
        <v>41292</v>
      </c>
      <c r="B2278" s="212"/>
      <c r="C2278" s="6">
        <v>1</v>
      </c>
      <c r="D2278" s="6">
        <v>1</v>
      </c>
      <c r="E2278" s="19">
        <v>2013</v>
      </c>
      <c r="F2278" s="15" t="s">
        <v>22</v>
      </c>
      <c r="G2278" s="18" t="s">
        <v>6255</v>
      </c>
      <c r="H2278" s="9" t="s">
        <v>57</v>
      </c>
      <c r="I2278" s="53" t="s">
        <v>1109</v>
      </c>
      <c r="J2278" s="53" t="s">
        <v>3908</v>
      </c>
      <c r="K2278" s="6">
        <v>1</v>
      </c>
      <c r="L2278" s="233">
        <v>0</v>
      </c>
      <c r="M2278" s="13">
        <v>0</v>
      </c>
      <c r="N2278" s="13">
        <v>0</v>
      </c>
      <c r="O2278" s="13">
        <v>0</v>
      </c>
      <c r="P2278" s="13">
        <v>0</v>
      </c>
      <c r="Q2278" s="13">
        <v>0</v>
      </c>
      <c r="R2278" s="26">
        <v>0</v>
      </c>
      <c r="S2278" s="19" t="s">
        <v>1219</v>
      </c>
      <c r="T2278" s="257">
        <f t="shared" si="77"/>
        <v>1</v>
      </c>
      <c r="U2278" s="257">
        <f t="shared" si="78"/>
        <v>0</v>
      </c>
      <c r="V2278">
        <v>1</v>
      </c>
      <c r="W2278">
        <v>0</v>
      </c>
    </row>
    <row r="2279" spans="1:23" ht="22.8" x14ac:dyDescent="0.3">
      <c r="A2279" s="212">
        <v>41299</v>
      </c>
      <c r="B2279" s="212"/>
      <c r="C2279" s="6">
        <v>1</v>
      </c>
      <c r="D2279" s="6">
        <v>1</v>
      </c>
      <c r="E2279" s="19">
        <v>2013</v>
      </c>
      <c r="F2279" s="15" t="s">
        <v>22</v>
      </c>
      <c r="G2279" s="18" t="s">
        <v>6255</v>
      </c>
      <c r="H2279" s="9" t="s">
        <v>121</v>
      </c>
      <c r="I2279" s="53" t="s">
        <v>1109</v>
      </c>
      <c r="J2279" s="53" t="s">
        <v>3909</v>
      </c>
      <c r="K2279" s="6">
        <v>1</v>
      </c>
      <c r="L2279" s="233">
        <v>0</v>
      </c>
      <c r="M2279" s="13">
        <v>0</v>
      </c>
      <c r="N2279" s="13">
        <v>0</v>
      </c>
      <c r="O2279" s="13">
        <v>0</v>
      </c>
      <c r="P2279" s="13">
        <v>0</v>
      </c>
      <c r="Q2279" s="13">
        <v>0</v>
      </c>
      <c r="R2279" s="26">
        <v>0</v>
      </c>
      <c r="S2279" s="19" t="s">
        <v>1219</v>
      </c>
      <c r="T2279" s="257">
        <f t="shared" si="77"/>
        <v>1</v>
      </c>
      <c r="U2279" s="257">
        <f t="shared" si="78"/>
        <v>0</v>
      </c>
      <c r="V2279">
        <v>1</v>
      </c>
      <c r="W2279">
        <v>0</v>
      </c>
    </row>
    <row r="2280" spans="1:23" ht="22.8" x14ac:dyDescent="0.3">
      <c r="A2280" s="212">
        <v>41275</v>
      </c>
      <c r="B2280" s="212">
        <v>41639</v>
      </c>
      <c r="C2280" s="6">
        <v>1</v>
      </c>
      <c r="D2280" s="6">
        <v>365</v>
      </c>
      <c r="E2280" s="19">
        <v>2013</v>
      </c>
      <c r="F2280" s="15" t="s">
        <v>22</v>
      </c>
      <c r="G2280" s="9" t="s">
        <v>6258</v>
      </c>
      <c r="H2280" s="9" t="s">
        <v>70</v>
      </c>
      <c r="I2280" s="53" t="s">
        <v>1109</v>
      </c>
      <c r="J2280" s="53" t="s">
        <v>3910</v>
      </c>
      <c r="K2280" s="7">
        <v>1</v>
      </c>
      <c r="L2280" s="238">
        <v>0</v>
      </c>
      <c r="M2280" s="37">
        <v>0</v>
      </c>
      <c r="N2280" s="37">
        <v>0</v>
      </c>
      <c r="O2280" s="37">
        <v>0</v>
      </c>
      <c r="P2280" s="37">
        <v>0</v>
      </c>
      <c r="Q2280" s="37">
        <v>0</v>
      </c>
      <c r="R2280" s="38">
        <v>0</v>
      </c>
      <c r="S2280" s="19" t="s">
        <v>1219</v>
      </c>
      <c r="T2280" s="257">
        <f t="shared" si="77"/>
        <v>1</v>
      </c>
      <c r="U2280" s="257">
        <f t="shared" si="78"/>
        <v>0</v>
      </c>
      <c r="V2280">
        <v>1</v>
      </c>
      <c r="W2280">
        <v>0</v>
      </c>
    </row>
    <row r="2281" spans="1:23" ht="22.8" x14ac:dyDescent="0.3">
      <c r="A2281" s="212">
        <v>41276</v>
      </c>
      <c r="B2281" s="212"/>
      <c r="C2281" s="6">
        <v>1</v>
      </c>
      <c r="D2281" s="6">
        <v>1</v>
      </c>
      <c r="E2281" s="19">
        <v>2013</v>
      </c>
      <c r="F2281" s="15" t="s">
        <v>22</v>
      </c>
      <c r="G2281" s="9" t="s">
        <v>6258</v>
      </c>
      <c r="H2281" s="9" t="s">
        <v>78</v>
      </c>
      <c r="I2281" s="53" t="s">
        <v>1109</v>
      </c>
      <c r="J2281" s="53" t="s">
        <v>3910</v>
      </c>
      <c r="K2281" s="7">
        <v>1</v>
      </c>
      <c r="L2281" s="238">
        <v>0</v>
      </c>
      <c r="M2281" s="37">
        <v>0</v>
      </c>
      <c r="N2281" s="37">
        <v>0</v>
      </c>
      <c r="O2281" s="37">
        <v>0</v>
      </c>
      <c r="P2281" s="37">
        <v>0</v>
      </c>
      <c r="Q2281" s="37">
        <v>0</v>
      </c>
      <c r="R2281" s="38">
        <v>0</v>
      </c>
      <c r="S2281" s="19" t="s">
        <v>1219</v>
      </c>
      <c r="T2281" s="257">
        <f t="shared" si="77"/>
        <v>1</v>
      </c>
      <c r="U2281" s="257">
        <f t="shared" si="78"/>
        <v>0</v>
      </c>
      <c r="V2281">
        <v>1</v>
      </c>
      <c r="W2281">
        <v>0</v>
      </c>
    </row>
    <row r="2282" spans="1:23" ht="22.8" x14ac:dyDescent="0.3">
      <c r="A2282" s="212">
        <v>41277</v>
      </c>
      <c r="B2282" s="212"/>
      <c r="C2282" s="6">
        <v>1</v>
      </c>
      <c r="D2282" s="6">
        <v>1</v>
      </c>
      <c r="E2282" s="19">
        <v>2013</v>
      </c>
      <c r="F2282" s="15" t="s">
        <v>22</v>
      </c>
      <c r="G2282" s="9" t="s">
        <v>6258</v>
      </c>
      <c r="H2282" s="9" t="s">
        <v>74</v>
      </c>
      <c r="I2282" s="53" t="s">
        <v>1109</v>
      </c>
      <c r="J2282" s="53" t="s">
        <v>3911</v>
      </c>
      <c r="K2282" s="7">
        <v>3</v>
      </c>
      <c r="L2282" s="238">
        <v>0</v>
      </c>
      <c r="M2282" s="37">
        <v>0</v>
      </c>
      <c r="N2282" s="37">
        <v>0</v>
      </c>
      <c r="O2282" s="37">
        <v>0</v>
      </c>
      <c r="P2282" s="37">
        <v>0</v>
      </c>
      <c r="Q2282" s="37">
        <v>0</v>
      </c>
      <c r="R2282" s="38">
        <v>0</v>
      </c>
      <c r="S2282" s="19" t="s">
        <v>1219</v>
      </c>
      <c r="T2282" s="257">
        <f t="shared" si="77"/>
        <v>3</v>
      </c>
      <c r="U2282" s="257">
        <f t="shared" si="78"/>
        <v>0</v>
      </c>
      <c r="V2282">
        <v>1</v>
      </c>
      <c r="W2282">
        <v>0</v>
      </c>
    </row>
    <row r="2283" spans="1:23" ht="22.8" x14ac:dyDescent="0.3">
      <c r="A2283" s="212">
        <v>41278</v>
      </c>
      <c r="B2283" s="212"/>
      <c r="C2283" s="6">
        <v>1</v>
      </c>
      <c r="D2283" s="6">
        <v>1</v>
      </c>
      <c r="E2283" s="19">
        <v>2013</v>
      </c>
      <c r="F2283" s="15" t="s">
        <v>22</v>
      </c>
      <c r="G2283" s="9" t="s">
        <v>6258</v>
      </c>
      <c r="H2283" s="9" t="s">
        <v>27</v>
      </c>
      <c r="I2283" s="53" t="s">
        <v>1109</v>
      </c>
      <c r="J2283" s="53" t="s">
        <v>3912</v>
      </c>
      <c r="K2283" s="7">
        <v>2</v>
      </c>
      <c r="L2283" s="238">
        <v>0</v>
      </c>
      <c r="M2283" s="37">
        <v>0</v>
      </c>
      <c r="N2283" s="37">
        <v>0</v>
      </c>
      <c r="O2283" s="37">
        <v>0</v>
      </c>
      <c r="P2283" s="37">
        <v>0</v>
      </c>
      <c r="Q2283" s="37">
        <v>0</v>
      </c>
      <c r="R2283" s="38">
        <v>0</v>
      </c>
      <c r="S2283" s="19" t="s">
        <v>1219</v>
      </c>
      <c r="T2283" s="257">
        <f t="shared" si="77"/>
        <v>2</v>
      </c>
      <c r="U2283" s="257">
        <f t="shared" si="78"/>
        <v>0</v>
      </c>
      <c r="V2283">
        <v>1</v>
      </c>
      <c r="W2283">
        <v>0</v>
      </c>
    </row>
    <row r="2284" spans="1:23" ht="22.8" x14ac:dyDescent="0.3">
      <c r="A2284" s="212">
        <v>41282</v>
      </c>
      <c r="B2284" s="212"/>
      <c r="C2284" s="6">
        <v>1</v>
      </c>
      <c r="D2284" s="6">
        <v>1</v>
      </c>
      <c r="E2284" s="19">
        <v>2013</v>
      </c>
      <c r="F2284" s="15" t="s">
        <v>22</v>
      </c>
      <c r="G2284" s="9" t="s">
        <v>6258</v>
      </c>
      <c r="H2284" s="9" t="s">
        <v>112</v>
      </c>
      <c r="I2284" s="53" t="s">
        <v>1109</v>
      </c>
      <c r="J2284" s="53" t="s">
        <v>3910</v>
      </c>
      <c r="K2284" s="7">
        <v>1</v>
      </c>
      <c r="L2284" s="238">
        <v>0</v>
      </c>
      <c r="M2284" s="37">
        <v>0</v>
      </c>
      <c r="N2284" s="37">
        <v>0</v>
      </c>
      <c r="O2284" s="37">
        <v>0</v>
      </c>
      <c r="P2284" s="37">
        <v>0</v>
      </c>
      <c r="Q2284" s="37">
        <v>0</v>
      </c>
      <c r="R2284" s="38">
        <v>0</v>
      </c>
      <c r="S2284" s="19" t="s">
        <v>1219</v>
      </c>
      <c r="T2284" s="257">
        <f t="shared" si="77"/>
        <v>1</v>
      </c>
      <c r="U2284" s="257">
        <f t="shared" si="78"/>
        <v>0</v>
      </c>
      <c r="V2284">
        <v>1</v>
      </c>
      <c r="W2284">
        <v>0</v>
      </c>
    </row>
    <row r="2285" spans="1:23" ht="34.200000000000003" x14ac:dyDescent="0.3">
      <c r="A2285" s="220">
        <v>38646</v>
      </c>
      <c r="B2285" s="220">
        <v>38649</v>
      </c>
      <c r="C2285" s="6">
        <v>10</v>
      </c>
      <c r="D2285" s="6">
        <v>4</v>
      </c>
      <c r="E2285" s="76">
        <v>2005</v>
      </c>
      <c r="F2285" s="15" t="s">
        <v>22</v>
      </c>
      <c r="G2285" s="16" t="s">
        <v>6254</v>
      </c>
      <c r="H2285" s="9" t="s">
        <v>69</v>
      </c>
      <c r="I2285" s="77" t="s">
        <v>3913</v>
      </c>
      <c r="J2285" s="90" t="s">
        <v>3914</v>
      </c>
      <c r="K2285" s="79">
        <v>0</v>
      </c>
      <c r="L2285" s="242">
        <f>(M2285*5)*1</f>
        <v>113750</v>
      </c>
      <c r="M2285" s="79">
        <v>22750</v>
      </c>
      <c r="N2285" s="79">
        <v>358</v>
      </c>
      <c r="O2285" s="37">
        <v>14</v>
      </c>
      <c r="P2285" s="37">
        <v>0</v>
      </c>
      <c r="Q2285" s="79">
        <v>9529.5</v>
      </c>
      <c r="R2285" s="80">
        <v>18258</v>
      </c>
      <c r="S2285" s="7" t="s">
        <v>115</v>
      </c>
      <c r="T2285" s="257">
        <f t="shared" si="77"/>
        <v>113750</v>
      </c>
      <c r="U2285" s="257">
        <f t="shared" si="78"/>
        <v>23122</v>
      </c>
      <c r="V2285">
        <v>3</v>
      </c>
      <c r="W2285">
        <v>3</v>
      </c>
    </row>
    <row r="2286" spans="1:23" ht="68.400000000000006" x14ac:dyDescent="0.3">
      <c r="A2286" s="210">
        <v>41827</v>
      </c>
      <c r="B2286" s="210">
        <v>41827</v>
      </c>
      <c r="C2286" s="6">
        <v>7</v>
      </c>
      <c r="D2286" s="6">
        <v>1</v>
      </c>
      <c r="E2286" s="33">
        <v>2014</v>
      </c>
      <c r="F2286" s="7" t="s">
        <v>17</v>
      </c>
      <c r="G2286" s="16" t="s">
        <v>6260</v>
      </c>
      <c r="H2286" s="9" t="s">
        <v>31</v>
      </c>
      <c r="I2286" s="47" t="s">
        <v>3915</v>
      </c>
      <c r="J2286" s="48" t="s">
        <v>3916</v>
      </c>
      <c r="K2286" s="49">
        <v>3</v>
      </c>
      <c r="L2286" s="236">
        <v>186454</v>
      </c>
      <c r="M2286" s="35">
        <v>6129</v>
      </c>
      <c r="N2286" s="35">
        <v>239</v>
      </c>
      <c r="O2286" s="35">
        <v>0</v>
      </c>
      <c r="P2286" s="35">
        <v>314</v>
      </c>
      <c r="Q2286" s="35">
        <v>0</v>
      </c>
      <c r="R2286" s="36">
        <v>1634.9</v>
      </c>
      <c r="S2286" s="50" t="s">
        <v>21</v>
      </c>
      <c r="T2286" s="257">
        <f t="shared" si="77"/>
        <v>186457</v>
      </c>
      <c r="U2286" s="257">
        <f t="shared" si="78"/>
        <v>6682</v>
      </c>
      <c r="V2286">
        <v>3</v>
      </c>
      <c r="W2286">
        <v>2</v>
      </c>
    </row>
    <row r="2287" spans="1:23" ht="125.4" x14ac:dyDescent="0.3">
      <c r="A2287" s="217">
        <v>41796</v>
      </c>
      <c r="B2287" s="217">
        <v>41800</v>
      </c>
      <c r="C2287" s="6">
        <v>6</v>
      </c>
      <c r="D2287" s="6">
        <v>5</v>
      </c>
      <c r="E2287" s="33">
        <v>2014</v>
      </c>
      <c r="F2287" s="15" t="s">
        <v>22</v>
      </c>
      <c r="G2287" s="18" t="s">
        <v>6256</v>
      </c>
      <c r="H2287" s="9" t="s">
        <v>174</v>
      </c>
      <c r="I2287" s="47" t="s">
        <v>3917</v>
      </c>
      <c r="J2287" s="48" t="s">
        <v>3918</v>
      </c>
      <c r="K2287" s="49">
        <v>0</v>
      </c>
      <c r="L2287" s="249">
        <v>2120</v>
      </c>
      <c r="M2287" s="35">
        <v>255</v>
      </c>
      <c r="N2287" s="35">
        <v>2</v>
      </c>
      <c r="O2287" s="35">
        <v>0</v>
      </c>
      <c r="P2287" s="35">
        <v>0</v>
      </c>
      <c r="Q2287" s="35">
        <v>0</v>
      </c>
      <c r="R2287" s="36">
        <v>711.6</v>
      </c>
      <c r="S2287" s="50" t="s">
        <v>131</v>
      </c>
      <c r="T2287" s="257">
        <f t="shared" si="77"/>
        <v>2120</v>
      </c>
      <c r="U2287" s="257">
        <f t="shared" si="78"/>
        <v>257</v>
      </c>
      <c r="V2287">
        <v>1</v>
      </c>
      <c r="W2287">
        <v>1</v>
      </c>
    </row>
    <row r="2288" spans="1:23" ht="79.8" x14ac:dyDescent="0.3">
      <c r="A2288" s="212">
        <v>40586</v>
      </c>
      <c r="B2288" s="212">
        <v>40586</v>
      </c>
      <c r="C2288" s="6">
        <v>2</v>
      </c>
      <c r="D2288" s="6">
        <v>1</v>
      </c>
      <c r="E2288" s="6">
        <v>2011</v>
      </c>
      <c r="F2288" s="15" t="s">
        <v>22</v>
      </c>
      <c r="G2288" s="18" t="s">
        <v>6256</v>
      </c>
      <c r="H2288" s="9" t="s">
        <v>48</v>
      </c>
      <c r="I2288" s="53" t="s">
        <v>2962</v>
      </c>
      <c r="J2288" s="53" t="s">
        <v>3919</v>
      </c>
      <c r="K2288" s="13">
        <v>0</v>
      </c>
      <c r="L2288" s="233">
        <f>((35*5))*1</f>
        <v>175</v>
      </c>
      <c r="M2288" s="13">
        <v>35</v>
      </c>
      <c r="N2288" s="13">
        <v>0</v>
      </c>
      <c r="O2288" s="13">
        <v>0</v>
      </c>
      <c r="P2288" s="13">
        <v>0</v>
      </c>
      <c r="Q2288" s="13">
        <v>0</v>
      </c>
      <c r="R2288" s="26">
        <v>3.1E-2</v>
      </c>
      <c r="S2288" s="19" t="s">
        <v>115</v>
      </c>
      <c r="T2288" s="257">
        <f t="shared" si="77"/>
        <v>175</v>
      </c>
      <c r="U2288" s="257">
        <f t="shared" si="78"/>
        <v>35</v>
      </c>
      <c r="V2288">
        <v>1</v>
      </c>
      <c r="W2288">
        <v>1</v>
      </c>
    </row>
    <row r="2289" spans="1:23" ht="91.2" x14ac:dyDescent="0.3">
      <c r="A2289" s="217">
        <v>41885</v>
      </c>
      <c r="B2289" s="217">
        <v>41896</v>
      </c>
      <c r="C2289" s="6">
        <v>9</v>
      </c>
      <c r="D2289" s="6">
        <v>12</v>
      </c>
      <c r="E2289" s="33">
        <v>2014</v>
      </c>
      <c r="F2289" s="15" t="s">
        <v>22</v>
      </c>
      <c r="G2289" s="16" t="s">
        <v>6254</v>
      </c>
      <c r="H2289" s="9" t="s">
        <v>78</v>
      </c>
      <c r="I2289" s="47" t="s">
        <v>3920</v>
      </c>
      <c r="J2289" s="48" t="s">
        <v>3921</v>
      </c>
      <c r="K2289" s="49">
        <v>0</v>
      </c>
      <c r="L2289" s="236">
        <v>628</v>
      </c>
      <c r="M2289" s="35">
        <v>9</v>
      </c>
      <c r="N2289" s="35">
        <v>0</v>
      </c>
      <c r="O2289" s="35">
        <v>0</v>
      </c>
      <c r="P2289" s="35">
        <v>0</v>
      </c>
      <c r="Q2289" s="35">
        <v>0</v>
      </c>
      <c r="R2289" s="36">
        <v>300.2</v>
      </c>
      <c r="S2289" s="50" t="s">
        <v>131</v>
      </c>
      <c r="T2289" s="257">
        <f t="shared" si="77"/>
        <v>628</v>
      </c>
      <c r="U2289" s="257">
        <f t="shared" si="78"/>
        <v>9</v>
      </c>
      <c r="V2289">
        <v>1</v>
      </c>
      <c r="W2289">
        <v>1</v>
      </c>
    </row>
    <row r="2290" spans="1:23" ht="102.6" x14ac:dyDescent="0.3">
      <c r="A2290" s="210">
        <v>41791</v>
      </c>
      <c r="B2290" s="210">
        <v>41795</v>
      </c>
      <c r="C2290" s="6">
        <v>6</v>
      </c>
      <c r="D2290" s="6">
        <v>5</v>
      </c>
      <c r="E2290" s="33">
        <v>2014</v>
      </c>
      <c r="F2290" s="15" t="s">
        <v>22</v>
      </c>
      <c r="G2290" s="16" t="s">
        <v>6254</v>
      </c>
      <c r="H2290" s="9" t="s">
        <v>31</v>
      </c>
      <c r="I2290" s="47" t="s">
        <v>3922</v>
      </c>
      <c r="J2290" s="48" t="s">
        <v>3923</v>
      </c>
      <c r="K2290" s="49">
        <v>0</v>
      </c>
      <c r="L2290" s="236">
        <v>16000</v>
      </c>
      <c r="M2290" s="35">
        <v>31</v>
      </c>
      <c r="N2290" s="35">
        <v>2</v>
      </c>
      <c r="O2290" s="35">
        <v>0</v>
      </c>
      <c r="P2290" s="35">
        <v>0</v>
      </c>
      <c r="Q2290" s="35">
        <v>0</v>
      </c>
      <c r="R2290" s="36">
        <f>259.1+27.95</f>
        <v>287.05</v>
      </c>
      <c r="S2290" s="50" t="s">
        <v>131</v>
      </c>
      <c r="T2290" s="257">
        <f t="shared" si="77"/>
        <v>16000</v>
      </c>
      <c r="U2290" s="257">
        <f t="shared" si="78"/>
        <v>33</v>
      </c>
      <c r="V2290">
        <v>2</v>
      </c>
      <c r="W2290">
        <v>1</v>
      </c>
    </row>
    <row r="2291" spans="1:23" ht="34.200000000000003" x14ac:dyDescent="0.3">
      <c r="A2291" s="217">
        <v>41642</v>
      </c>
      <c r="B2291" s="217">
        <v>41648</v>
      </c>
      <c r="C2291" s="6">
        <v>1</v>
      </c>
      <c r="D2291" s="6">
        <v>7</v>
      </c>
      <c r="E2291" s="33">
        <v>2014</v>
      </c>
      <c r="F2291" s="15" t="s">
        <v>22</v>
      </c>
      <c r="G2291" s="18" t="s">
        <v>6256</v>
      </c>
      <c r="H2291" s="9" t="s">
        <v>112</v>
      </c>
      <c r="I2291" s="47" t="s">
        <v>2912</v>
      </c>
      <c r="J2291" s="48" t="s">
        <v>3924</v>
      </c>
      <c r="K2291" s="49">
        <v>0</v>
      </c>
      <c r="L2291" s="236">
        <v>0</v>
      </c>
      <c r="M2291" s="35">
        <v>0</v>
      </c>
      <c r="N2291" s="35">
        <v>0</v>
      </c>
      <c r="O2291" s="35">
        <v>0</v>
      </c>
      <c r="P2291" s="35">
        <v>0</v>
      </c>
      <c r="Q2291" s="35">
        <v>0</v>
      </c>
      <c r="R2291" s="38">
        <v>272.00001200000003</v>
      </c>
      <c r="S2291" s="50" t="s">
        <v>149</v>
      </c>
      <c r="T2291" s="257">
        <f t="shared" si="77"/>
        <v>0</v>
      </c>
      <c r="U2291" s="257">
        <f t="shared" si="78"/>
        <v>0</v>
      </c>
      <c r="V2291">
        <v>0</v>
      </c>
      <c r="W2291">
        <v>0</v>
      </c>
    </row>
    <row r="2292" spans="1:23" ht="68.400000000000006" x14ac:dyDescent="0.3">
      <c r="A2292" s="217">
        <v>41825</v>
      </c>
      <c r="B2292" s="217">
        <v>41826</v>
      </c>
      <c r="C2292" s="6">
        <v>7</v>
      </c>
      <c r="D2292" s="6">
        <v>2</v>
      </c>
      <c r="E2292" s="33">
        <v>2014</v>
      </c>
      <c r="F2292" s="15" t="s">
        <v>22</v>
      </c>
      <c r="G2292" s="16" t="s">
        <v>6256</v>
      </c>
      <c r="H2292" s="9" t="s">
        <v>174</v>
      </c>
      <c r="I2292" s="47" t="s">
        <v>3925</v>
      </c>
      <c r="J2292" s="48" t="s">
        <v>3926</v>
      </c>
      <c r="K2292" s="49">
        <v>0</v>
      </c>
      <c r="L2292" s="236">
        <v>0</v>
      </c>
      <c r="M2292" s="35" t="s">
        <v>95</v>
      </c>
      <c r="N2292" s="35">
        <v>0</v>
      </c>
      <c r="O2292" s="35">
        <v>0</v>
      </c>
      <c r="P2292" s="35">
        <v>0</v>
      </c>
      <c r="Q2292" s="35">
        <v>0</v>
      </c>
      <c r="R2292" s="36">
        <v>214.08</v>
      </c>
      <c r="S2292" s="50" t="s">
        <v>149</v>
      </c>
      <c r="T2292" s="257">
        <f t="shared" si="77"/>
        <v>0</v>
      </c>
      <c r="U2292" s="257">
        <f t="shared" si="78"/>
        <v>0</v>
      </c>
      <c r="V2292">
        <v>0</v>
      </c>
      <c r="W2292">
        <v>0</v>
      </c>
    </row>
    <row r="2293" spans="1:23" ht="102.6" x14ac:dyDescent="0.3">
      <c r="A2293" s="210">
        <v>41790</v>
      </c>
      <c r="B2293" s="210">
        <v>41793</v>
      </c>
      <c r="C2293" s="6">
        <v>5</v>
      </c>
      <c r="D2293" s="6">
        <v>4</v>
      </c>
      <c r="E2293" s="33">
        <v>2014</v>
      </c>
      <c r="F2293" s="15" t="s">
        <v>22</v>
      </c>
      <c r="G2293" s="18" t="s">
        <v>6256</v>
      </c>
      <c r="H2293" s="9" t="s">
        <v>69</v>
      </c>
      <c r="I2293" s="47" t="s">
        <v>3927</v>
      </c>
      <c r="J2293" s="48" t="s">
        <v>3928</v>
      </c>
      <c r="K2293" s="49">
        <v>0</v>
      </c>
      <c r="L2293" s="236">
        <v>315</v>
      </c>
      <c r="M2293" s="35">
        <v>63</v>
      </c>
      <c r="N2293" s="35" t="s">
        <v>95</v>
      </c>
      <c r="O2293" s="35">
        <v>0</v>
      </c>
      <c r="P2293" s="35">
        <v>0</v>
      </c>
      <c r="Q2293" s="35">
        <v>0</v>
      </c>
      <c r="R2293" s="36">
        <v>207.05</v>
      </c>
      <c r="S2293" s="50" t="s">
        <v>131</v>
      </c>
      <c r="T2293" s="257">
        <f t="shared" si="77"/>
        <v>315</v>
      </c>
      <c r="U2293" s="257">
        <f t="shared" si="78"/>
        <v>63</v>
      </c>
      <c r="V2293">
        <v>1</v>
      </c>
      <c r="W2293">
        <v>1</v>
      </c>
    </row>
    <row r="2294" spans="1:23" ht="136.80000000000001" x14ac:dyDescent="0.3">
      <c r="A2294" s="217">
        <v>41885</v>
      </c>
      <c r="B2294" s="217">
        <v>41888</v>
      </c>
      <c r="C2294" s="6">
        <v>9</v>
      </c>
      <c r="D2294" s="6">
        <v>4</v>
      </c>
      <c r="E2294" s="33">
        <v>2014</v>
      </c>
      <c r="F2294" s="15" t="s">
        <v>22</v>
      </c>
      <c r="G2294" s="16" t="s">
        <v>6254</v>
      </c>
      <c r="H2294" s="9" t="s">
        <v>28</v>
      </c>
      <c r="I2294" s="47" t="s">
        <v>3929</v>
      </c>
      <c r="J2294" s="48" t="s">
        <v>3930</v>
      </c>
      <c r="K2294" s="49">
        <v>0</v>
      </c>
      <c r="L2294" s="236">
        <v>2300</v>
      </c>
      <c r="M2294" s="35">
        <v>3</v>
      </c>
      <c r="N2294" s="35" t="s">
        <v>95</v>
      </c>
      <c r="O2294" s="35">
        <v>0</v>
      </c>
      <c r="P2294" s="35">
        <v>0</v>
      </c>
      <c r="Q2294" s="35">
        <v>0</v>
      </c>
      <c r="R2294" s="36">
        <v>184.12</v>
      </c>
      <c r="S2294" s="50" t="s">
        <v>131</v>
      </c>
      <c r="T2294" s="257">
        <f t="shared" si="77"/>
        <v>2300</v>
      </c>
      <c r="U2294" s="257">
        <f t="shared" si="78"/>
        <v>3</v>
      </c>
      <c r="V2294">
        <v>1</v>
      </c>
      <c r="W2294">
        <v>1</v>
      </c>
    </row>
    <row r="2295" spans="1:23" ht="193.8" x14ac:dyDescent="0.3">
      <c r="A2295" s="210">
        <v>41788</v>
      </c>
      <c r="B2295" s="210">
        <v>41801</v>
      </c>
      <c r="C2295" s="6">
        <v>5</v>
      </c>
      <c r="D2295" s="6">
        <v>14</v>
      </c>
      <c r="E2295" s="33">
        <v>2014</v>
      </c>
      <c r="F2295" s="15" t="s">
        <v>22</v>
      </c>
      <c r="G2295" s="16" t="s">
        <v>6254</v>
      </c>
      <c r="H2295" s="9" t="s">
        <v>112</v>
      </c>
      <c r="I2295" s="47" t="s">
        <v>3931</v>
      </c>
      <c r="J2295" s="48" t="s">
        <v>3932</v>
      </c>
      <c r="K2295" s="49">
        <v>0</v>
      </c>
      <c r="L2295" s="236">
        <v>24798</v>
      </c>
      <c r="M2295" s="35">
        <v>1355</v>
      </c>
      <c r="N2295" s="35" t="s">
        <v>95</v>
      </c>
      <c r="O2295" s="35" t="s">
        <v>95</v>
      </c>
      <c r="P2295" s="35">
        <v>0</v>
      </c>
      <c r="Q2295" s="35">
        <v>0</v>
      </c>
      <c r="R2295" s="36">
        <v>157</v>
      </c>
      <c r="S2295" s="50" t="s">
        <v>131</v>
      </c>
      <c r="T2295" s="257">
        <f t="shared" si="77"/>
        <v>24798</v>
      </c>
      <c r="U2295" s="257">
        <f t="shared" si="78"/>
        <v>1355</v>
      </c>
      <c r="V2295">
        <v>2</v>
      </c>
      <c r="W2295">
        <v>2</v>
      </c>
    </row>
    <row r="2296" spans="1:23" ht="79.8" x14ac:dyDescent="0.3">
      <c r="A2296" s="217">
        <v>41887</v>
      </c>
      <c r="B2296" s="217">
        <v>41890</v>
      </c>
      <c r="C2296" s="6">
        <v>9</v>
      </c>
      <c r="D2296" s="6">
        <v>4</v>
      </c>
      <c r="E2296" s="33">
        <v>2014</v>
      </c>
      <c r="F2296" s="15" t="s">
        <v>22</v>
      </c>
      <c r="G2296" s="16" t="s">
        <v>6256</v>
      </c>
      <c r="H2296" s="9" t="s">
        <v>34</v>
      </c>
      <c r="I2296" s="47" t="s">
        <v>3933</v>
      </c>
      <c r="J2296" s="48" t="s">
        <v>3934</v>
      </c>
      <c r="K2296" s="49">
        <v>0</v>
      </c>
      <c r="L2296" s="236">
        <v>7953</v>
      </c>
      <c r="M2296" s="35">
        <v>0</v>
      </c>
      <c r="N2296" s="35">
        <v>0</v>
      </c>
      <c r="O2296" s="35">
        <v>0</v>
      </c>
      <c r="P2296" s="35">
        <v>0</v>
      </c>
      <c r="Q2296" s="35">
        <v>0</v>
      </c>
      <c r="R2296" s="36">
        <v>129.1</v>
      </c>
      <c r="S2296" s="50" t="s">
        <v>149</v>
      </c>
      <c r="T2296" s="257">
        <f t="shared" si="77"/>
        <v>7953</v>
      </c>
      <c r="U2296" s="257">
        <f t="shared" si="78"/>
        <v>0</v>
      </c>
      <c r="V2296">
        <v>1</v>
      </c>
      <c r="W2296">
        <v>0</v>
      </c>
    </row>
    <row r="2297" spans="1:23" ht="34.200000000000003" x14ac:dyDescent="0.3">
      <c r="A2297" s="212">
        <v>39365</v>
      </c>
      <c r="B2297" s="212">
        <v>39365</v>
      </c>
      <c r="C2297" s="6">
        <v>10</v>
      </c>
      <c r="D2297" s="6">
        <v>1</v>
      </c>
      <c r="E2297" s="6">
        <v>2007</v>
      </c>
      <c r="F2297" s="15" t="s">
        <v>22</v>
      </c>
      <c r="G2297" s="18" t="s">
        <v>6256</v>
      </c>
      <c r="H2297" s="9" t="s">
        <v>48</v>
      </c>
      <c r="I2297" s="17" t="s">
        <v>310</v>
      </c>
      <c r="J2297" s="17" t="s">
        <v>3935</v>
      </c>
      <c r="K2297" s="13">
        <v>0</v>
      </c>
      <c r="L2297" s="233">
        <v>35</v>
      </c>
      <c r="M2297" s="13">
        <v>7</v>
      </c>
      <c r="N2297" s="13">
        <v>0</v>
      </c>
      <c r="O2297" s="13">
        <v>0</v>
      </c>
      <c r="P2297" s="13">
        <v>0</v>
      </c>
      <c r="Q2297" s="60">
        <v>0</v>
      </c>
      <c r="R2297" s="61">
        <v>0.03</v>
      </c>
      <c r="S2297" s="7" t="s">
        <v>115</v>
      </c>
      <c r="T2297" s="257">
        <f t="shared" si="77"/>
        <v>35</v>
      </c>
      <c r="U2297" s="257">
        <f t="shared" si="78"/>
        <v>7</v>
      </c>
      <c r="V2297">
        <v>1</v>
      </c>
      <c r="W2297">
        <v>1</v>
      </c>
    </row>
    <row r="2298" spans="1:23" ht="57" x14ac:dyDescent="0.3">
      <c r="A2298" s="217">
        <v>41737</v>
      </c>
      <c r="B2298" s="217">
        <v>41738</v>
      </c>
      <c r="C2298" s="6">
        <v>4</v>
      </c>
      <c r="D2298" s="6">
        <v>2</v>
      </c>
      <c r="E2298" s="33">
        <v>2014</v>
      </c>
      <c r="F2298" s="15" t="s">
        <v>22</v>
      </c>
      <c r="G2298" s="18" t="s">
        <v>6255</v>
      </c>
      <c r="H2298" s="9" t="s">
        <v>34</v>
      </c>
      <c r="I2298" s="47" t="s">
        <v>3936</v>
      </c>
      <c r="J2298" s="48" t="s">
        <v>3937</v>
      </c>
      <c r="K2298" s="49">
        <v>0</v>
      </c>
      <c r="L2298" s="236">
        <v>237</v>
      </c>
      <c r="M2298" s="35">
        <v>0</v>
      </c>
      <c r="N2298" s="35">
        <v>0</v>
      </c>
      <c r="O2298" s="35">
        <v>0</v>
      </c>
      <c r="P2298" s="35">
        <v>0</v>
      </c>
      <c r="Q2298" s="35">
        <v>755.5</v>
      </c>
      <c r="R2298" s="36">
        <v>94.6</v>
      </c>
      <c r="S2298" s="19" t="s">
        <v>1235</v>
      </c>
      <c r="T2298" s="257">
        <f t="shared" si="77"/>
        <v>237</v>
      </c>
      <c r="U2298" s="257">
        <f t="shared" si="78"/>
        <v>0</v>
      </c>
      <c r="V2298">
        <v>1</v>
      </c>
      <c r="W2298">
        <v>0</v>
      </c>
    </row>
    <row r="2299" spans="1:23" ht="45.6" x14ac:dyDescent="0.3">
      <c r="A2299" s="217">
        <v>41819</v>
      </c>
      <c r="B2299" s="217">
        <v>41821</v>
      </c>
      <c r="C2299" s="6">
        <v>6</v>
      </c>
      <c r="D2299" s="6">
        <v>3</v>
      </c>
      <c r="E2299" s="33">
        <v>2014</v>
      </c>
      <c r="F2299" s="15" t="s">
        <v>22</v>
      </c>
      <c r="G2299" s="82" t="s">
        <v>6256</v>
      </c>
      <c r="H2299" s="9" t="s">
        <v>34</v>
      </c>
      <c r="I2299" s="47" t="s">
        <v>3938</v>
      </c>
      <c r="J2299" s="48" t="s">
        <v>3939</v>
      </c>
      <c r="K2299" s="49">
        <v>0</v>
      </c>
      <c r="L2299" s="236">
        <v>230</v>
      </c>
      <c r="M2299" s="35">
        <v>0</v>
      </c>
      <c r="N2299" s="35">
        <v>0</v>
      </c>
      <c r="O2299" s="35">
        <v>0</v>
      </c>
      <c r="P2299" s="35">
        <v>0</v>
      </c>
      <c r="Q2299" s="35">
        <v>761.9</v>
      </c>
      <c r="R2299" s="36">
        <v>64.8</v>
      </c>
      <c r="S2299" s="19" t="s">
        <v>1235</v>
      </c>
      <c r="T2299" s="257">
        <f t="shared" si="77"/>
        <v>230</v>
      </c>
      <c r="U2299" s="257">
        <f t="shared" si="78"/>
        <v>0</v>
      </c>
      <c r="V2299">
        <v>1</v>
      </c>
      <c r="W2299">
        <v>0</v>
      </c>
    </row>
    <row r="2300" spans="1:23" ht="45.6" x14ac:dyDescent="0.3">
      <c r="A2300" s="210">
        <v>41799</v>
      </c>
      <c r="B2300" s="210">
        <v>41799</v>
      </c>
      <c r="C2300" s="6">
        <v>6</v>
      </c>
      <c r="D2300" s="6">
        <v>1</v>
      </c>
      <c r="E2300" s="33">
        <v>2014</v>
      </c>
      <c r="F2300" s="15" t="s">
        <v>22</v>
      </c>
      <c r="G2300" s="82" t="s">
        <v>6256</v>
      </c>
      <c r="H2300" s="9" t="s">
        <v>70</v>
      </c>
      <c r="I2300" s="47" t="s">
        <v>2604</v>
      </c>
      <c r="J2300" s="48" t="s">
        <v>3940</v>
      </c>
      <c r="K2300" s="49">
        <v>0</v>
      </c>
      <c r="L2300" s="236">
        <v>112</v>
      </c>
      <c r="M2300" s="35">
        <v>0</v>
      </c>
      <c r="N2300" s="35">
        <v>0</v>
      </c>
      <c r="O2300" s="35">
        <v>0</v>
      </c>
      <c r="P2300" s="35">
        <v>0</v>
      </c>
      <c r="Q2300" s="35">
        <v>804.7</v>
      </c>
      <c r="R2300" s="36">
        <v>63.1</v>
      </c>
      <c r="S2300" s="19" t="s">
        <v>1235</v>
      </c>
      <c r="T2300" s="257">
        <f t="shared" si="77"/>
        <v>112</v>
      </c>
      <c r="U2300" s="257">
        <f t="shared" si="78"/>
        <v>0</v>
      </c>
      <c r="V2300">
        <v>1</v>
      </c>
      <c r="W2300">
        <v>0</v>
      </c>
    </row>
    <row r="2301" spans="1:23" ht="57" x14ac:dyDescent="0.3">
      <c r="A2301" s="217">
        <v>41857</v>
      </c>
      <c r="B2301" s="217">
        <v>41857</v>
      </c>
      <c r="C2301" s="6">
        <v>8</v>
      </c>
      <c r="D2301" s="6">
        <v>1</v>
      </c>
      <c r="E2301" s="33">
        <v>2014</v>
      </c>
      <c r="F2301" s="15" t="s">
        <v>22</v>
      </c>
      <c r="G2301" s="82" t="s">
        <v>6256</v>
      </c>
      <c r="H2301" s="9" t="s">
        <v>31</v>
      </c>
      <c r="I2301" s="47" t="s">
        <v>1005</v>
      </c>
      <c r="J2301" s="48" t="s">
        <v>3941</v>
      </c>
      <c r="K2301" s="49">
        <v>0</v>
      </c>
      <c r="L2301" s="236">
        <v>5655</v>
      </c>
      <c r="M2301" s="35">
        <v>1113</v>
      </c>
      <c r="N2301" s="35">
        <v>8</v>
      </c>
      <c r="O2301" s="35">
        <v>0</v>
      </c>
      <c r="P2301" s="35">
        <v>0</v>
      </c>
      <c r="Q2301" s="35">
        <v>0</v>
      </c>
      <c r="R2301" s="36">
        <v>57.9</v>
      </c>
      <c r="S2301" s="50" t="s">
        <v>3942</v>
      </c>
      <c r="T2301" s="257">
        <f t="shared" si="77"/>
        <v>5655</v>
      </c>
      <c r="U2301" s="257">
        <f t="shared" si="78"/>
        <v>1121</v>
      </c>
      <c r="V2301">
        <v>1</v>
      </c>
      <c r="W2301">
        <v>2</v>
      </c>
    </row>
    <row r="2302" spans="1:23" ht="91.2" x14ac:dyDescent="0.3">
      <c r="A2302" s="217">
        <v>41747</v>
      </c>
      <c r="B2302" s="217">
        <v>41747</v>
      </c>
      <c r="C2302" s="6">
        <v>4</v>
      </c>
      <c r="D2302" s="6">
        <v>1</v>
      </c>
      <c r="E2302" s="33">
        <v>2014</v>
      </c>
      <c r="F2302" s="7" t="s">
        <v>17</v>
      </c>
      <c r="G2302" s="16" t="s">
        <v>6260</v>
      </c>
      <c r="H2302" s="9" t="s">
        <v>118</v>
      </c>
      <c r="I2302" s="47" t="s">
        <v>1109</v>
      </c>
      <c r="J2302" s="48" t="s">
        <v>3943</v>
      </c>
      <c r="K2302" s="123">
        <v>0</v>
      </c>
      <c r="L2302" s="238">
        <f>(54*5)*1</f>
        <v>270</v>
      </c>
      <c r="M2302" s="35">
        <v>1</v>
      </c>
      <c r="N2302" s="35">
        <v>0</v>
      </c>
      <c r="O2302" s="35">
        <v>1</v>
      </c>
      <c r="P2302" s="35">
        <v>0</v>
      </c>
      <c r="Q2302" s="35">
        <v>0</v>
      </c>
      <c r="R2302" s="36">
        <v>54.095999999999997</v>
      </c>
      <c r="S2302" s="50" t="s">
        <v>3944</v>
      </c>
      <c r="T2302" s="257">
        <f t="shared" si="77"/>
        <v>270</v>
      </c>
      <c r="U2302" s="257">
        <f t="shared" si="78"/>
        <v>2</v>
      </c>
      <c r="V2302">
        <v>1</v>
      </c>
      <c r="W2302">
        <v>1</v>
      </c>
    </row>
    <row r="2303" spans="1:23" ht="91.2" x14ac:dyDescent="0.3">
      <c r="A2303" s="210">
        <v>41810</v>
      </c>
      <c r="B2303" s="210">
        <v>41813</v>
      </c>
      <c r="C2303" s="6">
        <v>6</v>
      </c>
      <c r="D2303" s="6">
        <v>4</v>
      </c>
      <c r="E2303" s="33">
        <v>2014</v>
      </c>
      <c r="F2303" s="7" t="s">
        <v>17</v>
      </c>
      <c r="G2303" s="28" t="s">
        <v>6261</v>
      </c>
      <c r="H2303" s="9" t="s">
        <v>61</v>
      </c>
      <c r="I2303" s="47" t="s">
        <v>3729</v>
      </c>
      <c r="J2303" s="48" t="s">
        <v>3945</v>
      </c>
      <c r="K2303" s="49">
        <v>2</v>
      </c>
      <c r="L2303" s="236">
        <v>2</v>
      </c>
      <c r="M2303" s="35" t="s">
        <v>95</v>
      </c>
      <c r="N2303" s="35">
        <v>0</v>
      </c>
      <c r="O2303" s="35">
        <v>0</v>
      </c>
      <c r="P2303" s="35">
        <v>0</v>
      </c>
      <c r="Q2303" s="35">
        <v>0</v>
      </c>
      <c r="R2303" s="36">
        <v>51.8</v>
      </c>
      <c r="S2303" s="50" t="s">
        <v>131</v>
      </c>
      <c r="T2303" s="257">
        <f t="shared" si="77"/>
        <v>4</v>
      </c>
      <c r="U2303" s="257">
        <f t="shared" si="78"/>
        <v>0</v>
      </c>
      <c r="V2303">
        <v>1</v>
      </c>
      <c r="W2303">
        <v>0</v>
      </c>
    </row>
    <row r="2304" spans="1:23" ht="91.2" x14ac:dyDescent="0.3">
      <c r="A2304" s="217">
        <v>41887</v>
      </c>
      <c r="B2304" s="217">
        <v>41887</v>
      </c>
      <c r="C2304" s="6">
        <v>9</v>
      </c>
      <c r="D2304" s="6">
        <v>1</v>
      </c>
      <c r="E2304" s="33">
        <v>2014</v>
      </c>
      <c r="F2304" s="15" t="s">
        <v>22</v>
      </c>
      <c r="G2304" s="16" t="s">
        <v>6254</v>
      </c>
      <c r="H2304" s="9" t="s">
        <v>174</v>
      </c>
      <c r="I2304" s="144" t="s">
        <v>3946</v>
      </c>
      <c r="J2304" s="48" t="s">
        <v>3947</v>
      </c>
      <c r="K2304" s="49">
        <v>0</v>
      </c>
      <c r="L2304" s="236">
        <v>21417</v>
      </c>
      <c r="M2304" s="35">
        <v>5298</v>
      </c>
      <c r="N2304" s="35">
        <v>11</v>
      </c>
      <c r="O2304" s="35">
        <v>0</v>
      </c>
      <c r="P2304" s="35">
        <v>0</v>
      </c>
      <c r="Q2304" s="35">
        <v>0</v>
      </c>
      <c r="R2304" s="36">
        <v>49.866</v>
      </c>
      <c r="S2304" s="50" t="s">
        <v>115</v>
      </c>
      <c r="T2304" s="257">
        <f t="shared" si="77"/>
        <v>21417</v>
      </c>
      <c r="U2304" s="257">
        <f t="shared" si="78"/>
        <v>5309</v>
      </c>
      <c r="V2304">
        <v>2</v>
      </c>
      <c r="W2304">
        <v>2</v>
      </c>
    </row>
    <row r="2305" spans="1:23" ht="45.6" x14ac:dyDescent="0.3">
      <c r="A2305" s="210">
        <v>41654</v>
      </c>
      <c r="B2305" s="210">
        <v>41660</v>
      </c>
      <c r="C2305" s="6">
        <v>1</v>
      </c>
      <c r="D2305" s="6">
        <v>7</v>
      </c>
      <c r="E2305" s="33">
        <v>2014</v>
      </c>
      <c r="F2305" s="15" t="s">
        <v>22</v>
      </c>
      <c r="G2305" s="18" t="s">
        <v>6255</v>
      </c>
      <c r="H2305" s="9" t="s">
        <v>34</v>
      </c>
      <c r="I2305" s="47" t="s">
        <v>3948</v>
      </c>
      <c r="J2305" s="48" t="s">
        <v>3949</v>
      </c>
      <c r="K2305" s="112">
        <v>0</v>
      </c>
      <c r="L2305" s="236">
        <v>0</v>
      </c>
      <c r="M2305" s="35">
        <v>0</v>
      </c>
      <c r="N2305" s="35">
        <v>0</v>
      </c>
      <c r="O2305" s="35">
        <v>0</v>
      </c>
      <c r="P2305" s="35">
        <v>0</v>
      </c>
      <c r="Q2305" s="35">
        <v>0</v>
      </c>
      <c r="R2305" s="36">
        <v>46.192855000000002</v>
      </c>
      <c r="S2305" s="50" t="s">
        <v>661</v>
      </c>
      <c r="T2305" s="257">
        <f t="shared" si="77"/>
        <v>0</v>
      </c>
      <c r="U2305" s="257">
        <f t="shared" si="78"/>
        <v>0</v>
      </c>
      <c r="V2305">
        <v>0</v>
      </c>
      <c r="W2305">
        <v>0</v>
      </c>
    </row>
    <row r="2306" spans="1:23" ht="102.6" x14ac:dyDescent="0.3">
      <c r="A2306" s="217">
        <v>41873</v>
      </c>
      <c r="B2306" s="217">
        <v>41873</v>
      </c>
      <c r="C2306" s="6">
        <v>8</v>
      </c>
      <c r="D2306" s="6">
        <v>1</v>
      </c>
      <c r="E2306" s="33">
        <v>2014</v>
      </c>
      <c r="F2306" s="15" t="s">
        <v>22</v>
      </c>
      <c r="G2306" s="16" t="s">
        <v>6254</v>
      </c>
      <c r="H2306" s="9" t="s">
        <v>48</v>
      </c>
      <c r="I2306" s="47" t="s">
        <v>1109</v>
      </c>
      <c r="J2306" s="48" t="s">
        <v>3950</v>
      </c>
      <c r="K2306" s="49">
        <v>0</v>
      </c>
      <c r="L2306" s="236">
        <v>20</v>
      </c>
      <c r="M2306" s="35">
        <v>5</v>
      </c>
      <c r="N2306" s="35">
        <v>0</v>
      </c>
      <c r="O2306" s="35">
        <v>0</v>
      </c>
      <c r="P2306" s="35">
        <v>0</v>
      </c>
      <c r="Q2306" s="35">
        <v>0</v>
      </c>
      <c r="R2306" s="36">
        <v>2.75E-2</v>
      </c>
      <c r="S2306" s="50" t="s">
        <v>115</v>
      </c>
      <c r="T2306" s="257">
        <f t="shared" si="77"/>
        <v>20</v>
      </c>
      <c r="U2306" s="257">
        <f t="shared" si="78"/>
        <v>5</v>
      </c>
      <c r="V2306">
        <v>1</v>
      </c>
      <c r="W2306">
        <v>1</v>
      </c>
    </row>
    <row r="2307" spans="1:23" ht="91.2" x14ac:dyDescent="0.3">
      <c r="A2307" s="217">
        <v>41792</v>
      </c>
      <c r="B2307" s="217">
        <v>41793</v>
      </c>
      <c r="C2307" s="6">
        <v>6</v>
      </c>
      <c r="D2307" s="6">
        <v>2</v>
      </c>
      <c r="E2307" s="33">
        <v>2014</v>
      </c>
      <c r="F2307" s="15" t="s">
        <v>22</v>
      </c>
      <c r="G2307" s="16" t="s">
        <v>6254</v>
      </c>
      <c r="H2307" s="9" t="s">
        <v>61</v>
      </c>
      <c r="I2307" s="47" t="s">
        <v>3951</v>
      </c>
      <c r="J2307" s="48" t="s">
        <v>3952</v>
      </c>
      <c r="K2307" s="123">
        <v>0</v>
      </c>
      <c r="L2307" s="250">
        <v>280</v>
      </c>
      <c r="M2307" s="35">
        <v>13</v>
      </c>
      <c r="N2307" s="35">
        <v>0</v>
      </c>
      <c r="O2307" s="35">
        <v>0</v>
      </c>
      <c r="P2307" s="35">
        <v>0</v>
      </c>
      <c r="Q2307" s="35">
        <v>0</v>
      </c>
      <c r="R2307" s="36">
        <v>41.324620000000003</v>
      </c>
      <c r="S2307" s="50" t="s">
        <v>3953</v>
      </c>
      <c r="T2307" s="257">
        <f t="shared" ref="T2307:T2370" si="79">SUM(K2307:L2307)</f>
        <v>280</v>
      </c>
      <c r="U2307" s="257">
        <f t="shared" ref="U2307:U2370" si="80">SUM(M2307:P2307)</f>
        <v>13</v>
      </c>
      <c r="V2307">
        <v>1</v>
      </c>
      <c r="W2307">
        <v>1</v>
      </c>
    </row>
    <row r="2308" spans="1:23" ht="57" x14ac:dyDescent="0.3">
      <c r="A2308" s="217">
        <v>41934</v>
      </c>
      <c r="B2308" s="217">
        <v>41934</v>
      </c>
      <c r="C2308" s="6">
        <v>10</v>
      </c>
      <c r="D2308" s="6">
        <v>1</v>
      </c>
      <c r="E2308" s="33">
        <v>2014</v>
      </c>
      <c r="F2308" s="15" t="s">
        <v>22</v>
      </c>
      <c r="G2308" s="18" t="s">
        <v>6256</v>
      </c>
      <c r="H2308" s="9" t="s">
        <v>69</v>
      </c>
      <c r="I2308" s="47" t="s">
        <v>3954</v>
      </c>
      <c r="J2308" s="48" t="s">
        <v>3955</v>
      </c>
      <c r="K2308" s="49">
        <v>0</v>
      </c>
      <c r="L2308" s="236">
        <v>32403</v>
      </c>
      <c r="M2308" s="35">
        <v>0</v>
      </c>
      <c r="N2308" s="35">
        <v>0</v>
      </c>
      <c r="O2308" s="35">
        <v>0</v>
      </c>
      <c r="P2308" s="35">
        <v>0</v>
      </c>
      <c r="Q2308" s="35">
        <v>0</v>
      </c>
      <c r="R2308" s="36">
        <v>41.1</v>
      </c>
      <c r="S2308" s="50" t="s">
        <v>149</v>
      </c>
      <c r="T2308" s="257">
        <f t="shared" si="79"/>
        <v>32403</v>
      </c>
      <c r="U2308" s="257">
        <f t="shared" si="80"/>
        <v>0</v>
      </c>
      <c r="V2308">
        <v>2</v>
      </c>
      <c r="W2308">
        <v>0</v>
      </c>
    </row>
    <row r="2309" spans="1:23" ht="57" x14ac:dyDescent="0.3">
      <c r="A2309" s="210">
        <v>41654</v>
      </c>
      <c r="B2309" s="210">
        <v>41660</v>
      </c>
      <c r="C2309" s="6">
        <v>1</v>
      </c>
      <c r="D2309" s="6">
        <v>7</v>
      </c>
      <c r="E2309" s="33">
        <v>2014</v>
      </c>
      <c r="F2309" s="15" t="s">
        <v>22</v>
      </c>
      <c r="G2309" s="18" t="s">
        <v>6255</v>
      </c>
      <c r="H2309" s="9" t="s">
        <v>70</v>
      </c>
      <c r="I2309" s="47" t="s">
        <v>3956</v>
      </c>
      <c r="J2309" s="48" t="s">
        <v>3957</v>
      </c>
      <c r="K2309" s="112">
        <v>0</v>
      </c>
      <c r="L2309" s="236">
        <v>5314</v>
      </c>
      <c r="M2309" s="35">
        <v>0</v>
      </c>
      <c r="N2309" s="35">
        <v>0</v>
      </c>
      <c r="O2309" s="35">
        <v>0</v>
      </c>
      <c r="P2309" s="35">
        <v>0</v>
      </c>
      <c r="Q2309" s="35">
        <v>2942.9</v>
      </c>
      <c r="R2309" s="36">
        <v>39.42</v>
      </c>
      <c r="S2309" s="50" t="s">
        <v>3958</v>
      </c>
      <c r="T2309" s="257">
        <f t="shared" si="79"/>
        <v>5314</v>
      </c>
      <c r="U2309" s="257">
        <f t="shared" si="80"/>
        <v>0</v>
      </c>
      <c r="V2309">
        <v>1</v>
      </c>
      <c r="W2309">
        <v>0</v>
      </c>
    </row>
    <row r="2310" spans="1:23" ht="45.6" x14ac:dyDescent="0.3">
      <c r="A2310" s="217">
        <v>41781</v>
      </c>
      <c r="B2310" s="217">
        <v>41800</v>
      </c>
      <c r="C2310" s="6">
        <v>5</v>
      </c>
      <c r="D2310" s="6">
        <v>20</v>
      </c>
      <c r="E2310" s="33">
        <v>2014</v>
      </c>
      <c r="F2310" s="15" t="s">
        <v>22</v>
      </c>
      <c r="G2310" s="16" t="s">
        <v>6256</v>
      </c>
      <c r="H2310" s="17" t="s">
        <v>565</v>
      </c>
      <c r="I2310" s="47" t="s">
        <v>3959</v>
      </c>
      <c r="J2310" s="48" t="s">
        <v>3960</v>
      </c>
      <c r="K2310" s="49">
        <v>0</v>
      </c>
      <c r="L2310" s="236">
        <v>245</v>
      </c>
      <c r="M2310" s="35">
        <v>0</v>
      </c>
      <c r="N2310" s="35">
        <v>0</v>
      </c>
      <c r="O2310" s="35">
        <v>0</v>
      </c>
      <c r="P2310" s="35">
        <v>0</v>
      </c>
      <c r="Q2310" s="35">
        <v>3527.5</v>
      </c>
      <c r="R2310" s="36">
        <v>38.4</v>
      </c>
      <c r="S2310" s="19" t="s">
        <v>1235</v>
      </c>
      <c r="T2310" s="257">
        <f t="shared" si="79"/>
        <v>245</v>
      </c>
      <c r="U2310" s="257">
        <f t="shared" si="80"/>
        <v>0</v>
      </c>
      <c r="V2310">
        <v>1</v>
      </c>
      <c r="W2310">
        <v>0</v>
      </c>
    </row>
    <row r="2311" spans="1:23" ht="45.6" x14ac:dyDescent="0.3">
      <c r="A2311" s="210">
        <v>41792</v>
      </c>
      <c r="B2311" s="210">
        <v>41794</v>
      </c>
      <c r="C2311" s="6">
        <v>6</v>
      </c>
      <c r="D2311" s="6">
        <v>3</v>
      </c>
      <c r="E2311" s="33">
        <v>2014</v>
      </c>
      <c r="F2311" s="15" t="s">
        <v>22</v>
      </c>
      <c r="G2311" s="9" t="s">
        <v>6258</v>
      </c>
      <c r="H2311" s="9" t="s">
        <v>34</v>
      </c>
      <c r="I2311" s="47" t="s">
        <v>3961</v>
      </c>
      <c r="J2311" s="48" t="s">
        <v>3962</v>
      </c>
      <c r="K2311" s="112">
        <v>0</v>
      </c>
      <c r="L2311" s="236">
        <v>0</v>
      </c>
      <c r="M2311" s="35">
        <v>0</v>
      </c>
      <c r="N2311" s="35">
        <v>0</v>
      </c>
      <c r="O2311" s="35">
        <v>0</v>
      </c>
      <c r="P2311" s="35">
        <v>0</v>
      </c>
      <c r="Q2311" s="35">
        <v>0</v>
      </c>
      <c r="R2311" s="36">
        <v>36.646563999999998</v>
      </c>
      <c r="S2311" s="50" t="s">
        <v>661</v>
      </c>
      <c r="T2311" s="257">
        <f t="shared" si="79"/>
        <v>0</v>
      </c>
      <c r="U2311" s="257">
        <f t="shared" si="80"/>
        <v>0</v>
      </c>
      <c r="V2311">
        <v>0</v>
      </c>
      <c r="W2311">
        <v>0</v>
      </c>
    </row>
    <row r="2312" spans="1:23" ht="239.4" x14ac:dyDescent="0.3">
      <c r="A2312" s="217">
        <v>41929</v>
      </c>
      <c r="B2312" s="217">
        <v>41931</v>
      </c>
      <c r="C2312" s="6">
        <v>10</v>
      </c>
      <c r="D2312" s="6">
        <v>3</v>
      </c>
      <c r="E2312" s="33">
        <v>2014</v>
      </c>
      <c r="F2312" s="15" t="s">
        <v>22</v>
      </c>
      <c r="G2312" s="18" t="s">
        <v>6256</v>
      </c>
      <c r="H2312" s="9" t="s">
        <v>61</v>
      </c>
      <c r="I2312" s="47" t="s">
        <v>3963</v>
      </c>
      <c r="J2312" s="48" t="s">
        <v>3964</v>
      </c>
      <c r="K2312" s="49">
        <v>0</v>
      </c>
      <c r="L2312" s="236">
        <v>74107</v>
      </c>
      <c r="M2312" s="35">
        <v>39</v>
      </c>
      <c r="N2312" s="35">
        <v>0</v>
      </c>
      <c r="O2312" s="35">
        <v>0</v>
      </c>
      <c r="P2312" s="35">
        <v>0</v>
      </c>
      <c r="Q2312" s="35">
        <v>700</v>
      </c>
      <c r="R2312" s="36">
        <v>33.49</v>
      </c>
      <c r="S2312" s="50" t="s">
        <v>115</v>
      </c>
      <c r="T2312" s="257">
        <f t="shared" si="79"/>
        <v>74107</v>
      </c>
      <c r="U2312" s="257">
        <f t="shared" si="80"/>
        <v>39</v>
      </c>
      <c r="V2312">
        <v>2</v>
      </c>
      <c r="W2312">
        <v>1</v>
      </c>
    </row>
    <row r="2313" spans="1:23" ht="45.6" x14ac:dyDescent="0.3">
      <c r="A2313" s="217">
        <v>41903</v>
      </c>
      <c r="B2313" s="217">
        <v>41904</v>
      </c>
      <c r="C2313" s="6">
        <v>9</v>
      </c>
      <c r="D2313" s="6">
        <v>2</v>
      </c>
      <c r="E2313" s="33">
        <v>2014</v>
      </c>
      <c r="F2313" s="15" t="s">
        <v>22</v>
      </c>
      <c r="G2313" s="16" t="s">
        <v>6256</v>
      </c>
      <c r="H2313" s="9" t="s">
        <v>34</v>
      </c>
      <c r="I2313" s="47" t="s">
        <v>1098</v>
      </c>
      <c r="J2313" s="47" t="s">
        <v>3965</v>
      </c>
      <c r="K2313" s="49">
        <v>0</v>
      </c>
      <c r="L2313" s="236">
        <v>0</v>
      </c>
      <c r="M2313" s="35">
        <v>0</v>
      </c>
      <c r="N2313" s="35">
        <v>0</v>
      </c>
      <c r="O2313" s="35">
        <v>0</v>
      </c>
      <c r="P2313" s="35">
        <v>0</v>
      </c>
      <c r="Q2313" s="35">
        <v>0</v>
      </c>
      <c r="R2313" s="36">
        <v>32.799999999999997</v>
      </c>
      <c r="S2313" s="50" t="s">
        <v>149</v>
      </c>
      <c r="T2313" s="257">
        <f t="shared" si="79"/>
        <v>0</v>
      </c>
      <c r="U2313" s="257">
        <f t="shared" si="80"/>
        <v>0</v>
      </c>
      <c r="V2313">
        <v>0</v>
      </c>
      <c r="W2313">
        <v>0</v>
      </c>
    </row>
    <row r="2314" spans="1:23" ht="57" x14ac:dyDescent="0.3">
      <c r="A2314" s="217">
        <v>41947</v>
      </c>
      <c r="B2314" s="217">
        <v>41949</v>
      </c>
      <c r="C2314" s="6">
        <v>11</v>
      </c>
      <c r="D2314" s="6">
        <v>3</v>
      </c>
      <c r="E2314" s="33">
        <v>2014</v>
      </c>
      <c r="F2314" s="15" t="s">
        <v>22</v>
      </c>
      <c r="G2314" s="18" t="s">
        <v>6256</v>
      </c>
      <c r="H2314" s="9" t="s">
        <v>41</v>
      </c>
      <c r="I2314" s="47" t="s">
        <v>3966</v>
      </c>
      <c r="J2314" s="48" t="s">
        <v>3967</v>
      </c>
      <c r="K2314" s="49">
        <v>0</v>
      </c>
      <c r="L2314" s="236">
        <v>47814</v>
      </c>
      <c r="M2314" s="35">
        <v>0</v>
      </c>
      <c r="N2314" s="35">
        <v>0</v>
      </c>
      <c r="O2314" s="35">
        <v>0</v>
      </c>
      <c r="P2314" s="35">
        <v>0</v>
      </c>
      <c r="Q2314" s="35">
        <v>0</v>
      </c>
      <c r="R2314" s="36">
        <v>30.5</v>
      </c>
      <c r="S2314" s="50" t="s">
        <v>149</v>
      </c>
      <c r="T2314" s="257">
        <f t="shared" si="79"/>
        <v>47814</v>
      </c>
      <c r="U2314" s="257">
        <f t="shared" si="80"/>
        <v>0</v>
      </c>
      <c r="V2314">
        <v>2</v>
      </c>
      <c r="W2314">
        <v>0</v>
      </c>
    </row>
    <row r="2315" spans="1:23" ht="68.400000000000006" x14ac:dyDescent="0.3">
      <c r="A2315" s="210">
        <v>41845</v>
      </c>
      <c r="B2315" s="210">
        <v>41845</v>
      </c>
      <c r="C2315" s="6">
        <v>7</v>
      </c>
      <c r="D2315" s="6">
        <v>1</v>
      </c>
      <c r="E2315" s="33">
        <v>2014</v>
      </c>
      <c r="F2315" s="15" t="s">
        <v>22</v>
      </c>
      <c r="G2315" s="16" t="s">
        <v>6256</v>
      </c>
      <c r="H2315" s="9" t="s">
        <v>74</v>
      </c>
      <c r="I2315" s="47" t="s">
        <v>350</v>
      </c>
      <c r="J2315" s="48" t="s">
        <v>3968</v>
      </c>
      <c r="K2315" s="49">
        <v>1</v>
      </c>
      <c r="L2315" s="236">
        <v>0</v>
      </c>
      <c r="M2315" s="35">
        <v>0</v>
      </c>
      <c r="N2315" s="35" t="s">
        <v>95</v>
      </c>
      <c r="O2315" s="35">
        <v>0</v>
      </c>
      <c r="P2315" s="35">
        <v>0</v>
      </c>
      <c r="Q2315" s="35">
        <v>0</v>
      </c>
      <c r="R2315" s="36">
        <v>30.1</v>
      </c>
      <c r="S2315" s="50" t="s">
        <v>149</v>
      </c>
      <c r="T2315" s="257">
        <f t="shared" si="79"/>
        <v>1</v>
      </c>
      <c r="U2315" s="257">
        <f t="shared" si="80"/>
        <v>0</v>
      </c>
      <c r="V2315">
        <v>1</v>
      </c>
      <c r="W2315">
        <v>0</v>
      </c>
    </row>
    <row r="2316" spans="1:23" ht="45.6" x14ac:dyDescent="0.3">
      <c r="A2316" s="210">
        <v>41654</v>
      </c>
      <c r="B2316" s="210">
        <v>41660</v>
      </c>
      <c r="C2316" s="6">
        <v>1</v>
      </c>
      <c r="D2316" s="6">
        <v>7</v>
      </c>
      <c r="E2316" s="33">
        <v>2014</v>
      </c>
      <c r="F2316" s="15" t="s">
        <v>22</v>
      </c>
      <c r="G2316" s="18" t="s">
        <v>6255</v>
      </c>
      <c r="H2316" s="9" t="s">
        <v>43</v>
      </c>
      <c r="I2316" s="47" t="s">
        <v>3969</v>
      </c>
      <c r="J2316" s="48" t="s">
        <v>3970</v>
      </c>
      <c r="K2316" s="112">
        <v>0</v>
      </c>
      <c r="L2316" s="236">
        <v>0</v>
      </c>
      <c r="M2316" s="35">
        <v>0</v>
      </c>
      <c r="N2316" s="35">
        <v>0</v>
      </c>
      <c r="O2316" s="35">
        <v>0</v>
      </c>
      <c r="P2316" s="35">
        <v>0</v>
      </c>
      <c r="Q2316" s="35">
        <v>0</v>
      </c>
      <c r="R2316" s="36">
        <v>28.013930999999999</v>
      </c>
      <c r="S2316" s="50" t="s">
        <v>661</v>
      </c>
      <c r="T2316" s="257">
        <f t="shared" si="79"/>
        <v>0</v>
      </c>
      <c r="U2316" s="257">
        <f t="shared" si="80"/>
        <v>0</v>
      </c>
      <c r="V2316">
        <v>0</v>
      </c>
      <c r="W2316">
        <v>0</v>
      </c>
    </row>
    <row r="2317" spans="1:23" ht="68.400000000000006" x14ac:dyDescent="0.3">
      <c r="A2317" s="217">
        <v>41925</v>
      </c>
      <c r="B2317" s="217">
        <v>41927</v>
      </c>
      <c r="C2317" s="6">
        <v>10</v>
      </c>
      <c r="D2317" s="6">
        <v>3</v>
      </c>
      <c r="E2317" s="33">
        <v>2014</v>
      </c>
      <c r="F2317" s="15" t="s">
        <v>22</v>
      </c>
      <c r="G2317" s="16" t="s">
        <v>6256</v>
      </c>
      <c r="H2317" s="9" t="s">
        <v>174</v>
      </c>
      <c r="I2317" s="47" t="s">
        <v>3971</v>
      </c>
      <c r="J2317" s="48" t="s">
        <v>3972</v>
      </c>
      <c r="K2317" s="49">
        <v>0</v>
      </c>
      <c r="L2317" s="236">
        <v>19773</v>
      </c>
      <c r="M2317" s="35">
        <v>0</v>
      </c>
      <c r="N2317" s="35">
        <v>0</v>
      </c>
      <c r="O2317" s="35">
        <v>0</v>
      </c>
      <c r="P2317" s="35">
        <v>0</v>
      </c>
      <c r="Q2317" s="35">
        <v>0</v>
      </c>
      <c r="R2317" s="36">
        <v>24.9</v>
      </c>
      <c r="S2317" s="50" t="s">
        <v>149</v>
      </c>
      <c r="T2317" s="257">
        <f t="shared" si="79"/>
        <v>19773</v>
      </c>
      <c r="U2317" s="257">
        <f t="shared" si="80"/>
        <v>0</v>
      </c>
      <c r="V2317">
        <v>2</v>
      </c>
      <c r="W2317">
        <v>0</v>
      </c>
    </row>
    <row r="2318" spans="1:23" ht="91.2" x14ac:dyDescent="0.3">
      <c r="A2318" s="217">
        <v>41912</v>
      </c>
      <c r="B2318" s="217">
        <v>41913</v>
      </c>
      <c r="C2318" s="6">
        <v>9</v>
      </c>
      <c r="D2318" s="6">
        <v>2</v>
      </c>
      <c r="E2318" s="33">
        <v>2014</v>
      </c>
      <c r="F2318" s="15" t="s">
        <v>22</v>
      </c>
      <c r="G2318" s="18" t="s">
        <v>6256</v>
      </c>
      <c r="H2318" s="9" t="s">
        <v>51</v>
      </c>
      <c r="I2318" s="47" t="s">
        <v>3973</v>
      </c>
      <c r="J2318" s="48" t="s">
        <v>3974</v>
      </c>
      <c r="K2318" s="49">
        <v>0</v>
      </c>
      <c r="L2318" s="236">
        <v>6588</v>
      </c>
      <c r="M2318" s="35">
        <v>1171</v>
      </c>
      <c r="N2318" s="35">
        <v>3</v>
      </c>
      <c r="O2318" s="35">
        <v>0</v>
      </c>
      <c r="P2318" s="35">
        <v>1</v>
      </c>
      <c r="Q2318" s="35">
        <v>0</v>
      </c>
      <c r="R2318" s="36">
        <f>23.26906+0.8</f>
        <v>24.06906</v>
      </c>
      <c r="S2318" s="50" t="s">
        <v>131</v>
      </c>
      <c r="T2318" s="257">
        <f t="shared" si="79"/>
        <v>6588</v>
      </c>
      <c r="U2318" s="257">
        <f t="shared" si="80"/>
        <v>1175</v>
      </c>
      <c r="V2318">
        <v>1</v>
      </c>
      <c r="W2318">
        <v>2</v>
      </c>
    </row>
    <row r="2319" spans="1:23" ht="34.200000000000003" x14ac:dyDescent="0.3">
      <c r="A2319" s="214">
        <v>41843</v>
      </c>
      <c r="B2319" s="214">
        <v>41843</v>
      </c>
      <c r="C2319" s="6">
        <v>7</v>
      </c>
      <c r="D2319" s="6">
        <v>1</v>
      </c>
      <c r="E2319" s="33">
        <v>2014</v>
      </c>
      <c r="F2319" s="15" t="s">
        <v>22</v>
      </c>
      <c r="G2319" s="16" t="s">
        <v>6254</v>
      </c>
      <c r="H2319" s="9" t="s">
        <v>39</v>
      </c>
      <c r="I2319" s="47" t="s">
        <v>3975</v>
      </c>
      <c r="J2319" s="146" t="s">
        <v>3976</v>
      </c>
      <c r="K2319" s="49">
        <v>0</v>
      </c>
      <c r="L2319" s="236">
        <v>82</v>
      </c>
      <c r="M2319" s="35">
        <v>0</v>
      </c>
      <c r="N2319" s="35">
        <v>0</v>
      </c>
      <c r="O2319" s="35">
        <v>0</v>
      </c>
      <c r="P2319" s="35">
        <v>0</v>
      </c>
      <c r="Q2319" s="35">
        <v>333.5</v>
      </c>
      <c r="R2319" s="36">
        <v>22.9</v>
      </c>
      <c r="S2319" s="19" t="s">
        <v>1235</v>
      </c>
      <c r="T2319" s="257">
        <f t="shared" si="79"/>
        <v>82</v>
      </c>
      <c r="U2319" s="257">
        <f t="shared" si="80"/>
        <v>0</v>
      </c>
      <c r="V2319">
        <v>1</v>
      </c>
      <c r="W2319">
        <v>0</v>
      </c>
    </row>
    <row r="2320" spans="1:23" ht="45.6" x14ac:dyDescent="0.3">
      <c r="A2320" s="210">
        <v>41654</v>
      </c>
      <c r="B2320" s="210">
        <v>41660</v>
      </c>
      <c r="C2320" s="6">
        <v>1</v>
      </c>
      <c r="D2320" s="6">
        <v>7</v>
      </c>
      <c r="E2320" s="33">
        <v>2014</v>
      </c>
      <c r="F2320" s="15" t="s">
        <v>22</v>
      </c>
      <c r="G2320" s="18" t="s">
        <v>6255</v>
      </c>
      <c r="H2320" s="9" t="s">
        <v>52</v>
      </c>
      <c r="I2320" s="47" t="s">
        <v>3977</v>
      </c>
      <c r="J2320" s="48" t="s">
        <v>3978</v>
      </c>
      <c r="K2320" s="112">
        <v>0</v>
      </c>
      <c r="L2320" s="236">
        <v>0</v>
      </c>
      <c r="M2320" s="35">
        <v>0</v>
      </c>
      <c r="N2320" s="35">
        <v>0</v>
      </c>
      <c r="O2320" s="35">
        <v>0</v>
      </c>
      <c r="P2320" s="35">
        <v>0</v>
      </c>
      <c r="Q2320" s="35">
        <v>0</v>
      </c>
      <c r="R2320" s="36">
        <v>22.740044999999999</v>
      </c>
      <c r="S2320" s="50" t="s">
        <v>661</v>
      </c>
      <c r="T2320" s="257">
        <f t="shared" si="79"/>
        <v>0</v>
      </c>
      <c r="U2320" s="257">
        <f t="shared" si="80"/>
        <v>0</v>
      </c>
      <c r="V2320">
        <v>0</v>
      </c>
      <c r="W2320">
        <v>0</v>
      </c>
    </row>
    <row r="2321" spans="1:23" ht="68.400000000000006" x14ac:dyDescent="0.3">
      <c r="A2321" s="214">
        <v>41886</v>
      </c>
      <c r="B2321" s="214">
        <v>41888</v>
      </c>
      <c r="C2321" s="6">
        <v>9</v>
      </c>
      <c r="D2321" s="6">
        <v>3</v>
      </c>
      <c r="E2321" s="33">
        <v>2014</v>
      </c>
      <c r="F2321" s="15" t="s">
        <v>22</v>
      </c>
      <c r="G2321" s="18" t="s">
        <v>6256</v>
      </c>
      <c r="H2321" s="9" t="s">
        <v>28</v>
      </c>
      <c r="I2321" s="34" t="s">
        <v>3979</v>
      </c>
      <c r="J2321" s="48" t="s">
        <v>3980</v>
      </c>
      <c r="K2321" s="49">
        <v>0</v>
      </c>
      <c r="L2321" s="236">
        <v>19122</v>
      </c>
      <c r="M2321" s="35">
        <v>0</v>
      </c>
      <c r="N2321" s="35">
        <v>0</v>
      </c>
      <c r="O2321" s="35">
        <v>0</v>
      </c>
      <c r="P2321" s="35">
        <v>0</v>
      </c>
      <c r="Q2321" s="35">
        <v>0</v>
      </c>
      <c r="R2321" s="36">
        <v>22.7</v>
      </c>
      <c r="S2321" s="50" t="s">
        <v>149</v>
      </c>
      <c r="T2321" s="257">
        <f t="shared" si="79"/>
        <v>19122</v>
      </c>
      <c r="U2321" s="257">
        <f t="shared" si="80"/>
        <v>0</v>
      </c>
      <c r="V2321">
        <v>2</v>
      </c>
      <c r="W2321">
        <v>0</v>
      </c>
    </row>
    <row r="2322" spans="1:23" ht="114" x14ac:dyDescent="0.3">
      <c r="A2322" s="210">
        <v>41898</v>
      </c>
      <c r="B2322" s="210">
        <v>41899</v>
      </c>
      <c r="C2322" s="6">
        <v>9</v>
      </c>
      <c r="D2322" s="6">
        <v>2</v>
      </c>
      <c r="E2322" s="33">
        <v>2014</v>
      </c>
      <c r="F2322" s="15" t="s">
        <v>22</v>
      </c>
      <c r="G2322" s="16" t="s">
        <v>6254</v>
      </c>
      <c r="H2322" s="9" t="s">
        <v>74</v>
      </c>
      <c r="I2322" s="47" t="s">
        <v>3981</v>
      </c>
      <c r="J2322" s="48" t="s">
        <v>3982</v>
      </c>
      <c r="K2322" s="49">
        <v>0</v>
      </c>
      <c r="L2322" s="236">
        <v>0</v>
      </c>
      <c r="M2322" s="35">
        <v>0</v>
      </c>
      <c r="N2322" s="35" t="s">
        <v>95</v>
      </c>
      <c r="O2322" s="35">
        <v>0</v>
      </c>
      <c r="P2322" s="35">
        <v>0</v>
      </c>
      <c r="Q2322" s="35">
        <v>0</v>
      </c>
      <c r="R2322" s="36">
        <v>22.4</v>
      </c>
      <c r="S2322" s="50" t="s">
        <v>661</v>
      </c>
      <c r="T2322" s="257">
        <f t="shared" si="79"/>
        <v>0</v>
      </c>
      <c r="U2322" s="257">
        <f t="shared" si="80"/>
        <v>0</v>
      </c>
      <c r="V2322">
        <v>0</v>
      </c>
      <c r="W2322">
        <v>0</v>
      </c>
    </row>
    <row r="2323" spans="1:23" ht="45.6" x14ac:dyDescent="0.3">
      <c r="A2323" s="214">
        <v>41884</v>
      </c>
      <c r="B2323" s="214">
        <v>41885</v>
      </c>
      <c r="C2323" s="6">
        <v>9</v>
      </c>
      <c r="D2323" s="6">
        <v>2</v>
      </c>
      <c r="E2323" s="33">
        <v>2014</v>
      </c>
      <c r="F2323" s="15" t="s">
        <v>22</v>
      </c>
      <c r="G2323" s="82" t="s">
        <v>6256</v>
      </c>
      <c r="H2323" s="9" t="s">
        <v>174</v>
      </c>
      <c r="I2323" s="34" t="s">
        <v>3983</v>
      </c>
      <c r="J2323" s="34" t="s">
        <v>3984</v>
      </c>
      <c r="K2323" s="49">
        <v>0</v>
      </c>
      <c r="L2323" s="236">
        <v>23978</v>
      </c>
      <c r="M2323" s="35">
        <v>0</v>
      </c>
      <c r="N2323" s="35">
        <v>0</v>
      </c>
      <c r="O2323" s="35">
        <v>0</v>
      </c>
      <c r="P2323" s="35">
        <v>0</v>
      </c>
      <c r="Q2323" s="35">
        <v>0</v>
      </c>
      <c r="R2323" s="36">
        <v>18.3</v>
      </c>
      <c r="S2323" s="50" t="s">
        <v>149</v>
      </c>
      <c r="T2323" s="257">
        <f t="shared" si="79"/>
        <v>23978</v>
      </c>
      <c r="U2323" s="257">
        <f t="shared" si="80"/>
        <v>0</v>
      </c>
      <c r="V2323">
        <v>2</v>
      </c>
      <c r="W2323">
        <v>0</v>
      </c>
    </row>
    <row r="2324" spans="1:23" ht="79.8" x14ac:dyDescent="0.3">
      <c r="A2324" s="210">
        <v>41902</v>
      </c>
      <c r="B2324" s="210">
        <v>41902</v>
      </c>
      <c r="C2324" s="6">
        <v>9</v>
      </c>
      <c r="D2324" s="6">
        <v>1</v>
      </c>
      <c r="E2324" s="33">
        <v>2014</v>
      </c>
      <c r="F2324" s="15" t="s">
        <v>22</v>
      </c>
      <c r="G2324" s="82" t="s">
        <v>6256</v>
      </c>
      <c r="H2324" s="9" t="s">
        <v>70</v>
      </c>
      <c r="I2324" s="47" t="s">
        <v>3985</v>
      </c>
      <c r="J2324" s="48" t="s">
        <v>3986</v>
      </c>
      <c r="K2324" s="49">
        <v>0</v>
      </c>
      <c r="L2324" s="236">
        <v>136</v>
      </c>
      <c r="M2324" s="35">
        <v>0</v>
      </c>
      <c r="N2324" s="35">
        <v>0</v>
      </c>
      <c r="O2324" s="35">
        <v>0</v>
      </c>
      <c r="P2324" s="35">
        <v>0</v>
      </c>
      <c r="Q2324" s="35">
        <v>322</v>
      </c>
      <c r="R2324" s="36">
        <v>17.7</v>
      </c>
      <c r="S2324" s="19" t="s">
        <v>1235</v>
      </c>
      <c r="T2324" s="257">
        <f t="shared" si="79"/>
        <v>136</v>
      </c>
      <c r="U2324" s="257">
        <f t="shared" si="80"/>
        <v>0</v>
      </c>
      <c r="V2324">
        <v>1</v>
      </c>
      <c r="W2324">
        <v>0</v>
      </c>
    </row>
    <row r="2325" spans="1:23" ht="57" x14ac:dyDescent="0.3">
      <c r="A2325" s="217">
        <v>41808</v>
      </c>
      <c r="B2325" s="217">
        <v>41808</v>
      </c>
      <c r="C2325" s="6">
        <v>6</v>
      </c>
      <c r="D2325" s="6">
        <v>1</v>
      </c>
      <c r="E2325" s="33">
        <v>2014</v>
      </c>
      <c r="F2325" s="15" t="s">
        <v>22</v>
      </c>
      <c r="G2325" s="18" t="s">
        <v>6256</v>
      </c>
      <c r="H2325" s="9" t="s">
        <v>37</v>
      </c>
      <c r="I2325" s="47" t="s">
        <v>3987</v>
      </c>
      <c r="J2325" s="48" t="s">
        <v>3988</v>
      </c>
      <c r="K2325" s="112">
        <v>0</v>
      </c>
      <c r="L2325" s="236">
        <v>15000</v>
      </c>
      <c r="M2325" s="35">
        <v>3000</v>
      </c>
      <c r="N2325" s="35">
        <v>2</v>
      </c>
      <c r="O2325" s="35">
        <v>0</v>
      </c>
      <c r="P2325" s="35">
        <v>0</v>
      </c>
      <c r="Q2325" s="35">
        <v>0</v>
      </c>
      <c r="R2325" s="36">
        <v>16.5</v>
      </c>
      <c r="S2325" s="50" t="s">
        <v>115</v>
      </c>
      <c r="T2325" s="257">
        <f t="shared" si="79"/>
        <v>15000</v>
      </c>
      <c r="U2325" s="257">
        <f t="shared" si="80"/>
        <v>3002</v>
      </c>
      <c r="V2325">
        <v>2</v>
      </c>
      <c r="W2325">
        <v>2</v>
      </c>
    </row>
    <row r="2326" spans="1:23" ht="57" x14ac:dyDescent="0.3">
      <c r="A2326" s="217">
        <v>41910</v>
      </c>
      <c r="B2326" s="217">
        <v>41911</v>
      </c>
      <c r="C2326" s="6">
        <v>9</v>
      </c>
      <c r="D2326" s="6">
        <v>2</v>
      </c>
      <c r="E2326" s="33">
        <v>2014</v>
      </c>
      <c r="F2326" s="15" t="s">
        <v>22</v>
      </c>
      <c r="G2326" s="18" t="s">
        <v>6256</v>
      </c>
      <c r="H2326" s="9" t="s">
        <v>174</v>
      </c>
      <c r="I2326" s="47" t="s">
        <v>3989</v>
      </c>
      <c r="J2326" s="48" t="s">
        <v>3990</v>
      </c>
      <c r="K2326" s="49">
        <v>0</v>
      </c>
      <c r="L2326" s="236">
        <v>21190</v>
      </c>
      <c r="M2326" s="35">
        <v>0</v>
      </c>
      <c r="N2326" s="35">
        <v>0</v>
      </c>
      <c r="O2326" s="35">
        <v>0</v>
      </c>
      <c r="P2326" s="35">
        <v>0</v>
      </c>
      <c r="Q2326" s="35">
        <v>0</v>
      </c>
      <c r="R2326" s="36">
        <v>13.8</v>
      </c>
      <c r="S2326" s="50" t="s">
        <v>149</v>
      </c>
      <c r="T2326" s="257">
        <f t="shared" si="79"/>
        <v>21190</v>
      </c>
      <c r="U2326" s="257">
        <f t="shared" si="80"/>
        <v>0</v>
      </c>
      <c r="V2326">
        <v>2</v>
      </c>
      <c r="W2326">
        <v>0</v>
      </c>
    </row>
    <row r="2327" spans="1:23" ht="68.400000000000006" x14ac:dyDescent="0.3">
      <c r="A2327" s="217">
        <v>41756</v>
      </c>
      <c r="B2327" s="217">
        <v>41756</v>
      </c>
      <c r="C2327" s="6">
        <v>4</v>
      </c>
      <c r="D2327" s="6">
        <v>1</v>
      </c>
      <c r="E2327" s="33">
        <v>2014</v>
      </c>
      <c r="F2327" s="15" t="s">
        <v>22</v>
      </c>
      <c r="G2327" s="82" t="s">
        <v>6256</v>
      </c>
      <c r="H2327" s="9" t="s">
        <v>174</v>
      </c>
      <c r="I2327" s="47" t="s">
        <v>3991</v>
      </c>
      <c r="J2327" s="48" t="s">
        <v>3992</v>
      </c>
      <c r="K2327" s="123">
        <v>0</v>
      </c>
      <c r="L2327" s="238">
        <v>4615</v>
      </c>
      <c r="M2327" s="35">
        <v>923</v>
      </c>
      <c r="N2327" s="35">
        <v>0</v>
      </c>
      <c r="O2327" s="35">
        <v>0</v>
      </c>
      <c r="P2327" s="35">
        <v>0</v>
      </c>
      <c r="Q2327" s="35">
        <v>0</v>
      </c>
      <c r="R2327" s="36">
        <v>13.06830808</v>
      </c>
      <c r="S2327" s="50" t="s">
        <v>131</v>
      </c>
      <c r="T2327" s="257">
        <f t="shared" si="79"/>
        <v>4615</v>
      </c>
      <c r="U2327" s="257">
        <f t="shared" si="80"/>
        <v>923</v>
      </c>
      <c r="V2327">
        <v>1</v>
      </c>
      <c r="W2327">
        <v>1</v>
      </c>
    </row>
    <row r="2328" spans="1:23" ht="45.6" x14ac:dyDescent="0.3">
      <c r="A2328" s="210">
        <v>41654</v>
      </c>
      <c r="B2328" s="210">
        <v>41660</v>
      </c>
      <c r="C2328" s="6">
        <v>1</v>
      </c>
      <c r="D2328" s="6">
        <v>7</v>
      </c>
      <c r="E2328" s="33">
        <v>2014</v>
      </c>
      <c r="F2328" s="15" t="s">
        <v>22</v>
      </c>
      <c r="G2328" s="18" t="s">
        <v>6255</v>
      </c>
      <c r="H2328" s="9" t="s">
        <v>41</v>
      </c>
      <c r="I2328" s="47" t="s">
        <v>3993</v>
      </c>
      <c r="J2328" s="48" t="s">
        <v>3994</v>
      </c>
      <c r="K2328" s="112">
        <v>0</v>
      </c>
      <c r="L2328" s="236">
        <v>0</v>
      </c>
      <c r="M2328" s="35">
        <v>0</v>
      </c>
      <c r="N2328" s="35">
        <v>0</v>
      </c>
      <c r="O2328" s="35">
        <v>0</v>
      </c>
      <c r="P2328" s="35">
        <v>0</v>
      </c>
      <c r="Q2328" s="35">
        <v>0</v>
      </c>
      <c r="R2328" s="36">
        <v>12.649409</v>
      </c>
      <c r="S2328" s="50" t="s">
        <v>661</v>
      </c>
      <c r="T2328" s="257">
        <f t="shared" si="79"/>
        <v>0</v>
      </c>
      <c r="U2328" s="257">
        <f t="shared" si="80"/>
        <v>0</v>
      </c>
      <c r="V2328">
        <v>0</v>
      </c>
      <c r="W2328">
        <v>0</v>
      </c>
    </row>
    <row r="2329" spans="1:23" ht="102.6" x14ac:dyDescent="0.3">
      <c r="A2329" s="214">
        <v>44047</v>
      </c>
      <c r="B2329" s="214">
        <v>44049</v>
      </c>
      <c r="C2329" s="6">
        <v>8</v>
      </c>
      <c r="D2329" s="6">
        <v>3</v>
      </c>
      <c r="E2329" s="33">
        <v>2020</v>
      </c>
      <c r="F2329" s="15" t="s">
        <v>22</v>
      </c>
      <c r="G2329" s="18" t="s">
        <v>6256</v>
      </c>
      <c r="H2329" s="9" t="s">
        <v>48</v>
      </c>
      <c r="I2329" s="34" t="s">
        <v>2287</v>
      </c>
      <c r="J2329" s="34" t="s">
        <v>3995</v>
      </c>
      <c r="K2329" s="33">
        <v>0</v>
      </c>
      <c r="L2329" s="235">
        <v>320</v>
      </c>
      <c r="M2329" s="35">
        <v>20</v>
      </c>
      <c r="N2329" s="35">
        <v>0</v>
      </c>
      <c r="O2329" s="35">
        <v>0</v>
      </c>
      <c r="P2329" s="35">
        <v>0</v>
      </c>
      <c r="Q2329" s="41">
        <v>0</v>
      </c>
      <c r="R2329" s="42">
        <v>2.4254999999999999E-2</v>
      </c>
      <c r="S2329" s="33" t="s">
        <v>115</v>
      </c>
      <c r="T2329" s="257">
        <f t="shared" si="79"/>
        <v>320</v>
      </c>
      <c r="U2329" s="257">
        <f t="shared" si="80"/>
        <v>20</v>
      </c>
      <c r="V2329">
        <v>1</v>
      </c>
      <c r="W2329">
        <v>1</v>
      </c>
    </row>
    <row r="2330" spans="1:23" ht="84" x14ac:dyDescent="0.3">
      <c r="A2330" s="224">
        <v>43329</v>
      </c>
      <c r="B2330" s="224">
        <v>43329</v>
      </c>
      <c r="C2330" s="6">
        <v>8</v>
      </c>
      <c r="D2330" s="6">
        <v>1</v>
      </c>
      <c r="E2330" s="84">
        <v>2018</v>
      </c>
      <c r="F2330" s="7" t="s">
        <v>17</v>
      </c>
      <c r="G2330" s="8" t="s">
        <v>6261</v>
      </c>
      <c r="H2330" s="9" t="s">
        <v>48</v>
      </c>
      <c r="I2330" s="86" t="s">
        <v>685</v>
      </c>
      <c r="J2330" s="130" t="s">
        <v>3996</v>
      </c>
      <c r="K2330" s="88">
        <v>1</v>
      </c>
      <c r="L2330" s="173">
        <v>2</v>
      </c>
      <c r="M2330" s="88">
        <v>0</v>
      </c>
      <c r="N2330" s="88">
        <v>0</v>
      </c>
      <c r="O2330" s="88">
        <v>0</v>
      </c>
      <c r="P2330" s="88">
        <v>0</v>
      </c>
      <c r="Q2330" s="88">
        <v>0</v>
      </c>
      <c r="R2330" s="38">
        <v>2.4171000000000002E-2</v>
      </c>
      <c r="S2330" s="89" t="s">
        <v>115</v>
      </c>
      <c r="T2330" s="257">
        <f t="shared" si="79"/>
        <v>3</v>
      </c>
      <c r="U2330" s="257">
        <f t="shared" si="80"/>
        <v>0</v>
      </c>
      <c r="V2330">
        <v>1</v>
      </c>
      <c r="W2330">
        <v>0</v>
      </c>
    </row>
    <row r="2331" spans="1:23" ht="68.400000000000006" x14ac:dyDescent="0.3">
      <c r="A2331" s="210">
        <v>41821</v>
      </c>
      <c r="B2331" s="210">
        <v>41829</v>
      </c>
      <c r="C2331" s="6">
        <v>7</v>
      </c>
      <c r="D2331" s="6">
        <v>9</v>
      </c>
      <c r="E2331" s="33">
        <v>2014</v>
      </c>
      <c r="F2331" s="15" t="s">
        <v>22</v>
      </c>
      <c r="G2331" s="18" t="s">
        <v>6256</v>
      </c>
      <c r="H2331" s="9" t="s">
        <v>28</v>
      </c>
      <c r="I2331" s="47" t="s">
        <v>3997</v>
      </c>
      <c r="J2331" s="48" t="s">
        <v>3998</v>
      </c>
      <c r="K2331" s="112">
        <v>0</v>
      </c>
      <c r="L2331" s="236">
        <v>0</v>
      </c>
      <c r="M2331" s="35">
        <v>0</v>
      </c>
      <c r="N2331" s="35">
        <v>0</v>
      </c>
      <c r="O2331" s="35">
        <v>0</v>
      </c>
      <c r="P2331" s="35">
        <v>0</v>
      </c>
      <c r="Q2331" s="35">
        <v>0</v>
      </c>
      <c r="R2331" s="36">
        <v>11.124382499999999</v>
      </c>
      <c r="S2331" s="50" t="s">
        <v>661</v>
      </c>
      <c r="T2331" s="257">
        <f t="shared" si="79"/>
        <v>0</v>
      </c>
      <c r="U2331" s="257">
        <f t="shared" si="80"/>
        <v>0</v>
      </c>
      <c r="V2331">
        <v>0</v>
      </c>
      <c r="W2331">
        <v>0</v>
      </c>
    </row>
    <row r="2332" spans="1:23" ht="45.6" x14ac:dyDescent="0.3">
      <c r="A2332" s="217">
        <v>41991</v>
      </c>
      <c r="B2332" s="217">
        <v>41994</v>
      </c>
      <c r="C2332" s="6">
        <v>12</v>
      </c>
      <c r="D2332" s="6">
        <v>4</v>
      </c>
      <c r="E2332" s="33">
        <v>2014</v>
      </c>
      <c r="F2332" s="15" t="s">
        <v>22</v>
      </c>
      <c r="G2332" s="18" t="s">
        <v>6256</v>
      </c>
      <c r="H2332" s="9" t="s">
        <v>34</v>
      </c>
      <c r="I2332" s="47" t="s">
        <v>3999</v>
      </c>
      <c r="J2332" s="48" t="s">
        <v>4000</v>
      </c>
      <c r="K2332" s="49">
        <v>0</v>
      </c>
      <c r="L2332" s="236">
        <v>465</v>
      </c>
      <c r="M2332" s="35">
        <v>0</v>
      </c>
      <c r="N2332" s="35">
        <v>0</v>
      </c>
      <c r="O2332" s="35">
        <v>0</v>
      </c>
      <c r="P2332" s="35">
        <v>0</v>
      </c>
      <c r="Q2332" s="35">
        <v>699</v>
      </c>
      <c r="R2332" s="36">
        <v>10.4</v>
      </c>
      <c r="S2332" s="19" t="s">
        <v>1235</v>
      </c>
      <c r="T2332" s="257">
        <f t="shared" si="79"/>
        <v>465</v>
      </c>
      <c r="U2332" s="257">
        <f t="shared" si="80"/>
        <v>0</v>
      </c>
      <c r="V2332">
        <v>1</v>
      </c>
      <c r="W2332">
        <v>0</v>
      </c>
    </row>
    <row r="2333" spans="1:23" ht="45.6" x14ac:dyDescent="0.3">
      <c r="A2333" s="210">
        <v>41654</v>
      </c>
      <c r="B2333" s="210">
        <v>41660</v>
      </c>
      <c r="C2333" s="6">
        <v>1</v>
      </c>
      <c r="D2333" s="6">
        <v>7</v>
      </c>
      <c r="E2333" s="33">
        <v>2014</v>
      </c>
      <c r="F2333" s="15" t="s">
        <v>22</v>
      </c>
      <c r="G2333" s="18" t="s">
        <v>6255</v>
      </c>
      <c r="H2333" s="9" t="s">
        <v>37</v>
      </c>
      <c r="I2333" s="47" t="s">
        <v>3207</v>
      </c>
      <c r="J2333" s="48" t="s">
        <v>4001</v>
      </c>
      <c r="K2333" s="112">
        <v>0</v>
      </c>
      <c r="L2333" s="236">
        <v>0</v>
      </c>
      <c r="M2333" s="35">
        <v>0</v>
      </c>
      <c r="N2333" s="35">
        <v>0</v>
      </c>
      <c r="O2333" s="35">
        <v>0</v>
      </c>
      <c r="P2333" s="35">
        <v>0</v>
      </c>
      <c r="Q2333" s="35">
        <v>0</v>
      </c>
      <c r="R2333" s="36">
        <v>10.225439</v>
      </c>
      <c r="S2333" s="50" t="s">
        <v>661</v>
      </c>
      <c r="T2333" s="257">
        <f t="shared" si="79"/>
        <v>0</v>
      </c>
      <c r="U2333" s="257">
        <f t="shared" si="80"/>
        <v>0</v>
      </c>
      <c r="V2333">
        <v>0</v>
      </c>
      <c r="W2333">
        <v>0</v>
      </c>
    </row>
    <row r="2334" spans="1:23" ht="125.4" x14ac:dyDescent="0.3">
      <c r="A2334" s="210">
        <v>41872</v>
      </c>
      <c r="B2334" s="210">
        <v>41872</v>
      </c>
      <c r="C2334" s="6">
        <v>8</v>
      </c>
      <c r="D2334" s="6">
        <v>1</v>
      </c>
      <c r="E2334" s="33">
        <v>2014</v>
      </c>
      <c r="F2334" s="15" t="s">
        <v>22</v>
      </c>
      <c r="G2334" s="16" t="s">
        <v>6256</v>
      </c>
      <c r="H2334" s="9" t="s">
        <v>72</v>
      </c>
      <c r="I2334" s="47" t="s">
        <v>4002</v>
      </c>
      <c r="J2334" s="48" t="s">
        <v>4003</v>
      </c>
      <c r="K2334" s="123">
        <v>0</v>
      </c>
      <c r="L2334" s="236">
        <v>12152</v>
      </c>
      <c r="M2334" s="35">
        <v>100</v>
      </c>
      <c r="N2334" s="35">
        <v>0</v>
      </c>
      <c r="O2334" s="35">
        <v>0</v>
      </c>
      <c r="P2334" s="35">
        <v>0</v>
      </c>
      <c r="Q2334" s="35">
        <v>0</v>
      </c>
      <c r="R2334" s="36">
        <f>1.3438+8.7</f>
        <v>10.043799999999999</v>
      </c>
      <c r="S2334" s="50" t="s">
        <v>131</v>
      </c>
      <c r="T2334" s="257">
        <f t="shared" si="79"/>
        <v>12152</v>
      </c>
      <c r="U2334" s="257">
        <f t="shared" si="80"/>
        <v>100</v>
      </c>
      <c r="V2334">
        <v>2</v>
      </c>
      <c r="W2334">
        <v>1</v>
      </c>
    </row>
    <row r="2335" spans="1:23" ht="91.2" x14ac:dyDescent="0.3">
      <c r="A2335" s="217">
        <v>41830</v>
      </c>
      <c r="B2335" s="217">
        <v>41830</v>
      </c>
      <c r="C2335" s="6">
        <v>7</v>
      </c>
      <c r="D2335" s="6">
        <v>1</v>
      </c>
      <c r="E2335" s="33">
        <v>2014</v>
      </c>
      <c r="F2335" s="15" t="s">
        <v>22</v>
      </c>
      <c r="G2335" s="16" t="s">
        <v>6256</v>
      </c>
      <c r="H2335" s="9" t="s">
        <v>46</v>
      </c>
      <c r="I2335" s="47" t="s">
        <v>4004</v>
      </c>
      <c r="J2335" s="48" t="s">
        <v>4005</v>
      </c>
      <c r="K2335" s="112">
        <v>0</v>
      </c>
      <c r="L2335" s="236">
        <v>2672</v>
      </c>
      <c r="M2335" s="35">
        <v>342</v>
      </c>
      <c r="N2335" s="35">
        <v>0</v>
      </c>
      <c r="O2335" s="35">
        <v>0</v>
      </c>
      <c r="P2335" s="35">
        <v>0</v>
      </c>
      <c r="Q2335" s="35">
        <v>0</v>
      </c>
      <c r="R2335" s="36">
        <v>9.4634999999999998</v>
      </c>
      <c r="S2335" s="50" t="s">
        <v>115</v>
      </c>
      <c r="T2335" s="257">
        <f t="shared" si="79"/>
        <v>2672</v>
      </c>
      <c r="U2335" s="257">
        <f t="shared" si="80"/>
        <v>342</v>
      </c>
      <c r="V2335">
        <v>1</v>
      </c>
      <c r="W2335">
        <v>1</v>
      </c>
    </row>
    <row r="2336" spans="1:23" ht="57" x14ac:dyDescent="0.3">
      <c r="A2336" s="210">
        <v>41826</v>
      </c>
      <c r="B2336" s="210">
        <v>41828</v>
      </c>
      <c r="C2336" s="6">
        <v>7</v>
      </c>
      <c r="D2336" s="6">
        <v>3</v>
      </c>
      <c r="E2336" s="33">
        <v>2014</v>
      </c>
      <c r="F2336" s="15" t="s">
        <v>22</v>
      </c>
      <c r="G2336" s="16" t="s">
        <v>6256</v>
      </c>
      <c r="H2336" s="9" t="s">
        <v>72</v>
      </c>
      <c r="I2336" s="47" t="s">
        <v>4006</v>
      </c>
      <c r="J2336" s="48" t="s">
        <v>4007</v>
      </c>
      <c r="K2336" s="112">
        <v>0</v>
      </c>
      <c r="L2336" s="236">
        <v>0</v>
      </c>
      <c r="M2336" s="35">
        <v>0</v>
      </c>
      <c r="N2336" s="35">
        <v>0</v>
      </c>
      <c r="O2336" s="35">
        <v>0</v>
      </c>
      <c r="P2336" s="35">
        <v>0</v>
      </c>
      <c r="Q2336" s="35">
        <v>0</v>
      </c>
      <c r="R2336" s="36">
        <v>8.6328706200000003</v>
      </c>
      <c r="S2336" s="50" t="s">
        <v>149</v>
      </c>
      <c r="T2336" s="257">
        <f t="shared" si="79"/>
        <v>0</v>
      </c>
      <c r="U2336" s="257">
        <f t="shared" si="80"/>
        <v>0</v>
      </c>
      <c r="V2336">
        <v>0</v>
      </c>
      <c r="W2336">
        <v>0</v>
      </c>
    </row>
    <row r="2337" spans="1:23" ht="148.19999999999999" x14ac:dyDescent="0.3">
      <c r="A2337" s="210">
        <v>41908</v>
      </c>
      <c r="B2337" s="210">
        <v>41910</v>
      </c>
      <c r="C2337" s="6">
        <v>9</v>
      </c>
      <c r="D2337" s="6">
        <v>3</v>
      </c>
      <c r="E2337" s="33">
        <v>2014</v>
      </c>
      <c r="F2337" s="15" t="s">
        <v>22</v>
      </c>
      <c r="G2337" s="18" t="s">
        <v>6256</v>
      </c>
      <c r="H2337" s="9" t="s">
        <v>31</v>
      </c>
      <c r="I2337" s="47" t="s">
        <v>4008</v>
      </c>
      <c r="J2337" s="48" t="s">
        <v>4009</v>
      </c>
      <c r="K2337" s="49">
        <v>0</v>
      </c>
      <c r="L2337" s="236">
        <v>3872</v>
      </c>
      <c r="M2337" s="35">
        <v>236</v>
      </c>
      <c r="N2337" s="35">
        <v>3</v>
      </c>
      <c r="O2337" s="35">
        <v>0</v>
      </c>
      <c r="P2337" s="35">
        <v>8</v>
      </c>
      <c r="Q2337" s="35">
        <v>0</v>
      </c>
      <c r="R2337" s="36">
        <f>5.616125+2.9</f>
        <v>8.5161250000000006</v>
      </c>
      <c r="S2337" s="50" t="s">
        <v>131</v>
      </c>
      <c r="T2337" s="257">
        <f t="shared" si="79"/>
        <v>3872</v>
      </c>
      <c r="U2337" s="257">
        <f t="shared" si="80"/>
        <v>247</v>
      </c>
      <c r="V2337">
        <v>1</v>
      </c>
      <c r="W2337">
        <v>1</v>
      </c>
    </row>
    <row r="2338" spans="1:23" ht="91.2" x14ac:dyDescent="0.3">
      <c r="A2338" s="217">
        <v>41793</v>
      </c>
      <c r="B2338" s="217">
        <v>41793</v>
      </c>
      <c r="C2338" s="6">
        <v>6</v>
      </c>
      <c r="D2338" s="6">
        <v>1</v>
      </c>
      <c r="E2338" s="33">
        <v>2014</v>
      </c>
      <c r="F2338" s="15" t="s">
        <v>22</v>
      </c>
      <c r="G2338" s="16" t="s">
        <v>6254</v>
      </c>
      <c r="H2338" s="17" t="s">
        <v>565</v>
      </c>
      <c r="I2338" s="47" t="s">
        <v>4010</v>
      </c>
      <c r="J2338" s="48" t="s">
        <v>4011</v>
      </c>
      <c r="K2338" s="112">
        <v>0</v>
      </c>
      <c r="L2338" s="249">
        <v>1604</v>
      </c>
      <c r="M2338" s="35">
        <v>300</v>
      </c>
      <c r="N2338" s="35">
        <v>0</v>
      </c>
      <c r="O2338" s="35">
        <v>0</v>
      </c>
      <c r="P2338" s="35">
        <v>0</v>
      </c>
      <c r="Q2338" s="35">
        <v>0</v>
      </c>
      <c r="R2338" s="36">
        <v>8.4873054000000003</v>
      </c>
      <c r="S2338" s="50" t="s">
        <v>131</v>
      </c>
      <c r="T2338" s="257">
        <f t="shared" si="79"/>
        <v>1604</v>
      </c>
      <c r="U2338" s="257">
        <f t="shared" si="80"/>
        <v>300</v>
      </c>
      <c r="V2338">
        <v>1</v>
      </c>
      <c r="W2338">
        <v>1</v>
      </c>
    </row>
    <row r="2339" spans="1:23" ht="136.80000000000001" x14ac:dyDescent="0.3">
      <c r="A2339" s="217">
        <v>41885</v>
      </c>
      <c r="B2339" s="217">
        <v>41885</v>
      </c>
      <c r="C2339" s="6">
        <v>9</v>
      </c>
      <c r="D2339" s="6">
        <v>1</v>
      </c>
      <c r="E2339" s="33">
        <v>2014</v>
      </c>
      <c r="F2339" s="15" t="s">
        <v>22</v>
      </c>
      <c r="G2339" s="16" t="s">
        <v>6254</v>
      </c>
      <c r="H2339" s="9" t="s">
        <v>72</v>
      </c>
      <c r="I2339" s="47" t="s">
        <v>4012</v>
      </c>
      <c r="J2339" s="48" t="s">
        <v>4013</v>
      </c>
      <c r="K2339" s="49">
        <v>1</v>
      </c>
      <c r="L2339" s="236">
        <v>715</v>
      </c>
      <c r="M2339" s="35">
        <v>143</v>
      </c>
      <c r="N2339" s="35">
        <v>0</v>
      </c>
      <c r="O2339" s="35">
        <v>0</v>
      </c>
      <c r="P2339" s="35">
        <v>0</v>
      </c>
      <c r="Q2339" s="35">
        <v>0</v>
      </c>
      <c r="R2339" s="36">
        <f>0.82619+7.6</f>
        <v>8.4261900000000001</v>
      </c>
      <c r="S2339" s="50" t="s">
        <v>131</v>
      </c>
      <c r="T2339" s="257">
        <f t="shared" si="79"/>
        <v>716</v>
      </c>
      <c r="U2339" s="257">
        <f t="shared" si="80"/>
        <v>143</v>
      </c>
      <c r="V2339">
        <v>1</v>
      </c>
      <c r="W2339">
        <v>1</v>
      </c>
    </row>
    <row r="2340" spans="1:23" ht="45.6" x14ac:dyDescent="0.3">
      <c r="A2340" s="210">
        <v>41652</v>
      </c>
      <c r="B2340" s="210">
        <v>41656</v>
      </c>
      <c r="C2340" s="6">
        <v>1</v>
      </c>
      <c r="D2340" s="6">
        <v>5</v>
      </c>
      <c r="E2340" s="33">
        <v>2014</v>
      </c>
      <c r="F2340" s="15" t="s">
        <v>22</v>
      </c>
      <c r="G2340" s="18" t="s">
        <v>6255</v>
      </c>
      <c r="H2340" s="9" t="s">
        <v>88</v>
      </c>
      <c r="I2340" s="47" t="s">
        <v>3915</v>
      </c>
      <c r="J2340" s="48" t="s">
        <v>4014</v>
      </c>
      <c r="K2340" s="112">
        <v>0</v>
      </c>
      <c r="L2340" s="236">
        <v>0</v>
      </c>
      <c r="M2340" s="35">
        <v>0</v>
      </c>
      <c r="N2340" s="35">
        <v>0</v>
      </c>
      <c r="O2340" s="35">
        <v>0</v>
      </c>
      <c r="P2340" s="35">
        <v>0</v>
      </c>
      <c r="Q2340" s="35">
        <v>0</v>
      </c>
      <c r="R2340" s="36">
        <v>8.2713149999999995</v>
      </c>
      <c r="S2340" s="50" t="s">
        <v>661</v>
      </c>
      <c r="T2340" s="257">
        <f t="shared" si="79"/>
        <v>0</v>
      </c>
      <c r="U2340" s="257">
        <f t="shared" si="80"/>
        <v>0</v>
      </c>
      <c r="V2340">
        <v>0</v>
      </c>
      <c r="W2340">
        <v>0</v>
      </c>
    </row>
    <row r="2341" spans="1:23" ht="34.200000000000003" x14ac:dyDescent="0.3">
      <c r="A2341" s="210">
        <v>41654</v>
      </c>
      <c r="B2341" s="210">
        <v>41660</v>
      </c>
      <c r="C2341" s="6">
        <v>1</v>
      </c>
      <c r="D2341" s="6">
        <v>7</v>
      </c>
      <c r="E2341" s="33">
        <v>2014</v>
      </c>
      <c r="F2341" s="15" t="s">
        <v>22</v>
      </c>
      <c r="G2341" s="18" t="s">
        <v>6255</v>
      </c>
      <c r="H2341" s="9" t="s">
        <v>121</v>
      </c>
      <c r="I2341" s="47" t="s">
        <v>4015</v>
      </c>
      <c r="J2341" s="48" t="s">
        <v>4016</v>
      </c>
      <c r="K2341" s="112">
        <v>0</v>
      </c>
      <c r="L2341" s="236">
        <v>0</v>
      </c>
      <c r="M2341" s="35">
        <v>0</v>
      </c>
      <c r="N2341" s="35">
        <v>0</v>
      </c>
      <c r="O2341" s="35">
        <v>0</v>
      </c>
      <c r="P2341" s="35">
        <v>0</v>
      </c>
      <c r="Q2341" s="35">
        <v>0</v>
      </c>
      <c r="R2341" s="36">
        <v>8.1749390000000002</v>
      </c>
      <c r="S2341" s="50" t="s">
        <v>149</v>
      </c>
      <c r="T2341" s="257">
        <f t="shared" si="79"/>
        <v>0</v>
      </c>
      <c r="U2341" s="257">
        <f t="shared" si="80"/>
        <v>0</v>
      </c>
      <c r="V2341">
        <v>0</v>
      </c>
      <c r="W2341">
        <v>0</v>
      </c>
    </row>
    <row r="2342" spans="1:23" ht="125.4" x14ac:dyDescent="0.3">
      <c r="A2342" s="217">
        <v>41960</v>
      </c>
      <c r="B2342" s="217">
        <v>41963</v>
      </c>
      <c r="C2342" s="6">
        <v>11</v>
      </c>
      <c r="D2342" s="6">
        <v>4</v>
      </c>
      <c r="E2342" s="33">
        <v>2014</v>
      </c>
      <c r="F2342" s="15" t="s">
        <v>22</v>
      </c>
      <c r="G2342" s="18" t="s">
        <v>6256</v>
      </c>
      <c r="H2342" s="9" t="s">
        <v>31</v>
      </c>
      <c r="I2342" s="47" t="s">
        <v>2288</v>
      </c>
      <c r="J2342" s="48" t="s">
        <v>4017</v>
      </c>
      <c r="K2342" s="49">
        <v>0</v>
      </c>
      <c r="L2342" s="236">
        <v>552</v>
      </c>
      <c r="M2342" s="35">
        <v>1165</v>
      </c>
      <c r="N2342" s="35">
        <v>0</v>
      </c>
      <c r="O2342" s="35">
        <v>0</v>
      </c>
      <c r="P2342" s="35">
        <v>0</v>
      </c>
      <c r="Q2342" s="35">
        <v>0</v>
      </c>
      <c r="R2342" s="36">
        <f>6.4+0.9</f>
        <v>7.3000000000000007</v>
      </c>
      <c r="S2342" s="50" t="s">
        <v>131</v>
      </c>
      <c r="T2342" s="257">
        <f t="shared" si="79"/>
        <v>552</v>
      </c>
      <c r="U2342" s="257">
        <f t="shared" si="80"/>
        <v>1165</v>
      </c>
      <c r="V2342">
        <v>1</v>
      </c>
      <c r="W2342">
        <v>2</v>
      </c>
    </row>
    <row r="2343" spans="1:23" ht="45.6" x14ac:dyDescent="0.3">
      <c r="A2343" s="210">
        <v>41654</v>
      </c>
      <c r="B2343" s="210">
        <v>41660</v>
      </c>
      <c r="C2343" s="6">
        <v>1</v>
      </c>
      <c r="D2343" s="6">
        <v>7</v>
      </c>
      <c r="E2343" s="33">
        <v>2014</v>
      </c>
      <c r="F2343" s="15" t="s">
        <v>22</v>
      </c>
      <c r="G2343" s="18" t="s">
        <v>6255</v>
      </c>
      <c r="H2343" s="9" t="s">
        <v>78</v>
      </c>
      <c r="I2343" s="47" t="s">
        <v>3372</v>
      </c>
      <c r="J2343" s="48" t="s">
        <v>4018</v>
      </c>
      <c r="K2343" s="112">
        <v>0</v>
      </c>
      <c r="L2343" s="236">
        <v>0</v>
      </c>
      <c r="M2343" s="35">
        <v>0</v>
      </c>
      <c r="N2343" s="35">
        <v>0</v>
      </c>
      <c r="O2343" s="35">
        <v>0</v>
      </c>
      <c r="P2343" s="35">
        <v>0</v>
      </c>
      <c r="Q2343" s="35">
        <v>0</v>
      </c>
      <c r="R2343" s="36">
        <v>7.1767500000000002</v>
      </c>
      <c r="S2343" s="50" t="s">
        <v>661</v>
      </c>
      <c r="T2343" s="257">
        <f t="shared" si="79"/>
        <v>0</v>
      </c>
      <c r="U2343" s="257">
        <f t="shared" si="80"/>
        <v>0</v>
      </c>
      <c r="V2343">
        <v>0</v>
      </c>
      <c r="W2343">
        <v>0</v>
      </c>
    </row>
    <row r="2344" spans="1:23" ht="205.2" x14ac:dyDescent="0.3">
      <c r="A2344" s="217">
        <v>41913</v>
      </c>
      <c r="B2344" s="217">
        <v>41914</v>
      </c>
      <c r="C2344" s="6">
        <v>10</v>
      </c>
      <c r="D2344" s="6">
        <v>2</v>
      </c>
      <c r="E2344" s="33">
        <v>2014</v>
      </c>
      <c r="F2344" s="15" t="s">
        <v>22</v>
      </c>
      <c r="G2344" s="18" t="s">
        <v>6256</v>
      </c>
      <c r="H2344" s="9" t="s">
        <v>174</v>
      </c>
      <c r="I2344" s="47" t="s">
        <v>4019</v>
      </c>
      <c r="J2344" s="48" t="s">
        <v>4020</v>
      </c>
      <c r="K2344" s="49">
        <v>0</v>
      </c>
      <c r="L2344" s="236">
        <v>5903</v>
      </c>
      <c r="M2344" s="35">
        <v>206</v>
      </c>
      <c r="N2344" s="35">
        <v>0</v>
      </c>
      <c r="O2344" s="35">
        <v>0</v>
      </c>
      <c r="P2344" s="35">
        <v>0</v>
      </c>
      <c r="Q2344" s="35">
        <v>0</v>
      </c>
      <c r="R2344" s="36">
        <f>1.133+5.9</f>
        <v>7.0330000000000004</v>
      </c>
      <c r="S2344" s="50" t="s">
        <v>131</v>
      </c>
      <c r="T2344" s="257">
        <f t="shared" si="79"/>
        <v>5903</v>
      </c>
      <c r="U2344" s="257">
        <f t="shared" si="80"/>
        <v>206</v>
      </c>
      <c r="V2344">
        <v>1</v>
      </c>
      <c r="W2344">
        <v>1</v>
      </c>
    </row>
    <row r="2345" spans="1:23" ht="22.8" x14ac:dyDescent="0.3">
      <c r="A2345" s="129">
        <v>37865</v>
      </c>
      <c r="B2345" s="129">
        <v>37865</v>
      </c>
      <c r="C2345" s="6">
        <v>9</v>
      </c>
      <c r="D2345" s="6">
        <v>1</v>
      </c>
      <c r="E2345" s="19">
        <v>2003</v>
      </c>
      <c r="F2345" s="15" t="s">
        <v>22</v>
      </c>
      <c r="G2345" s="18" t="s">
        <v>6256</v>
      </c>
      <c r="H2345" s="9" t="s">
        <v>48</v>
      </c>
      <c r="I2345" s="17" t="s">
        <v>4021</v>
      </c>
      <c r="J2345" s="62" t="s">
        <v>4022</v>
      </c>
      <c r="K2345" s="23">
        <v>0</v>
      </c>
      <c r="L2345" s="234">
        <v>0</v>
      </c>
      <c r="M2345" s="23">
        <v>8</v>
      </c>
      <c r="N2345" s="23">
        <v>0</v>
      </c>
      <c r="O2345" s="37">
        <v>0</v>
      </c>
      <c r="P2345" s="37">
        <v>0</v>
      </c>
      <c r="Q2345" s="23">
        <v>0</v>
      </c>
      <c r="R2345" s="24">
        <v>2.3E-2</v>
      </c>
      <c r="S2345" s="7" t="s">
        <v>115</v>
      </c>
      <c r="T2345" s="257">
        <f t="shared" si="79"/>
        <v>0</v>
      </c>
      <c r="U2345" s="257">
        <f t="shared" si="80"/>
        <v>8</v>
      </c>
      <c r="V2345">
        <v>0</v>
      </c>
      <c r="W2345">
        <v>1</v>
      </c>
    </row>
    <row r="2346" spans="1:23" ht="57" x14ac:dyDescent="0.3">
      <c r="A2346" s="214">
        <v>41863</v>
      </c>
      <c r="B2346" s="214">
        <v>41866</v>
      </c>
      <c r="C2346" s="6">
        <v>8</v>
      </c>
      <c r="D2346" s="6">
        <v>4</v>
      </c>
      <c r="E2346" s="33">
        <v>2014</v>
      </c>
      <c r="F2346" s="15" t="s">
        <v>22</v>
      </c>
      <c r="G2346" s="18" t="s">
        <v>6256</v>
      </c>
      <c r="H2346" s="9" t="s">
        <v>28</v>
      </c>
      <c r="I2346" s="47" t="s">
        <v>211</v>
      </c>
      <c r="J2346" s="48" t="s">
        <v>4023</v>
      </c>
      <c r="K2346" s="49">
        <v>0</v>
      </c>
      <c r="L2346" s="236">
        <v>5000</v>
      </c>
      <c r="M2346" s="35">
        <v>0</v>
      </c>
      <c r="N2346" s="35">
        <v>0</v>
      </c>
      <c r="O2346" s="35">
        <v>0</v>
      </c>
      <c r="P2346" s="35">
        <v>0</v>
      </c>
      <c r="Q2346" s="35">
        <v>0</v>
      </c>
      <c r="R2346" s="36">
        <v>6.7</v>
      </c>
      <c r="S2346" s="50" t="s">
        <v>149</v>
      </c>
      <c r="T2346" s="257">
        <f t="shared" si="79"/>
        <v>5000</v>
      </c>
      <c r="U2346" s="257">
        <f t="shared" si="80"/>
        <v>0</v>
      </c>
      <c r="V2346">
        <v>1</v>
      </c>
      <c r="W2346">
        <v>0</v>
      </c>
    </row>
    <row r="2347" spans="1:23" ht="91.2" x14ac:dyDescent="0.3">
      <c r="A2347" s="214">
        <v>41887</v>
      </c>
      <c r="B2347" s="214">
        <v>41889</v>
      </c>
      <c r="C2347" s="6">
        <v>9</v>
      </c>
      <c r="D2347" s="6">
        <v>3</v>
      </c>
      <c r="E2347" s="33">
        <v>2014</v>
      </c>
      <c r="F2347" s="15" t="s">
        <v>22</v>
      </c>
      <c r="G2347" s="18" t="s">
        <v>6256</v>
      </c>
      <c r="H2347" s="9" t="s">
        <v>41</v>
      </c>
      <c r="I2347" s="47" t="s">
        <v>4024</v>
      </c>
      <c r="J2347" s="34" t="s">
        <v>4025</v>
      </c>
      <c r="K2347" s="49">
        <v>0</v>
      </c>
      <c r="L2347" s="236">
        <f>(6641+15930)*1</f>
        <v>22571</v>
      </c>
      <c r="M2347" s="35">
        <v>0</v>
      </c>
      <c r="N2347" s="35">
        <v>0</v>
      </c>
      <c r="O2347" s="35">
        <v>0</v>
      </c>
      <c r="P2347" s="35">
        <v>0</v>
      </c>
      <c r="Q2347" s="35">
        <v>0</v>
      </c>
      <c r="R2347" s="36">
        <v>6.6</v>
      </c>
      <c r="S2347" s="50" t="s">
        <v>149</v>
      </c>
      <c r="T2347" s="257">
        <f t="shared" si="79"/>
        <v>22571</v>
      </c>
      <c r="U2347" s="257">
        <f t="shared" si="80"/>
        <v>0</v>
      </c>
      <c r="V2347">
        <v>2</v>
      </c>
      <c r="W2347">
        <v>0</v>
      </c>
    </row>
    <row r="2348" spans="1:23" ht="22.8" x14ac:dyDescent="0.3">
      <c r="A2348" s="129">
        <v>37868</v>
      </c>
      <c r="B2348" s="129">
        <v>37868</v>
      </c>
      <c r="C2348" s="6">
        <v>9</v>
      </c>
      <c r="D2348" s="6">
        <v>1</v>
      </c>
      <c r="E2348" s="19">
        <v>2003</v>
      </c>
      <c r="F2348" s="15" t="s">
        <v>22</v>
      </c>
      <c r="G2348" s="18" t="s">
        <v>6256</v>
      </c>
      <c r="H2348" s="9" t="s">
        <v>48</v>
      </c>
      <c r="I2348" s="17" t="s">
        <v>2293</v>
      </c>
      <c r="J2348" s="62" t="s">
        <v>4026</v>
      </c>
      <c r="K2348" s="23">
        <v>0</v>
      </c>
      <c r="L2348" s="234">
        <v>40</v>
      </c>
      <c r="M2348" s="23">
        <v>8</v>
      </c>
      <c r="N2348" s="23">
        <v>0</v>
      </c>
      <c r="O2348" s="37">
        <v>0</v>
      </c>
      <c r="P2348" s="37">
        <v>0</v>
      </c>
      <c r="Q2348" s="23">
        <v>0</v>
      </c>
      <c r="R2348" s="24">
        <v>2.3E-2</v>
      </c>
      <c r="S2348" s="7" t="s">
        <v>115</v>
      </c>
      <c r="T2348" s="257">
        <f t="shared" si="79"/>
        <v>40</v>
      </c>
      <c r="U2348" s="257">
        <f t="shared" si="80"/>
        <v>8</v>
      </c>
      <c r="V2348">
        <v>1</v>
      </c>
      <c r="W2348">
        <v>1</v>
      </c>
    </row>
    <row r="2349" spans="1:23" ht="125.4" x14ac:dyDescent="0.3">
      <c r="A2349" s="210">
        <v>41832</v>
      </c>
      <c r="B2349" s="210">
        <v>41832</v>
      </c>
      <c r="C2349" s="6">
        <v>7</v>
      </c>
      <c r="D2349" s="6">
        <v>1</v>
      </c>
      <c r="E2349" s="33">
        <v>2014</v>
      </c>
      <c r="F2349" s="15" t="s">
        <v>22</v>
      </c>
      <c r="G2349" s="16" t="s">
        <v>6256</v>
      </c>
      <c r="H2349" s="9" t="s">
        <v>74</v>
      </c>
      <c r="I2349" s="47" t="s">
        <v>1285</v>
      </c>
      <c r="J2349" s="48" t="s">
        <v>4027</v>
      </c>
      <c r="K2349" s="49">
        <v>0</v>
      </c>
      <c r="L2349" s="236">
        <v>0</v>
      </c>
      <c r="M2349" s="35">
        <v>0</v>
      </c>
      <c r="N2349" s="35">
        <v>0</v>
      </c>
      <c r="O2349" s="35" t="s">
        <v>95</v>
      </c>
      <c r="P2349" s="35">
        <v>0</v>
      </c>
      <c r="Q2349" s="35">
        <v>0</v>
      </c>
      <c r="R2349" s="36">
        <v>5.59</v>
      </c>
      <c r="S2349" s="50" t="s">
        <v>149</v>
      </c>
      <c r="T2349" s="257">
        <f t="shared" si="79"/>
        <v>0</v>
      </c>
      <c r="U2349" s="257">
        <f t="shared" si="80"/>
        <v>0</v>
      </c>
      <c r="V2349">
        <v>0</v>
      </c>
      <c r="W2349">
        <v>0</v>
      </c>
    </row>
    <row r="2350" spans="1:23" ht="57" x14ac:dyDescent="0.3">
      <c r="A2350" s="217">
        <v>41960</v>
      </c>
      <c r="B2350" s="217">
        <v>41962</v>
      </c>
      <c r="C2350" s="6">
        <v>11</v>
      </c>
      <c r="D2350" s="6">
        <v>3</v>
      </c>
      <c r="E2350" s="33">
        <v>2014</v>
      </c>
      <c r="F2350" s="15" t="s">
        <v>22</v>
      </c>
      <c r="G2350" s="18" t="s">
        <v>6256</v>
      </c>
      <c r="H2350" s="17" t="s">
        <v>565</v>
      </c>
      <c r="I2350" s="47" t="s">
        <v>4028</v>
      </c>
      <c r="J2350" s="48" t="s">
        <v>4029</v>
      </c>
      <c r="K2350" s="49">
        <v>0</v>
      </c>
      <c r="L2350" s="236">
        <v>14951</v>
      </c>
      <c r="M2350" s="35">
        <v>0</v>
      </c>
      <c r="N2350" s="35">
        <v>0</v>
      </c>
      <c r="O2350" s="35">
        <v>0</v>
      </c>
      <c r="P2350" s="35">
        <v>0</v>
      </c>
      <c r="Q2350" s="35">
        <v>0</v>
      </c>
      <c r="R2350" s="36">
        <v>5.3</v>
      </c>
      <c r="S2350" s="50" t="s">
        <v>149</v>
      </c>
      <c r="T2350" s="257">
        <f t="shared" si="79"/>
        <v>14951</v>
      </c>
      <c r="U2350" s="257">
        <f t="shared" si="80"/>
        <v>0</v>
      </c>
      <c r="V2350">
        <v>2</v>
      </c>
      <c r="W2350">
        <v>0</v>
      </c>
    </row>
    <row r="2351" spans="1:23" ht="102.6" x14ac:dyDescent="0.3">
      <c r="A2351" s="210">
        <v>41902</v>
      </c>
      <c r="B2351" s="210">
        <v>41902</v>
      </c>
      <c r="C2351" s="6">
        <v>9</v>
      </c>
      <c r="D2351" s="6">
        <v>1</v>
      </c>
      <c r="E2351" s="33">
        <v>2014</v>
      </c>
      <c r="F2351" s="15" t="s">
        <v>22</v>
      </c>
      <c r="G2351" s="18" t="s">
        <v>6256</v>
      </c>
      <c r="H2351" s="9" t="s">
        <v>31</v>
      </c>
      <c r="I2351" s="47" t="s">
        <v>3183</v>
      </c>
      <c r="J2351" s="48" t="s">
        <v>4030</v>
      </c>
      <c r="K2351" s="49">
        <v>0</v>
      </c>
      <c r="L2351" s="236">
        <v>3880</v>
      </c>
      <c r="M2351" s="35">
        <v>776</v>
      </c>
      <c r="N2351" s="35">
        <v>0</v>
      </c>
      <c r="O2351" s="35">
        <v>0</v>
      </c>
      <c r="P2351" s="35">
        <v>0</v>
      </c>
      <c r="Q2351" s="35">
        <v>0</v>
      </c>
      <c r="R2351" s="36">
        <v>5.1316249999999997</v>
      </c>
      <c r="S2351" s="50" t="s">
        <v>115</v>
      </c>
      <c r="T2351" s="257">
        <f t="shared" si="79"/>
        <v>3880</v>
      </c>
      <c r="U2351" s="257">
        <f t="shared" si="80"/>
        <v>776</v>
      </c>
      <c r="V2351">
        <v>1</v>
      </c>
      <c r="W2351">
        <v>1</v>
      </c>
    </row>
    <row r="2352" spans="1:23" ht="57" x14ac:dyDescent="0.3">
      <c r="A2352" s="214">
        <v>41969</v>
      </c>
      <c r="B2352" s="214">
        <v>41971</v>
      </c>
      <c r="C2352" s="6">
        <v>11</v>
      </c>
      <c r="D2352" s="6">
        <v>3</v>
      </c>
      <c r="E2352" s="33">
        <v>2014</v>
      </c>
      <c r="F2352" s="15" t="s">
        <v>22</v>
      </c>
      <c r="G2352" s="18" t="s">
        <v>6255</v>
      </c>
      <c r="H2352" s="9" t="s">
        <v>88</v>
      </c>
      <c r="I2352" s="47" t="s">
        <v>1126</v>
      </c>
      <c r="J2352" s="48" t="s">
        <v>4031</v>
      </c>
      <c r="K2352" s="49">
        <v>0</v>
      </c>
      <c r="L2352" s="236">
        <v>13204</v>
      </c>
      <c r="M2352" s="35">
        <v>0</v>
      </c>
      <c r="N2352" s="35">
        <v>0</v>
      </c>
      <c r="O2352" s="35">
        <v>0</v>
      </c>
      <c r="P2352" s="35">
        <v>0</v>
      </c>
      <c r="Q2352" s="35">
        <v>0</v>
      </c>
      <c r="R2352" s="36">
        <v>4.5</v>
      </c>
      <c r="S2352" s="50" t="s">
        <v>131</v>
      </c>
      <c r="T2352" s="257">
        <f t="shared" si="79"/>
        <v>13204</v>
      </c>
      <c r="U2352" s="257">
        <f t="shared" si="80"/>
        <v>0</v>
      </c>
      <c r="V2352">
        <v>2</v>
      </c>
      <c r="W2352">
        <v>0</v>
      </c>
    </row>
    <row r="2353" spans="1:23" ht="91.2" x14ac:dyDescent="0.3">
      <c r="A2353" s="217">
        <v>41721</v>
      </c>
      <c r="B2353" s="217">
        <v>41721</v>
      </c>
      <c r="C2353" s="6">
        <v>3</v>
      </c>
      <c r="D2353" s="6">
        <v>1</v>
      </c>
      <c r="E2353" s="33">
        <v>2014</v>
      </c>
      <c r="F2353" s="15" t="s">
        <v>22</v>
      </c>
      <c r="G2353" s="9" t="s">
        <v>6257</v>
      </c>
      <c r="H2353" s="9" t="s">
        <v>52</v>
      </c>
      <c r="I2353" s="47" t="s">
        <v>4032</v>
      </c>
      <c r="J2353" s="48" t="s">
        <v>4033</v>
      </c>
      <c r="K2353" s="123">
        <v>0</v>
      </c>
      <c r="L2353" s="238">
        <v>1000</v>
      </c>
      <c r="M2353" s="35">
        <v>200</v>
      </c>
      <c r="N2353" s="35">
        <v>0</v>
      </c>
      <c r="O2353" s="35">
        <v>0</v>
      </c>
      <c r="P2353" s="35">
        <v>0</v>
      </c>
      <c r="Q2353" s="35">
        <v>10</v>
      </c>
      <c r="R2353" s="36">
        <v>4.0693455707000004</v>
      </c>
      <c r="S2353" s="50" t="s">
        <v>115</v>
      </c>
      <c r="T2353" s="257">
        <f t="shared" si="79"/>
        <v>1000</v>
      </c>
      <c r="U2353" s="257">
        <f t="shared" si="80"/>
        <v>200</v>
      </c>
      <c r="V2353">
        <v>1</v>
      </c>
      <c r="W2353">
        <v>1</v>
      </c>
    </row>
    <row r="2354" spans="1:23" ht="45.6" x14ac:dyDescent="0.3">
      <c r="A2354" s="210">
        <v>41654</v>
      </c>
      <c r="B2354" s="210">
        <v>41656</v>
      </c>
      <c r="C2354" s="6">
        <v>1</v>
      </c>
      <c r="D2354" s="6">
        <v>3</v>
      </c>
      <c r="E2354" s="33">
        <v>2014</v>
      </c>
      <c r="F2354" s="15" t="s">
        <v>22</v>
      </c>
      <c r="G2354" s="18" t="s">
        <v>6255</v>
      </c>
      <c r="H2354" s="9" t="s">
        <v>84</v>
      </c>
      <c r="I2354" s="47" t="s">
        <v>3993</v>
      </c>
      <c r="J2354" s="48" t="s">
        <v>4034</v>
      </c>
      <c r="K2354" s="112">
        <v>0</v>
      </c>
      <c r="L2354" s="236">
        <v>0</v>
      </c>
      <c r="M2354" s="35">
        <v>0</v>
      </c>
      <c r="N2354" s="35">
        <v>0</v>
      </c>
      <c r="O2354" s="35">
        <v>0</v>
      </c>
      <c r="P2354" s="35">
        <v>0</v>
      </c>
      <c r="Q2354" s="35">
        <v>0</v>
      </c>
      <c r="R2354" s="36">
        <v>4.006386</v>
      </c>
      <c r="S2354" s="50" t="s">
        <v>661</v>
      </c>
      <c r="T2354" s="257">
        <f t="shared" si="79"/>
        <v>0</v>
      </c>
      <c r="U2354" s="257">
        <f t="shared" si="80"/>
        <v>0</v>
      </c>
      <c r="V2354">
        <v>0</v>
      </c>
      <c r="W2354">
        <v>0</v>
      </c>
    </row>
    <row r="2355" spans="1:23" ht="68.400000000000006" x14ac:dyDescent="0.3">
      <c r="A2355" s="217">
        <v>41823</v>
      </c>
      <c r="B2355" s="217">
        <v>41823</v>
      </c>
      <c r="C2355" s="6">
        <v>7</v>
      </c>
      <c r="D2355" s="6">
        <v>1</v>
      </c>
      <c r="E2355" s="33">
        <v>2014</v>
      </c>
      <c r="F2355" s="15" t="s">
        <v>22</v>
      </c>
      <c r="G2355" s="18" t="s">
        <v>6256</v>
      </c>
      <c r="H2355" s="9" t="s">
        <v>48</v>
      </c>
      <c r="I2355" s="47" t="s">
        <v>4035</v>
      </c>
      <c r="J2355" s="48" t="s">
        <v>4036</v>
      </c>
      <c r="K2355" s="112">
        <v>0</v>
      </c>
      <c r="L2355" s="236">
        <v>35</v>
      </c>
      <c r="M2355" s="35">
        <v>4</v>
      </c>
      <c r="N2355" s="35">
        <v>0</v>
      </c>
      <c r="O2355" s="35">
        <v>0</v>
      </c>
      <c r="P2355" s="35">
        <v>0</v>
      </c>
      <c r="Q2355" s="35">
        <v>0</v>
      </c>
      <c r="R2355" s="36">
        <v>2.1999999999999999E-2</v>
      </c>
      <c r="S2355" s="50" t="s">
        <v>115</v>
      </c>
      <c r="T2355" s="257">
        <f t="shared" si="79"/>
        <v>35</v>
      </c>
      <c r="U2355" s="257">
        <f t="shared" si="80"/>
        <v>4</v>
      </c>
      <c r="V2355">
        <v>1</v>
      </c>
      <c r="W2355">
        <v>1</v>
      </c>
    </row>
    <row r="2356" spans="1:23" ht="34.200000000000003" x14ac:dyDescent="0.3">
      <c r="A2356" s="210">
        <v>41654</v>
      </c>
      <c r="B2356" s="210">
        <v>41660</v>
      </c>
      <c r="C2356" s="6">
        <v>1</v>
      </c>
      <c r="D2356" s="6">
        <v>7</v>
      </c>
      <c r="E2356" s="33">
        <v>2014</v>
      </c>
      <c r="F2356" s="15" t="s">
        <v>22</v>
      </c>
      <c r="G2356" s="18" t="s">
        <v>6255</v>
      </c>
      <c r="H2356" s="9" t="s">
        <v>57</v>
      </c>
      <c r="I2356" s="47" t="s">
        <v>4037</v>
      </c>
      <c r="J2356" s="48" t="s">
        <v>4038</v>
      </c>
      <c r="K2356" s="112">
        <v>0</v>
      </c>
      <c r="L2356" s="236">
        <v>0</v>
      </c>
      <c r="M2356" s="35">
        <v>0</v>
      </c>
      <c r="N2356" s="35">
        <v>0</v>
      </c>
      <c r="O2356" s="35">
        <v>0</v>
      </c>
      <c r="P2356" s="35">
        <v>0</v>
      </c>
      <c r="Q2356" s="35">
        <v>0</v>
      </c>
      <c r="R2356" s="36">
        <v>3.709508</v>
      </c>
      <c r="S2356" s="50" t="s">
        <v>661</v>
      </c>
      <c r="T2356" s="257">
        <f t="shared" si="79"/>
        <v>0</v>
      </c>
      <c r="U2356" s="257">
        <f t="shared" si="80"/>
        <v>0</v>
      </c>
      <c r="V2356">
        <v>0</v>
      </c>
      <c r="W2356">
        <v>0</v>
      </c>
    </row>
    <row r="2357" spans="1:23" ht="57" x14ac:dyDescent="0.3">
      <c r="A2357" s="217">
        <v>41919</v>
      </c>
      <c r="B2357" s="217">
        <v>41919</v>
      </c>
      <c r="C2357" s="6">
        <v>10</v>
      </c>
      <c r="D2357" s="6">
        <v>1</v>
      </c>
      <c r="E2357" s="33">
        <v>2014</v>
      </c>
      <c r="F2357" s="15" t="s">
        <v>22</v>
      </c>
      <c r="G2357" s="18" t="s">
        <v>6256</v>
      </c>
      <c r="H2357" s="9" t="s">
        <v>174</v>
      </c>
      <c r="I2357" s="47" t="s">
        <v>4039</v>
      </c>
      <c r="J2357" s="48" t="s">
        <v>4040</v>
      </c>
      <c r="K2357" s="49">
        <v>0</v>
      </c>
      <c r="L2357" s="236">
        <v>3754</v>
      </c>
      <c r="M2357" s="35">
        <v>0</v>
      </c>
      <c r="N2357" s="35">
        <v>0</v>
      </c>
      <c r="O2357" s="35">
        <v>0</v>
      </c>
      <c r="P2357" s="35">
        <v>0</v>
      </c>
      <c r="Q2357" s="35">
        <v>0</v>
      </c>
      <c r="R2357" s="36">
        <v>3.6</v>
      </c>
      <c r="S2357" s="50" t="s">
        <v>149</v>
      </c>
      <c r="T2357" s="257">
        <f t="shared" si="79"/>
        <v>3754</v>
      </c>
      <c r="U2357" s="257">
        <f t="shared" si="80"/>
        <v>0</v>
      </c>
      <c r="V2357">
        <v>1</v>
      </c>
      <c r="W2357">
        <v>0</v>
      </c>
    </row>
    <row r="2358" spans="1:23" ht="68.400000000000006" x14ac:dyDescent="0.3">
      <c r="A2358" s="217">
        <v>41818</v>
      </c>
      <c r="B2358" s="217">
        <v>41818</v>
      </c>
      <c r="C2358" s="6">
        <v>6</v>
      </c>
      <c r="D2358" s="6">
        <v>1</v>
      </c>
      <c r="E2358" s="33">
        <v>2014</v>
      </c>
      <c r="F2358" s="15" t="s">
        <v>22</v>
      </c>
      <c r="G2358" s="18" t="s">
        <v>6256</v>
      </c>
      <c r="H2358" s="9" t="s">
        <v>61</v>
      </c>
      <c r="I2358" s="47" t="s">
        <v>4041</v>
      </c>
      <c r="J2358" s="34" t="s">
        <v>4042</v>
      </c>
      <c r="K2358" s="112">
        <v>0</v>
      </c>
      <c r="L2358" s="236">
        <v>25</v>
      </c>
      <c r="M2358" s="35">
        <v>5</v>
      </c>
      <c r="N2358" s="35">
        <v>0</v>
      </c>
      <c r="O2358" s="35">
        <v>0</v>
      </c>
      <c r="P2358" s="35">
        <v>0</v>
      </c>
      <c r="Q2358" s="35">
        <v>0</v>
      </c>
      <c r="R2358" s="36">
        <v>3.4820000000000002</v>
      </c>
      <c r="S2358" s="50" t="s">
        <v>115</v>
      </c>
      <c r="T2358" s="257">
        <f t="shared" si="79"/>
        <v>25</v>
      </c>
      <c r="U2358" s="257">
        <f t="shared" si="80"/>
        <v>5</v>
      </c>
      <c r="V2358">
        <v>1</v>
      </c>
      <c r="W2358">
        <v>1</v>
      </c>
    </row>
    <row r="2359" spans="1:23" ht="45.6" x14ac:dyDescent="0.3">
      <c r="A2359" s="210">
        <v>41654</v>
      </c>
      <c r="B2359" s="210">
        <v>41660</v>
      </c>
      <c r="C2359" s="6">
        <v>1</v>
      </c>
      <c r="D2359" s="6">
        <v>7</v>
      </c>
      <c r="E2359" s="33">
        <v>2014</v>
      </c>
      <c r="F2359" s="15" t="s">
        <v>22</v>
      </c>
      <c r="G2359" s="18" t="s">
        <v>6255</v>
      </c>
      <c r="H2359" s="9" t="s">
        <v>74</v>
      </c>
      <c r="I2359" s="47" t="s">
        <v>1126</v>
      </c>
      <c r="J2359" s="48" t="s">
        <v>4043</v>
      </c>
      <c r="K2359" s="112">
        <v>0</v>
      </c>
      <c r="L2359" s="236">
        <v>0</v>
      </c>
      <c r="M2359" s="35">
        <v>0</v>
      </c>
      <c r="N2359" s="35">
        <v>0</v>
      </c>
      <c r="O2359" s="35">
        <v>0</v>
      </c>
      <c r="P2359" s="35">
        <v>0</v>
      </c>
      <c r="Q2359" s="35">
        <v>0</v>
      </c>
      <c r="R2359" s="36">
        <v>3.4757509999999998</v>
      </c>
      <c r="S2359" s="50" t="s">
        <v>661</v>
      </c>
      <c r="T2359" s="257">
        <f t="shared" si="79"/>
        <v>0</v>
      </c>
      <c r="U2359" s="257">
        <f t="shared" si="80"/>
        <v>0</v>
      </c>
      <c r="V2359">
        <v>0</v>
      </c>
      <c r="W2359">
        <v>0</v>
      </c>
    </row>
    <row r="2360" spans="1:23" ht="136.80000000000001" x14ac:dyDescent="0.3">
      <c r="A2360" s="210">
        <v>41896</v>
      </c>
      <c r="B2360" s="210">
        <v>41899</v>
      </c>
      <c r="C2360" s="6">
        <v>9</v>
      </c>
      <c r="D2360" s="6">
        <v>4</v>
      </c>
      <c r="E2360" s="33">
        <v>2014</v>
      </c>
      <c r="F2360" s="15" t="s">
        <v>22</v>
      </c>
      <c r="G2360" s="16" t="s">
        <v>6254</v>
      </c>
      <c r="H2360" s="9" t="s">
        <v>72</v>
      </c>
      <c r="I2360" s="47" t="s">
        <v>4044</v>
      </c>
      <c r="J2360" s="48" t="s">
        <v>4045</v>
      </c>
      <c r="K2360" s="49">
        <v>0</v>
      </c>
      <c r="L2360" s="236">
        <v>2993</v>
      </c>
      <c r="M2360" s="35">
        <v>25</v>
      </c>
      <c r="N2360" s="35">
        <v>0</v>
      </c>
      <c r="O2360" s="35">
        <v>0</v>
      </c>
      <c r="P2360" s="35">
        <v>0</v>
      </c>
      <c r="Q2360" s="35">
        <v>0</v>
      </c>
      <c r="R2360" s="36">
        <f>0.1375+2.9</f>
        <v>3.0375000000000001</v>
      </c>
      <c r="S2360" s="50" t="s">
        <v>115</v>
      </c>
      <c r="T2360" s="257">
        <f t="shared" si="79"/>
        <v>2993</v>
      </c>
      <c r="U2360" s="257">
        <f t="shared" si="80"/>
        <v>25</v>
      </c>
      <c r="V2360">
        <v>1</v>
      </c>
      <c r="W2360">
        <v>1</v>
      </c>
    </row>
    <row r="2361" spans="1:23" ht="57" x14ac:dyDescent="0.3">
      <c r="A2361" s="217">
        <v>41916</v>
      </c>
      <c r="B2361" s="217">
        <v>41918</v>
      </c>
      <c r="C2361" s="6">
        <v>10</v>
      </c>
      <c r="D2361" s="6">
        <v>3</v>
      </c>
      <c r="E2361" s="33">
        <v>2014</v>
      </c>
      <c r="F2361" s="15" t="s">
        <v>22</v>
      </c>
      <c r="G2361" s="18" t="s">
        <v>6256</v>
      </c>
      <c r="H2361" s="9" t="s">
        <v>174</v>
      </c>
      <c r="I2361" s="47" t="s">
        <v>655</v>
      </c>
      <c r="J2361" s="48" t="s">
        <v>4046</v>
      </c>
      <c r="K2361" s="49">
        <v>0</v>
      </c>
      <c r="L2361" s="236">
        <v>2721</v>
      </c>
      <c r="M2361" s="35">
        <v>0</v>
      </c>
      <c r="N2361" s="35">
        <v>0</v>
      </c>
      <c r="O2361" s="35">
        <v>0</v>
      </c>
      <c r="P2361" s="35">
        <v>0</v>
      </c>
      <c r="Q2361" s="35">
        <v>0</v>
      </c>
      <c r="R2361" s="36">
        <v>3</v>
      </c>
      <c r="S2361" s="50" t="s">
        <v>149</v>
      </c>
      <c r="T2361" s="257">
        <f t="shared" si="79"/>
        <v>2721</v>
      </c>
      <c r="U2361" s="257">
        <f t="shared" si="80"/>
        <v>0</v>
      </c>
      <c r="V2361">
        <v>1</v>
      </c>
      <c r="W2361">
        <v>0</v>
      </c>
    </row>
    <row r="2362" spans="1:23" ht="79.8" x14ac:dyDescent="0.3">
      <c r="A2362" s="210">
        <v>41827</v>
      </c>
      <c r="B2362" s="210">
        <v>41827</v>
      </c>
      <c r="C2362" s="6">
        <v>7</v>
      </c>
      <c r="D2362" s="6">
        <v>1</v>
      </c>
      <c r="E2362" s="33">
        <v>2014</v>
      </c>
      <c r="F2362" s="15" t="s">
        <v>22</v>
      </c>
      <c r="G2362" s="16" t="s">
        <v>6256</v>
      </c>
      <c r="H2362" s="9" t="s">
        <v>74</v>
      </c>
      <c r="I2362" s="47" t="s">
        <v>350</v>
      </c>
      <c r="J2362" s="48" t="s">
        <v>4047</v>
      </c>
      <c r="K2362" s="49">
        <v>0</v>
      </c>
      <c r="L2362" s="236">
        <v>95</v>
      </c>
      <c r="M2362" s="35">
        <v>19</v>
      </c>
      <c r="N2362" s="35">
        <v>0</v>
      </c>
      <c r="O2362" s="35" t="s">
        <v>95</v>
      </c>
      <c r="P2362" s="35">
        <v>19</v>
      </c>
      <c r="Q2362" s="35">
        <v>0</v>
      </c>
      <c r="R2362" s="36">
        <v>2.9</v>
      </c>
      <c r="S2362" s="50" t="s">
        <v>131</v>
      </c>
      <c r="T2362" s="257">
        <f t="shared" si="79"/>
        <v>95</v>
      </c>
      <c r="U2362" s="257">
        <f t="shared" si="80"/>
        <v>38</v>
      </c>
      <c r="V2362">
        <v>1</v>
      </c>
      <c r="W2362">
        <v>1</v>
      </c>
    </row>
    <row r="2363" spans="1:23" ht="79.8" x14ac:dyDescent="0.3">
      <c r="A2363" s="210">
        <v>41643</v>
      </c>
      <c r="B2363" s="210">
        <v>41645</v>
      </c>
      <c r="C2363" s="6">
        <v>1</v>
      </c>
      <c r="D2363" s="6">
        <v>3</v>
      </c>
      <c r="E2363" s="33">
        <v>2014</v>
      </c>
      <c r="F2363" s="15" t="s">
        <v>22</v>
      </c>
      <c r="G2363" s="16" t="s">
        <v>6256</v>
      </c>
      <c r="H2363" s="9" t="s">
        <v>31</v>
      </c>
      <c r="I2363" s="47" t="s">
        <v>4048</v>
      </c>
      <c r="J2363" s="48" t="s">
        <v>4049</v>
      </c>
      <c r="K2363" s="112">
        <v>0</v>
      </c>
      <c r="L2363" s="236">
        <v>0</v>
      </c>
      <c r="M2363" s="35">
        <v>0</v>
      </c>
      <c r="N2363" s="35">
        <v>0</v>
      </c>
      <c r="O2363" s="35">
        <v>0</v>
      </c>
      <c r="P2363" s="35">
        <v>0</v>
      </c>
      <c r="Q2363" s="35">
        <v>0</v>
      </c>
      <c r="R2363" s="36">
        <v>2.8537479599999998</v>
      </c>
      <c r="S2363" s="50" t="s">
        <v>149</v>
      </c>
      <c r="T2363" s="257">
        <f t="shared" si="79"/>
        <v>0</v>
      </c>
      <c r="U2363" s="257">
        <f t="shared" si="80"/>
        <v>0</v>
      </c>
      <c r="V2363">
        <v>0</v>
      </c>
      <c r="W2363">
        <v>0</v>
      </c>
    </row>
    <row r="2364" spans="1:23" ht="68.400000000000006" x14ac:dyDescent="0.3">
      <c r="A2364" s="210">
        <v>41838</v>
      </c>
      <c r="B2364" s="210">
        <v>41840</v>
      </c>
      <c r="C2364" s="6">
        <v>7</v>
      </c>
      <c r="D2364" s="6">
        <v>3</v>
      </c>
      <c r="E2364" s="33">
        <v>2014</v>
      </c>
      <c r="F2364" s="15" t="s">
        <v>22</v>
      </c>
      <c r="G2364" s="18" t="s">
        <v>6256</v>
      </c>
      <c r="H2364" s="9" t="s">
        <v>37</v>
      </c>
      <c r="I2364" s="47" t="s">
        <v>4050</v>
      </c>
      <c r="J2364" s="48" t="s">
        <v>4051</v>
      </c>
      <c r="K2364" s="112">
        <v>0</v>
      </c>
      <c r="L2364" s="236">
        <v>0</v>
      </c>
      <c r="M2364" s="35">
        <v>0</v>
      </c>
      <c r="N2364" s="35">
        <v>0</v>
      </c>
      <c r="O2364" s="35">
        <v>0</v>
      </c>
      <c r="P2364" s="35">
        <v>0</v>
      </c>
      <c r="Q2364" s="35">
        <v>0</v>
      </c>
      <c r="R2364" s="36">
        <v>2.1005350200000001</v>
      </c>
      <c r="S2364" s="50" t="s">
        <v>661</v>
      </c>
      <c r="T2364" s="257">
        <f t="shared" si="79"/>
        <v>0</v>
      </c>
      <c r="U2364" s="257">
        <f t="shared" si="80"/>
        <v>0</v>
      </c>
      <c r="V2364">
        <v>0</v>
      </c>
      <c r="W2364">
        <v>0</v>
      </c>
    </row>
    <row r="2365" spans="1:23" ht="125.4" x14ac:dyDescent="0.3">
      <c r="A2365" s="217">
        <v>41859</v>
      </c>
      <c r="B2365" s="217">
        <v>41861</v>
      </c>
      <c r="C2365" s="6">
        <v>8</v>
      </c>
      <c r="D2365" s="6">
        <v>3</v>
      </c>
      <c r="E2365" s="33">
        <v>2014</v>
      </c>
      <c r="F2365" s="15" t="s">
        <v>22</v>
      </c>
      <c r="G2365" s="82" t="s">
        <v>6256</v>
      </c>
      <c r="H2365" s="9" t="s">
        <v>88</v>
      </c>
      <c r="I2365" s="47" t="s">
        <v>4052</v>
      </c>
      <c r="J2365" s="48" t="s">
        <v>4053</v>
      </c>
      <c r="K2365" s="49">
        <v>0</v>
      </c>
      <c r="L2365" s="236">
        <v>1098</v>
      </c>
      <c r="M2365" s="35">
        <v>96</v>
      </c>
      <c r="N2365" s="35">
        <v>0</v>
      </c>
      <c r="O2365" s="35">
        <v>0</v>
      </c>
      <c r="P2365" s="35">
        <v>0</v>
      </c>
      <c r="Q2365" s="35">
        <v>0</v>
      </c>
      <c r="R2365" s="36">
        <v>2.1</v>
      </c>
      <c r="S2365" s="50" t="s">
        <v>131</v>
      </c>
      <c r="T2365" s="257">
        <f t="shared" si="79"/>
        <v>1098</v>
      </c>
      <c r="U2365" s="257">
        <f t="shared" si="80"/>
        <v>96</v>
      </c>
      <c r="V2365">
        <v>1</v>
      </c>
      <c r="W2365">
        <v>1</v>
      </c>
    </row>
    <row r="2366" spans="1:23" ht="102.6" x14ac:dyDescent="0.3">
      <c r="A2366" s="217">
        <v>41868</v>
      </c>
      <c r="B2366" s="217">
        <v>41868</v>
      </c>
      <c r="C2366" s="6">
        <v>8</v>
      </c>
      <c r="D2366" s="6">
        <v>1</v>
      </c>
      <c r="E2366" s="33">
        <v>2014</v>
      </c>
      <c r="F2366" s="15" t="s">
        <v>22</v>
      </c>
      <c r="G2366" s="9" t="s">
        <v>6257</v>
      </c>
      <c r="H2366" s="9" t="s">
        <v>121</v>
      </c>
      <c r="I2366" s="47" t="s">
        <v>743</v>
      </c>
      <c r="J2366" s="48" t="s">
        <v>4054</v>
      </c>
      <c r="K2366" s="49">
        <v>0</v>
      </c>
      <c r="L2366" s="236">
        <v>120</v>
      </c>
      <c r="M2366" s="35">
        <v>24</v>
      </c>
      <c r="N2366" s="35">
        <v>0</v>
      </c>
      <c r="O2366" s="35">
        <v>0</v>
      </c>
      <c r="P2366" s="35">
        <v>0</v>
      </c>
      <c r="Q2366" s="35">
        <v>0</v>
      </c>
      <c r="R2366" s="36">
        <v>1.96</v>
      </c>
      <c r="S2366" s="50" t="s">
        <v>115</v>
      </c>
      <c r="T2366" s="257">
        <f t="shared" si="79"/>
        <v>120</v>
      </c>
      <c r="U2366" s="257">
        <f t="shared" si="80"/>
        <v>24</v>
      </c>
      <c r="V2366">
        <v>1</v>
      </c>
      <c r="W2366">
        <v>1</v>
      </c>
    </row>
    <row r="2367" spans="1:23" ht="45.6" x14ac:dyDescent="0.3">
      <c r="A2367" s="210">
        <v>41852</v>
      </c>
      <c r="B2367" s="210">
        <v>41852</v>
      </c>
      <c r="C2367" s="6">
        <v>8</v>
      </c>
      <c r="D2367" s="6">
        <v>1</v>
      </c>
      <c r="E2367" s="33">
        <v>2014</v>
      </c>
      <c r="F2367" s="15" t="s">
        <v>22</v>
      </c>
      <c r="G2367" s="18" t="s">
        <v>6256</v>
      </c>
      <c r="H2367" s="9" t="s">
        <v>41</v>
      </c>
      <c r="I2367" s="47" t="s">
        <v>4055</v>
      </c>
      <c r="J2367" s="48" t="s">
        <v>4056</v>
      </c>
      <c r="K2367" s="49">
        <v>0</v>
      </c>
      <c r="L2367" s="236">
        <v>6160</v>
      </c>
      <c r="M2367" s="35">
        <v>0</v>
      </c>
      <c r="N2367" s="35">
        <v>0</v>
      </c>
      <c r="O2367" s="35">
        <v>0</v>
      </c>
      <c r="P2367" s="35">
        <v>0</v>
      </c>
      <c r="Q2367" s="35">
        <v>0</v>
      </c>
      <c r="R2367" s="36">
        <v>1.9</v>
      </c>
      <c r="S2367" s="50" t="s">
        <v>149</v>
      </c>
      <c r="T2367" s="257">
        <f t="shared" si="79"/>
        <v>6160</v>
      </c>
      <c r="U2367" s="257">
        <f t="shared" si="80"/>
        <v>0</v>
      </c>
      <c r="V2367">
        <v>1</v>
      </c>
      <c r="W2367">
        <v>0</v>
      </c>
    </row>
    <row r="2368" spans="1:23" ht="57" x14ac:dyDescent="0.3">
      <c r="A2368" s="217">
        <v>41797</v>
      </c>
      <c r="B2368" s="217">
        <v>41797</v>
      </c>
      <c r="C2368" s="6">
        <v>6</v>
      </c>
      <c r="D2368" s="6">
        <v>1</v>
      </c>
      <c r="E2368" s="33">
        <v>2014</v>
      </c>
      <c r="F2368" s="15" t="s">
        <v>22</v>
      </c>
      <c r="G2368" s="18" t="s">
        <v>6256</v>
      </c>
      <c r="H2368" s="9" t="s">
        <v>55</v>
      </c>
      <c r="I2368" s="47" t="s">
        <v>4057</v>
      </c>
      <c r="J2368" s="48" t="s">
        <v>4058</v>
      </c>
      <c r="K2368" s="112">
        <v>0</v>
      </c>
      <c r="L2368" s="249">
        <f>(M2368*5)*1</f>
        <v>70</v>
      </c>
      <c r="M2368" s="35">
        <v>14</v>
      </c>
      <c r="N2368" s="35">
        <v>0</v>
      </c>
      <c r="O2368" s="35">
        <v>0</v>
      </c>
      <c r="P2368" s="35">
        <v>0</v>
      </c>
      <c r="Q2368" s="35">
        <v>0</v>
      </c>
      <c r="R2368" s="36">
        <v>1.8236250000000001</v>
      </c>
      <c r="S2368" s="50" t="s">
        <v>115</v>
      </c>
      <c r="T2368" s="257">
        <f t="shared" si="79"/>
        <v>70</v>
      </c>
      <c r="U2368" s="257">
        <f t="shared" si="80"/>
        <v>14</v>
      </c>
      <c r="V2368">
        <v>1</v>
      </c>
      <c r="W2368">
        <v>1</v>
      </c>
    </row>
    <row r="2369" spans="1:23" ht="45.6" x14ac:dyDescent="0.3">
      <c r="A2369" s="210">
        <v>41707</v>
      </c>
      <c r="B2369" s="210">
        <v>41707</v>
      </c>
      <c r="C2369" s="6">
        <v>3</v>
      </c>
      <c r="D2369" s="6">
        <v>1</v>
      </c>
      <c r="E2369" s="33">
        <v>2014</v>
      </c>
      <c r="F2369" s="15" t="s">
        <v>22</v>
      </c>
      <c r="G2369" s="18" t="s">
        <v>6255</v>
      </c>
      <c r="H2369" s="9" t="s">
        <v>34</v>
      </c>
      <c r="I2369" s="47" t="s">
        <v>664</v>
      </c>
      <c r="J2369" s="48" t="s">
        <v>4059</v>
      </c>
      <c r="K2369" s="112">
        <v>0</v>
      </c>
      <c r="L2369" s="236">
        <v>0</v>
      </c>
      <c r="M2369" s="35">
        <v>0</v>
      </c>
      <c r="N2369" s="35">
        <v>0</v>
      </c>
      <c r="O2369" s="35">
        <v>0</v>
      </c>
      <c r="P2369" s="35">
        <v>0</v>
      </c>
      <c r="Q2369" s="35">
        <v>0</v>
      </c>
      <c r="R2369" s="36">
        <v>1.8102279999999999</v>
      </c>
      <c r="S2369" s="50" t="s">
        <v>661</v>
      </c>
      <c r="T2369" s="257">
        <f t="shared" si="79"/>
        <v>0</v>
      </c>
      <c r="U2369" s="257">
        <f t="shared" si="80"/>
        <v>0</v>
      </c>
      <c r="V2369">
        <v>0</v>
      </c>
      <c r="W2369">
        <v>0</v>
      </c>
    </row>
    <row r="2370" spans="1:23" ht="102.6" x14ac:dyDescent="0.3">
      <c r="A2370" s="217">
        <v>41844</v>
      </c>
      <c r="B2370" s="217">
        <v>41845</v>
      </c>
      <c r="C2370" s="6">
        <v>7</v>
      </c>
      <c r="D2370" s="6">
        <v>2</v>
      </c>
      <c r="E2370" s="33">
        <v>2014</v>
      </c>
      <c r="F2370" s="15" t="s">
        <v>22</v>
      </c>
      <c r="G2370" s="18" t="s">
        <v>6256</v>
      </c>
      <c r="H2370" s="9" t="s">
        <v>74</v>
      </c>
      <c r="I2370" s="47" t="s">
        <v>4060</v>
      </c>
      <c r="J2370" s="48" t="s">
        <v>4061</v>
      </c>
      <c r="K2370" s="49">
        <v>10</v>
      </c>
      <c r="L2370" s="236">
        <v>250</v>
      </c>
      <c r="M2370" s="35">
        <v>35</v>
      </c>
      <c r="N2370" s="35">
        <v>0</v>
      </c>
      <c r="O2370" s="35">
        <v>0</v>
      </c>
      <c r="P2370" s="35">
        <v>0</v>
      </c>
      <c r="Q2370" s="35">
        <v>0</v>
      </c>
      <c r="R2370" s="36">
        <v>1.5</v>
      </c>
      <c r="S2370" s="50" t="s">
        <v>131</v>
      </c>
      <c r="T2370" s="257">
        <f t="shared" si="79"/>
        <v>260</v>
      </c>
      <c r="U2370" s="257">
        <f t="shared" si="80"/>
        <v>35</v>
      </c>
      <c r="V2370">
        <v>1</v>
      </c>
      <c r="W2370">
        <v>1</v>
      </c>
    </row>
    <row r="2371" spans="1:23" ht="102.6" x14ac:dyDescent="0.3">
      <c r="A2371" s="217">
        <v>41808</v>
      </c>
      <c r="B2371" s="217">
        <v>41808</v>
      </c>
      <c r="C2371" s="6">
        <v>6</v>
      </c>
      <c r="D2371" s="6">
        <v>1</v>
      </c>
      <c r="E2371" s="33">
        <v>2014</v>
      </c>
      <c r="F2371" s="15" t="s">
        <v>22</v>
      </c>
      <c r="G2371" s="18" t="s">
        <v>6256</v>
      </c>
      <c r="H2371" s="9" t="s">
        <v>88</v>
      </c>
      <c r="I2371" s="47" t="s">
        <v>136</v>
      </c>
      <c r="J2371" s="48" t="s">
        <v>4062</v>
      </c>
      <c r="K2371" s="112">
        <v>0</v>
      </c>
      <c r="L2371" s="249">
        <f>(M2371*5)*1</f>
        <v>250</v>
      </c>
      <c r="M2371" s="145">
        <v>50</v>
      </c>
      <c r="N2371" s="35">
        <v>0</v>
      </c>
      <c r="O2371" s="35">
        <v>0</v>
      </c>
      <c r="P2371" s="35">
        <v>0</v>
      </c>
      <c r="Q2371" s="35">
        <v>0</v>
      </c>
      <c r="R2371" s="36">
        <v>1.2482329999999999</v>
      </c>
      <c r="S2371" s="50" t="s">
        <v>115</v>
      </c>
      <c r="T2371" s="257">
        <f t="shared" ref="T2371:T2434" si="81">SUM(K2371:L2371)</f>
        <v>250</v>
      </c>
      <c r="U2371" s="257">
        <f t="shared" ref="U2371:U2434" si="82">SUM(M2371:P2371)</f>
        <v>50</v>
      </c>
      <c r="V2371">
        <v>1</v>
      </c>
      <c r="W2371">
        <v>1</v>
      </c>
    </row>
    <row r="2372" spans="1:23" ht="68.400000000000006" x14ac:dyDescent="0.3">
      <c r="A2372" s="217">
        <v>41968</v>
      </c>
      <c r="B2372" s="217">
        <v>41969</v>
      </c>
      <c r="C2372" s="6">
        <v>11</v>
      </c>
      <c r="D2372" s="6">
        <v>2</v>
      </c>
      <c r="E2372" s="33">
        <v>2014</v>
      </c>
      <c r="F2372" s="15" t="s">
        <v>22</v>
      </c>
      <c r="G2372" s="18" t="s">
        <v>6256</v>
      </c>
      <c r="H2372" s="9" t="s">
        <v>31</v>
      </c>
      <c r="I2372" s="47" t="s">
        <v>1214</v>
      </c>
      <c r="J2372" s="48" t="s">
        <v>4063</v>
      </c>
      <c r="K2372" s="49">
        <v>0</v>
      </c>
      <c r="L2372" s="236">
        <v>794</v>
      </c>
      <c r="M2372" s="35">
        <v>0</v>
      </c>
      <c r="N2372" s="35">
        <v>0</v>
      </c>
      <c r="O2372" s="35">
        <v>0</v>
      </c>
      <c r="P2372" s="35">
        <v>0</v>
      </c>
      <c r="Q2372" s="35">
        <v>0</v>
      </c>
      <c r="R2372" s="36">
        <v>1.2</v>
      </c>
      <c r="S2372" s="50" t="s">
        <v>131</v>
      </c>
      <c r="T2372" s="257">
        <f t="shared" si="81"/>
        <v>794</v>
      </c>
      <c r="U2372" s="257">
        <f t="shared" si="82"/>
        <v>0</v>
      </c>
      <c r="V2372">
        <v>1</v>
      </c>
      <c r="W2372">
        <v>0</v>
      </c>
    </row>
    <row r="2373" spans="1:23" ht="159.6" x14ac:dyDescent="0.3">
      <c r="A2373" s="217">
        <v>41914</v>
      </c>
      <c r="B2373" s="217">
        <v>41915</v>
      </c>
      <c r="C2373" s="6">
        <v>10</v>
      </c>
      <c r="D2373" s="6">
        <v>2</v>
      </c>
      <c r="E2373" s="33">
        <v>2014</v>
      </c>
      <c r="F2373" s="15" t="s">
        <v>22</v>
      </c>
      <c r="G2373" s="18" t="s">
        <v>6256</v>
      </c>
      <c r="H2373" s="9" t="s">
        <v>55</v>
      </c>
      <c r="I2373" s="47" t="s">
        <v>4064</v>
      </c>
      <c r="J2373" s="48" t="s">
        <v>4065</v>
      </c>
      <c r="K2373" s="49">
        <v>0</v>
      </c>
      <c r="L2373" s="236">
        <v>135</v>
      </c>
      <c r="M2373" s="35">
        <v>27</v>
      </c>
      <c r="N2373" s="35">
        <v>0</v>
      </c>
      <c r="O2373" s="35">
        <v>0</v>
      </c>
      <c r="P2373" s="35">
        <v>0</v>
      </c>
      <c r="Q2373" s="35">
        <v>0</v>
      </c>
      <c r="R2373" s="36">
        <v>1.0121249999999999</v>
      </c>
      <c r="S2373" s="50" t="s">
        <v>115</v>
      </c>
      <c r="T2373" s="257">
        <f t="shared" si="81"/>
        <v>135</v>
      </c>
      <c r="U2373" s="257">
        <f t="shared" si="82"/>
        <v>27</v>
      </c>
      <c r="V2373">
        <v>1</v>
      </c>
      <c r="W2373">
        <v>1</v>
      </c>
    </row>
    <row r="2374" spans="1:23" ht="79.8" x14ac:dyDescent="0.3">
      <c r="A2374" s="217">
        <v>41898</v>
      </c>
      <c r="B2374" s="217">
        <v>41900</v>
      </c>
      <c r="C2374" s="6">
        <v>9</v>
      </c>
      <c r="D2374" s="6">
        <v>3</v>
      </c>
      <c r="E2374" s="33">
        <v>2014</v>
      </c>
      <c r="F2374" s="15" t="s">
        <v>22</v>
      </c>
      <c r="G2374" s="16" t="s">
        <v>6256</v>
      </c>
      <c r="H2374" s="9" t="s">
        <v>74</v>
      </c>
      <c r="I2374" s="47" t="s">
        <v>4066</v>
      </c>
      <c r="J2374" s="48" t="s">
        <v>4067</v>
      </c>
      <c r="K2374" s="49">
        <v>0</v>
      </c>
      <c r="L2374" s="236">
        <v>507</v>
      </c>
      <c r="M2374" s="35">
        <v>0</v>
      </c>
      <c r="N2374" s="35">
        <v>0</v>
      </c>
      <c r="O2374" s="35">
        <v>0</v>
      </c>
      <c r="P2374" s="35">
        <v>0</v>
      </c>
      <c r="Q2374" s="35">
        <v>0</v>
      </c>
      <c r="R2374" s="36">
        <v>1</v>
      </c>
      <c r="S2374" s="50" t="s">
        <v>149</v>
      </c>
      <c r="T2374" s="257">
        <f t="shared" si="81"/>
        <v>507</v>
      </c>
      <c r="U2374" s="257">
        <f t="shared" si="82"/>
        <v>0</v>
      </c>
      <c r="V2374">
        <v>1</v>
      </c>
      <c r="W2374">
        <v>0</v>
      </c>
    </row>
    <row r="2375" spans="1:23" ht="159.6" x14ac:dyDescent="0.3">
      <c r="A2375" s="217">
        <v>41869</v>
      </c>
      <c r="B2375" s="217">
        <v>41869</v>
      </c>
      <c r="C2375" s="6">
        <v>8</v>
      </c>
      <c r="D2375" s="6">
        <v>1</v>
      </c>
      <c r="E2375" s="33">
        <v>2014</v>
      </c>
      <c r="F2375" s="15" t="s">
        <v>22</v>
      </c>
      <c r="G2375" s="18" t="s">
        <v>6256</v>
      </c>
      <c r="H2375" s="9" t="s">
        <v>66</v>
      </c>
      <c r="I2375" s="47" t="s">
        <v>1897</v>
      </c>
      <c r="J2375" s="48" t="s">
        <v>4068</v>
      </c>
      <c r="K2375" s="49">
        <v>0</v>
      </c>
      <c r="L2375" s="236">
        <v>5</v>
      </c>
      <c r="M2375" s="35">
        <v>1</v>
      </c>
      <c r="N2375" s="35">
        <v>2</v>
      </c>
      <c r="O2375" s="35">
        <v>0</v>
      </c>
      <c r="P2375" s="35">
        <v>1</v>
      </c>
      <c r="Q2375" s="35">
        <v>0</v>
      </c>
      <c r="R2375" s="36">
        <v>0.86912500000000004</v>
      </c>
      <c r="S2375" s="50" t="s">
        <v>115</v>
      </c>
      <c r="T2375" s="257">
        <f t="shared" si="81"/>
        <v>5</v>
      </c>
      <c r="U2375" s="257">
        <f t="shared" si="82"/>
        <v>4</v>
      </c>
      <c r="V2375">
        <v>1</v>
      </c>
      <c r="W2375">
        <v>1</v>
      </c>
    </row>
    <row r="2376" spans="1:23" ht="45.6" x14ac:dyDescent="0.3">
      <c r="A2376" s="210">
        <v>41654</v>
      </c>
      <c r="B2376" s="210">
        <v>41660</v>
      </c>
      <c r="C2376" s="6">
        <v>1</v>
      </c>
      <c r="D2376" s="6">
        <v>7</v>
      </c>
      <c r="E2376" s="33">
        <v>2014</v>
      </c>
      <c r="F2376" s="15" t="s">
        <v>22</v>
      </c>
      <c r="G2376" s="18" t="s">
        <v>6255</v>
      </c>
      <c r="H2376" s="9" t="s">
        <v>24</v>
      </c>
      <c r="I2376" s="47" t="s">
        <v>1712</v>
      </c>
      <c r="J2376" s="48" t="s">
        <v>4069</v>
      </c>
      <c r="K2376" s="112">
        <v>0</v>
      </c>
      <c r="L2376" s="236">
        <v>0</v>
      </c>
      <c r="M2376" s="35">
        <v>0</v>
      </c>
      <c r="N2376" s="35">
        <v>0</v>
      </c>
      <c r="O2376" s="35">
        <v>0</v>
      </c>
      <c r="P2376" s="35">
        <v>0</v>
      </c>
      <c r="Q2376" s="35">
        <v>0</v>
      </c>
      <c r="R2376" s="36">
        <v>0.80516299999999996</v>
      </c>
      <c r="S2376" s="50" t="s">
        <v>661</v>
      </c>
      <c r="T2376" s="257">
        <f t="shared" si="81"/>
        <v>0</v>
      </c>
      <c r="U2376" s="257">
        <f t="shared" si="82"/>
        <v>0</v>
      </c>
      <c r="V2376">
        <v>0</v>
      </c>
      <c r="W2376">
        <v>0</v>
      </c>
    </row>
    <row r="2377" spans="1:23" ht="102.6" x14ac:dyDescent="0.3">
      <c r="A2377" s="210">
        <v>41819</v>
      </c>
      <c r="B2377" s="210">
        <v>41819</v>
      </c>
      <c r="C2377" s="6">
        <v>6</v>
      </c>
      <c r="D2377" s="6">
        <v>1</v>
      </c>
      <c r="E2377" s="33">
        <v>2014</v>
      </c>
      <c r="F2377" s="15" t="s">
        <v>22</v>
      </c>
      <c r="G2377" s="16" t="s">
        <v>6256</v>
      </c>
      <c r="H2377" s="9" t="s">
        <v>55</v>
      </c>
      <c r="I2377" s="47" t="s">
        <v>4070</v>
      </c>
      <c r="J2377" s="48" t="s">
        <v>4071</v>
      </c>
      <c r="K2377" s="112">
        <v>0</v>
      </c>
      <c r="L2377" s="236">
        <v>0</v>
      </c>
      <c r="M2377" s="35">
        <v>0</v>
      </c>
      <c r="N2377" s="35">
        <v>0</v>
      </c>
      <c r="O2377" s="35">
        <v>0</v>
      </c>
      <c r="P2377" s="35">
        <v>0</v>
      </c>
      <c r="Q2377" s="35">
        <v>0</v>
      </c>
      <c r="R2377" s="36">
        <v>0.69866899999999998</v>
      </c>
      <c r="S2377" s="50" t="s">
        <v>661</v>
      </c>
      <c r="T2377" s="257">
        <f t="shared" si="81"/>
        <v>0</v>
      </c>
      <c r="U2377" s="257">
        <f t="shared" si="82"/>
        <v>0</v>
      </c>
      <c r="V2377">
        <v>0</v>
      </c>
      <c r="W2377">
        <v>0</v>
      </c>
    </row>
    <row r="2378" spans="1:23" ht="68.400000000000006" x14ac:dyDescent="0.3">
      <c r="A2378" s="217">
        <v>41854</v>
      </c>
      <c r="B2378" s="217">
        <v>41854</v>
      </c>
      <c r="C2378" s="6">
        <v>8</v>
      </c>
      <c r="D2378" s="6">
        <v>1</v>
      </c>
      <c r="E2378" s="33">
        <v>2014</v>
      </c>
      <c r="F2378" s="15" t="s">
        <v>22</v>
      </c>
      <c r="G2378" s="18" t="s">
        <v>6256</v>
      </c>
      <c r="H2378" s="9" t="s">
        <v>43</v>
      </c>
      <c r="I2378" s="47" t="s">
        <v>4072</v>
      </c>
      <c r="J2378" s="48" t="s">
        <v>4073</v>
      </c>
      <c r="K2378" s="112">
        <v>0</v>
      </c>
      <c r="L2378" s="236">
        <v>2400</v>
      </c>
      <c r="M2378" s="35">
        <v>120</v>
      </c>
      <c r="N2378" s="35">
        <v>0</v>
      </c>
      <c r="O2378" s="35">
        <v>0</v>
      </c>
      <c r="P2378" s="35">
        <v>0</v>
      </c>
      <c r="Q2378" s="35">
        <v>0</v>
      </c>
      <c r="R2378" s="36">
        <v>0.66</v>
      </c>
      <c r="S2378" s="50" t="s">
        <v>115</v>
      </c>
      <c r="T2378" s="257">
        <f t="shared" si="81"/>
        <v>2400</v>
      </c>
      <c r="U2378" s="257">
        <f t="shared" si="82"/>
        <v>120</v>
      </c>
      <c r="V2378">
        <v>1</v>
      </c>
      <c r="W2378">
        <v>1</v>
      </c>
    </row>
    <row r="2379" spans="1:23" ht="45.6" x14ac:dyDescent="0.3">
      <c r="A2379" s="210">
        <v>41909</v>
      </c>
      <c r="B2379" s="210">
        <v>41909</v>
      </c>
      <c r="C2379" s="6">
        <v>9</v>
      </c>
      <c r="D2379" s="6">
        <v>1</v>
      </c>
      <c r="E2379" s="33">
        <v>2014</v>
      </c>
      <c r="F2379" s="15" t="s">
        <v>22</v>
      </c>
      <c r="G2379" s="18" t="s">
        <v>6256</v>
      </c>
      <c r="H2379" s="9" t="s">
        <v>74</v>
      </c>
      <c r="I2379" s="47" t="s">
        <v>1168</v>
      </c>
      <c r="J2379" s="48" t="s">
        <v>4074</v>
      </c>
      <c r="K2379" s="49">
        <v>0</v>
      </c>
      <c r="L2379" s="236">
        <v>500</v>
      </c>
      <c r="M2379" s="35">
        <v>100</v>
      </c>
      <c r="N2379" s="35">
        <v>0</v>
      </c>
      <c r="O2379" s="35">
        <v>0</v>
      </c>
      <c r="P2379" s="35">
        <v>0</v>
      </c>
      <c r="Q2379" s="35">
        <v>0</v>
      </c>
      <c r="R2379" s="36">
        <v>0.55000000000000004</v>
      </c>
      <c r="S2379" s="50" t="s">
        <v>115</v>
      </c>
      <c r="T2379" s="257">
        <f t="shared" si="81"/>
        <v>500</v>
      </c>
      <c r="U2379" s="257">
        <f t="shared" si="82"/>
        <v>100</v>
      </c>
      <c r="V2379">
        <v>1</v>
      </c>
      <c r="W2379">
        <v>1</v>
      </c>
    </row>
    <row r="2380" spans="1:23" ht="91.2" x14ac:dyDescent="0.3">
      <c r="A2380" s="217">
        <v>41810</v>
      </c>
      <c r="B2380" s="217">
        <v>41810</v>
      </c>
      <c r="C2380" s="6">
        <v>6</v>
      </c>
      <c r="D2380" s="6">
        <v>1</v>
      </c>
      <c r="E2380" s="33">
        <v>2014</v>
      </c>
      <c r="F2380" s="7" t="s">
        <v>17</v>
      </c>
      <c r="G2380" s="28" t="s">
        <v>6261</v>
      </c>
      <c r="H2380" s="9" t="s">
        <v>31</v>
      </c>
      <c r="I2380" s="47" t="s">
        <v>4075</v>
      </c>
      <c r="J2380" s="48" t="s">
        <v>4076</v>
      </c>
      <c r="K2380" s="112">
        <v>2</v>
      </c>
      <c r="L2380" s="249">
        <f>(15*5)*1</f>
        <v>75</v>
      </c>
      <c r="M2380" s="145">
        <v>4</v>
      </c>
      <c r="N2380" s="35">
        <v>0</v>
      </c>
      <c r="O2380" s="35">
        <v>0</v>
      </c>
      <c r="P2380" s="35">
        <v>0</v>
      </c>
      <c r="Q2380" s="35">
        <v>0</v>
      </c>
      <c r="R2380" s="36">
        <v>0.48</v>
      </c>
      <c r="S2380" s="50" t="s">
        <v>115</v>
      </c>
      <c r="T2380" s="257">
        <f t="shared" si="81"/>
        <v>77</v>
      </c>
      <c r="U2380" s="257">
        <f t="shared" si="82"/>
        <v>4</v>
      </c>
      <c r="V2380">
        <v>1</v>
      </c>
      <c r="W2380">
        <v>1</v>
      </c>
    </row>
    <row r="2381" spans="1:23" ht="79.8" x14ac:dyDescent="0.3">
      <c r="A2381" s="217">
        <v>41844</v>
      </c>
      <c r="B2381" s="217">
        <v>41844</v>
      </c>
      <c r="C2381" s="6">
        <v>7</v>
      </c>
      <c r="D2381" s="6">
        <v>1</v>
      </c>
      <c r="E2381" s="33">
        <v>2014</v>
      </c>
      <c r="F2381" s="15" t="s">
        <v>22</v>
      </c>
      <c r="G2381" s="9" t="s">
        <v>6257</v>
      </c>
      <c r="H2381" s="9" t="s">
        <v>74</v>
      </c>
      <c r="I2381" s="47" t="s">
        <v>4079</v>
      </c>
      <c r="J2381" s="48" t="s">
        <v>4080</v>
      </c>
      <c r="K2381" s="49">
        <v>0</v>
      </c>
      <c r="L2381" s="236">
        <v>11</v>
      </c>
      <c r="M2381" s="35">
        <v>0</v>
      </c>
      <c r="N2381" s="35">
        <v>0</v>
      </c>
      <c r="O2381" s="35">
        <v>0</v>
      </c>
      <c r="P2381" s="35">
        <v>0</v>
      </c>
      <c r="Q2381" s="35">
        <v>0</v>
      </c>
      <c r="R2381" s="36">
        <v>0.42</v>
      </c>
      <c r="S2381" s="50" t="s">
        <v>115</v>
      </c>
      <c r="T2381" s="257">
        <f t="shared" si="81"/>
        <v>11</v>
      </c>
      <c r="U2381" s="257">
        <f t="shared" si="82"/>
        <v>0</v>
      </c>
      <c r="V2381">
        <v>1</v>
      </c>
      <c r="W2381">
        <v>0</v>
      </c>
    </row>
    <row r="2382" spans="1:23" ht="91.2" x14ac:dyDescent="0.3">
      <c r="A2382" s="217">
        <v>41910</v>
      </c>
      <c r="B2382" s="217">
        <v>41911</v>
      </c>
      <c r="C2382" s="6">
        <v>9</v>
      </c>
      <c r="D2382" s="6">
        <v>2</v>
      </c>
      <c r="E2382" s="33">
        <v>2014</v>
      </c>
      <c r="F2382" s="15" t="s">
        <v>22</v>
      </c>
      <c r="G2382" s="18" t="s">
        <v>6256</v>
      </c>
      <c r="H2382" s="9" t="s">
        <v>61</v>
      </c>
      <c r="I2382" s="47" t="s">
        <v>4081</v>
      </c>
      <c r="J2382" s="48" t="s">
        <v>4082</v>
      </c>
      <c r="K2382" s="49">
        <v>0</v>
      </c>
      <c r="L2382" s="236">
        <v>330</v>
      </c>
      <c r="M2382" s="35">
        <v>66</v>
      </c>
      <c r="N2382" s="35">
        <v>3</v>
      </c>
      <c r="O2382" s="35">
        <v>0</v>
      </c>
      <c r="P2382" s="35">
        <v>0</v>
      </c>
      <c r="Q2382" s="35">
        <v>0</v>
      </c>
      <c r="R2382" s="36">
        <v>0.36299999999999999</v>
      </c>
      <c r="S2382" s="50" t="s">
        <v>115</v>
      </c>
      <c r="T2382" s="257">
        <f t="shared" si="81"/>
        <v>330</v>
      </c>
      <c r="U2382" s="257">
        <f t="shared" si="82"/>
        <v>69</v>
      </c>
      <c r="V2382">
        <v>1</v>
      </c>
      <c r="W2382">
        <v>1</v>
      </c>
    </row>
    <row r="2383" spans="1:23" ht="125.4" x14ac:dyDescent="0.3">
      <c r="A2383" s="212">
        <v>40603</v>
      </c>
      <c r="B2383" s="212">
        <v>40603</v>
      </c>
      <c r="C2383" s="6">
        <v>3</v>
      </c>
      <c r="D2383" s="6">
        <v>1</v>
      </c>
      <c r="E2383" s="6">
        <v>2011</v>
      </c>
      <c r="F2383" s="15" t="s">
        <v>22</v>
      </c>
      <c r="G2383" s="18" t="s">
        <v>6254</v>
      </c>
      <c r="H2383" s="9" t="s">
        <v>48</v>
      </c>
      <c r="I2383" s="53" t="s">
        <v>3086</v>
      </c>
      <c r="J2383" s="53" t="s">
        <v>4083</v>
      </c>
      <c r="K2383" s="13">
        <v>1</v>
      </c>
      <c r="L2383" s="233">
        <v>1</v>
      </c>
      <c r="M2383" s="13">
        <v>0</v>
      </c>
      <c r="N2383" s="13">
        <v>0</v>
      </c>
      <c r="O2383" s="13">
        <v>0</v>
      </c>
      <c r="P2383" s="13">
        <v>0</v>
      </c>
      <c r="Q2383" s="13">
        <v>0</v>
      </c>
      <c r="R2383" s="26">
        <v>2.1899999999999999E-2</v>
      </c>
      <c r="S2383" s="19" t="s">
        <v>115</v>
      </c>
      <c r="T2383" s="257">
        <f t="shared" si="81"/>
        <v>2</v>
      </c>
      <c r="U2383" s="257">
        <f t="shared" si="82"/>
        <v>0</v>
      </c>
      <c r="V2383">
        <v>1</v>
      </c>
      <c r="W2383">
        <v>0</v>
      </c>
    </row>
    <row r="2384" spans="1:23" ht="57" x14ac:dyDescent="0.3">
      <c r="A2384" s="217">
        <v>41896</v>
      </c>
      <c r="B2384" s="217">
        <v>41898</v>
      </c>
      <c r="C2384" s="6">
        <v>9</v>
      </c>
      <c r="D2384" s="6">
        <v>3</v>
      </c>
      <c r="E2384" s="33">
        <v>2014</v>
      </c>
      <c r="F2384" s="15" t="s">
        <v>22</v>
      </c>
      <c r="G2384" s="18" t="s">
        <v>6256</v>
      </c>
      <c r="H2384" s="9" t="s">
        <v>41</v>
      </c>
      <c r="I2384" s="47" t="s">
        <v>4084</v>
      </c>
      <c r="J2384" s="48" t="s">
        <v>4085</v>
      </c>
      <c r="K2384" s="49">
        <v>0</v>
      </c>
      <c r="L2384" s="236">
        <v>778</v>
      </c>
      <c r="M2384" s="35">
        <v>0</v>
      </c>
      <c r="N2384" s="35">
        <v>0</v>
      </c>
      <c r="O2384" s="35">
        <v>0</v>
      </c>
      <c r="P2384" s="35">
        <v>0</v>
      </c>
      <c r="Q2384" s="35">
        <v>0</v>
      </c>
      <c r="R2384" s="36">
        <v>0.3</v>
      </c>
      <c r="S2384" s="50" t="s">
        <v>149</v>
      </c>
      <c r="T2384" s="257">
        <f t="shared" si="81"/>
        <v>778</v>
      </c>
      <c r="U2384" s="257">
        <f t="shared" si="82"/>
        <v>0</v>
      </c>
      <c r="V2384">
        <v>1</v>
      </c>
      <c r="W2384">
        <v>0</v>
      </c>
    </row>
    <row r="2385" spans="1:23" ht="125.4" x14ac:dyDescent="0.3">
      <c r="A2385" s="217">
        <v>41897</v>
      </c>
      <c r="B2385" s="217">
        <v>41898</v>
      </c>
      <c r="C2385" s="6">
        <v>9</v>
      </c>
      <c r="D2385" s="6">
        <v>2</v>
      </c>
      <c r="E2385" s="33">
        <v>2014</v>
      </c>
      <c r="F2385" s="15" t="s">
        <v>22</v>
      </c>
      <c r="G2385" s="18" t="s">
        <v>6256</v>
      </c>
      <c r="H2385" s="9" t="s">
        <v>61</v>
      </c>
      <c r="I2385" s="47" t="s">
        <v>1109</v>
      </c>
      <c r="J2385" s="48" t="s">
        <v>4086</v>
      </c>
      <c r="K2385" s="49">
        <v>0</v>
      </c>
      <c r="L2385" s="236">
        <v>200</v>
      </c>
      <c r="M2385" s="35">
        <v>40</v>
      </c>
      <c r="N2385" s="35">
        <v>0</v>
      </c>
      <c r="O2385" s="35">
        <v>0</v>
      </c>
      <c r="P2385" s="35">
        <v>0</v>
      </c>
      <c r="Q2385" s="35">
        <v>0</v>
      </c>
      <c r="R2385" s="36">
        <v>0.22</v>
      </c>
      <c r="S2385" s="50" t="s">
        <v>115</v>
      </c>
      <c r="T2385" s="257">
        <f t="shared" si="81"/>
        <v>200</v>
      </c>
      <c r="U2385" s="257">
        <f t="shared" si="82"/>
        <v>40</v>
      </c>
      <c r="V2385">
        <v>1</v>
      </c>
      <c r="W2385">
        <v>1</v>
      </c>
    </row>
    <row r="2386" spans="1:23" ht="136.80000000000001" x14ac:dyDescent="0.3">
      <c r="A2386" s="217">
        <v>41927</v>
      </c>
      <c r="B2386" s="217">
        <v>41927</v>
      </c>
      <c r="C2386" s="6">
        <v>10</v>
      </c>
      <c r="D2386" s="6">
        <v>1</v>
      </c>
      <c r="E2386" s="33">
        <v>2014</v>
      </c>
      <c r="F2386" s="15" t="s">
        <v>22</v>
      </c>
      <c r="G2386" s="18" t="s">
        <v>6256</v>
      </c>
      <c r="H2386" s="17" t="s">
        <v>565</v>
      </c>
      <c r="I2386" s="47" t="s">
        <v>1281</v>
      </c>
      <c r="J2386" s="48" t="s">
        <v>4087</v>
      </c>
      <c r="K2386" s="49">
        <v>0</v>
      </c>
      <c r="L2386" s="236">
        <v>450</v>
      </c>
      <c r="M2386" s="35">
        <v>90</v>
      </c>
      <c r="N2386" s="35">
        <v>0</v>
      </c>
      <c r="O2386" s="35">
        <v>0</v>
      </c>
      <c r="P2386" s="35">
        <v>0</v>
      </c>
      <c r="Q2386" s="35">
        <v>0</v>
      </c>
      <c r="R2386" s="36">
        <v>0.17</v>
      </c>
      <c r="S2386" s="50" t="s">
        <v>115</v>
      </c>
      <c r="T2386" s="257">
        <f t="shared" si="81"/>
        <v>450</v>
      </c>
      <c r="U2386" s="257">
        <f t="shared" si="82"/>
        <v>90</v>
      </c>
      <c r="V2386">
        <v>1</v>
      </c>
      <c r="W2386">
        <v>1</v>
      </c>
    </row>
    <row r="2387" spans="1:23" ht="171" x14ac:dyDescent="0.3">
      <c r="A2387" s="214">
        <v>44386</v>
      </c>
      <c r="B2387" s="214">
        <v>44386</v>
      </c>
      <c r="C2387" s="6">
        <v>7</v>
      </c>
      <c r="D2387" s="6">
        <v>1</v>
      </c>
      <c r="E2387" s="33">
        <v>2021</v>
      </c>
      <c r="F2387" s="15" t="s">
        <v>22</v>
      </c>
      <c r="G2387" s="18" t="s">
        <v>6256</v>
      </c>
      <c r="H2387" s="9" t="s">
        <v>48</v>
      </c>
      <c r="I2387" s="34" t="s">
        <v>4077</v>
      </c>
      <c r="J2387" s="58" t="s">
        <v>4088</v>
      </c>
      <c r="K2387" s="33">
        <v>0</v>
      </c>
      <c r="L2387" s="236">
        <v>19</v>
      </c>
      <c r="M2387" s="35">
        <v>4</v>
      </c>
      <c r="N2387" s="35">
        <v>0</v>
      </c>
      <c r="O2387" s="35">
        <v>0</v>
      </c>
      <c r="P2387" s="35">
        <v>0</v>
      </c>
      <c r="Q2387" s="35">
        <v>0</v>
      </c>
      <c r="R2387" s="42">
        <v>2.13081E-2</v>
      </c>
      <c r="S2387" s="7" t="s">
        <v>2777</v>
      </c>
      <c r="T2387" s="257">
        <f t="shared" si="81"/>
        <v>19</v>
      </c>
      <c r="U2387" s="257">
        <f t="shared" si="82"/>
        <v>4</v>
      </c>
      <c r="V2387">
        <v>1</v>
      </c>
      <c r="W2387">
        <v>1</v>
      </c>
    </row>
    <row r="2388" spans="1:23" ht="68.400000000000006" x14ac:dyDescent="0.3">
      <c r="A2388" s="217">
        <v>41822</v>
      </c>
      <c r="B2388" s="217">
        <v>41822</v>
      </c>
      <c r="C2388" s="6">
        <v>7</v>
      </c>
      <c r="D2388" s="6">
        <v>1</v>
      </c>
      <c r="E2388" s="33">
        <v>2014</v>
      </c>
      <c r="F2388" s="15" t="s">
        <v>22</v>
      </c>
      <c r="G2388" s="18" t="s">
        <v>6256</v>
      </c>
      <c r="H2388" s="9" t="s">
        <v>34</v>
      </c>
      <c r="I2388" s="47" t="s">
        <v>3175</v>
      </c>
      <c r="J2388" s="48" t="s">
        <v>4089</v>
      </c>
      <c r="K2388" s="112">
        <v>3</v>
      </c>
      <c r="L2388" s="238">
        <v>3</v>
      </c>
      <c r="M2388" s="35">
        <v>1</v>
      </c>
      <c r="N2388" s="35">
        <v>0</v>
      </c>
      <c r="O2388" s="35">
        <v>0</v>
      </c>
      <c r="P2388" s="35">
        <v>0</v>
      </c>
      <c r="Q2388" s="35">
        <v>0</v>
      </c>
      <c r="R2388" s="36">
        <v>0.12</v>
      </c>
      <c r="S2388" s="50" t="s">
        <v>115</v>
      </c>
      <c r="T2388" s="257">
        <f t="shared" si="81"/>
        <v>6</v>
      </c>
      <c r="U2388" s="257">
        <f t="shared" si="82"/>
        <v>1</v>
      </c>
      <c r="V2388">
        <v>1</v>
      </c>
      <c r="W2388">
        <v>1</v>
      </c>
    </row>
    <row r="2389" spans="1:23" ht="57" x14ac:dyDescent="0.3">
      <c r="A2389" s="217">
        <v>41916</v>
      </c>
      <c r="B2389" s="217">
        <v>41917</v>
      </c>
      <c r="C2389" s="6">
        <v>10</v>
      </c>
      <c r="D2389" s="6">
        <v>2</v>
      </c>
      <c r="E2389" s="33">
        <v>2014</v>
      </c>
      <c r="F2389" s="15" t="s">
        <v>22</v>
      </c>
      <c r="G2389" s="18" t="s">
        <v>6256</v>
      </c>
      <c r="H2389" s="9" t="s">
        <v>51</v>
      </c>
      <c r="I2389" s="47" t="s">
        <v>4090</v>
      </c>
      <c r="J2389" s="48" t="s">
        <v>4091</v>
      </c>
      <c r="K2389" s="49">
        <v>0</v>
      </c>
      <c r="L2389" s="236">
        <v>750</v>
      </c>
      <c r="M2389" s="35">
        <v>150</v>
      </c>
      <c r="N2389" s="35">
        <v>0</v>
      </c>
      <c r="O2389" s="35">
        <v>0</v>
      </c>
      <c r="P2389" s="35">
        <v>0</v>
      </c>
      <c r="Q2389" s="35">
        <v>0</v>
      </c>
      <c r="R2389" s="36">
        <f>0.0055+0.1</f>
        <v>0.10550000000000001</v>
      </c>
      <c r="S2389" s="50" t="s">
        <v>131</v>
      </c>
      <c r="T2389" s="257">
        <f t="shared" si="81"/>
        <v>750</v>
      </c>
      <c r="U2389" s="257">
        <f t="shared" si="82"/>
        <v>150</v>
      </c>
      <c r="V2389">
        <v>1</v>
      </c>
      <c r="W2389">
        <v>1</v>
      </c>
    </row>
    <row r="2390" spans="1:23" ht="79.8" x14ac:dyDescent="0.3">
      <c r="A2390" s="217">
        <v>41687</v>
      </c>
      <c r="B2390" s="217">
        <v>41687</v>
      </c>
      <c r="C2390" s="6">
        <v>2</v>
      </c>
      <c r="D2390" s="6">
        <v>1</v>
      </c>
      <c r="E2390" s="33">
        <v>2014</v>
      </c>
      <c r="F2390" s="7" t="s">
        <v>17</v>
      </c>
      <c r="G2390" s="8" t="s">
        <v>6261</v>
      </c>
      <c r="H2390" s="9" t="s">
        <v>121</v>
      </c>
      <c r="I2390" s="47" t="s">
        <v>4092</v>
      </c>
      <c r="J2390" s="48" t="s">
        <v>4093</v>
      </c>
      <c r="K2390" s="123">
        <v>0</v>
      </c>
      <c r="L2390" s="236">
        <v>180</v>
      </c>
      <c r="M2390" s="35">
        <v>68</v>
      </c>
      <c r="N2390" s="35">
        <v>0</v>
      </c>
      <c r="O2390" s="35">
        <v>0</v>
      </c>
      <c r="P2390" s="35">
        <v>0</v>
      </c>
      <c r="Q2390" s="35">
        <v>0</v>
      </c>
      <c r="R2390" s="36">
        <v>0.1</v>
      </c>
      <c r="S2390" s="50" t="s">
        <v>115</v>
      </c>
      <c r="T2390" s="257">
        <f t="shared" si="81"/>
        <v>180</v>
      </c>
      <c r="U2390" s="257">
        <f t="shared" si="82"/>
        <v>68</v>
      </c>
      <c r="V2390">
        <v>1</v>
      </c>
      <c r="W2390">
        <v>1</v>
      </c>
    </row>
    <row r="2391" spans="1:23" ht="68.400000000000006" x14ac:dyDescent="0.3">
      <c r="A2391" s="217">
        <v>41886</v>
      </c>
      <c r="B2391" s="217">
        <v>41886</v>
      </c>
      <c r="C2391" s="6">
        <v>9</v>
      </c>
      <c r="D2391" s="6">
        <v>1</v>
      </c>
      <c r="E2391" s="33">
        <v>2014</v>
      </c>
      <c r="F2391" s="15" t="s">
        <v>22</v>
      </c>
      <c r="G2391" s="18" t="s">
        <v>6256</v>
      </c>
      <c r="H2391" s="9" t="s">
        <v>46</v>
      </c>
      <c r="I2391" s="47" t="s">
        <v>4094</v>
      </c>
      <c r="J2391" s="48" t="s">
        <v>4095</v>
      </c>
      <c r="K2391" s="49">
        <v>1</v>
      </c>
      <c r="L2391" s="236">
        <v>80</v>
      </c>
      <c r="M2391" s="35">
        <v>16</v>
      </c>
      <c r="N2391" s="35">
        <v>0</v>
      </c>
      <c r="O2391" s="35">
        <v>0</v>
      </c>
      <c r="P2391" s="35">
        <v>0</v>
      </c>
      <c r="Q2391" s="35">
        <v>0</v>
      </c>
      <c r="R2391" s="36">
        <v>8.7999999999999995E-2</v>
      </c>
      <c r="S2391" s="50" t="s">
        <v>115</v>
      </c>
      <c r="T2391" s="257">
        <f t="shared" si="81"/>
        <v>81</v>
      </c>
      <c r="U2391" s="257">
        <f t="shared" si="82"/>
        <v>16</v>
      </c>
      <c r="V2391">
        <v>1</v>
      </c>
      <c r="W2391">
        <v>1</v>
      </c>
    </row>
    <row r="2392" spans="1:23" ht="57" x14ac:dyDescent="0.3">
      <c r="A2392" s="217">
        <v>41929</v>
      </c>
      <c r="B2392" s="217">
        <v>41929</v>
      </c>
      <c r="C2392" s="6">
        <v>10</v>
      </c>
      <c r="D2392" s="6">
        <v>1</v>
      </c>
      <c r="E2392" s="33">
        <v>2014</v>
      </c>
      <c r="F2392" s="15" t="s">
        <v>22</v>
      </c>
      <c r="G2392" s="16" t="s">
        <v>6256</v>
      </c>
      <c r="H2392" s="17" t="s">
        <v>565</v>
      </c>
      <c r="I2392" s="47" t="s">
        <v>970</v>
      </c>
      <c r="J2392" s="48" t="s">
        <v>4096</v>
      </c>
      <c r="K2392" s="49">
        <v>0</v>
      </c>
      <c r="L2392" s="236">
        <v>70</v>
      </c>
      <c r="M2392" s="35">
        <v>14</v>
      </c>
      <c r="N2392" s="35">
        <v>0</v>
      </c>
      <c r="O2392" s="35">
        <v>0</v>
      </c>
      <c r="P2392" s="35">
        <v>0</v>
      </c>
      <c r="Q2392" s="35">
        <v>0</v>
      </c>
      <c r="R2392" s="36">
        <v>0.08</v>
      </c>
      <c r="S2392" s="50" t="s">
        <v>115</v>
      </c>
      <c r="T2392" s="257">
        <f t="shared" si="81"/>
        <v>70</v>
      </c>
      <c r="U2392" s="257">
        <f t="shared" si="82"/>
        <v>14</v>
      </c>
      <c r="V2392">
        <v>1</v>
      </c>
      <c r="W2392">
        <v>1</v>
      </c>
    </row>
    <row r="2393" spans="1:23" ht="57" x14ac:dyDescent="0.3">
      <c r="A2393" s="210">
        <v>41862</v>
      </c>
      <c r="B2393" s="210">
        <v>41862</v>
      </c>
      <c r="C2393" s="6">
        <v>8</v>
      </c>
      <c r="D2393" s="6">
        <v>1</v>
      </c>
      <c r="E2393" s="33">
        <v>2014</v>
      </c>
      <c r="F2393" s="15" t="s">
        <v>22</v>
      </c>
      <c r="G2393" s="18" t="s">
        <v>6256</v>
      </c>
      <c r="H2393" s="9" t="s">
        <v>174</v>
      </c>
      <c r="I2393" s="47" t="s">
        <v>2600</v>
      </c>
      <c r="J2393" s="48" t="s">
        <v>4097</v>
      </c>
      <c r="K2393" s="49">
        <v>0</v>
      </c>
      <c r="L2393" s="236">
        <v>50</v>
      </c>
      <c r="M2393" s="35">
        <v>13</v>
      </c>
      <c r="N2393" s="35">
        <v>0</v>
      </c>
      <c r="O2393" s="35">
        <v>0</v>
      </c>
      <c r="P2393" s="35">
        <v>0</v>
      </c>
      <c r="Q2393" s="35">
        <v>0</v>
      </c>
      <c r="R2393" s="36">
        <v>7.1499999999999994E-2</v>
      </c>
      <c r="S2393" s="50" t="s">
        <v>115</v>
      </c>
      <c r="T2393" s="257">
        <f t="shared" si="81"/>
        <v>50</v>
      </c>
      <c r="U2393" s="257">
        <f t="shared" si="82"/>
        <v>13</v>
      </c>
      <c r="V2393">
        <v>1</v>
      </c>
      <c r="W2393">
        <v>1</v>
      </c>
    </row>
    <row r="2394" spans="1:23" ht="68.400000000000006" x14ac:dyDescent="0.3">
      <c r="A2394" s="217">
        <v>41870</v>
      </c>
      <c r="B2394" s="217">
        <v>41870</v>
      </c>
      <c r="C2394" s="6">
        <v>8</v>
      </c>
      <c r="D2394" s="6">
        <v>1</v>
      </c>
      <c r="E2394" s="33">
        <v>2014</v>
      </c>
      <c r="F2394" s="15" t="s">
        <v>22</v>
      </c>
      <c r="G2394" s="18" t="s">
        <v>6256</v>
      </c>
      <c r="H2394" s="9" t="s">
        <v>74</v>
      </c>
      <c r="I2394" s="47" t="s">
        <v>4098</v>
      </c>
      <c r="J2394" s="48" t="s">
        <v>4099</v>
      </c>
      <c r="K2394" s="49">
        <v>0</v>
      </c>
      <c r="L2394" s="236">
        <v>65</v>
      </c>
      <c r="M2394" s="35">
        <v>13</v>
      </c>
      <c r="N2394" s="35">
        <v>0</v>
      </c>
      <c r="O2394" s="35">
        <v>0</v>
      </c>
      <c r="P2394" s="35">
        <v>0</v>
      </c>
      <c r="Q2394" s="35">
        <v>0</v>
      </c>
      <c r="R2394" s="36">
        <v>7.1499999999999994E-2</v>
      </c>
      <c r="S2394" s="50" t="s">
        <v>115</v>
      </c>
      <c r="T2394" s="257">
        <f t="shared" si="81"/>
        <v>65</v>
      </c>
      <c r="U2394" s="257">
        <f t="shared" si="82"/>
        <v>13</v>
      </c>
      <c r="V2394">
        <v>1</v>
      </c>
      <c r="W2394">
        <v>1</v>
      </c>
    </row>
    <row r="2395" spans="1:23" ht="114" x14ac:dyDescent="0.3">
      <c r="A2395" s="217">
        <v>41873</v>
      </c>
      <c r="B2395" s="217">
        <v>41874</v>
      </c>
      <c r="C2395" s="6">
        <v>8</v>
      </c>
      <c r="D2395" s="6">
        <v>2</v>
      </c>
      <c r="E2395" s="33">
        <v>2014</v>
      </c>
      <c r="F2395" s="15" t="s">
        <v>22</v>
      </c>
      <c r="G2395" s="18" t="s">
        <v>6256</v>
      </c>
      <c r="H2395" s="9" t="s">
        <v>61</v>
      </c>
      <c r="I2395" s="47" t="s">
        <v>1712</v>
      </c>
      <c r="J2395" s="48" t="s">
        <v>4100</v>
      </c>
      <c r="K2395" s="49">
        <v>0</v>
      </c>
      <c r="L2395" s="236">
        <v>65</v>
      </c>
      <c r="M2395" s="35">
        <v>13</v>
      </c>
      <c r="N2395" s="35">
        <v>2</v>
      </c>
      <c r="O2395" s="35">
        <v>0</v>
      </c>
      <c r="P2395" s="35">
        <v>0</v>
      </c>
      <c r="Q2395" s="35">
        <v>0</v>
      </c>
      <c r="R2395" s="36">
        <v>7.1499999999999994E-2</v>
      </c>
      <c r="S2395" s="50" t="s">
        <v>115</v>
      </c>
      <c r="T2395" s="257">
        <f t="shared" si="81"/>
        <v>65</v>
      </c>
      <c r="U2395" s="257">
        <f t="shared" si="82"/>
        <v>15</v>
      </c>
      <c r="V2395">
        <v>1</v>
      </c>
      <c r="W2395">
        <v>1</v>
      </c>
    </row>
    <row r="2396" spans="1:23" ht="57" x14ac:dyDescent="0.3">
      <c r="A2396" s="217">
        <v>41811</v>
      </c>
      <c r="B2396" s="217">
        <v>41811</v>
      </c>
      <c r="C2396" s="6">
        <v>6</v>
      </c>
      <c r="D2396" s="6">
        <v>1</v>
      </c>
      <c r="E2396" s="33">
        <v>2014</v>
      </c>
      <c r="F2396" s="15" t="s">
        <v>22</v>
      </c>
      <c r="G2396" s="18" t="s">
        <v>6256</v>
      </c>
      <c r="H2396" s="9" t="s">
        <v>88</v>
      </c>
      <c r="I2396" s="47" t="s">
        <v>4101</v>
      </c>
      <c r="J2396" s="48" t="s">
        <v>4102</v>
      </c>
      <c r="K2396" s="112">
        <v>1</v>
      </c>
      <c r="L2396" s="249">
        <v>240</v>
      </c>
      <c r="M2396" s="35">
        <v>12</v>
      </c>
      <c r="N2396" s="35">
        <v>0</v>
      </c>
      <c r="O2396" s="35">
        <v>0</v>
      </c>
      <c r="P2396" s="35">
        <v>0</v>
      </c>
      <c r="Q2396" s="35">
        <v>0</v>
      </c>
      <c r="R2396" s="36">
        <v>6.6000000000000003E-2</v>
      </c>
      <c r="S2396" s="50" t="s">
        <v>115</v>
      </c>
      <c r="T2396" s="257">
        <f t="shared" si="81"/>
        <v>241</v>
      </c>
      <c r="U2396" s="257">
        <f t="shared" si="82"/>
        <v>12</v>
      </c>
      <c r="V2396">
        <v>1</v>
      </c>
      <c r="W2396">
        <v>1</v>
      </c>
    </row>
    <row r="2397" spans="1:23" ht="79.8" x14ac:dyDescent="0.3">
      <c r="A2397" s="210">
        <v>41914</v>
      </c>
      <c r="B2397" s="217"/>
      <c r="C2397" s="6">
        <v>10</v>
      </c>
      <c r="D2397" s="6">
        <v>1</v>
      </c>
      <c r="E2397" s="33">
        <v>2014</v>
      </c>
      <c r="F2397" s="7" t="s">
        <v>17</v>
      </c>
      <c r="G2397" s="8" t="s">
        <v>6261</v>
      </c>
      <c r="H2397" s="9" t="s">
        <v>27</v>
      </c>
      <c r="I2397" s="47" t="s">
        <v>671</v>
      </c>
      <c r="J2397" s="48" t="s">
        <v>4103</v>
      </c>
      <c r="K2397" s="49">
        <v>0</v>
      </c>
      <c r="L2397" s="236">
        <v>50</v>
      </c>
      <c r="M2397" s="35">
        <v>10</v>
      </c>
      <c r="N2397" s="35">
        <v>0</v>
      </c>
      <c r="O2397" s="35">
        <v>0</v>
      </c>
      <c r="P2397" s="35">
        <v>0</v>
      </c>
      <c r="Q2397" s="35">
        <v>0</v>
      </c>
      <c r="R2397" s="36">
        <v>5.5E-2</v>
      </c>
      <c r="S2397" s="50" t="s">
        <v>115</v>
      </c>
      <c r="T2397" s="257">
        <f t="shared" si="81"/>
        <v>50</v>
      </c>
      <c r="U2397" s="257">
        <f t="shared" si="82"/>
        <v>10</v>
      </c>
      <c r="V2397">
        <v>1</v>
      </c>
      <c r="W2397">
        <v>1</v>
      </c>
    </row>
    <row r="2398" spans="1:23" ht="68.400000000000006" x14ac:dyDescent="0.3">
      <c r="A2398" s="225">
        <v>42221</v>
      </c>
      <c r="B2398" s="225">
        <v>42221</v>
      </c>
      <c r="C2398" s="6">
        <v>8</v>
      </c>
      <c r="D2398" s="6">
        <v>1</v>
      </c>
      <c r="E2398" s="54">
        <v>2015</v>
      </c>
      <c r="F2398" s="15" t="s">
        <v>22</v>
      </c>
      <c r="G2398" s="18" t="s">
        <v>6256</v>
      </c>
      <c r="H2398" s="9" t="s">
        <v>48</v>
      </c>
      <c r="I2398" s="70" t="s">
        <v>2252</v>
      </c>
      <c r="J2398" s="127" t="s">
        <v>4104</v>
      </c>
      <c r="K2398" s="124">
        <v>0</v>
      </c>
      <c r="L2398" s="246">
        <v>250</v>
      </c>
      <c r="M2398" s="72">
        <v>50</v>
      </c>
      <c r="N2398" s="72">
        <v>0</v>
      </c>
      <c r="O2398" s="72">
        <v>1</v>
      </c>
      <c r="P2398" s="72">
        <v>0</v>
      </c>
      <c r="Q2398" s="72">
        <v>0</v>
      </c>
      <c r="R2398" s="128">
        <v>1.6E-2</v>
      </c>
      <c r="S2398" s="125" t="s">
        <v>115</v>
      </c>
      <c r="T2398" s="257">
        <f t="shared" si="81"/>
        <v>250</v>
      </c>
      <c r="U2398" s="257">
        <f t="shared" si="82"/>
        <v>51</v>
      </c>
      <c r="V2398">
        <v>1</v>
      </c>
      <c r="W2398">
        <v>1</v>
      </c>
    </row>
    <row r="2399" spans="1:23" ht="68.400000000000006" x14ac:dyDescent="0.3">
      <c r="A2399" s="214">
        <v>41874</v>
      </c>
      <c r="B2399" s="214">
        <v>41876</v>
      </c>
      <c r="C2399" s="6">
        <v>8</v>
      </c>
      <c r="D2399" s="6">
        <v>3</v>
      </c>
      <c r="E2399" s="33">
        <v>2014</v>
      </c>
      <c r="F2399" s="15" t="s">
        <v>22</v>
      </c>
      <c r="G2399" s="18" t="s">
        <v>6256</v>
      </c>
      <c r="H2399" s="9" t="s">
        <v>28</v>
      </c>
      <c r="I2399" s="47" t="s">
        <v>211</v>
      </c>
      <c r="J2399" s="48" t="s">
        <v>4105</v>
      </c>
      <c r="K2399" s="49">
        <v>0</v>
      </c>
      <c r="L2399" s="236">
        <v>5000</v>
      </c>
      <c r="M2399" s="35">
        <v>0</v>
      </c>
      <c r="N2399" s="35">
        <v>0</v>
      </c>
      <c r="O2399" s="35">
        <v>0</v>
      </c>
      <c r="P2399" s="35">
        <v>0</v>
      </c>
      <c r="Q2399" s="35">
        <v>0</v>
      </c>
      <c r="R2399" s="36">
        <v>0.04</v>
      </c>
      <c r="S2399" s="50" t="s">
        <v>149</v>
      </c>
      <c r="T2399" s="257">
        <f t="shared" si="81"/>
        <v>5000</v>
      </c>
      <c r="U2399" s="257">
        <f t="shared" si="82"/>
        <v>0</v>
      </c>
      <c r="V2399">
        <v>1</v>
      </c>
      <c r="W2399">
        <v>0</v>
      </c>
    </row>
    <row r="2400" spans="1:23" ht="68.400000000000006" x14ac:dyDescent="0.3">
      <c r="A2400" s="217">
        <v>41912</v>
      </c>
      <c r="B2400" s="217">
        <v>41912</v>
      </c>
      <c r="C2400" s="6">
        <v>9</v>
      </c>
      <c r="D2400" s="6">
        <v>1</v>
      </c>
      <c r="E2400" s="33">
        <v>2014</v>
      </c>
      <c r="F2400" s="15" t="s">
        <v>22</v>
      </c>
      <c r="G2400" s="18" t="s">
        <v>6256</v>
      </c>
      <c r="H2400" s="9" t="s">
        <v>51</v>
      </c>
      <c r="I2400" s="47" t="s">
        <v>4106</v>
      </c>
      <c r="J2400" s="48" t="s">
        <v>4107</v>
      </c>
      <c r="K2400" s="49">
        <v>9</v>
      </c>
      <c r="L2400" s="236">
        <v>10</v>
      </c>
      <c r="M2400" s="35">
        <v>0</v>
      </c>
      <c r="N2400" s="35">
        <v>0</v>
      </c>
      <c r="O2400" s="35">
        <v>0</v>
      </c>
      <c r="P2400" s="35">
        <v>0</v>
      </c>
      <c r="Q2400" s="35">
        <v>0</v>
      </c>
      <c r="R2400" s="36">
        <v>3.9690000000000003E-2</v>
      </c>
      <c r="S2400" s="50" t="s">
        <v>115</v>
      </c>
      <c r="T2400" s="257">
        <f t="shared" si="81"/>
        <v>19</v>
      </c>
      <c r="U2400" s="257">
        <f t="shared" si="82"/>
        <v>0</v>
      </c>
      <c r="V2400">
        <v>1</v>
      </c>
      <c r="W2400">
        <v>0</v>
      </c>
    </row>
    <row r="2401" spans="1:23" ht="57" x14ac:dyDescent="0.3">
      <c r="A2401" s="217">
        <v>41861</v>
      </c>
      <c r="B2401" s="217">
        <v>41861</v>
      </c>
      <c r="C2401" s="6">
        <v>8</v>
      </c>
      <c r="D2401" s="6">
        <v>1</v>
      </c>
      <c r="E2401" s="33">
        <v>2014</v>
      </c>
      <c r="F2401" s="15" t="s">
        <v>22</v>
      </c>
      <c r="G2401" s="18" t="s">
        <v>6256</v>
      </c>
      <c r="H2401" s="9" t="s">
        <v>34</v>
      </c>
      <c r="I2401" s="47" t="s">
        <v>664</v>
      </c>
      <c r="J2401" s="48" t="s">
        <v>4108</v>
      </c>
      <c r="K2401" s="49">
        <v>4</v>
      </c>
      <c r="L2401" s="236">
        <v>9</v>
      </c>
      <c r="M2401" s="35">
        <v>0</v>
      </c>
      <c r="N2401" s="35">
        <v>0</v>
      </c>
      <c r="O2401" s="35">
        <v>0</v>
      </c>
      <c r="P2401" s="35">
        <v>0</v>
      </c>
      <c r="Q2401" s="35">
        <v>0</v>
      </c>
      <c r="R2401" s="36">
        <v>3.9690000000000003E-2</v>
      </c>
      <c r="S2401" s="50" t="s">
        <v>115</v>
      </c>
      <c r="T2401" s="257">
        <f t="shared" si="81"/>
        <v>13</v>
      </c>
      <c r="U2401" s="257">
        <f t="shared" si="82"/>
        <v>0</v>
      </c>
      <c r="V2401">
        <v>1</v>
      </c>
      <c r="W2401">
        <v>0</v>
      </c>
    </row>
    <row r="2402" spans="1:23" ht="57" x14ac:dyDescent="0.3">
      <c r="A2402" s="217">
        <v>41864</v>
      </c>
      <c r="B2402" s="217">
        <v>41864</v>
      </c>
      <c r="C2402" s="6">
        <v>8</v>
      </c>
      <c r="D2402" s="6">
        <v>1</v>
      </c>
      <c r="E2402" s="33">
        <v>2014</v>
      </c>
      <c r="F2402" s="15" t="s">
        <v>22</v>
      </c>
      <c r="G2402" s="18" t="s">
        <v>6256</v>
      </c>
      <c r="H2402" s="9" t="s">
        <v>61</v>
      </c>
      <c r="I2402" s="47" t="s">
        <v>4109</v>
      </c>
      <c r="J2402" s="48" t="s">
        <v>4110</v>
      </c>
      <c r="K2402" s="49">
        <v>3</v>
      </c>
      <c r="L2402" s="236">
        <v>3</v>
      </c>
      <c r="M2402" s="35">
        <v>0</v>
      </c>
      <c r="N2402" s="35">
        <v>0</v>
      </c>
      <c r="O2402" s="35">
        <v>0</v>
      </c>
      <c r="P2402" s="35">
        <v>0</v>
      </c>
      <c r="Q2402" s="35">
        <v>0</v>
      </c>
      <c r="R2402" s="147">
        <v>3.9690000000000003E-2</v>
      </c>
      <c r="S2402" s="50" t="s">
        <v>115</v>
      </c>
      <c r="T2402" s="257">
        <f t="shared" si="81"/>
        <v>6</v>
      </c>
      <c r="U2402" s="257">
        <f t="shared" si="82"/>
        <v>0</v>
      </c>
      <c r="V2402">
        <v>1</v>
      </c>
      <c r="W2402">
        <v>0</v>
      </c>
    </row>
    <row r="2403" spans="1:23" ht="68.400000000000006" x14ac:dyDescent="0.3">
      <c r="A2403" s="217">
        <v>41813</v>
      </c>
      <c r="B2403" s="217">
        <v>41813</v>
      </c>
      <c r="C2403" s="6">
        <v>6</v>
      </c>
      <c r="D2403" s="6">
        <v>1</v>
      </c>
      <c r="E2403" s="33">
        <v>2014</v>
      </c>
      <c r="F2403" s="15" t="s">
        <v>22</v>
      </c>
      <c r="G2403" s="18" t="s">
        <v>6256</v>
      </c>
      <c r="H2403" s="9" t="s">
        <v>61</v>
      </c>
      <c r="I2403" s="47" t="s">
        <v>4111</v>
      </c>
      <c r="J2403" s="48" t="s">
        <v>4112</v>
      </c>
      <c r="K2403" s="112">
        <v>1</v>
      </c>
      <c r="L2403" s="236">
        <v>4</v>
      </c>
      <c r="M2403" s="35">
        <v>0</v>
      </c>
      <c r="N2403" s="35">
        <v>0</v>
      </c>
      <c r="O2403" s="35">
        <v>0</v>
      </c>
      <c r="P2403" s="35">
        <v>0</v>
      </c>
      <c r="Q2403" s="35">
        <v>0</v>
      </c>
      <c r="R2403" s="36">
        <v>3.9690000000000003E-2</v>
      </c>
      <c r="S2403" s="50" t="s">
        <v>115</v>
      </c>
      <c r="T2403" s="257">
        <f t="shared" si="81"/>
        <v>5</v>
      </c>
      <c r="U2403" s="257">
        <f t="shared" si="82"/>
        <v>0</v>
      </c>
      <c r="V2403">
        <v>1</v>
      </c>
      <c r="W2403">
        <v>0</v>
      </c>
    </row>
    <row r="2404" spans="1:23" ht="79.8" x14ac:dyDescent="0.3">
      <c r="A2404" s="217">
        <v>41843</v>
      </c>
      <c r="B2404" s="217">
        <v>41843</v>
      </c>
      <c r="C2404" s="6">
        <v>7</v>
      </c>
      <c r="D2404" s="6">
        <v>1</v>
      </c>
      <c r="E2404" s="33">
        <v>2014</v>
      </c>
      <c r="F2404" s="15" t="s">
        <v>22</v>
      </c>
      <c r="G2404" s="18" t="s">
        <v>6256</v>
      </c>
      <c r="H2404" s="9" t="s">
        <v>43</v>
      </c>
      <c r="I2404" s="47" t="s">
        <v>305</v>
      </c>
      <c r="J2404" s="48" t="s">
        <v>4113</v>
      </c>
      <c r="K2404" s="112">
        <v>0</v>
      </c>
      <c r="L2404" s="236">
        <v>3</v>
      </c>
      <c r="M2404" s="35">
        <v>0</v>
      </c>
      <c r="N2404" s="35">
        <v>0</v>
      </c>
      <c r="O2404" s="35">
        <v>0</v>
      </c>
      <c r="P2404" s="35">
        <v>1</v>
      </c>
      <c r="Q2404" s="35">
        <v>0</v>
      </c>
      <c r="R2404" s="36">
        <v>3.9690000000000003E-2</v>
      </c>
      <c r="S2404" s="50" t="s">
        <v>115</v>
      </c>
      <c r="T2404" s="257">
        <f t="shared" si="81"/>
        <v>3</v>
      </c>
      <c r="U2404" s="257">
        <f t="shared" si="82"/>
        <v>1</v>
      </c>
      <c r="V2404">
        <v>1</v>
      </c>
      <c r="W2404">
        <v>1</v>
      </c>
    </row>
    <row r="2405" spans="1:23" ht="91.2" x14ac:dyDescent="0.3">
      <c r="A2405" s="217">
        <v>41865</v>
      </c>
      <c r="B2405" s="217">
        <v>41865</v>
      </c>
      <c r="C2405" s="6">
        <v>8</v>
      </c>
      <c r="D2405" s="6">
        <v>1</v>
      </c>
      <c r="E2405" s="33">
        <v>2014</v>
      </c>
      <c r="F2405" s="15" t="s">
        <v>22</v>
      </c>
      <c r="G2405" s="18" t="s">
        <v>6256</v>
      </c>
      <c r="H2405" s="9" t="s">
        <v>74</v>
      </c>
      <c r="I2405" s="47" t="s">
        <v>350</v>
      </c>
      <c r="J2405" s="48" t="s">
        <v>4114</v>
      </c>
      <c r="K2405" s="49">
        <v>0</v>
      </c>
      <c r="L2405" s="236">
        <v>3</v>
      </c>
      <c r="M2405" s="35">
        <v>0</v>
      </c>
      <c r="N2405" s="35">
        <v>0</v>
      </c>
      <c r="O2405" s="35">
        <v>0</v>
      </c>
      <c r="P2405" s="35">
        <v>0</v>
      </c>
      <c r="Q2405" s="35">
        <v>0</v>
      </c>
      <c r="R2405" s="36">
        <v>3.9690000000000003E-2</v>
      </c>
      <c r="S2405" s="50" t="s">
        <v>115</v>
      </c>
      <c r="T2405" s="257">
        <f t="shared" si="81"/>
        <v>3</v>
      </c>
      <c r="U2405" s="257">
        <f t="shared" si="82"/>
        <v>0</v>
      </c>
      <c r="V2405">
        <v>1</v>
      </c>
      <c r="W2405">
        <v>0</v>
      </c>
    </row>
    <row r="2406" spans="1:23" ht="79.8" x14ac:dyDescent="0.3">
      <c r="A2406" s="217">
        <v>41786</v>
      </c>
      <c r="B2406" s="217">
        <v>41786</v>
      </c>
      <c r="C2406" s="6">
        <v>5</v>
      </c>
      <c r="D2406" s="6">
        <v>1</v>
      </c>
      <c r="E2406" s="33">
        <v>2014</v>
      </c>
      <c r="F2406" s="15" t="s">
        <v>22</v>
      </c>
      <c r="G2406" s="18" t="s">
        <v>6256</v>
      </c>
      <c r="H2406" s="9" t="s">
        <v>52</v>
      </c>
      <c r="I2406" s="47" t="s">
        <v>4115</v>
      </c>
      <c r="J2406" s="48" t="s">
        <v>4116</v>
      </c>
      <c r="K2406" s="123">
        <v>2</v>
      </c>
      <c r="L2406" s="236">
        <v>30</v>
      </c>
      <c r="M2406" s="35">
        <v>6</v>
      </c>
      <c r="N2406" s="35">
        <v>0</v>
      </c>
      <c r="O2406" s="35">
        <v>0</v>
      </c>
      <c r="P2406" s="35">
        <v>0</v>
      </c>
      <c r="Q2406" s="35">
        <v>0</v>
      </c>
      <c r="R2406" s="36">
        <v>3.3000000000000002E-2</v>
      </c>
      <c r="S2406" s="50" t="s">
        <v>115</v>
      </c>
      <c r="T2406" s="257">
        <f t="shared" si="81"/>
        <v>32</v>
      </c>
      <c r="U2406" s="257">
        <f t="shared" si="82"/>
        <v>6</v>
      </c>
      <c r="V2406">
        <v>1</v>
      </c>
      <c r="W2406">
        <v>1</v>
      </c>
    </row>
    <row r="2407" spans="1:23" ht="57" x14ac:dyDescent="0.3">
      <c r="A2407" s="217">
        <v>41875</v>
      </c>
      <c r="B2407" s="217">
        <v>41879</v>
      </c>
      <c r="C2407" s="6">
        <v>8</v>
      </c>
      <c r="D2407" s="6">
        <v>5</v>
      </c>
      <c r="E2407" s="33">
        <v>2014</v>
      </c>
      <c r="F2407" s="15" t="s">
        <v>22</v>
      </c>
      <c r="G2407" s="18" t="s">
        <v>6254</v>
      </c>
      <c r="H2407" s="9" t="s">
        <v>72</v>
      </c>
      <c r="I2407" s="47" t="s">
        <v>1503</v>
      </c>
      <c r="J2407" s="48" t="s">
        <v>4117</v>
      </c>
      <c r="K2407" s="49">
        <v>0</v>
      </c>
      <c r="L2407" s="236">
        <v>137</v>
      </c>
      <c r="M2407" s="35">
        <v>6</v>
      </c>
      <c r="N2407" s="35">
        <v>0</v>
      </c>
      <c r="O2407" s="35">
        <v>0</v>
      </c>
      <c r="P2407" s="35">
        <v>107</v>
      </c>
      <c r="Q2407" s="35">
        <v>0</v>
      </c>
      <c r="R2407" s="36">
        <v>3.3000000000000002E-2</v>
      </c>
      <c r="S2407" s="50" t="s">
        <v>115</v>
      </c>
      <c r="T2407" s="257">
        <f t="shared" si="81"/>
        <v>137</v>
      </c>
      <c r="U2407" s="257">
        <f t="shared" si="82"/>
        <v>113</v>
      </c>
      <c r="V2407">
        <v>1</v>
      </c>
      <c r="W2407">
        <v>1</v>
      </c>
    </row>
    <row r="2408" spans="1:23" ht="68.400000000000006" x14ac:dyDescent="0.3">
      <c r="A2408" s="217">
        <v>41804</v>
      </c>
      <c r="B2408" s="217">
        <v>41804</v>
      </c>
      <c r="C2408" s="6">
        <v>6</v>
      </c>
      <c r="D2408" s="6">
        <v>1</v>
      </c>
      <c r="E2408" s="33">
        <v>2014</v>
      </c>
      <c r="F2408" s="15" t="s">
        <v>22</v>
      </c>
      <c r="G2408" s="18" t="s">
        <v>6256</v>
      </c>
      <c r="H2408" s="9" t="s">
        <v>31</v>
      </c>
      <c r="I2408" s="47" t="s">
        <v>4118</v>
      </c>
      <c r="J2408" s="48" t="s">
        <v>4119</v>
      </c>
      <c r="K2408" s="112">
        <v>1</v>
      </c>
      <c r="L2408" s="249">
        <v>5</v>
      </c>
      <c r="M2408" s="145">
        <v>1</v>
      </c>
      <c r="N2408" s="35">
        <v>0</v>
      </c>
      <c r="O2408" s="35">
        <v>0</v>
      </c>
      <c r="P2408" s="35">
        <v>0</v>
      </c>
      <c r="Q2408" s="35">
        <v>0</v>
      </c>
      <c r="R2408" s="36">
        <v>2.8000000000000001E-2</v>
      </c>
      <c r="S2408" s="50" t="s">
        <v>115</v>
      </c>
      <c r="T2408" s="257">
        <f t="shared" si="81"/>
        <v>6</v>
      </c>
      <c r="U2408" s="257">
        <f t="shared" si="82"/>
        <v>1</v>
      </c>
      <c r="V2408">
        <v>1</v>
      </c>
      <c r="W2408">
        <v>1</v>
      </c>
    </row>
    <row r="2409" spans="1:23" ht="79.8" x14ac:dyDescent="0.3">
      <c r="A2409" s="214">
        <v>44451</v>
      </c>
      <c r="B2409" s="214">
        <v>44453</v>
      </c>
      <c r="C2409" s="6">
        <v>9</v>
      </c>
      <c r="D2409" s="6">
        <v>3</v>
      </c>
      <c r="E2409" s="33">
        <v>2021</v>
      </c>
      <c r="F2409" s="15" t="s">
        <v>22</v>
      </c>
      <c r="G2409" s="18" t="s">
        <v>6256</v>
      </c>
      <c r="H2409" s="9" t="s">
        <v>48</v>
      </c>
      <c r="I2409" s="34" t="s">
        <v>4120</v>
      </c>
      <c r="J2409" s="58" t="s">
        <v>4121</v>
      </c>
      <c r="K2409" s="33">
        <v>0</v>
      </c>
      <c r="L2409" s="236">
        <v>44</v>
      </c>
      <c r="M2409" s="35">
        <v>11</v>
      </c>
      <c r="N2409" s="35">
        <v>0</v>
      </c>
      <c r="O2409" s="35">
        <v>0</v>
      </c>
      <c r="P2409" s="35">
        <v>0</v>
      </c>
      <c r="Q2409" s="35">
        <v>0</v>
      </c>
      <c r="R2409" s="42">
        <v>1.4674275000000002E-2</v>
      </c>
      <c r="S2409" s="7" t="s">
        <v>2777</v>
      </c>
      <c r="T2409" s="257">
        <f t="shared" si="81"/>
        <v>44</v>
      </c>
      <c r="U2409" s="257">
        <f t="shared" si="82"/>
        <v>11</v>
      </c>
      <c r="V2409">
        <v>1</v>
      </c>
      <c r="W2409">
        <v>1</v>
      </c>
    </row>
    <row r="2410" spans="1:23" ht="68.400000000000006" x14ac:dyDescent="0.3">
      <c r="A2410" s="129">
        <v>37767</v>
      </c>
      <c r="B2410" s="129">
        <v>37767</v>
      </c>
      <c r="C2410" s="6">
        <v>5</v>
      </c>
      <c r="D2410" s="6">
        <v>1</v>
      </c>
      <c r="E2410" s="19">
        <v>2003</v>
      </c>
      <c r="F2410" s="15" t="s">
        <v>22</v>
      </c>
      <c r="G2410" s="18" t="s">
        <v>6256</v>
      </c>
      <c r="H2410" s="9" t="s">
        <v>48</v>
      </c>
      <c r="I2410" s="17" t="s">
        <v>4122</v>
      </c>
      <c r="J2410" s="17" t="s">
        <v>4123</v>
      </c>
      <c r="K2410" s="23">
        <v>3</v>
      </c>
      <c r="L2410" s="234">
        <v>24</v>
      </c>
      <c r="M2410" s="23">
        <v>4</v>
      </c>
      <c r="N2410" s="23">
        <v>0</v>
      </c>
      <c r="O2410" s="37">
        <v>0</v>
      </c>
      <c r="P2410" s="37">
        <v>0</v>
      </c>
      <c r="Q2410" s="23">
        <v>0</v>
      </c>
      <c r="R2410" s="24">
        <v>1.0999999999999999E-2</v>
      </c>
      <c r="S2410" s="7" t="s">
        <v>115</v>
      </c>
      <c r="T2410" s="257">
        <f t="shared" si="81"/>
        <v>27</v>
      </c>
      <c r="U2410" s="257">
        <f t="shared" si="82"/>
        <v>4</v>
      </c>
      <c r="V2410">
        <v>1</v>
      </c>
      <c r="W2410">
        <v>1</v>
      </c>
    </row>
    <row r="2411" spans="1:23" ht="91.2" x14ac:dyDescent="0.3">
      <c r="A2411" s="217">
        <v>41872</v>
      </c>
      <c r="B2411" s="217">
        <v>41872</v>
      </c>
      <c r="C2411" s="6">
        <v>8</v>
      </c>
      <c r="D2411" s="6">
        <v>1</v>
      </c>
      <c r="E2411" s="33">
        <v>2014</v>
      </c>
      <c r="F2411" s="15" t="s">
        <v>22</v>
      </c>
      <c r="G2411" s="82" t="s">
        <v>6256</v>
      </c>
      <c r="H2411" s="9" t="s">
        <v>27</v>
      </c>
      <c r="I2411" s="47" t="s">
        <v>652</v>
      </c>
      <c r="J2411" s="48" t="s">
        <v>4124</v>
      </c>
      <c r="K2411" s="49">
        <v>0</v>
      </c>
      <c r="L2411" s="236">
        <v>20</v>
      </c>
      <c r="M2411" s="35">
        <v>4</v>
      </c>
      <c r="N2411" s="35">
        <v>1</v>
      </c>
      <c r="O2411" s="35">
        <v>1</v>
      </c>
      <c r="P2411" s="35">
        <v>0</v>
      </c>
      <c r="Q2411" s="35">
        <v>0</v>
      </c>
      <c r="R2411" s="36">
        <v>2.1999999999999999E-2</v>
      </c>
      <c r="S2411" s="50" t="s">
        <v>115</v>
      </c>
      <c r="T2411" s="257">
        <f t="shared" si="81"/>
        <v>20</v>
      </c>
      <c r="U2411" s="257">
        <f t="shared" si="82"/>
        <v>6</v>
      </c>
      <c r="V2411">
        <v>1</v>
      </c>
      <c r="W2411">
        <v>1</v>
      </c>
    </row>
    <row r="2412" spans="1:23" ht="68.400000000000006" x14ac:dyDescent="0.3">
      <c r="A2412" s="217">
        <v>41816</v>
      </c>
      <c r="B2412" s="217">
        <v>41816</v>
      </c>
      <c r="C2412" s="6">
        <v>6</v>
      </c>
      <c r="D2412" s="6">
        <v>1</v>
      </c>
      <c r="E2412" s="33">
        <v>2014</v>
      </c>
      <c r="F2412" s="7" t="s">
        <v>17</v>
      </c>
      <c r="G2412" s="8" t="s">
        <v>6261</v>
      </c>
      <c r="H2412" s="9" t="s">
        <v>43</v>
      </c>
      <c r="I2412" s="47" t="s">
        <v>629</v>
      </c>
      <c r="J2412" s="48" t="s">
        <v>4125</v>
      </c>
      <c r="K2412" s="112">
        <v>2</v>
      </c>
      <c r="L2412" s="249">
        <v>9</v>
      </c>
      <c r="M2412" s="35">
        <v>2</v>
      </c>
      <c r="N2412" s="35">
        <v>0</v>
      </c>
      <c r="O2412" s="35">
        <v>0</v>
      </c>
      <c r="P2412" s="35">
        <v>0</v>
      </c>
      <c r="Q2412" s="35">
        <v>0</v>
      </c>
      <c r="R2412" s="36">
        <v>1.0999999999999999E-2</v>
      </c>
      <c r="S2412" s="50" t="s">
        <v>115</v>
      </c>
      <c r="T2412" s="257">
        <f t="shared" si="81"/>
        <v>11</v>
      </c>
      <c r="U2412" s="257">
        <f t="shared" si="82"/>
        <v>2</v>
      </c>
      <c r="V2412">
        <v>1</v>
      </c>
      <c r="W2412">
        <v>1</v>
      </c>
    </row>
    <row r="2413" spans="1:23" ht="91.2" x14ac:dyDescent="0.3">
      <c r="A2413" s="217">
        <v>41817</v>
      </c>
      <c r="B2413" s="217">
        <v>41817</v>
      </c>
      <c r="C2413" s="6">
        <v>6</v>
      </c>
      <c r="D2413" s="6">
        <v>1</v>
      </c>
      <c r="E2413" s="33">
        <v>2014</v>
      </c>
      <c r="F2413" s="15" t="s">
        <v>22</v>
      </c>
      <c r="G2413" s="18" t="s">
        <v>6256</v>
      </c>
      <c r="H2413" s="9" t="s">
        <v>51</v>
      </c>
      <c r="I2413" s="47" t="s">
        <v>676</v>
      </c>
      <c r="J2413" s="48" t="s">
        <v>4126</v>
      </c>
      <c r="K2413" s="112">
        <v>0</v>
      </c>
      <c r="L2413" s="249">
        <v>20</v>
      </c>
      <c r="M2413" s="35">
        <v>4</v>
      </c>
      <c r="N2413" s="35">
        <v>0</v>
      </c>
      <c r="O2413" s="35">
        <v>0</v>
      </c>
      <c r="P2413" s="35">
        <v>0</v>
      </c>
      <c r="Q2413" s="35">
        <v>0</v>
      </c>
      <c r="R2413" s="36">
        <v>5.4999999999999997E-3</v>
      </c>
      <c r="S2413" s="50" t="s">
        <v>115</v>
      </c>
      <c r="T2413" s="257">
        <f t="shared" si="81"/>
        <v>20</v>
      </c>
      <c r="U2413" s="257">
        <f t="shared" si="82"/>
        <v>4</v>
      </c>
      <c r="V2413">
        <v>1</v>
      </c>
      <c r="W2413">
        <v>1</v>
      </c>
    </row>
    <row r="2414" spans="1:23" ht="34.200000000000003" x14ac:dyDescent="0.3">
      <c r="A2414" s="228">
        <v>41640</v>
      </c>
      <c r="B2414" s="228">
        <v>41670</v>
      </c>
      <c r="C2414" s="6">
        <v>1</v>
      </c>
      <c r="D2414" s="6">
        <v>31</v>
      </c>
      <c r="E2414" s="33">
        <v>2014</v>
      </c>
      <c r="F2414" s="15" t="s">
        <v>22</v>
      </c>
      <c r="G2414" s="9" t="s">
        <v>6258</v>
      </c>
      <c r="H2414" s="9" t="s">
        <v>27</v>
      </c>
      <c r="I2414" s="47" t="s">
        <v>25</v>
      </c>
      <c r="J2414" s="48" t="s">
        <v>4127</v>
      </c>
      <c r="K2414" s="49">
        <v>9</v>
      </c>
      <c r="L2414" s="236">
        <f>(19+45+1+9)*1</f>
        <v>74</v>
      </c>
      <c r="M2414" s="35">
        <v>0</v>
      </c>
      <c r="N2414" s="35">
        <v>0</v>
      </c>
      <c r="O2414" s="35">
        <v>0</v>
      </c>
      <c r="P2414" s="35">
        <v>0</v>
      </c>
      <c r="Q2414" s="35">
        <v>0</v>
      </c>
      <c r="R2414" s="36">
        <v>0</v>
      </c>
      <c r="S2414" s="148" t="s">
        <v>1219</v>
      </c>
      <c r="T2414" s="257">
        <f t="shared" si="81"/>
        <v>83</v>
      </c>
      <c r="U2414" s="257">
        <f t="shared" si="82"/>
        <v>0</v>
      </c>
      <c r="V2414">
        <v>1</v>
      </c>
      <c r="W2414">
        <v>0</v>
      </c>
    </row>
    <row r="2415" spans="1:23" ht="34.200000000000003" x14ac:dyDescent="0.3">
      <c r="A2415" s="228">
        <v>41640</v>
      </c>
      <c r="B2415" s="228">
        <v>41670</v>
      </c>
      <c r="C2415" s="6">
        <v>1</v>
      </c>
      <c r="D2415" s="6">
        <v>31</v>
      </c>
      <c r="E2415" s="33">
        <v>2014</v>
      </c>
      <c r="F2415" s="15" t="s">
        <v>22</v>
      </c>
      <c r="G2415" s="9" t="s">
        <v>6258</v>
      </c>
      <c r="H2415" s="9" t="s">
        <v>74</v>
      </c>
      <c r="I2415" s="47" t="s">
        <v>25</v>
      </c>
      <c r="J2415" s="48" t="s">
        <v>4128</v>
      </c>
      <c r="K2415" s="49">
        <v>8</v>
      </c>
      <c r="L2415" s="236">
        <f>(296+8)*1</f>
        <v>304</v>
      </c>
      <c r="M2415" s="35">
        <v>0</v>
      </c>
      <c r="N2415" s="35">
        <v>0</v>
      </c>
      <c r="O2415" s="35">
        <v>0</v>
      </c>
      <c r="P2415" s="35">
        <v>0</v>
      </c>
      <c r="Q2415" s="35">
        <v>0</v>
      </c>
      <c r="R2415" s="36">
        <v>0</v>
      </c>
      <c r="S2415" s="148" t="s">
        <v>1219</v>
      </c>
      <c r="T2415" s="257">
        <f t="shared" si="81"/>
        <v>312</v>
      </c>
      <c r="U2415" s="257">
        <f t="shared" si="82"/>
        <v>0</v>
      </c>
      <c r="V2415">
        <v>1</v>
      </c>
      <c r="W2415">
        <v>0</v>
      </c>
    </row>
    <row r="2416" spans="1:23" ht="57" x14ac:dyDescent="0.3">
      <c r="A2416" s="228">
        <v>41640</v>
      </c>
      <c r="B2416" s="228">
        <v>42004</v>
      </c>
      <c r="C2416" s="6">
        <v>1</v>
      </c>
      <c r="D2416" s="6">
        <v>365</v>
      </c>
      <c r="E2416" s="33">
        <v>2014</v>
      </c>
      <c r="F2416" s="15" t="s">
        <v>22</v>
      </c>
      <c r="G2416" s="18" t="s">
        <v>6255</v>
      </c>
      <c r="H2416" s="9" t="s">
        <v>34</v>
      </c>
      <c r="I2416" s="149" t="s">
        <v>1109</v>
      </c>
      <c r="J2416" s="149" t="s">
        <v>4129</v>
      </c>
      <c r="K2416" s="148">
        <v>7</v>
      </c>
      <c r="L2416" s="236">
        <v>185</v>
      </c>
      <c r="M2416" s="150">
        <v>0</v>
      </c>
      <c r="N2416" s="150">
        <v>0</v>
      </c>
      <c r="O2416" s="150">
        <v>0</v>
      </c>
      <c r="P2416" s="150">
        <v>0</v>
      </c>
      <c r="Q2416" s="150">
        <v>0</v>
      </c>
      <c r="R2416" s="36">
        <v>0</v>
      </c>
      <c r="S2416" s="148" t="s">
        <v>1219</v>
      </c>
      <c r="T2416" s="257">
        <f t="shared" si="81"/>
        <v>192</v>
      </c>
      <c r="U2416" s="257">
        <f t="shared" si="82"/>
        <v>0</v>
      </c>
      <c r="V2416">
        <v>1</v>
      </c>
      <c r="W2416">
        <v>0</v>
      </c>
    </row>
    <row r="2417" spans="1:23" ht="68.400000000000006" x14ac:dyDescent="0.3">
      <c r="A2417" s="217">
        <v>41759</v>
      </c>
      <c r="B2417" s="217">
        <v>41759</v>
      </c>
      <c r="C2417" s="6">
        <v>4</v>
      </c>
      <c r="D2417" s="6">
        <v>1</v>
      </c>
      <c r="E2417" s="33">
        <v>2014</v>
      </c>
      <c r="F2417" s="15" t="s">
        <v>22</v>
      </c>
      <c r="G2417" s="18" t="s">
        <v>6256</v>
      </c>
      <c r="H2417" s="9" t="s">
        <v>64</v>
      </c>
      <c r="I2417" s="47" t="s">
        <v>3044</v>
      </c>
      <c r="J2417" s="48" t="s">
        <v>4130</v>
      </c>
      <c r="K2417" s="123">
        <v>7</v>
      </c>
      <c r="L2417" s="236">
        <v>7</v>
      </c>
      <c r="M2417" s="35">
        <v>0</v>
      </c>
      <c r="N2417" s="35">
        <v>0</v>
      </c>
      <c r="O2417" s="35">
        <v>0</v>
      </c>
      <c r="P2417" s="35">
        <v>0</v>
      </c>
      <c r="Q2417" s="35">
        <v>0</v>
      </c>
      <c r="R2417" s="36">
        <v>0</v>
      </c>
      <c r="S2417" s="50" t="s">
        <v>115</v>
      </c>
      <c r="T2417" s="257">
        <f t="shared" si="81"/>
        <v>14</v>
      </c>
      <c r="U2417" s="257">
        <f t="shared" si="82"/>
        <v>0</v>
      </c>
      <c r="V2417">
        <v>1</v>
      </c>
      <c r="W2417">
        <v>0</v>
      </c>
    </row>
    <row r="2418" spans="1:23" ht="34.200000000000003" x14ac:dyDescent="0.3">
      <c r="A2418" s="228">
        <v>41640</v>
      </c>
      <c r="B2418" s="228">
        <v>41670</v>
      </c>
      <c r="C2418" s="6">
        <v>1</v>
      </c>
      <c r="D2418" s="6">
        <v>31</v>
      </c>
      <c r="E2418" s="33">
        <v>2014</v>
      </c>
      <c r="F2418" s="15" t="s">
        <v>22</v>
      </c>
      <c r="G2418" s="18" t="s">
        <v>6255</v>
      </c>
      <c r="H2418" s="9" t="s">
        <v>74</v>
      </c>
      <c r="I2418" s="149" t="s">
        <v>1109</v>
      </c>
      <c r="J2418" s="149" t="s">
        <v>4132</v>
      </c>
      <c r="K2418" s="148">
        <v>3</v>
      </c>
      <c r="L2418" s="236">
        <v>32</v>
      </c>
      <c r="M2418" s="150">
        <v>0</v>
      </c>
      <c r="N2418" s="150">
        <v>0</v>
      </c>
      <c r="O2418" s="150">
        <v>0</v>
      </c>
      <c r="P2418" s="150">
        <v>0</v>
      </c>
      <c r="Q2418" s="150">
        <v>0</v>
      </c>
      <c r="R2418" s="36">
        <v>0</v>
      </c>
      <c r="S2418" s="148" t="s">
        <v>1219</v>
      </c>
      <c r="T2418" s="257">
        <f t="shared" si="81"/>
        <v>35</v>
      </c>
      <c r="U2418" s="257">
        <f t="shared" si="82"/>
        <v>0</v>
      </c>
      <c r="V2418">
        <v>1</v>
      </c>
      <c r="W2418">
        <v>0</v>
      </c>
    </row>
    <row r="2419" spans="1:23" ht="34.200000000000003" x14ac:dyDescent="0.3">
      <c r="A2419" s="228">
        <v>41640</v>
      </c>
      <c r="B2419" s="228">
        <v>41670</v>
      </c>
      <c r="C2419" s="6">
        <v>1</v>
      </c>
      <c r="D2419" s="6">
        <v>31</v>
      </c>
      <c r="E2419" s="33">
        <v>2014</v>
      </c>
      <c r="F2419" s="15" t="s">
        <v>22</v>
      </c>
      <c r="G2419" s="18" t="s">
        <v>6255</v>
      </c>
      <c r="H2419" s="9" t="s">
        <v>70</v>
      </c>
      <c r="I2419" s="149" t="s">
        <v>1109</v>
      </c>
      <c r="J2419" s="149" t="s">
        <v>4133</v>
      </c>
      <c r="K2419" s="148">
        <v>3</v>
      </c>
      <c r="L2419" s="236">
        <v>5</v>
      </c>
      <c r="M2419" s="150">
        <v>0</v>
      </c>
      <c r="N2419" s="150">
        <v>0</v>
      </c>
      <c r="O2419" s="150">
        <v>0</v>
      </c>
      <c r="P2419" s="150">
        <v>0</v>
      </c>
      <c r="Q2419" s="150">
        <v>0</v>
      </c>
      <c r="R2419" s="36">
        <v>0</v>
      </c>
      <c r="S2419" s="148" t="s">
        <v>1219</v>
      </c>
      <c r="T2419" s="257">
        <f t="shared" si="81"/>
        <v>8</v>
      </c>
      <c r="U2419" s="257">
        <f t="shared" si="82"/>
        <v>0</v>
      </c>
      <c r="V2419">
        <v>1</v>
      </c>
      <c r="W2419">
        <v>0</v>
      </c>
    </row>
    <row r="2420" spans="1:23" ht="57" x14ac:dyDescent="0.3">
      <c r="A2420" s="217">
        <v>41800</v>
      </c>
      <c r="B2420" s="217">
        <v>41800</v>
      </c>
      <c r="C2420" s="6">
        <v>6</v>
      </c>
      <c r="D2420" s="6">
        <v>1</v>
      </c>
      <c r="E2420" s="33">
        <v>2014</v>
      </c>
      <c r="F2420" s="15" t="s">
        <v>22</v>
      </c>
      <c r="G2420" s="18" t="s">
        <v>6256</v>
      </c>
      <c r="H2420" s="9" t="s">
        <v>64</v>
      </c>
      <c r="I2420" s="47" t="s">
        <v>64</v>
      </c>
      <c r="J2420" s="48" t="s">
        <v>4134</v>
      </c>
      <c r="K2420" s="112">
        <v>3</v>
      </c>
      <c r="L2420" s="249">
        <v>3</v>
      </c>
      <c r="M2420" s="35">
        <v>0</v>
      </c>
      <c r="N2420" s="35">
        <v>0</v>
      </c>
      <c r="O2420" s="35">
        <v>0</v>
      </c>
      <c r="P2420" s="35">
        <v>0</v>
      </c>
      <c r="Q2420" s="35">
        <v>0</v>
      </c>
      <c r="R2420" s="36">
        <v>0</v>
      </c>
      <c r="S2420" s="50" t="s">
        <v>115</v>
      </c>
      <c r="T2420" s="257">
        <f t="shared" si="81"/>
        <v>6</v>
      </c>
      <c r="U2420" s="257">
        <f t="shared" si="82"/>
        <v>0</v>
      </c>
      <c r="V2420">
        <v>1</v>
      </c>
      <c r="W2420">
        <v>0</v>
      </c>
    </row>
    <row r="2421" spans="1:23" ht="57" x14ac:dyDescent="0.3">
      <c r="A2421" s="210">
        <v>41901</v>
      </c>
      <c r="B2421" s="210">
        <v>41901</v>
      </c>
      <c r="C2421" s="6">
        <v>9</v>
      </c>
      <c r="D2421" s="6">
        <v>1</v>
      </c>
      <c r="E2421" s="33">
        <v>2014</v>
      </c>
      <c r="F2421" s="15" t="s">
        <v>22</v>
      </c>
      <c r="G2421" s="18" t="s">
        <v>6256</v>
      </c>
      <c r="H2421" s="9" t="s">
        <v>57</v>
      </c>
      <c r="I2421" s="47" t="s">
        <v>1471</v>
      </c>
      <c r="J2421" s="48" t="s">
        <v>4135</v>
      </c>
      <c r="K2421" s="49">
        <v>3</v>
      </c>
      <c r="L2421" s="236">
        <v>5</v>
      </c>
      <c r="M2421" s="35">
        <v>0</v>
      </c>
      <c r="N2421" s="35">
        <v>0</v>
      </c>
      <c r="O2421" s="35">
        <v>0</v>
      </c>
      <c r="P2421" s="35">
        <v>0</v>
      </c>
      <c r="Q2421" s="35">
        <v>0</v>
      </c>
      <c r="R2421" s="36">
        <v>0</v>
      </c>
      <c r="S2421" s="50" t="s">
        <v>115</v>
      </c>
      <c r="T2421" s="257">
        <f t="shared" si="81"/>
        <v>8</v>
      </c>
      <c r="U2421" s="257">
        <f t="shared" si="82"/>
        <v>0</v>
      </c>
      <c r="V2421">
        <v>1</v>
      </c>
      <c r="W2421">
        <v>0</v>
      </c>
    </row>
    <row r="2422" spans="1:23" ht="45.6" x14ac:dyDescent="0.3">
      <c r="A2422" s="228">
        <v>41640</v>
      </c>
      <c r="B2422" s="228">
        <v>41670</v>
      </c>
      <c r="C2422" s="6">
        <v>1</v>
      </c>
      <c r="D2422" s="6">
        <v>31</v>
      </c>
      <c r="E2422" s="33">
        <v>2014</v>
      </c>
      <c r="F2422" s="15" t="s">
        <v>22</v>
      </c>
      <c r="G2422" s="18" t="s">
        <v>6255</v>
      </c>
      <c r="H2422" s="9" t="s">
        <v>78</v>
      </c>
      <c r="I2422" s="149" t="s">
        <v>1109</v>
      </c>
      <c r="J2422" s="149" t="s">
        <v>4136</v>
      </c>
      <c r="K2422" s="148">
        <v>2</v>
      </c>
      <c r="L2422" s="236">
        <v>27</v>
      </c>
      <c r="M2422" s="150">
        <v>0</v>
      </c>
      <c r="N2422" s="150">
        <v>0</v>
      </c>
      <c r="O2422" s="150">
        <v>0</v>
      </c>
      <c r="P2422" s="150">
        <v>0</v>
      </c>
      <c r="Q2422" s="150">
        <v>0</v>
      </c>
      <c r="R2422" s="36">
        <v>0</v>
      </c>
      <c r="S2422" s="148" t="s">
        <v>1219</v>
      </c>
      <c r="T2422" s="257">
        <f t="shared" si="81"/>
        <v>29</v>
      </c>
      <c r="U2422" s="257">
        <f t="shared" si="82"/>
        <v>0</v>
      </c>
      <c r="V2422">
        <v>1</v>
      </c>
      <c r="W2422">
        <v>0</v>
      </c>
    </row>
    <row r="2423" spans="1:23" ht="34.200000000000003" x14ac:dyDescent="0.3">
      <c r="A2423" s="228">
        <v>41640</v>
      </c>
      <c r="B2423" s="228">
        <v>41670</v>
      </c>
      <c r="C2423" s="6">
        <v>1</v>
      </c>
      <c r="D2423" s="6">
        <v>31</v>
      </c>
      <c r="E2423" s="33">
        <v>2014</v>
      </c>
      <c r="F2423" s="15" t="s">
        <v>22</v>
      </c>
      <c r="G2423" s="18" t="s">
        <v>6255</v>
      </c>
      <c r="H2423" s="9" t="s">
        <v>64</v>
      </c>
      <c r="I2423" s="149" t="s">
        <v>1109</v>
      </c>
      <c r="J2423" s="149" t="s">
        <v>4137</v>
      </c>
      <c r="K2423" s="148">
        <v>2</v>
      </c>
      <c r="L2423" s="236">
        <v>10</v>
      </c>
      <c r="M2423" s="150">
        <v>0</v>
      </c>
      <c r="N2423" s="150">
        <v>0</v>
      </c>
      <c r="O2423" s="150">
        <v>0</v>
      </c>
      <c r="P2423" s="150">
        <v>0</v>
      </c>
      <c r="Q2423" s="150">
        <v>0</v>
      </c>
      <c r="R2423" s="36">
        <v>0</v>
      </c>
      <c r="S2423" s="148" t="s">
        <v>1219</v>
      </c>
      <c r="T2423" s="257">
        <f t="shared" si="81"/>
        <v>12</v>
      </c>
      <c r="U2423" s="257">
        <f t="shared" si="82"/>
        <v>0</v>
      </c>
      <c r="V2423">
        <v>1</v>
      </c>
      <c r="W2423">
        <v>0</v>
      </c>
    </row>
    <row r="2424" spans="1:23" ht="34.200000000000003" x14ac:dyDescent="0.3">
      <c r="A2424" s="228">
        <v>41640</v>
      </c>
      <c r="B2424" s="228">
        <v>41670</v>
      </c>
      <c r="C2424" s="6">
        <v>1</v>
      </c>
      <c r="D2424" s="6">
        <v>31</v>
      </c>
      <c r="E2424" s="33">
        <v>2014</v>
      </c>
      <c r="F2424" s="15" t="s">
        <v>22</v>
      </c>
      <c r="G2424" s="9" t="s">
        <v>6258</v>
      </c>
      <c r="H2424" s="9" t="s">
        <v>69</v>
      </c>
      <c r="I2424" s="47" t="s">
        <v>25</v>
      </c>
      <c r="J2424" s="48" t="s">
        <v>4138</v>
      </c>
      <c r="K2424" s="49">
        <v>2</v>
      </c>
      <c r="L2424" s="236">
        <f>(5+2+2)*1</f>
        <v>9</v>
      </c>
      <c r="M2424" s="35">
        <v>0</v>
      </c>
      <c r="N2424" s="35">
        <v>0</v>
      </c>
      <c r="O2424" s="35">
        <v>0</v>
      </c>
      <c r="P2424" s="35">
        <v>0</v>
      </c>
      <c r="Q2424" s="35">
        <v>0</v>
      </c>
      <c r="R2424" s="36">
        <v>0</v>
      </c>
      <c r="S2424" s="148" t="s">
        <v>1219</v>
      </c>
      <c r="T2424" s="257">
        <f t="shared" si="81"/>
        <v>11</v>
      </c>
      <c r="U2424" s="257">
        <f t="shared" si="82"/>
        <v>0</v>
      </c>
      <c r="V2424">
        <v>1</v>
      </c>
      <c r="W2424">
        <v>0</v>
      </c>
    </row>
    <row r="2425" spans="1:23" ht="34.200000000000003" x14ac:dyDescent="0.3">
      <c r="A2425" s="228">
        <v>41640</v>
      </c>
      <c r="B2425" s="228">
        <v>41670</v>
      </c>
      <c r="C2425" s="6">
        <v>1</v>
      </c>
      <c r="D2425" s="6">
        <v>31</v>
      </c>
      <c r="E2425" s="33">
        <v>2014</v>
      </c>
      <c r="F2425" s="15" t="s">
        <v>22</v>
      </c>
      <c r="G2425" s="9" t="s">
        <v>6258</v>
      </c>
      <c r="H2425" s="9" t="s">
        <v>78</v>
      </c>
      <c r="I2425" s="47" t="s">
        <v>25</v>
      </c>
      <c r="J2425" s="34" t="s">
        <v>4139</v>
      </c>
      <c r="K2425" s="123">
        <v>2</v>
      </c>
      <c r="L2425" s="238">
        <v>9</v>
      </c>
      <c r="M2425" s="35">
        <v>0</v>
      </c>
      <c r="N2425" s="35">
        <v>0</v>
      </c>
      <c r="O2425" s="35">
        <v>0</v>
      </c>
      <c r="P2425" s="35">
        <v>0</v>
      </c>
      <c r="Q2425" s="35">
        <v>0</v>
      </c>
      <c r="R2425" s="36">
        <v>0</v>
      </c>
      <c r="S2425" s="148" t="s">
        <v>1219</v>
      </c>
      <c r="T2425" s="257">
        <f t="shared" si="81"/>
        <v>11</v>
      </c>
      <c r="U2425" s="257">
        <f t="shared" si="82"/>
        <v>0</v>
      </c>
      <c r="V2425">
        <v>1</v>
      </c>
      <c r="W2425">
        <v>0</v>
      </c>
    </row>
    <row r="2426" spans="1:23" ht="57" x14ac:dyDescent="0.3">
      <c r="A2426" s="217">
        <v>41773</v>
      </c>
      <c r="B2426" s="217">
        <v>41773</v>
      </c>
      <c r="C2426" s="6">
        <v>5</v>
      </c>
      <c r="D2426" s="6">
        <v>1</v>
      </c>
      <c r="E2426" s="33">
        <v>2014</v>
      </c>
      <c r="F2426" s="15" t="s">
        <v>22</v>
      </c>
      <c r="G2426" s="82" t="s">
        <v>6256</v>
      </c>
      <c r="H2426" s="9" t="s">
        <v>61</v>
      </c>
      <c r="I2426" s="47" t="s">
        <v>4140</v>
      </c>
      <c r="J2426" s="48" t="s">
        <v>4141</v>
      </c>
      <c r="K2426" s="123">
        <v>2</v>
      </c>
      <c r="L2426" s="238">
        <v>3</v>
      </c>
      <c r="M2426" s="35">
        <v>0</v>
      </c>
      <c r="N2426" s="35">
        <v>0</v>
      </c>
      <c r="O2426" s="35">
        <v>0</v>
      </c>
      <c r="P2426" s="35">
        <v>0</v>
      </c>
      <c r="Q2426" s="35">
        <v>0</v>
      </c>
      <c r="R2426" s="36">
        <v>0</v>
      </c>
      <c r="S2426" s="50" t="s">
        <v>115</v>
      </c>
      <c r="T2426" s="257">
        <f t="shared" si="81"/>
        <v>5</v>
      </c>
      <c r="U2426" s="257">
        <f t="shared" si="82"/>
        <v>0</v>
      </c>
      <c r="V2426">
        <v>1</v>
      </c>
      <c r="W2426">
        <v>0</v>
      </c>
    </row>
    <row r="2427" spans="1:23" ht="45.6" x14ac:dyDescent="0.3">
      <c r="A2427" s="217">
        <v>41839</v>
      </c>
      <c r="B2427" s="217">
        <v>41839</v>
      </c>
      <c r="C2427" s="6">
        <v>7</v>
      </c>
      <c r="D2427" s="6">
        <v>1</v>
      </c>
      <c r="E2427" s="33">
        <v>2014</v>
      </c>
      <c r="F2427" s="15" t="s">
        <v>22</v>
      </c>
      <c r="G2427" s="18" t="s">
        <v>6256</v>
      </c>
      <c r="H2427" s="9" t="s">
        <v>46</v>
      </c>
      <c r="I2427" s="47" t="s">
        <v>1376</v>
      </c>
      <c r="J2427" s="34" t="s">
        <v>4142</v>
      </c>
      <c r="K2427" s="112">
        <v>2</v>
      </c>
      <c r="L2427" s="236">
        <v>2</v>
      </c>
      <c r="M2427" s="35">
        <v>0</v>
      </c>
      <c r="N2427" s="35">
        <v>0</v>
      </c>
      <c r="O2427" s="35">
        <v>0</v>
      </c>
      <c r="P2427" s="35">
        <v>0</v>
      </c>
      <c r="Q2427" s="35">
        <v>0</v>
      </c>
      <c r="R2427" s="36">
        <v>0</v>
      </c>
      <c r="S2427" s="50" t="s">
        <v>115</v>
      </c>
      <c r="T2427" s="257">
        <f t="shared" si="81"/>
        <v>4</v>
      </c>
      <c r="U2427" s="257">
        <f t="shared" si="82"/>
        <v>0</v>
      </c>
      <c r="V2427">
        <v>1</v>
      </c>
      <c r="W2427">
        <v>0</v>
      </c>
    </row>
    <row r="2428" spans="1:23" ht="34.200000000000003" x14ac:dyDescent="0.3">
      <c r="A2428" s="228">
        <v>41640</v>
      </c>
      <c r="B2428" s="228">
        <v>41670</v>
      </c>
      <c r="C2428" s="6">
        <v>1</v>
      </c>
      <c r="D2428" s="6">
        <v>31</v>
      </c>
      <c r="E2428" s="33">
        <v>2014</v>
      </c>
      <c r="F2428" s="15" t="s">
        <v>22</v>
      </c>
      <c r="G2428" s="18" t="s">
        <v>6255</v>
      </c>
      <c r="H2428" s="9" t="s">
        <v>57</v>
      </c>
      <c r="I2428" s="149" t="s">
        <v>1109</v>
      </c>
      <c r="J2428" s="149" t="s">
        <v>4143</v>
      </c>
      <c r="K2428" s="148">
        <v>1</v>
      </c>
      <c r="L2428" s="236">
        <v>4</v>
      </c>
      <c r="M2428" s="150">
        <v>0</v>
      </c>
      <c r="N2428" s="150">
        <v>0</v>
      </c>
      <c r="O2428" s="150">
        <v>0</v>
      </c>
      <c r="P2428" s="150">
        <v>0</v>
      </c>
      <c r="Q2428" s="150">
        <v>0</v>
      </c>
      <c r="R2428" s="36">
        <v>0</v>
      </c>
      <c r="S2428" s="148" t="s">
        <v>1219</v>
      </c>
      <c r="T2428" s="257">
        <f t="shared" si="81"/>
        <v>5</v>
      </c>
      <c r="U2428" s="257">
        <f t="shared" si="82"/>
        <v>0</v>
      </c>
      <c r="V2428">
        <v>1</v>
      </c>
      <c r="W2428">
        <v>0</v>
      </c>
    </row>
    <row r="2429" spans="1:23" ht="34.200000000000003" x14ac:dyDescent="0.3">
      <c r="A2429" s="228">
        <v>41640</v>
      </c>
      <c r="B2429" s="228">
        <v>41670</v>
      </c>
      <c r="C2429" s="6">
        <v>1</v>
      </c>
      <c r="D2429" s="6">
        <v>31</v>
      </c>
      <c r="E2429" s="33">
        <v>2014</v>
      </c>
      <c r="F2429" s="15" t="s">
        <v>22</v>
      </c>
      <c r="G2429" s="9" t="s">
        <v>6258</v>
      </c>
      <c r="H2429" s="9" t="s">
        <v>34</v>
      </c>
      <c r="I2429" s="47" t="s">
        <v>25</v>
      </c>
      <c r="J2429" s="48" t="s">
        <v>4144</v>
      </c>
      <c r="K2429" s="49">
        <v>1</v>
      </c>
      <c r="L2429" s="236">
        <f>(19+17+2+1)*1</f>
        <v>39</v>
      </c>
      <c r="M2429" s="35">
        <v>0</v>
      </c>
      <c r="N2429" s="35">
        <v>0</v>
      </c>
      <c r="O2429" s="35">
        <v>0</v>
      </c>
      <c r="P2429" s="35">
        <v>0</v>
      </c>
      <c r="Q2429" s="35">
        <v>0</v>
      </c>
      <c r="R2429" s="36">
        <v>0</v>
      </c>
      <c r="S2429" s="148" t="s">
        <v>1219</v>
      </c>
      <c r="T2429" s="257">
        <f t="shared" si="81"/>
        <v>40</v>
      </c>
      <c r="U2429" s="257">
        <f t="shared" si="82"/>
        <v>0</v>
      </c>
      <c r="V2429">
        <v>1</v>
      </c>
      <c r="W2429">
        <v>0</v>
      </c>
    </row>
    <row r="2430" spans="1:23" ht="22.8" x14ac:dyDescent="0.3">
      <c r="A2430" s="228">
        <v>41640</v>
      </c>
      <c r="B2430" s="228">
        <v>41670</v>
      </c>
      <c r="C2430" s="6">
        <v>1</v>
      </c>
      <c r="D2430" s="6">
        <v>31</v>
      </c>
      <c r="E2430" s="33">
        <v>2014</v>
      </c>
      <c r="F2430" s="15" t="s">
        <v>22</v>
      </c>
      <c r="G2430" s="9" t="s">
        <v>6258</v>
      </c>
      <c r="H2430" s="9" t="s">
        <v>28</v>
      </c>
      <c r="I2430" s="47" t="s">
        <v>25</v>
      </c>
      <c r="J2430" s="34" t="s">
        <v>4145</v>
      </c>
      <c r="K2430" s="123">
        <v>1</v>
      </c>
      <c r="L2430" s="238">
        <v>1</v>
      </c>
      <c r="M2430" s="35">
        <v>0</v>
      </c>
      <c r="N2430" s="35">
        <v>0</v>
      </c>
      <c r="O2430" s="35">
        <v>0</v>
      </c>
      <c r="P2430" s="35">
        <v>0</v>
      </c>
      <c r="Q2430" s="35">
        <v>0</v>
      </c>
      <c r="R2430" s="36">
        <v>0</v>
      </c>
      <c r="S2430" s="148" t="s">
        <v>1219</v>
      </c>
      <c r="T2430" s="257">
        <f t="shared" si="81"/>
        <v>2</v>
      </c>
      <c r="U2430" s="257">
        <f t="shared" si="82"/>
        <v>0</v>
      </c>
      <c r="V2430">
        <v>1</v>
      </c>
      <c r="W2430">
        <v>0</v>
      </c>
    </row>
    <row r="2431" spans="1:23" ht="68.400000000000006" x14ac:dyDescent="0.3">
      <c r="A2431" s="217">
        <v>41821</v>
      </c>
      <c r="B2431" s="217">
        <v>41821</v>
      </c>
      <c r="C2431" s="6">
        <v>7</v>
      </c>
      <c r="D2431" s="6">
        <v>1</v>
      </c>
      <c r="E2431" s="33">
        <v>2014</v>
      </c>
      <c r="F2431" s="15" t="s">
        <v>22</v>
      </c>
      <c r="G2431" s="82" t="s">
        <v>6256</v>
      </c>
      <c r="H2431" s="9" t="s">
        <v>72</v>
      </c>
      <c r="I2431" s="47" t="s">
        <v>4146</v>
      </c>
      <c r="J2431" s="48" t="s">
        <v>4147</v>
      </c>
      <c r="K2431" s="112">
        <v>1</v>
      </c>
      <c r="L2431" s="249">
        <v>2</v>
      </c>
      <c r="M2431" s="35">
        <v>0</v>
      </c>
      <c r="N2431" s="35">
        <v>0</v>
      </c>
      <c r="O2431" s="35">
        <v>0</v>
      </c>
      <c r="P2431" s="35">
        <v>0</v>
      </c>
      <c r="Q2431" s="35">
        <v>0</v>
      </c>
      <c r="R2431" s="36">
        <v>0</v>
      </c>
      <c r="S2431" s="50" t="s">
        <v>115</v>
      </c>
      <c r="T2431" s="257">
        <f t="shared" si="81"/>
        <v>3</v>
      </c>
      <c r="U2431" s="257">
        <f t="shared" si="82"/>
        <v>0</v>
      </c>
      <c r="V2431">
        <v>1</v>
      </c>
      <c r="W2431">
        <v>0</v>
      </c>
    </row>
    <row r="2432" spans="1:23" ht="148.19999999999999" x14ac:dyDescent="0.3">
      <c r="A2432" s="214">
        <v>44084</v>
      </c>
      <c r="B2432" s="214">
        <v>44084</v>
      </c>
      <c r="C2432" s="6">
        <v>9</v>
      </c>
      <c r="D2432" s="6">
        <v>1</v>
      </c>
      <c r="E2432" s="33">
        <v>2020</v>
      </c>
      <c r="F2432" s="15" t="s">
        <v>22</v>
      </c>
      <c r="G2432" s="18" t="s">
        <v>6256</v>
      </c>
      <c r="H2432" s="9" t="s">
        <v>48</v>
      </c>
      <c r="I2432" s="34" t="s">
        <v>4148</v>
      </c>
      <c r="J2432" s="34" t="s">
        <v>4149</v>
      </c>
      <c r="K2432" s="33">
        <v>2</v>
      </c>
      <c r="L2432" s="235">
        <v>4</v>
      </c>
      <c r="M2432" s="35">
        <v>0</v>
      </c>
      <c r="N2432" s="35">
        <v>0</v>
      </c>
      <c r="O2432" s="35">
        <v>0</v>
      </c>
      <c r="P2432" s="35">
        <v>0</v>
      </c>
      <c r="Q2432" s="41">
        <v>0</v>
      </c>
      <c r="R2432" s="42">
        <v>9.6799999999999994E-3</v>
      </c>
      <c r="S2432" s="33" t="s">
        <v>115</v>
      </c>
      <c r="T2432" s="257">
        <f t="shared" si="81"/>
        <v>6</v>
      </c>
      <c r="U2432" s="257">
        <f t="shared" si="82"/>
        <v>0</v>
      </c>
      <c r="V2432">
        <v>1</v>
      </c>
      <c r="W2432">
        <v>0</v>
      </c>
    </row>
    <row r="2433" spans="1:23" ht="68.400000000000006" x14ac:dyDescent="0.3">
      <c r="A2433" s="217">
        <v>41836</v>
      </c>
      <c r="B2433" s="217">
        <v>41836</v>
      </c>
      <c r="C2433" s="6">
        <v>7</v>
      </c>
      <c r="D2433" s="6">
        <v>1</v>
      </c>
      <c r="E2433" s="33">
        <v>2014</v>
      </c>
      <c r="F2433" s="15" t="s">
        <v>22</v>
      </c>
      <c r="G2433" s="18" t="s">
        <v>6256</v>
      </c>
      <c r="H2433" s="9" t="s">
        <v>51</v>
      </c>
      <c r="I2433" s="47" t="s">
        <v>2377</v>
      </c>
      <c r="J2433" s="34" t="s">
        <v>4150</v>
      </c>
      <c r="K2433" s="112">
        <v>1</v>
      </c>
      <c r="L2433" s="236">
        <v>1</v>
      </c>
      <c r="M2433" s="35">
        <v>0</v>
      </c>
      <c r="N2433" s="35">
        <v>0</v>
      </c>
      <c r="O2433" s="35">
        <v>0</v>
      </c>
      <c r="P2433" s="35">
        <v>0</v>
      </c>
      <c r="Q2433" s="35">
        <v>0</v>
      </c>
      <c r="R2433" s="36">
        <v>0</v>
      </c>
      <c r="S2433" s="50" t="s">
        <v>115</v>
      </c>
      <c r="T2433" s="257">
        <f t="shared" si="81"/>
        <v>2</v>
      </c>
      <c r="U2433" s="257">
        <f t="shared" si="82"/>
        <v>0</v>
      </c>
      <c r="V2433">
        <v>1</v>
      </c>
      <c r="W2433">
        <v>0</v>
      </c>
    </row>
    <row r="2434" spans="1:23" ht="68.400000000000006" x14ac:dyDescent="0.3">
      <c r="A2434" s="217">
        <v>41868</v>
      </c>
      <c r="B2434" s="217">
        <v>41868</v>
      </c>
      <c r="C2434" s="6">
        <v>8</v>
      </c>
      <c r="D2434" s="6">
        <v>1</v>
      </c>
      <c r="E2434" s="33">
        <v>2014</v>
      </c>
      <c r="F2434" s="15" t="s">
        <v>22</v>
      </c>
      <c r="G2434" s="18" t="s">
        <v>6256</v>
      </c>
      <c r="H2434" s="9" t="s">
        <v>72</v>
      </c>
      <c r="I2434" s="47" t="s">
        <v>1143</v>
      </c>
      <c r="J2434" s="48" t="s">
        <v>4151</v>
      </c>
      <c r="K2434" s="49">
        <v>1</v>
      </c>
      <c r="L2434" s="236">
        <v>1</v>
      </c>
      <c r="M2434" s="35">
        <v>0</v>
      </c>
      <c r="N2434" s="35">
        <v>0</v>
      </c>
      <c r="O2434" s="35">
        <v>0</v>
      </c>
      <c r="P2434" s="35">
        <v>0</v>
      </c>
      <c r="Q2434" s="35">
        <v>0</v>
      </c>
      <c r="R2434" s="36">
        <v>0</v>
      </c>
      <c r="S2434" s="50" t="s">
        <v>115</v>
      </c>
      <c r="T2434" s="257">
        <f t="shared" si="81"/>
        <v>2</v>
      </c>
      <c r="U2434" s="257">
        <f t="shared" si="82"/>
        <v>0</v>
      </c>
      <c r="V2434">
        <v>1</v>
      </c>
      <c r="W2434">
        <v>0</v>
      </c>
    </row>
    <row r="2435" spans="1:23" ht="79.8" x14ac:dyDescent="0.3">
      <c r="A2435" s="217">
        <v>41892</v>
      </c>
      <c r="B2435" s="217">
        <v>41892</v>
      </c>
      <c r="C2435" s="6">
        <v>9</v>
      </c>
      <c r="D2435" s="6">
        <v>1</v>
      </c>
      <c r="E2435" s="33">
        <v>2014</v>
      </c>
      <c r="F2435" s="15" t="s">
        <v>22</v>
      </c>
      <c r="G2435" s="82" t="s">
        <v>6256</v>
      </c>
      <c r="H2435" s="9" t="s">
        <v>61</v>
      </c>
      <c r="I2435" s="47" t="s">
        <v>4152</v>
      </c>
      <c r="J2435" s="48" t="s">
        <v>4153</v>
      </c>
      <c r="K2435" s="49">
        <v>1</v>
      </c>
      <c r="L2435" s="236">
        <v>3</v>
      </c>
      <c r="M2435" s="35">
        <v>0</v>
      </c>
      <c r="N2435" s="35">
        <v>0</v>
      </c>
      <c r="O2435" s="35">
        <v>0</v>
      </c>
      <c r="P2435" s="35">
        <v>0</v>
      </c>
      <c r="Q2435" s="35">
        <v>0</v>
      </c>
      <c r="R2435" s="36">
        <v>0</v>
      </c>
      <c r="S2435" s="50" t="s">
        <v>115</v>
      </c>
      <c r="T2435" s="257">
        <f t="shared" ref="T2435:T2498" si="83">SUM(K2435:L2435)</f>
        <v>4</v>
      </c>
      <c r="U2435" s="257">
        <f t="shared" ref="U2435:U2498" si="84">SUM(M2435:P2435)</f>
        <v>0</v>
      </c>
      <c r="V2435">
        <v>1</v>
      </c>
      <c r="W2435">
        <v>0</v>
      </c>
    </row>
    <row r="2436" spans="1:23" ht="45.6" x14ac:dyDescent="0.3">
      <c r="A2436" s="217">
        <v>41892</v>
      </c>
      <c r="B2436" s="217">
        <v>41892</v>
      </c>
      <c r="C2436" s="6">
        <v>9</v>
      </c>
      <c r="D2436" s="6">
        <v>1</v>
      </c>
      <c r="E2436" s="33">
        <v>2014</v>
      </c>
      <c r="F2436" s="15" t="s">
        <v>22</v>
      </c>
      <c r="G2436" s="18" t="s">
        <v>6256</v>
      </c>
      <c r="H2436" s="9" t="s">
        <v>61</v>
      </c>
      <c r="I2436" s="47" t="s">
        <v>4154</v>
      </c>
      <c r="J2436" s="48" t="s">
        <v>4155</v>
      </c>
      <c r="K2436" s="49">
        <v>1</v>
      </c>
      <c r="L2436" s="236">
        <v>1</v>
      </c>
      <c r="M2436" s="35">
        <v>0</v>
      </c>
      <c r="N2436" s="35">
        <v>0</v>
      </c>
      <c r="O2436" s="35">
        <v>0</v>
      </c>
      <c r="P2436" s="35">
        <v>0</v>
      </c>
      <c r="Q2436" s="35">
        <v>0</v>
      </c>
      <c r="R2436" s="36">
        <v>0</v>
      </c>
      <c r="S2436" s="50" t="s">
        <v>115</v>
      </c>
      <c r="T2436" s="257">
        <f t="shared" si="83"/>
        <v>2</v>
      </c>
      <c r="U2436" s="257">
        <f t="shared" si="84"/>
        <v>0</v>
      </c>
      <c r="V2436">
        <v>1</v>
      </c>
      <c r="W2436">
        <v>0</v>
      </c>
    </row>
    <row r="2437" spans="1:23" ht="57" x14ac:dyDescent="0.3">
      <c r="A2437" s="210">
        <v>41902</v>
      </c>
      <c r="B2437" s="210">
        <v>41902</v>
      </c>
      <c r="C2437" s="6">
        <v>9</v>
      </c>
      <c r="D2437" s="6">
        <v>1</v>
      </c>
      <c r="E2437" s="33">
        <v>2014</v>
      </c>
      <c r="F2437" s="15" t="s">
        <v>22</v>
      </c>
      <c r="G2437" s="82" t="s">
        <v>6256</v>
      </c>
      <c r="H2437" s="9" t="s">
        <v>31</v>
      </c>
      <c r="I2437" s="47" t="s">
        <v>2288</v>
      </c>
      <c r="J2437" s="48" t="s">
        <v>4156</v>
      </c>
      <c r="K2437" s="49">
        <v>1</v>
      </c>
      <c r="L2437" s="236">
        <v>3</v>
      </c>
      <c r="M2437" s="35">
        <v>0</v>
      </c>
      <c r="N2437" s="35">
        <v>0</v>
      </c>
      <c r="O2437" s="35">
        <v>0</v>
      </c>
      <c r="P2437" s="35">
        <v>0</v>
      </c>
      <c r="Q2437" s="35">
        <v>0</v>
      </c>
      <c r="R2437" s="36">
        <v>0</v>
      </c>
      <c r="S2437" s="50" t="s">
        <v>115</v>
      </c>
      <c r="T2437" s="257">
        <f t="shared" si="83"/>
        <v>4</v>
      </c>
      <c r="U2437" s="257">
        <f t="shared" si="84"/>
        <v>0</v>
      </c>
      <c r="V2437">
        <v>1</v>
      </c>
      <c r="W2437">
        <v>0</v>
      </c>
    </row>
    <row r="2438" spans="1:23" ht="125.4" x14ac:dyDescent="0.3">
      <c r="A2438" s="217">
        <v>41910</v>
      </c>
      <c r="B2438" s="217">
        <v>41911</v>
      </c>
      <c r="C2438" s="6">
        <v>9</v>
      </c>
      <c r="D2438" s="6">
        <v>2</v>
      </c>
      <c r="E2438" s="33">
        <v>2014</v>
      </c>
      <c r="F2438" s="15" t="s">
        <v>22</v>
      </c>
      <c r="G2438" s="18" t="s">
        <v>6256</v>
      </c>
      <c r="H2438" s="9" t="s">
        <v>61</v>
      </c>
      <c r="I2438" s="47" t="s">
        <v>4157</v>
      </c>
      <c r="J2438" s="48" t="s">
        <v>4158</v>
      </c>
      <c r="K2438" s="49">
        <v>1</v>
      </c>
      <c r="L2438" s="236">
        <v>5</v>
      </c>
      <c r="M2438" s="35">
        <v>0</v>
      </c>
      <c r="N2438" s="35">
        <v>0</v>
      </c>
      <c r="O2438" s="35">
        <v>0</v>
      </c>
      <c r="P2438" s="35">
        <v>0</v>
      </c>
      <c r="Q2438" s="35">
        <v>0</v>
      </c>
      <c r="R2438" s="36">
        <v>0</v>
      </c>
      <c r="S2438" s="50" t="s">
        <v>115</v>
      </c>
      <c r="T2438" s="257">
        <f t="shared" si="83"/>
        <v>6</v>
      </c>
      <c r="U2438" s="257">
        <f t="shared" si="84"/>
        <v>0</v>
      </c>
      <c r="V2438">
        <v>1</v>
      </c>
      <c r="W2438">
        <v>0</v>
      </c>
    </row>
    <row r="2439" spans="1:23" ht="45.6" x14ac:dyDescent="0.3">
      <c r="A2439" s="210">
        <v>41927</v>
      </c>
      <c r="B2439" s="210">
        <v>41927</v>
      </c>
      <c r="C2439" s="6">
        <v>10</v>
      </c>
      <c r="D2439" s="6">
        <v>1</v>
      </c>
      <c r="E2439" s="33">
        <v>2014</v>
      </c>
      <c r="F2439" s="7" t="s">
        <v>17</v>
      </c>
      <c r="G2439" s="28" t="s">
        <v>6261</v>
      </c>
      <c r="H2439" s="9" t="s">
        <v>31</v>
      </c>
      <c r="I2439" s="47" t="s">
        <v>1060</v>
      </c>
      <c r="J2439" s="48" t="s">
        <v>4159</v>
      </c>
      <c r="K2439" s="49">
        <v>1</v>
      </c>
      <c r="L2439" s="236">
        <v>1</v>
      </c>
      <c r="M2439" s="35">
        <v>0</v>
      </c>
      <c r="N2439" s="35">
        <v>0</v>
      </c>
      <c r="O2439" s="35">
        <v>0</v>
      </c>
      <c r="P2439" s="35">
        <v>0</v>
      </c>
      <c r="Q2439" s="35">
        <v>0</v>
      </c>
      <c r="R2439" s="36">
        <v>0</v>
      </c>
      <c r="S2439" s="50" t="s">
        <v>115</v>
      </c>
      <c r="T2439" s="257">
        <f t="shared" si="83"/>
        <v>2</v>
      </c>
      <c r="U2439" s="257">
        <f t="shared" si="84"/>
        <v>0</v>
      </c>
      <c r="V2439">
        <v>1</v>
      </c>
      <c r="W2439">
        <v>0</v>
      </c>
    </row>
    <row r="2440" spans="1:23" ht="22.8" x14ac:dyDescent="0.3">
      <c r="A2440" s="228">
        <v>41640</v>
      </c>
      <c r="B2440" s="228">
        <v>41670</v>
      </c>
      <c r="C2440" s="6">
        <v>1</v>
      </c>
      <c r="D2440" s="6">
        <v>31</v>
      </c>
      <c r="E2440" s="33">
        <v>2014</v>
      </c>
      <c r="F2440" s="15" t="s">
        <v>22</v>
      </c>
      <c r="G2440" s="18" t="s">
        <v>6255</v>
      </c>
      <c r="H2440" s="9" t="s">
        <v>41</v>
      </c>
      <c r="I2440" s="149" t="s">
        <v>1109</v>
      </c>
      <c r="J2440" s="149" t="s">
        <v>4160</v>
      </c>
      <c r="K2440" s="148">
        <v>0</v>
      </c>
      <c r="L2440" s="236">
        <v>9</v>
      </c>
      <c r="M2440" s="150">
        <v>0</v>
      </c>
      <c r="N2440" s="150">
        <v>0</v>
      </c>
      <c r="O2440" s="150">
        <v>0</v>
      </c>
      <c r="P2440" s="150">
        <v>0</v>
      </c>
      <c r="Q2440" s="150">
        <v>0</v>
      </c>
      <c r="R2440" s="36">
        <v>0</v>
      </c>
      <c r="S2440" s="148" t="s">
        <v>1219</v>
      </c>
      <c r="T2440" s="257">
        <f t="shared" si="83"/>
        <v>9</v>
      </c>
      <c r="U2440" s="257">
        <f t="shared" si="84"/>
        <v>0</v>
      </c>
      <c r="V2440">
        <v>1</v>
      </c>
      <c r="W2440">
        <v>0</v>
      </c>
    </row>
    <row r="2441" spans="1:23" ht="22.8" x14ac:dyDescent="0.3">
      <c r="A2441" s="228">
        <v>41640</v>
      </c>
      <c r="B2441" s="228">
        <v>41670</v>
      </c>
      <c r="C2441" s="6">
        <v>1</v>
      </c>
      <c r="D2441" s="6">
        <v>31</v>
      </c>
      <c r="E2441" s="33">
        <v>2014</v>
      </c>
      <c r="F2441" s="15" t="s">
        <v>22</v>
      </c>
      <c r="G2441" s="18" t="s">
        <v>6255</v>
      </c>
      <c r="H2441" s="9" t="s">
        <v>51</v>
      </c>
      <c r="I2441" s="149" t="s">
        <v>1109</v>
      </c>
      <c r="J2441" s="149" t="s">
        <v>4161</v>
      </c>
      <c r="K2441" s="148">
        <v>0</v>
      </c>
      <c r="L2441" s="236">
        <v>3</v>
      </c>
      <c r="M2441" s="150">
        <v>0</v>
      </c>
      <c r="N2441" s="150">
        <v>0</v>
      </c>
      <c r="O2441" s="150">
        <v>0</v>
      </c>
      <c r="P2441" s="150">
        <v>0</v>
      </c>
      <c r="Q2441" s="150">
        <v>0</v>
      </c>
      <c r="R2441" s="36">
        <v>0</v>
      </c>
      <c r="S2441" s="148" t="s">
        <v>1219</v>
      </c>
      <c r="T2441" s="257">
        <f t="shared" si="83"/>
        <v>3</v>
      </c>
      <c r="U2441" s="257">
        <f t="shared" si="84"/>
        <v>0</v>
      </c>
      <c r="V2441">
        <v>1</v>
      </c>
      <c r="W2441">
        <v>0</v>
      </c>
    </row>
    <row r="2442" spans="1:23" ht="22.8" x14ac:dyDescent="0.3">
      <c r="A2442" s="228">
        <v>41640</v>
      </c>
      <c r="B2442" s="228">
        <v>41670</v>
      </c>
      <c r="C2442" s="6">
        <v>1</v>
      </c>
      <c r="D2442" s="6">
        <v>31</v>
      </c>
      <c r="E2442" s="33">
        <v>2014</v>
      </c>
      <c r="F2442" s="15" t="s">
        <v>22</v>
      </c>
      <c r="G2442" s="18" t="s">
        <v>6255</v>
      </c>
      <c r="H2442" s="9" t="s">
        <v>121</v>
      </c>
      <c r="I2442" s="149" t="s">
        <v>1109</v>
      </c>
      <c r="J2442" s="149" t="s">
        <v>4162</v>
      </c>
      <c r="K2442" s="148">
        <v>0</v>
      </c>
      <c r="L2442" s="236">
        <v>5</v>
      </c>
      <c r="M2442" s="150">
        <v>0</v>
      </c>
      <c r="N2442" s="150">
        <v>0</v>
      </c>
      <c r="O2442" s="150">
        <v>0</v>
      </c>
      <c r="P2442" s="150">
        <v>0</v>
      </c>
      <c r="Q2442" s="150">
        <v>0</v>
      </c>
      <c r="R2442" s="36">
        <v>0</v>
      </c>
      <c r="S2442" s="148" t="s">
        <v>1219</v>
      </c>
      <c r="T2442" s="257">
        <f t="shared" si="83"/>
        <v>5</v>
      </c>
      <c r="U2442" s="257">
        <f t="shared" si="84"/>
        <v>0</v>
      </c>
      <c r="V2442">
        <v>1</v>
      </c>
      <c r="W2442">
        <v>0</v>
      </c>
    </row>
    <row r="2443" spans="1:23" x14ac:dyDescent="0.3">
      <c r="A2443" s="228">
        <v>41640</v>
      </c>
      <c r="B2443" s="228">
        <v>41670</v>
      </c>
      <c r="C2443" s="6">
        <v>1</v>
      </c>
      <c r="D2443" s="6">
        <v>31</v>
      </c>
      <c r="E2443" s="33">
        <v>2014</v>
      </c>
      <c r="F2443" s="15" t="s">
        <v>22</v>
      </c>
      <c r="G2443" s="18" t="s">
        <v>6255</v>
      </c>
      <c r="H2443" s="9" t="s">
        <v>37</v>
      </c>
      <c r="I2443" s="149" t="s">
        <v>1109</v>
      </c>
      <c r="J2443" s="149" t="s">
        <v>4163</v>
      </c>
      <c r="K2443" s="148">
        <v>0</v>
      </c>
      <c r="L2443" s="236">
        <v>1</v>
      </c>
      <c r="M2443" s="150">
        <v>0</v>
      </c>
      <c r="N2443" s="150">
        <v>0</v>
      </c>
      <c r="O2443" s="150">
        <v>0</v>
      </c>
      <c r="P2443" s="150">
        <v>0</v>
      </c>
      <c r="Q2443" s="150">
        <v>0</v>
      </c>
      <c r="R2443" s="36">
        <v>0</v>
      </c>
      <c r="S2443" s="148" t="s">
        <v>1219</v>
      </c>
      <c r="T2443" s="257">
        <f t="shared" si="83"/>
        <v>1</v>
      </c>
      <c r="U2443" s="257">
        <f t="shared" si="84"/>
        <v>0</v>
      </c>
      <c r="V2443">
        <v>1</v>
      </c>
      <c r="W2443">
        <v>0</v>
      </c>
    </row>
    <row r="2444" spans="1:23" ht="22.8" x14ac:dyDescent="0.3">
      <c r="A2444" s="228">
        <v>41640</v>
      </c>
      <c r="B2444" s="228">
        <v>41670</v>
      </c>
      <c r="C2444" s="6">
        <v>1</v>
      </c>
      <c r="D2444" s="6">
        <v>31</v>
      </c>
      <c r="E2444" s="33">
        <v>2014</v>
      </c>
      <c r="F2444" s="15" t="s">
        <v>22</v>
      </c>
      <c r="G2444" s="18" t="s">
        <v>6255</v>
      </c>
      <c r="H2444" s="9" t="s">
        <v>84</v>
      </c>
      <c r="I2444" s="149" t="s">
        <v>1109</v>
      </c>
      <c r="J2444" s="149" t="s">
        <v>4164</v>
      </c>
      <c r="K2444" s="148">
        <v>0</v>
      </c>
      <c r="L2444" s="236">
        <v>6</v>
      </c>
      <c r="M2444" s="150">
        <v>0</v>
      </c>
      <c r="N2444" s="150">
        <v>0</v>
      </c>
      <c r="O2444" s="150">
        <v>0</v>
      </c>
      <c r="P2444" s="150">
        <v>0</v>
      </c>
      <c r="Q2444" s="150">
        <v>0</v>
      </c>
      <c r="R2444" s="36">
        <v>0</v>
      </c>
      <c r="S2444" s="148" t="s">
        <v>1219</v>
      </c>
      <c r="T2444" s="257">
        <f t="shared" si="83"/>
        <v>6</v>
      </c>
      <c r="U2444" s="257">
        <f t="shared" si="84"/>
        <v>0</v>
      </c>
      <c r="V2444">
        <v>1</v>
      </c>
      <c r="W2444">
        <v>0</v>
      </c>
    </row>
    <row r="2445" spans="1:23" x14ac:dyDescent="0.3">
      <c r="A2445" s="228">
        <v>41640</v>
      </c>
      <c r="B2445" s="228">
        <v>41670</v>
      </c>
      <c r="C2445" s="6">
        <v>1</v>
      </c>
      <c r="D2445" s="6">
        <v>31</v>
      </c>
      <c r="E2445" s="33">
        <v>2014</v>
      </c>
      <c r="F2445" s="15" t="s">
        <v>22</v>
      </c>
      <c r="G2445" s="18" t="s">
        <v>6255</v>
      </c>
      <c r="H2445" s="9" t="s">
        <v>27</v>
      </c>
      <c r="I2445" s="149" t="s">
        <v>1109</v>
      </c>
      <c r="J2445" s="149" t="s">
        <v>4165</v>
      </c>
      <c r="K2445" s="148">
        <v>0</v>
      </c>
      <c r="L2445" s="236">
        <v>1</v>
      </c>
      <c r="M2445" s="150">
        <v>0</v>
      </c>
      <c r="N2445" s="150">
        <v>0</v>
      </c>
      <c r="O2445" s="150">
        <v>0</v>
      </c>
      <c r="P2445" s="150">
        <v>0</v>
      </c>
      <c r="Q2445" s="150">
        <v>0</v>
      </c>
      <c r="R2445" s="36">
        <v>0</v>
      </c>
      <c r="S2445" s="148" t="s">
        <v>1219</v>
      </c>
      <c r="T2445" s="257">
        <f t="shared" si="83"/>
        <v>1</v>
      </c>
      <c r="U2445" s="257">
        <f t="shared" si="84"/>
        <v>0</v>
      </c>
      <c r="V2445">
        <v>1</v>
      </c>
      <c r="W2445">
        <v>0</v>
      </c>
    </row>
    <row r="2446" spans="1:23" ht="22.8" x14ac:dyDescent="0.3">
      <c r="A2446" s="228">
        <v>41640</v>
      </c>
      <c r="B2446" s="228">
        <v>41670</v>
      </c>
      <c r="C2446" s="6">
        <v>1</v>
      </c>
      <c r="D2446" s="6">
        <v>31</v>
      </c>
      <c r="E2446" s="33">
        <v>2014</v>
      </c>
      <c r="F2446" s="15" t="s">
        <v>22</v>
      </c>
      <c r="G2446" s="9" t="s">
        <v>6258</v>
      </c>
      <c r="H2446" s="9" t="s">
        <v>112</v>
      </c>
      <c r="I2446" s="47" t="s">
        <v>25</v>
      </c>
      <c r="J2446" s="48" t="s">
        <v>4166</v>
      </c>
      <c r="K2446" s="49">
        <v>0</v>
      </c>
      <c r="L2446" s="236">
        <v>7</v>
      </c>
      <c r="M2446" s="35">
        <v>0</v>
      </c>
      <c r="N2446" s="35">
        <v>0</v>
      </c>
      <c r="O2446" s="35">
        <v>0</v>
      </c>
      <c r="P2446" s="35">
        <v>0</v>
      </c>
      <c r="Q2446" s="35">
        <v>0</v>
      </c>
      <c r="R2446" s="36">
        <v>0</v>
      </c>
      <c r="S2446" s="148" t="s">
        <v>1219</v>
      </c>
      <c r="T2446" s="257">
        <f t="shared" si="83"/>
        <v>7</v>
      </c>
      <c r="U2446" s="257">
        <f t="shared" si="84"/>
        <v>0</v>
      </c>
      <c r="V2446">
        <v>1</v>
      </c>
      <c r="W2446">
        <v>0</v>
      </c>
    </row>
    <row r="2447" spans="1:23" ht="34.200000000000003" x14ac:dyDescent="0.3">
      <c r="A2447" s="228">
        <v>41640</v>
      </c>
      <c r="B2447" s="228">
        <v>41670</v>
      </c>
      <c r="C2447" s="6">
        <v>1</v>
      </c>
      <c r="D2447" s="6">
        <v>31</v>
      </c>
      <c r="E2447" s="33">
        <v>2014</v>
      </c>
      <c r="F2447" s="15" t="s">
        <v>22</v>
      </c>
      <c r="G2447" s="9" t="s">
        <v>6258</v>
      </c>
      <c r="H2447" s="9" t="s">
        <v>51</v>
      </c>
      <c r="I2447" s="47" t="s">
        <v>25</v>
      </c>
      <c r="J2447" s="34" t="s">
        <v>4167</v>
      </c>
      <c r="K2447" s="123">
        <v>0</v>
      </c>
      <c r="L2447" s="238">
        <v>6</v>
      </c>
      <c r="M2447" s="35">
        <v>0</v>
      </c>
      <c r="N2447" s="35">
        <v>0</v>
      </c>
      <c r="O2447" s="35">
        <v>0</v>
      </c>
      <c r="P2447" s="35">
        <v>0</v>
      </c>
      <c r="Q2447" s="35">
        <v>0</v>
      </c>
      <c r="R2447" s="36">
        <v>0</v>
      </c>
      <c r="S2447" s="148" t="s">
        <v>1219</v>
      </c>
      <c r="T2447" s="257">
        <f t="shared" si="83"/>
        <v>6</v>
      </c>
      <c r="U2447" s="257">
        <f t="shared" si="84"/>
        <v>0</v>
      </c>
      <c r="V2447">
        <v>1</v>
      </c>
      <c r="W2447">
        <v>0</v>
      </c>
    </row>
    <row r="2448" spans="1:23" ht="22.8" x14ac:dyDescent="0.3">
      <c r="A2448" s="228">
        <v>41640</v>
      </c>
      <c r="B2448" s="228">
        <v>41670</v>
      </c>
      <c r="C2448" s="6">
        <v>1</v>
      </c>
      <c r="D2448" s="6">
        <v>31</v>
      </c>
      <c r="E2448" s="33">
        <v>2014</v>
      </c>
      <c r="F2448" s="15" t="s">
        <v>22</v>
      </c>
      <c r="G2448" s="9" t="s">
        <v>6258</v>
      </c>
      <c r="H2448" s="9" t="s">
        <v>70</v>
      </c>
      <c r="I2448" s="47" t="s">
        <v>25</v>
      </c>
      <c r="J2448" s="34" t="s">
        <v>4168</v>
      </c>
      <c r="K2448" s="123">
        <v>0</v>
      </c>
      <c r="L2448" s="238">
        <v>5</v>
      </c>
      <c r="M2448" s="35">
        <v>0</v>
      </c>
      <c r="N2448" s="35">
        <v>0</v>
      </c>
      <c r="O2448" s="35">
        <v>0</v>
      </c>
      <c r="P2448" s="35">
        <v>0</v>
      </c>
      <c r="Q2448" s="35">
        <v>0</v>
      </c>
      <c r="R2448" s="36">
        <v>0</v>
      </c>
      <c r="S2448" s="148" t="s">
        <v>1219</v>
      </c>
      <c r="T2448" s="257">
        <f t="shared" si="83"/>
        <v>5</v>
      </c>
      <c r="U2448" s="257">
        <f t="shared" si="84"/>
        <v>0</v>
      </c>
      <c r="V2448">
        <v>1</v>
      </c>
      <c r="W2448">
        <v>0</v>
      </c>
    </row>
    <row r="2449" spans="1:23" ht="22.8" x14ac:dyDescent="0.3">
      <c r="A2449" s="228">
        <v>41640</v>
      </c>
      <c r="B2449" s="228">
        <v>41670</v>
      </c>
      <c r="C2449" s="6">
        <v>1</v>
      </c>
      <c r="D2449" s="6">
        <v>31</v>
      </c>
      <c r="E2449" s="33">
        <v>2014</v>
      </c>
      <c r="F2449" s="15" t="s">
        <v>22</v>
      </c>
      <c r="G2449" s="9" t="s">
        <v>6258</v>
      </c>
      <c r="H2449" s="9" t="s">
        <v>124</v>
      </c>
      <c r="I2449" s="47" t="s">
        <v>25</v>
      </c>
      <c r="J2449" s="34" t="s">
        <v>4169</v>
      </c>
      <c r="K2449" s="123">
        <v>0</v>
      </c>
      <c r="L2449" s="238">
        <v>3</v>
      </c>
      <c r="M2449" s="35">
        <v>0</v>
      </c>
      <c r="N2449" s="35">
        <v>0</v>
      </c>
      <c r="O2449" s="35">
        <v>0</v>
      </c>
      <c r="P2449" s="35">
        <v>0</v>
      </c>
      <c r="Q2449" s="35">
        <v>0</v>
      </c>
      <c r="R2449" s="36">
        <v>0</v>
      </c>
      <c r="S2449" s="148" t="s">
        <v>1219</v>
      </c>
      <c r="T2449" s="257">
        <f t="shared" si="83"/>
        <v>3</v>
      </c>
      <c r="U2449" s="257">
        <f t="shared" si="84"/>
        <v>0</v>
      </c>
      <c r="V2449">
        <v>1</v>
      </c>
      <c r="W2449">
        <v>0</v>
      </c>
    </row>
    <row r="2450" spans="1:23" ht="22.8" x14ac:dyDescent="0.3">
      <c r="A2450" s="228">
        <v>41640</v>
      </c>
      <c r="B2450" s="228">
        <v>41670</v>
      </c>
      <c r="C2450" s="6">
        <v>1</v>
      </c>
      <c r="D2450" s="6">
        <v>31</v>
      </c>
      <c r="E2450" s="33">
        <v>2014</v>
      </c>
      <c r="F2450" s="15" t="s">
        <v>22</v>
      </c>
      <c r="G2450" s="9" t="s">
        <v>6258</v>
      </c>
      <c r="H2450" s="9" t="s">
        <v>57</v>
      </c>
      <c r="I2450" s="47" t="s">
        <v>25</v>
      </c>
      <c r="J2450" s="34" t="s">
        <v>4169</v>
      </c>
      <c r="K2450" s="123">
        <v>0</v>
      </c>
      <c r="L2450" s="238">
        <v>3</v>
      </c>
      <c r="M2450" s="35">
        <v>0</v>
      </c>
      <c r="N2450" s="35">
        <v>0</v>
      </c>
      <c r="O2450" s="35">
        <v>0</v>
      </c>
      <c r="P2450" s="35">
        <v>0</v>
      </c>
      <c r="Q2450" s="35">
        <v>0</v>
      </c>
      <c r="R2450" s="36">
        <v>0</v>
      </c>
      <c r="S2450" s="148" t="s">
        <v>1219</v>
      </c>
      <c r="T2450" s="257">
        <f t="shared" si="83"/>
        <v>3</v>
      </c>
      <c r="U2450" s="257">
        <f t="shared" si="84"/>
        <v>0</v>
      </c>
      <c r="V2450">
        <v>1</v>
      </c>
      <c r="W2450">
        <v>0</v>
      </c>
    </row>
    <row r="2451" spans="1:23" ht="22.8" x14ac:dyDescent="0.3">
      <c r="A2451" s="228">
        <v>41640</v>
      </c>
      <c r="B2451" s="228">
        <v>41670</v>
      </c>
      <c r="C2451" s="6">
        <v>1</v>
      </c>
      <c r="D2451" s="6">
        <v>31</v>
      </c>
      <c r="E2451" s="33">
        <v>2014</v>
      </c>
      <c r="F2451" s="15" t="s">
        <v>22</v>
      </c>
      <c r="G2451" s="9" t="s">
        <v>6258</v>
      </c>
      <c r="H2451" s="9" t="s">
        <v>41</v>
      </c>
      <c r="I2451" s="47" t="s">
        <v>25</v>
      </c>
      <c r="J2451" s="34" t="s">
        <v>4170</v>
      </c>
      <c r="K2451" s="123">
        <v>0</v>
      </c>
      <c r="L2451" s="238">
        <v>2</v>
      </c>
      <c r="M2451" s="35">
        <v>0</v>
      </c>
      <c r="N2451" s="35">
        <v>0</v>
      </c>
      <c r="O2451" s="35">
        <v>0</v>
      </c>
      <c r="P2451" s="35">
        <v>0</v>
      </c>
      <c r="Q2451" s="35">
        <v>0</v>
      </c>
      <c r="R2451" s="36">
        <v>0</v>
      </c>
      <c r="S2451" s="148" t="s">
        <v>1219</v>
      </c>
      <c r="T2451" s="257">
        <f t="shared" si="83"/>
        <v>2</v>
      </c>
      <c r="U2451" s="257">
        <f t="shared" si="84"/>
        <v>0</v>
      </c>
      <c r="V2451">
        <v>1</v>
      </c>
      <c r="W2451">
        <v>0</v>
      </c>
    </row>
    <row r="2452" spans="1:23" ht="22.8" x14ac:dyDescent="0.3">
      <c r="A2452" s="228">
        <v>41640</v>
      </c>
      <c r="B2452" s="228">
        <v>41670</v>
      </c>
      <c r="C2452" s="6">
        <v>1</v>
      </c>
      <c r="D2452" s="6">
        <v>31</v>
      </c>
      <c r="E2452" s="33">
        <v>2014</v>
      </c>
      <c r="F2452" s="15" t="s">
        <v>22</v>
      </c>
      <c r="G2452" s="9" t="s">
        <v>6258</v>
      </c>
      <c r="H2452" s="9" t="s">
        <v>174</v>
      </c>
      <c r="I2452" s="47" t="s">
        <v>25</v>
      </c>
      <c r="J2452" s="34" t="s">
        <v>4171</v>
      </c>
      <c r="K2452" s="123">
        <v>0</v>
      </c>
      <c r="L2452" s="238">
        <v>1</v>
      </c>
      <c r="M2452" s="37">
        <v>0</v>
      </c>
      <c r="N2452" s="37">
        <v>0</v>
      </c>
      <c r="O2452" s="37"/>
      <c r="P2452" s="37">
        <v>0</v>
      </c>
      <c r="Q2452" s="35">
        <v>0</v>
      </c>
      <c r="R2452" s="36">
        <v>0</v>
      </c>
      <c r="S2452" s="148" t="s">
        <v>1219</v>
      </c>
      <c r="T2452" s="257">
        <f t="shared" si="83"/>
        <v>1</v>
      </c>
      <c r="U2452" s="257">
        <f t="shared" si="84"/>
        <v>0</v>
      </c>
      <c r="V2452">
        <v>1</v>
      </c>
      <c r="W2452">
        <v>0</v>
      </c>
    </row>
    <row r="2453" spans="1:23" ht="22.8" x14ac:dyDescent="0.3">
      <c r="A2453" s="228">
        <v>41640</v>
      </c>
      <c r="B2453" s="228">
        <v>41670</v>
      </c>
      <c r="C2453" s="6">
        <v>1</v>
      </c>
      <c r="D2453" s="6">
        <v>31</v>
      </c>
      <c r="E2453" s="33">
        <v>2014</v>
      </c>
      <c r="F2453" s="15" t="s">
        <v>22</v>
      </c>
      <c r="G2453" s="9" t="s">
        <v>6258</v>
      </c>
      <c r="H2453" s="9" t="s">
        <v>118</v>
      </c>
      <c r="I2453" s="47" t="s">
        <v>25</v>
      </c>
      <c r="J2453" s="34" t="s">
        <v>4172</v>
      </c>
      <c r="K2453" s="123">
        <v>0</v>
      </c>
      <c r="L2453" s="238">
        <v>1</v>
      </c>
      <c r="M2453" s="37">
        <v>0</v>
      </c>
      <c r="N2453" s="37">
        <v>0</v>
      </c>
      <c r="O2453" s="37"/>
      <c r="P2453" s="37">
        <v>0</v>
      </c>
      <c r="Q2453" s="35">
        <v>0</v>
      </c>
      <c r="R2453" s="36">
        <v>0</v>
      </c>
      <c r="S2453" s="148" t="s">
        <v>1219</v>
      </c>
      <c r="T2453" s="257">
        <f t="shared" si="83"/>
        <v>1</v>
      </c>
      <c r="U2453" s="257">
        <f t="shared" si="84"/>
        <v>0</v>
      </c>
      <c r="V2453">
        <v>1</v>
      </c>
      <c r="W2453">
        <v>0</v>
      </c>
    </row>
    <row r="2454" spans="1:23" ht="22.8" x14ac:dyDescent="0.3">
      <c r="A2454" s="228">
        <v>41640</v>
      </c>
      <c r="B2454" s="228">
        <v>41670</v>
      </c>
      <c r="C2454" s="6">
        <v>1</v>
      </c>
      <c r="D2454" s="6">
        <v>31</v>
      </c>
      <c r="E2454" s="33">
        <v>2014</v>
      </c>
      <c r="F2454" s="15" t="s">
        <v>22</v>
      </c>
      <c r="G2454" s="9" t="s">
        <v>6258</v>
      </c>
      <c r="H2454" s="9" t="s">
        <v>61</v>
      </c>
      <c r="I2454" s="47" t="s">
        <v>25</v>
      </c>
      <c r="J2454" s="34" t="s">
        <v>4171</v>
      </c>
      <c r="K2454" s="123">
        <v>0</v>
      </c>
      <c r="L2454" s="238">
        <v>1</v>
      </c>
      <c r="M2454" s="37">
        <v>0</v>
      </c>
      <c r="N2454" s="37">
        <v>0</v>
      </c>
      <c r="O2454" s="37"/>
      <c r="P2454" s="37">
        <v>0</v>
      </c>
      <c r="Q2454" s="35">
        <v>0</v>
      </c>
      <c r="R2454" s="36">
        <v>0</v>
      </c>
      <c r="S2454" s="148" t="s">
        <v>1219</v>
      </c>
      <c r="T2454" s="257">
        <f t="shared" si="83"/>
        <v>1</v>
      </c>
      <c r="U2454" s="257">
        <f t="shared" si="84"/>
        <v>0</v>
      </c>
      <c r="V2454">
        <v>1</v>
      </c>
      <c r="W2454">
        <v>0</v>
      </c>
    </row>
    <row r="2455" spans="1:23" ht="45.6" x14ac:dyDescent="0.3">
      <c r="A2455" s="217">
        <v>41890</v>
      </c>
      <c r="B2455" s="217">
        <v>41890</v>
      </c>
      <c r="C2455" s="6">
        <v>9</v>
      </c>
      <c r="D2455" s="6">
        <v>1</v>
      </c>
      <c r="E2455" s="33">
        <v>2014</v>
      </c>
      <c r="F2455" s="15" t="s">
        <v>22</v>
      </c>
      <c r="G2455" s="18" t="s">
        <v>6256</v>
      </c>
      <c r="H2455" s="9" t="s">
        <v>51</v>
      </c>
      <c r="I2455" s="47" t="s">
        <v>4173</v>
      </c>
      <c r="J2455" s="48" t="s">
        <v>4174</v>
      </c>
      <c r="K2455" s="49">
        <v>0</v>
      </c>
      <c r="L2455" s="236">
        <v>2</v>
      </c>
      <c r="M2455" s="35">
        <v>0</v>
      </c>
      <c r="N2455" s="35">
        <v>0</v>
      </c>
      <c r="O2455" s="35">
        <v>0</v>
      </c>
      <c r="P2455" s="35">
        <v>0</v>
      </c>
      <c r="Q2455" s="35">
        <v>0</v>
      </c>
      <c r="R2455" s="36">
        <v>0</v>
      </c>
      <c r="S2455" s="50" t="s">
        <v>115</v>
      </c>
      <c r="T2455" s="257">
        <f t="shared" si="83"/>
        <v>2</v>
      </c>
      <c r="U2455" s="257">
        <f t="shared" si="84"/>
        <v>0</v>
      </c>
      <c r="V2455">
        <v>1</v>
      </c>
      <c r="W2455">
        <v>0</v>
      </c>
    </row>
    <row r="2456" spans="1:23" ht="68.400000000000006" x14ac:dyDescent="0.3">
      <c r="A2456" s="217">
        <v>41910</v>
      </c>
      <c r="B2456" s="217">
        <v>41910</v>
      </c>
      <c r="C2456" s="6">
        <v>9</v>
      </c>
      <c r="D2456" s="6">
        <v>1</v>
      </c>
      <c r="E2456" s="33">
        <v>2014</v>
      </c>
      <c r="F2456" s="15" t="s">
        <v>22</v>
      </c>
      <c r="G2456" s="18" t="s">
        <v>6256</v>
      </c>
      <c r="H2456" s="9" t="s">
        <v>121</v>
      </c>
      <c r="I2456" s="47" t="s">
        <v>4175</v>
      </c>
      <c r="J2456" s="48" t="s">
        <v>4176</v>
      </c>
      <c r="K2456" s="49">
        <v>0</v>
      </c>
      <c r="L2456" s="236">
        <v>6</v>
      </c>
      <c r="M2456" s="35">
        <v>0</v>
      </c>
      <c r="N2456" s="35">
        <v>0</v>
      </c>
      <c r="O2456" s="35">
        <v>0</v>
      </c>
      <c r="P2456" s="35">
        <v>0</v>
      </c>
      <c r="Q2456" s="35">
        <v>0</v>
      </c>
      <c r="R2456" s="36">
        <v>0</v>
      </c>
      <c r="S2456" s="50" t="s">
        <v>115</v>
      </c>
      <c r="T2456" s="257">
        <f t="shared" si="83"/>
        <v>6</v>
      </c>
      <c r="U2456" s="257">
        <f t="shared" si="84"/>
        <v>0</v>
      </c>
      <c r="V2456">
        <v>1</v>
      </c>
      <c r="W2456">
        <v>0</v>
      </c>
    </row>
    <row r="2457" spans="1:23" ht="216.6" x14ac:dyDescent="0.3">
      <c r="A2457" s="217">
        <v>41919</v>
      </c>
      <c r="B2457" s="217">
        <v>41920</v>
      </c>
      <c r="C2457" s="6">
        <v>10</v>
      </c>
      <c r="D2457" s="6">
        <v>2</v>
      </c>
      <c r="E2457" s="33">
        <v>2014</v>
      </c>
      <c r="F2457" s="15" t="s">
        <v>22</v>
      </c>
      <c r="G2457" s="18" t="s">
        <v>6256</v>
      </c>
      <c r="H2457" s="9" t="s">
        <v>174</v>
      </c>
      <c r="I2457" s="47" t="s">
        <v>2600</v>
      </c>
      <c r="J2457" s="48" t="s">
        <v>4177</v>
      </c>
      <c r="K2457" s="49">
        <v>0</v>
      </c>
      <c r="L2457" s="236">
        <v>285</v>
      </c>
      <c r="M2457" s="35">
        <v>57</v>
      </c>
      <c r="N2457" s="35">
        <v>1</v>
      </c>
      <c r="O2457" s="35">
        <v>0</v>
      </c>
      <c r="P2457" s="35">
        <v>1</v>
      </c>
      <c r="Q2457" s="35">
        <v>0</v>
      </c>
      <c r="R2457" s="36">
        <v>0</v>
      </c>
      <c r="S2457" s="50" t="s">
        <v>115</v>
      </c>
      <c r="T2457" s="257">
        <f t="shared" si="83"/>
        <v>285</v>
      </c>
      <c r="U2457" s="257">
        <f t="shared" si="84"/>
        <v>59</v>
      </c>
      <c r="V2457">
        <v>1</v>
      </c>
      <c r="W2457">
        <v>1</v>
      </c>
    </row>
    <row r="2458" spans="1:23" ht="45.6" x14ac:dyDescent="0.3">
      <c r="A2458" s="229">
        <v>42005</v>
      </c>
      <c r="B2458" s="229">
        <v>42369</v>
      </c>
      <c r="C2458" s="6">
        <v>1</v>
      </c>
      <c r="D2458" s="6">
        <v>365</v>
      </c>
      <c r="E2458" s="54">
        <v>2015</v>
      </c>
      <c r="F2458" s="15" t="s">
        <v>22</v>
      </c>
      <c r="G2458" s="9" t="s">
        <v>6258</v>
      </c>
      <c r="H2458" s="9" t="s">
        <v>174</v>
      </c>
      <c r="I2458" s="20" t="s">
        <v>25</v>
      </c>
      <c r="J2458" s="127" t="s">
        <v>4178</v>
      </c>
      <c r="K2458" s="151">
        <v>2</v>
      </c>
      <c r="L2458" s="233">
        <v>44</v>
      </c>
      <c r="M2458" s="13">
        <v>0</v>
      </c>
      <c r="N2458" s="13">
        <v>0</v>
      </c>
      <c r="O2458" s="13">
        <v>0</v>
      </c>
      <c r="P2458" s="13">
        <v>0</v>
      </c>
      <c r="Q2458" s="13">
        <v>0</v>
      </c>
      <c r="R2458" s="26">
        <v>0</v>
      </c>
      <c r="S2458" s="54" t="s">
        <v>1219</v>
      </c>
      <c r="T2458" s="257">
        <f t="shared" si="83"/>
        <v>46</v>
      </c>
      <c r="U2458" s="257">
        <f t="shared" si="84"/>
        <v>0</v>
      </c>
      <c r="V2458">
        <v>1</v>
      </c>
      <c r="W2458">
        <v>0</v>
      </c>
    </row>
    <row r="2459" spans="1:23" ht="45.6" x14ac:dyDescent="0.3">
      <c r="A2459" s="229">
        <v>42005</v>
      </c>
      <c r="B2459" s="229">
        <v>42369</v>
      </c>
      <c r="C2459" s="6">
        <v>1</v>
      </c>
      <c r="D2459" s="6">
        <v>365</v>
      </c>
      <c r="E2459" s="54">
        <v>2015</v>
      </c>
      <c r="F2459" s="15" t="s">
        <v>22</v>
      </c>
      <c r="G2459" s="9" t="s">
        <v>6258</v>
      </c>
      <c r="H2459" s="9" t="s">
        <v>27</v>
      </c>
      <c r="I2459" s="20" t="s">
        <v>25</v>
      </c>
      <c r="J2459" s="127" t="s">
        <v>4179</v>
      </c>
      <c r="K2459" s="151">
        <v>12</v>
      </c>
      <c r="L2459" s="233">
        <v>66</v>
      </c>
      <c r="M2459" s="13">
        <v>0</v>
      </c>
      <c r="N2459" s="13">
        <v>0</v>
      </c>
      <c r="O2459" s="13">
        <v>0</v>
      </c>
      <c r="P2459" s="13">
        <v>0</v>
      </c>
      <c r="Q2459" s="13">
        <v>0</v>
      </c>
      <c r="R2459" s="26">
        <v>0</v>
      </c>
      <c r="S2459" s="54" t="s">
        <v>1219</v>
      </c>
      <c r="T2459" s="257">
        <f t="shared" si="83"/>
        <v>78</v>
      </c>
      <c r="U2459" s="257">
        <f t="shared" si="84"/>
        <v>0</v>
      </c>
      <c r="V2459">
        <v>1</v>
      </c>
      <c r="W2459">
        <v>0</v>
      </c>
    </row>
    <row r="2460" spans="1:23" ht="34.200000000000003" x14ac:dyDescent="0.3">
      <c r="A2460" s="229">
        <v>42005</v>
      </c>
      <c r="B2460" s="229">
        <v>42369</v>
      </c>
      <c r="C2460" s="6">
        <v>1</v>
      </c>
      <c r="D2460" s="6">
        <v>365</v>
      </c>
      <c r="E2460" s="54">
        <v>2015</v>
      </c>
      <c r="F2460" s="15" t="s">
        <v>22</v>
      </c>
      <c r="G2460" s="9" t="s">
        <v>6258</v>
      </c>
      <c r="H2460" s="9" t="s">
        <v>124</v>
      </c>
      <c r="I2460" s="20" t="s">
        <v>25</v>
      </c>
      <c r="J2460" s="127" t="s">
        <v>4180</v>
      </c>
      <c r="K2460" s="151">
        <v>1</v>
      </c>
      <c r="L2460" s="233">
        <v>5</v>
      </c>
      <c r="M2460" s="13">
        <v>0</v>
      </c>
      <c r="N2460" s="13">
        <v>0</v>
      </c>
      <c r="O2460" s="13">
        <v>0</v>
      </c>
      <c r="P2460" s="13">
        <v>0</v>
      </c>
      <c r="Q2460" s="13">
        <v>0</v>
      </c>
      <c r="R2460" s="26">
        <v>0</v>
      </c>
      <c r="S2460" s="54" t="s">
        <v>1219</v>
      </c>
      <c r="T2460" s="257">
        <f t="shared" si="83"/>
        <v>6</v>
      </c>
      <c r="U2460" s="257">
        <f t="shared" si="84"/>
        <v>0</v>
      </c>
      <c r="V2460">
        <v>1</v>
      </c>
      <c r="W2460">
        <v>0</v>
      </c>
    </row>
    <row r="2461" spans="1:23" ht="34.200000000000003" x14ac:dyDescent="0.3">
      <c r="A2461" s="229">
        <v>42005</v>
      </c>
      <c r="B2461" s="229">
        <v>42369</v>
      </c>
      <c r="C2461" s="6">
        <v>1</v>
      </c>
      <c r="D2461" s="6">
        <v>365</v>
      </c>
      <c r="E2461" s="54">
        <v>2015</v>
      </c>
      <c r="F2461" s="15" t="s">
        <v>22</v>
      </c>
      <c r="G2461" s="9" t="s">
        <v>6258</v>
      </c>
      <c r="H2461" s="9" t="s">
        <v>69</v>
      </c>
      <c r="I2461" s="20" t="s">
        <v>25</v>
      </c>
      <c r="J2461" s="127" t="s">
        <v>4181</v>
      </c>
      <c r="K2461" s="151">
        <v>2</v>
      </c>
      <c r="L2461" s="233">
        <v>12</v>
      </c>
      <c r="M2461" s="13">
        <v>0</v>
      </c>
      <c r="N2461" s="13">
        <v>0</v>
      </c>
      <c r="O2461" s="13">
        <v>0</v>
      </c>
      <c r="P2461" s="13">
        <v>0</v>
      </c>
      <c r="Q2461" s="13">
        <v>0</v>
      </c>
      <c r="R2461" s="26">
        <v>0</v>
      </c>
      <c r="S2461" s="54" t="s">
        <v>1219</v>
      </c>
      <c r="T2461" s="257">
        <f t="shared" si="83"/>
        <v>14</v>
      </c>
      <c r="U2461" s="257">
        <f t="shared" si="84"/>
        <v>0</v>
      </c>
      <c r="V2461">
        <v>1</v>
      </c>
      <c r="W2461">
        <v>0</v>
      </c>
    </row>
    <row r="2462" spans="1:23" ht="45.6" x14ac:dyDescent="0.3">
      <c r="A2462" s="229">
        <v>42005</v>
      </c>
      <c r="B2462" s="229">
        <v>42369</v>
      </c>
      <c r="C2462" s="6">
        <v>1</v>
      </c>
      <c r="D2462" s="6">
        <v>365</v>
      </c>
      <c r="E2462" s="54">
        <v>2015</v>
      </c>
      <c r="F2462" s="15" t="s">
        <v>22</v>
      </c>
      <c r="G2462" s="9" t="s">
        <v>6258</v>
      </c>
      <c r="H2462" s="9" t="s">
        <v>34</v>
      </c>
      <c r="I2462" s="20" t="s">
        <v>25</v>
      </c>
      <c r="J2462" s="127" t="s">
        <v>4182</v>
      </c>
      <c r="K2462" s="151">
        <v>1</v>
      </c>
      <c r="L2462" s="233">
        <v>37</v>
      </c>
      <c r="M2462" s="13">
        <v>0</v>
      </c>
      <c r="N2462" s="13">
        <v>0</v>
      </c>
      <c r="O2462" s="13">
        <v>0</v>
      </c>
      <c r="P2462" s="13">
        <v>0</v>
      </c>
      <c r="Q2462" s="13">
        <v>0</v>
      </c>
      <c r="R2462" s="26">
        <v>0</v>
      </c>
      <c r="S2462" s="54" t="s">
        <v>1219</v>
      </c>
      <c r="T2462" s="257">
        <f t="shared" si="83"/>
        <v>38</v>
      </c>
      <c r="U2462" s="257">
        <f t="shared" si="84"/>
        <v>0</v>
      </c>
      <c r="V2462">
        <v>1</v>
      </c>
      <c r="W2462">
        <v>0</v>
      </c>
    </row>
    <row r="2463" spans="1:23" ht="45.6" x14ac:dyDescent="0.3">
      <c r="A2463" s="229">
        <v>42005</v>
      </c>
      <c r="B2463" s="229">
        <v>42369</v>
      </c>
      <c r="C2463" s="6">
        <v>1</v>
      </c>
      <c r="D2463" s="6">
        <v>365</v>
      </c>
      <c r="E2463" s="54">
        <v>2015</v>
      </c>
      <c r="F2463" s="15" t="s">
        <v>22</v>
      </c>
      <c r="G2463" s="9" t="s">
        <v>6258</v>
      </c>
      <c r="H2463" s="9" t="s">
        <v>74</v>
      </c>
      <c r="I2463" s="20" t="s">
        <v>25</v>
      </c>
      <c r="J2463" s="127" t="s">
        <v>4183</v>
      </c>
      <c r="K2463" s="151">
        <v>8</v>
      </c>
      <c r="L2463" s="233">
        <v>362</v>
      </c>
      <c r="M2463" s="13">
        <v>0</v>
      </c>
      <c r="N2463" s="13">
        <v>0</v>
      </c>
      <c r="O2463" s="13">
        <v>0</v>
      </c>
      <c r="P2463" s="13">
        <v>0</v>
      </c>
      <c r="Q2463" s="13">
        <v>0</v>
      </c>
      <c r="R2463" s="26">
        <v>0</v>
      </c>
      <c r="S2463" s="54" t="s">
        <v>1219</v>
      </c>
      <c r="T2463" s="257">
        <f t="shared" si="83"/>
        <v>370</v>
      </c>
      <c r="U2463" s="257">
        <f t="shared" si="84"/>
        <v>0</v>
      </c>
      <c r="V2463">
        <v>1</v>
      </c>
      <c r="W2463">
        <v>0</v>
      </c>
    </row>
    <row r="2464" spans="1:23" ht="34.200000000000003" x14ac:dyDescent="0.3">
      <c r="A2464" s="229">
        <v>42005</v>
      </c>
      <c r="B2464" s="229">
        <v>42369</v>
      </c>
      <c r="C2464" s="6">
        <v>1</v>
      </c>
      <c r="D2464" s="6">
        <v>365</v>
      </c>
      <c r="E2464" s="54">
        <v>2015</v>
      </c>
      <c r="F2464" s="15" t="s">
        <v>22</v>
      </c>
      <c r="G2464" s="9" t="s">
        <v>6258</v>
      </c>
      <c r="H2464" s="9" t="s">
        <v>72</v>
      </c>
      <c r="I2464" s="20" t="s">
        <v>25</v>
      </c>
      <c r="J2464" s="127" t="s">
        <v>4184</v>
      </c>
      <c r="K2464" s="151">
        <v>1</v>
      </c>
      <c r="L2464" s="233">
        <v>6</v>
      </c>
      <c r="M2464" s="13">
        <v>0</v>
      </c>
      <c r="N2464" s="13">
        <v>0</v>
      </c>
      <c r="O2464" s="13">
        <v>0</v>
      </c>
      <c r="P2464" s="13">
        <v>0</v>
      </c>
      <c r="Q2464" s="13">
        <v>0</v>
      </c>
      <c r="R2464" s="26">
        <v>0</v>
      </c>
      <c r="S2464" s="54" t="s">
        <v>1219</v>
      </c>
      <c r="T2464" s="257">
        <f t="shared" si="83"/>
        <v>7</v>
      </c>
      <c r="U2464" s="257">
        <f t="shared" si="84"/>
        <v>0</v>
      </c>
      <c r="V2464">
        <v>1</v>
      </c>
      <c r="W2464">
        <v>0</v>
      </c>
    </row>
    <row r="2465" spans="1:23" ht="34.200000000000003" x14ac:dyDescent="0.3">
      <c r="A2465" s="229">
        <v>42005</v>
      </c>
      <c r="B2465" s="229">
        <v>42369</v>
      </c>
      <c r="C2465" s="6">
        <v>1</v>
      </c>
      <c r="D2465" s="6">
        <v>365</v>
      </c>
      <c r="E2465" s="54">
        <v>2015</v>
      </c>
      <c r="F2465" s="15" t="s">
        <v>22</v>
      </c>
      <c r="G2465" s="9" t="s">
        <v>6258</v>
      </c>
      <c r="H2465" s="9" t="s">
        <v>112</v>
      </c>
      <c r="I2465" s="20" t="s">
        <v>25</v>
      </c>
      <c r="J2465" s="127" t="s">
        <v>4185</v>
      </c>
      <c r="K2465" s="151">
        <v>1</v>
      </c>
      <c r="L2465" s="233">
        <v>13</v>
      </c>
      <c r="M2465" s="13">
        <v>0</v>
      </c>
      <c r="N2465" s="13">
        <v>0</v>
      </c>
      <c r="O2465" s="13">
        <v>0</v>
      </c>
      <c r="P2465" s="13">
        <v>0</v>
      </c>
      <c r="Q2465" s="13">
        <v>0</v>
      </c>
      <c r="R2465" s="26">
        <v>0</v>
      </c>
      <c r="S2465" s="54" t="s">
        <v>1219</v>
      </c>
      <c r="T2465" s="257">
        <f t="shared" si="83"/>
        <v>14</v>
      </c>
      <c r="U2465" s="257">
        <f t="shared" si="84"/>
        <v>0</v>
      </c>
      <c r="V2465">
        <v>1</v>
      </c>
      <c r="W2465">
        <v>0</v>
      </c>
    </row>
    <row r="2466" spans="1:23" ht="34.200000000000003" x14ac:dyDescent="0.3">
      <c r="A2466" s="229">
        <v>42005</v>
      </c>
      <c r="B2466" s="229">
        <v>42369</v>
      </c>
      <c r="C2466" s="6">
        <v>1</v>
      </c>
      <c r="D2466" s="6">
        <v>365</v>
      </c>
      <c r="E2466" s="54">
        <v>2015</v>
      </c>
      <c r="F2466" s="15" t="s">
        <v>22</v>
      </c>
      <c r="G2466" s="9" t="s">
        <v>6258</v>
      </c>
      <c r="H2466" s="17" t="s">
        <v>565</v>
      </c>
      <c r="I2466" s="20" t="s">
        <v>25</v>
      </c>
      <c r="J2466" s="127" t="s">
        <v>4186</v>
      </c>
      <c r="K2466" s="151">
        <v>1</v>
      </c>
      <c r="L2466" s="233">
        <v>2</v>
      </c>
      <c r="M2466" s="13">
        <v>0</v>
      </c>
      <c r="N2466" s="13">
        <v>0</v>
      </c>
      <c r="O2466" s="13">
        <v>0</v>
      </c>
      <c r="P2466" s="13">
        <v>0</v>
      </c>
      <c r="Q2466" s="13">
        <v>0</v>
      </c>
      <c r="R2466" s="26">
        <v>0</v>
      </c>
      <c r="S2466" s="54" t="s">
        <v>1219</v>
      </c>
      <c r="T2466" s="257">
        <f t="shared" si="83"/>
        <v>3</v>
      </c>
      <c r="U2466" s="257">
        <f t="shared" si="84"/>
        <v>0</v>
      </c>
      <c r="V2466">
        <v>1</v>
      </c>
      <c r="W2466">
        <v>0</v>
      </c>
    </row>
    <row r="2467" spans="1:23" ht="22.8" x14ac:dyDescent="0.3">
      <c r="A2467" s="229">
        <v>42005</v>
      </c>
      <c r="B2467" s="229">
        <v>42369</v>
      </c>
      <c r="C2467" s="6">
        <v>1</v>
      </c>
      <c r="D2467" s="6">
        <v>365</v>
      </c>
      <c r="E2467" s="54">
        <v>2015</v>
      </c>
      <c r="F2467" s="15" t="s">
        <v>22</v>
      </c>
      <c r="G2467" s="9" t="s">
        <v>6258</v>
      </c>
      <c r="H2467" s="9" t="s">
        <v>51</v>
      </c>
      <c r="I2467" s="20" t="s">
        <v>25</v>
      </c>
      <c r="J2467" s="127" t="s">
        <v>4187</v>
      </c>
      <c r="K2467" s="151">
        <v>0</v>
      </c>
      <c r="L2467" s="233">
        <v>17</v>
      </c>
      <c r="M2467" s="13">
        <v>0</v>
      </c>
      <c r="N2467" s="13">
        <v>0</v>
      </c>
      <c r="O2467" s="13">
        <v>0</v>
      </c>
      <c r="P2467" s="13">
        <v>0</v>
      </c>
      <c r="Q2467" s="13">
        <v>0</v>
      </c>
      <c r="R2467" s="26">
        <v>0</v>
      </c>
      <c r="S2467" s="54" t="s">
        <v>1219</v>
      </c>
      <c r="T2467" s="257">
        <f t="shared" si="83"/>
        <v>17</v>
      </c>
      <c r="U2467" s="257">
        <f t="shared" si="84"/>
        <v>0</v>
      </c>
      <c r="V2467">
        <v>1</v>
      </c>
      <c r="W2467">
        <v>0</v>
      </c>
    </row>
    <row r="2468" spans="1:23" ht="22.8" x14ac:dyDescent="0.3">
      <c r="A2468" s="229">
        <v>42005</v>
      </c>
      <c r="B2468" s="229">
        <v>42369</v>
      </c>
      <c r="C2468" s="6">
        <v>1</v>
      </c>
      <c r="D2468" s="6">
        <v>365</v>
      </c>
      <c r="E2468" s="54">
        <v>2015</v>
      </c>
      <c r="F2468" s="15" t="s">
        <v>22</v>
      </c>
      <c r="G2468" s="9" t="s">
        <v>6258</v>
      </c>
      <c r="H2468" s="9" t="s">
        <v>37</v>
      </c>
      <c r="I2468" s="20" t="s">
        <v>25</v>
      </c>
      <c r="J2468" s="127" t="s">
        <v>4188</v>
      </c>
      <c r="K2468" s="151">
        <v>0</v>
      </c>
      <c r="L2468" s="233">
        <v>7</v>
      </c>
      <c r="M2468" s="13">
        <v>0</v>
      </c>
      <c r="N2468" s="13">
        <v>0</v>
      </c>
      <c r="O2468" s="13">
        <v>0</v>
      </c>
      <c r="P2468" s="13">
        <v>0</v>
      </c>
      <c r="Q2468" s="13">
        <v>0</v>
      </c>
      <c r="R2468" s="26">
        <v>0</v>
      </c>
      <c r="S2468" s="54" t="s">
        <v>1219</v>
      </c>
      <c r="T2468" s="257">
        <f t="shared" si="83"/>
        <v>7</v>
      </c>
      <c r="U2468" s="257">
        <f t="shared" si="84"/>
        <v>0</v>
      </c>
      <c r="V2468">
        <v>1</v>
      </c>
      <c r="W2468">
        <v>0</v>
      </c>
    </row>
    <row r="2469" spans="1:23" ht="22.8" x14ac:dyDescent="0.3">
      <c r="A2469" s="229">
        <v>42005</v>
      </c>
      <c r="B2469" s="229">
        <v>42369</v>
      </c>
      <c r="C2469" s="6">
        <v>1</v>
      </c>
      <c r="D2469" s="6">
        <v>365</v>
      </c>
      <c r="E2469" s="54">
        <v>2015</v>
      </c>
      <c r="F2469" s="15" t="s">
        <v>22</v>
      </c>
      <c r="G2469" s="9" t="s">
        <v>6258</v>
      </c>
      <c r="H2469" s="9" t="s">
        <v>56</v>
      </c>
      <c r="I2469" s="20" t="s">
        <v>25</v>
      </c>
      <c r="J2469" s="127" t="s">
        <v>4189</v>
      </c>
      <c r="K2469" s="151">
        <v>0</v>
      </c>
      <c r="L2469" s="233">
        <v>8</v>
      </c>
      <c r="M2469" s="13">
        <v>0</v>
      </c>
      <c r="N2469" s="13">
        <v>0</v>
      </c>
      <c r="O2469" s="13">
        <v>0</v>
      </c>
      <c r="P2469" s="13">
        <v>0</v>
      </c>
      <c r="Q2469" s="13">
        <v>0</v>
      </c>
      <c r="R2469" s="26">
        <v>0</v>
      </c>
      <c r="S2469" s="54" t="s">
        <v>1219</v>
      </c>
      <c r="T2469" s="257">
        <f t="shared" si="83"/>
        <v>8</v>
      </c>
      <c r="U2469" s="257">
        <f t="shared" si="84"/>
        <v>0</v>
      </c>
      <c r="V2469">
        <v>1</v>
      </c>
      <c r="W2469">
        <v>0</v>
      </c>
    </row>
    <row r="2470" spans="1:23" ht="22.8" x14ac:dyDescent="0.3">
      <c r="A2470" s="229">
        <v>42005</v>
      </c>
      <c r="B2470" s="229">
        <v>42369</v>
      </c>
      <c r="C2470" s="6">
        <v>1</v>
      </c>
      <c r="D2470" s="6">
        <v>365</v>
      </c>
      <c r="E2470" s="54">
        <v>2015</v>
      </c>
      <c r="F2470" s="15" t="s">
        <v>22</v>
      </c>
      <c r="G2470" s="9" t="s">
        <v>6258</v>
      </c>
      <c r="H2470" s="9" t="s">
        <v>24</v>
      </c>
      <c r="I2470" s="20" t="s">
        <v>25</v>
      </c>
      <c r="J2470" s="127" t="s">
        <v>4190</v>
      </c>
      <c r="K2470" s="151">
        <v>0</v>
      </c>
      <c r="L2470" s="233">
        <v>1</v>
      </c>
      <c r="M2470" s="13">
        <v>0</v>
      </c>
      <c r="N2470" s="13">
        <v>0</v>
      </c>
      <c r="O2470" s="13">
        <v>0</v>
      </c>
      <c r="P2470" s="13">
        <v>0</v>
      </c>
      <c r="Q2470" s="13">
        <v>0</v>
      </c>
      <c r="R2470" s="26">
        <v>0</v>
      </c>
      <c r="S2470" s="54" t="s">
        <v>1219</v>
      </c>
      <c r="T2470" s="257">
        <f t="shared" si="83"/>
        <v>1</v>
      </c>
      <c r="U2470" s="257">
        <f t="shared" si="84"/>
        <v>0</v>
      </c>
      <c r="V2470">
        <v>1</v>
      </c>
      <c r="W2470">
        <v>0</v>
      </c>
    </row>
    <row r="2471" spans="1:23" ht="79.8" x14ac:dyDescent="0.3">
      <c r="A2471" s="212">
        <v>40646</v>
      </c>
      <c r="B2471" s="212">
        <v>40646</v>
      </c>
      <c r="C2471" s="6">
        <v>4</v>
      </c>
      <c r="D2471" s="6">
        <v>1</v>
      </c>
      <c r="E2471" s="6">
        <v>2011</v>
      </c>
      <c r="F2471" s="15" t="s">
        <v>22</v>
      </c>
      <c r="G2471" s="18" t="s">
        <v>6256</v>
      </c>
      <c r="H2471" s="9" t="s">
        <v>48</v>
      </c>
      <c r="I2471" s="53" t="s">
        <v>4191</v>
      </c>
      <c r="J2471" s="53" t="s">
        <v>4192</v>
      </c>
      <c r="K2471" s="13">
        <v>0</v>
      </c>
      <c r="L2471" s="233">
        <v>100</v>
      </c>
      <c r="M2471" s="13">
        <v>20</v>
      </c>
      <c r="N2471" s="13">
        <v>0</v>
      </c>
      <c r="O2471" s="13">
        <v>0</v>
      </c>
      <c r="P2471" s="13">
        <v>0</v>
      </c>
      <c r="Q2471" s="13">
        <v>0</v>
      </c>
      <c r="R2471" s="26">
        <v>6.2599999999999999E-3</v>
      </c>
      <c r="S2471" s="19" t="s">
        <v>115</v>
      </c>
      <c r="T2471" s="257">
        <f t="shared" si="83"/>
        <v>100</v>
      </c>
      <c r="U2471" s="257">
        <f t="shared" si="84"/>
        <v>20</v>
      </c>
      <c r="V2471">
        <v>1</v>
      </c>
      <c r="W2471">
        <v>1</v>
      </c>
    </row>
    <row r="2472" spans="1:23" ht="22.8" x14ac:dyDescent="0.3">
      <c r="A2472" s="229">
        <v>42005</v>
      </c>
      <c r="B2472" s="229">
        <v>42369</v>
      </c>
      <c r="C2472" s="6">
        <v>1</v>
      </c>
      <c r="D2472" s="6">
        <v>365</v>
      </c>
      <c r="E2472" s="54">
        <v>2015</v>
      </c>
      <c r="F2472" s="15" t="s">
        <v>22</v>
      </c>
      <c r="G2472" s="9" t="s">
        <v>6258</v>
      </c>
      <c r="H2472" s="9" t="s">
        <v>46</v>
      </c>
      <c r="I2472" s="20" t="s">
        <v>25</v>
      </c>
      <c r="J2472" s="127" t="s">
        <v>4193</v>
      </c>
      <c r="K2472" s="151">
        <v>0</v>
      </c>
      <c r="L2472" s="233">
        <v>3</v>
      </c>
      <c r="M2472" s="13">
        <v>0</v>
      </c>
      <c r="N2472" s="13">
        <v>0</v>
      </c>
      <c r="O2472" s="13">
        <v>0</v>
      </c>
      <c r="P2472" s="13">
        <v>0</v>
      </c>
      <c r="Q2472" s="13">
        <v>0</v>
      </c>
      <c r="R2472" s="26">
        <v>0</v>
      </c>
      <c r="S2472" s="54" t="s">
        <v>1219</v>
      </c>
      <c r="T2472" s="257">
        <f t="shared" si="83"/>
        <v>3</v>
      </c>
      <c r="U2472" s="257">
        <f t="shared" si="84"/>
        <v>0</v>
      </c>
      <c r="V2472">
        <v>1</v>
      </c>
      <c r="W2472">
        <v>0</v>
      </c>
    </row>
    <row r="2473" spans="1:23" ht="22.8" x14ac:dyDescent="0.3">
      <c r="A2473" s="229">
        <v>42005</v>
      </c>
      <c r="B2473" s="229">
        <v>42369</v>
      </c>
      <c r="C2473" s="6">
        <v>1</v>
      </c>
      <c r="D2473" s="6">
        <v>365</v>
      </c>
      <c r="E2473" s="54">
        <v>2015</v>
      </c>
      <c r="F2473" s="15" t="s">
        <v>22</v>
      </c>
      <c r="G2473" s="9" t="s">
        <v>6258</v>
      </c>
      <c r="H2473" s="9" t="s">
        <v>70</v>
      </c>
      <c r="I2473" s="20" t="s">
        <v>25</v>
      </c>
      <c r="J2473" s="127" t="s">
        <v>4190</v>
      </c>
      <c r="K2473" s="151">
        <v>0</v>
      </c>
      <c r="L2473" s="233">
        <v>1</v>
      </c>
      <c r="M2473" s="13">
        <v>0</v>
      </c>
      <c r="N2473" s="13">
        <v>0</v>
      </c>
      <c r="O2473" s="13">
        <v>0</v>
      </c>
      <c r="P2473" s="13">
        <v>0</v>
      </c>
      <c r="Q2473" s="13">
        <v>0</v>
      </c>
      <c r="R2473" s="26">
        <v>0</v>
      </c>
      <c r="S2473" s="54" t="s">
        <v>1219</v>
      </c>
      <c r="T2473" s="257">
        <f t="shared" si="83"/>
        <v>1</v>
      </c>
      <c r="U2473" s="257">
        <f t="shared" si="84"/>
        <v>0</v>
      </c>
      <c r="V2473">
        <v>1</v>
      </c>
      <c r="W2473">
        <v>0</v>
      </c>
    </row>
    <row r="2474" spans="1:23" ht="22.8" x14ac:dyDescent="0.3">
      <c r="A2474" s="229">
        <v>42005</v>
      </c>
      <c r="B2474" s="229">
        <v>42369</v>
      </c>
      <c r="C2474" s="6">
        <v>1</v>
      </c>
      <c r="D2474" s="6">
        <v>365</v>
      </c>
      <c r="E2474" s="54">
        <v>2015</v>
      </c>
      <c r="F2474" s="15" t="s">
        <v>22</v>
      </c>
      <c r="G2474" s="9" t="s">
        <v>6258</v>
      </c>
      <c r="H2474" s="9" t="s">
        <v>78</v>
      </c>
      <c r="I2474" s="20" t="s">
        <v>25</v>
      </c>
      <c r="J2474" s="127" t="s">
        <v>4190</v>
      </c>
      <c r="K2474" s="151">
        <v>0</v>
      </c>
      <c r="L2474" s="233">
        <v>1</v>
      </c>
      <c r="M2474" s="13">
        <v>0</v>
      </c>
      <c r="N2474" s="13">
        <v>0</v>
      </c>
      <c r="O2474" s="13">
        <v>0</v>
      </c>
      <c r="P2474" s="13">
        <v>0</v>
      </c>
      <c r="Q2474" s="13">
        <v>0</v>
      </c>
      <c r="R2474" s="26">
        <v>0</v>
      </c>
      <c r="S2474" s="54" t="s">
        <v>1219</v>
      </c>
      <c r="T2474" s="257">
        <f t="shared" si="83"/>
        <v>1</v>
      </c>
      <c r="U2474" s="257">
        <f t="shared" si="84"/>
        <v>0</v>
      </c>
      <c r="V2474">
        <v>1</v>
      </c>
      <c r="W2474">
        <v>0</v>
      </c>
    </row>
    <row r="2475" spans="1:23" ht="34.200000000000003" x14ac:dyDescent="0.3">
      <c r="A2475" s="229">
        <v>42005</v>
      </c>
      <c r="B2475" s="229">
        <v>42369</v>
      </c>
      <c r="C2475" s="6">
        <v>1</v>
      </c>
      <c r="D2475" s="6">
        <v>365</v>
      </c>
      <c r="E2475" s="54">
        <v>2015</v>
      </c>
      <c r="F2475" s="15" t="s">
        <v>22</v>
      </c>
      <c r="G2475" s="9" t="s">
        <v>6258</v>
      </c>
      <c r="H2475" s="9" t="s">
        <v>28</v>
      </c>
      <c r="I2475" s="20" t="s">
        <v>25</v>
      </c>
      <c r="J2475" s="127" t="s">
        <v>4194</v>
      </c>
      <c r="K2475" s="151">
        <v>0</v>
      </c>
      <c r="L2475" s="233">
        <v>2</v>
      </c>
      <c r="M2475" s="13">
        <v>0</v>
      </c>
      <c r="N2475" s="13">
        <v>0</v>
      </c>
      <c r="O2475" s="13">
        <v>0</v>
      </c>
      <c r="P2475" s="13">
        <v>0</v>
      </c>
      <c r="Q2475" s="13">
        <v>0</v>
      </c>
      <c r="R2475" s="26">
        <v>0</v>
      </c>
      <c r="S2475" s="54" t="s">
        <v>1219</v>
      </c>
      <c r="T2475" s="257">
        <f t="shared" si="83"/>
        <v>2</v>
      </c>
      <c r="U2475" s="257">
        <f t="shared" si="84"/>
        <v>0</v>
      </c>
      <c r="V2475">
        <v>1</v>
      </c>
      <c r="W2475">
        <v>0</v>
      </c>
    </row>
    <row r="2476" spans="1:23" ht="45.6" x14ac:dyDescent="0.3">
      <c r="A2476" s="229">
        <v>42005</v>
      </c>
      <c r="B2476" s="229">
        <v>42369</v>
      </c>
      <c r="C2476" s="6">
        <v>1</v>
      </c>
      <c r="D2476" s="6">
        <v>365</v>
      </c>
      <c r="E2476" s="54">
        <v>2015</v>
      </c>
      <c r="F2476" s="15" t="s">
        <v>22</v>
      </c>
      <c r="G2476" s="18" t="s">
        <v>6255</v>
      </c>
      <c r="H2476" s="9" t="s">
        <v>37</v>
      </c>
      <c r="I2476" s="152" t="s">
        <v>1109</v>
      </c>
      <c r="J2476" s="152" t="s">
        <v>4195</v>
      </c>
      <c r="K2476" s="54">
        <v>3</v>
      </c>
      <c r="L2476" s="233">
        <v>17</v>
      </c>
      <c r="M2476" s="153">
        <v>0</v>
      </c>
      <c r="N2476" s="153">
        <v>0</v>
      </c>
      <c r="O2476" s="153">
        <v>0</v>
      </c>
      <c r="P2476" s="153">
        <v>0</v>
      </c>
      <c r="Q2476" s="153">
        <v>0</v>
      </c>
      <c r="R2476" s="26">
        <v>0</v>
      </c>
      <c r="S2476" s="54" t="s">
        <v>1219</v>
      </c>
      <c r="T2476" s="257">
        <f t="shared" si="83"/>
        <v>20</v>
      </c>
      <c r="U2476" s="257">
        <f t="shared" si="84"/>
        <v>0</v>
      </c>
      <c r="V2476">
        <v>1</v>
      </c>
      <c r="W2476">
        <v>0</v>
      </c>
    </row>
    <row r="2477" spans="1:23" ht="57" x14ac:dyDescent="0.3">
      <c r="A2477" s="229">
        <v>42005</v>
      </c>
      <c r="B2477" s="229">
        <v>42369</v>
      </c>
      <c r="C2477" s="6">
        <v>1</v>
      </c>
      <c r="D2477" s="6">
        <v>365</v>
      </c>
      <c r="E2477" s="54">
        <v>2015</v>
      </c>
      <c r="F2477" s="15" t="s">
        <v>22</v>
      </c>
      <c r="G2477" s="18" t="s">
        <v>6255</v>
      </c>
      <c r="H2477" s="9" t="s">
        <v>34</v>
      </c>
      <c r="I2477" s="152" t="s">
        <v>1109</v>
      </c>
      <c r="J2477" s="154" t="s">
        <v>4196</v>
      </c>
      <c r="K2477" s="54">
        <v>7</v>
      </c>
      <c r="L2477" s="233">
        <v>175</v>
      </c>
      <c r="M2477" s="153">
        <v>0</v>
      </c>
      <c r="N2477" s="153">
        <v>0</v>
      </c>
      <c r="O2477" s="153">
        <v>0</v>
      </c>
      <c r="P2477" s="153">
        <v>0</v>
      </c>
      <c r="Q2477" s="153">
        <v>0</v>
      </c>
      <c r="R2477" s="26">
        <v>0</v>
      </c>
      <c r="S2477" s="54" t="s">
        <v>1219</v>
      </c>
      <c r="T2477" s="257">
        <f t="shared" si="83"/>
        <v>182</v>
      </c>
      <c r="U2477" s="257">
        <f t="shared" si="84"/>
        <v>0</v>
      </c>
      <c r="V2477">
        <v>1</v>
      </c>
      <c r="W2477">
        <v>0</v>
      </c>
    </row>
    <row r="2478" spans="1:23" ht="34.200000000000003" x14ac:dyDescent="0.3">
      <c r="A2478" s="229">
        <v>42005</v>
      </c>
      <c r="B2478" s="229">
        <v>42369</v>
      </c>
      <c r="C2478" s="6">
        <v>1</v>
      </c>
      <c r="D2478" s="6">
        <v>365</v>
      </c>
      <c r="E2478" s="54">
        <v>2015</v>
      </c>
      <c r="F2478" s="15" t="s">
        <v>22</v>
      </c>
      <c r="G2478" s="18" t="s">
        <v>6255</v>
      </c>
      <c r="H2478" s="9" t="s">
        <v>70</v>
      </c>
      <c r="I2478" s="152" t="s">
        <v>1109</v>
      </c>
      <c r="J2478" s="154" t="s">
        <v>4197</v>
      </c>
      <c r="K2478" s="54">
        <v>2</v>
      </c>
      <c r="L2478" s="233">
        <v>2</v>
      </c>
      <c r="M2478" s="153">
        <v>0</v>
      </c>
      <c r="N2478" s="153">
        <v>0</v>
      </c>
      <c r="O2478" s="153">
        <v>0</v>
      </c>
      <c r="P2478" s="153">
        <v>0</v>
      </c>
      <c r="Q2478" s="153">
        <v>0</v>
      </c>
      <c r="R2478" s="26">
        <v>0</v>
      </c>
      <c r="S2478" s="54" t="s">
        <v>1219</v>
      </c>
      <c r="T2478" s="257">
        <f t="shared" si="83"/>
        <v>4</v>
      </c>
      <c r="U2478" s="257">
        <f t="shared" si="84"/>
        <v>0</v>
      </c>
      <c r="V2478">
        <v>1</v>
      </c>
      <c r="W2478">
        <v>0</v>
      </c>
    </row>
    <row r="2479" spans="1:23" ht="34.200000000000003" x14ac:dyDescent="0.3">
      <c r="A2479" s="229">
        <v>42005</v>
      </c>
      <c r="B2479" s="229">
        <v>42369</v>
      </c>
      <c r="C2479" s="6">
        <v>1</v>
      </c>
      <c r="D2479" s="6">
        <v>365</v>
      </c>
      <c r="E2479" s="54">
        <v>2015</v>
      </c>
      <c r="F2479" s="15" t="s">
        <v>22</v>
      </c>
      <c r="G2479" s="18" t="s">
        <v>6255</v>
      </c>
      <c r="H2479" s="9" t="s">
        <v>57</v>
      </c>
      <c r="I2479" s="152" t="s">
        <v>1109</v>
      </c>
      <c r="J2479" s="154" t="s">
        <v>4198</v>
      </c>
      <c r="K2479" s="54">
        <v>8</v>
      </c>
      <c r="L2479" s="233">
        <v>11</v>
      </c>
      <c r="M2479" s="153">
        <v>0</v>
      </c>
      <c r="N2479" s="153">
        <v>0</v>
      </c>
      <c r="O2479" s="153">
        <v>0</v>
      </c>
      <c r="P2479" s="153">
        <v>0</v>
      </c>
      <c r="Q2479" s="153">
        <v>0</v>
      </c>
      <c r="R2479" s="26">
        <v>0</v>
      </c>
      <c r="S2479" s="54" t="s">
        <v>1219</v>
      </c>
      <c r="T2479" s="257">
        <f t="shared" si="83"/>
        <v>19</v>
      </c>
      <c r="U2479" s="257">
        <f t="shared" si="84"/>
        <v>0</v>
      </c>
      <c r="V2479">
        <v>1</v>
      </c>
      <c r="W2479">
        <v>0</v>
      </c>
    </row>
    <row r="2480" spans="1:23" ht="34.200000000000003" x14ac:dyDescent="0.3">
      <c r="A2480" s="229">
        <v>42005</v>
      </c>
      <c r="B2480" s="229">
        <v>42369</v>
      </c>
      <c r="C2480" s="6">
        <v>1</v>
      </c>
      <c r="D2480" s="6">
        <v>365</v>
      </c>
      <c r="E2480" s="54">
        <v>2015</v>
      </c>
      <c r="F2480" s="15" t="s">
        <v>22</v>
      </c>
      <c r="G2480" s="18" t="s">
        <v>6255</v>
      </c>
      <c r="H2480" s="9" t="s">
        <v>64</v>
      </c>
      <c r="I2480" s="152" t="s">
        <v>1109</v>
      </c>
      <c r="J2480" s="154" t="s">
        <v>4199</v>
      </c>
      <c r="K2480" s="54">
        <v>2</v>
      </c>
      <c r="L2480" s="233">
        <v>12</v>
      </c>
      <c r="M2480" s="153">
        <v>0</v>
      </c>
      <c r="N2480" s="153">
        <v>0</v>
      </c>
      <c r="O2480" s="153">
        <v>0</v>
      </c>
      <c r="P2480" s="153">
        <v>0</v>
      </c>
      <c r="Q2480" s="153">
        <v>0</v>
      </c>
      <c r="R2480" s="26">
        <v>0</v>
      </c>
      <c r="S2480" s="54" t="s">
        <v>1219</v>
      </c>
      <c r="T2480" s="257">
        <f t="shared" si="83"/>
        <v>14</v>
      </c>
      <c r="U2480" s="257">
        <f t="shared" si="84"/>
        <v>0</v>
      </c>
      <c r="V2480">
        <v>1</v>
      </c>
      <c r="W2480">
        <v>0</v>
      </c>
    </row>
    <row r="2481" spans="1:23" ht="57" x14ac:dyDescent="0.3">
      <c r="A2481" s="229">
        <v>42005</v>
      </c>
      <c r="B2481" s="229">
        <v>42369</v>
      </c>
      <c r="C2481" s="6">
        <v>1</v>
      </c>
      <c r="D2481" s="6">
        <v>365</v>
      </c>
      <c r="E2481" s="54">
        <v>2015</v>
      </c>
      <c r="F2481" s="15" t="s">
        <v>22</v>
      </c>
      <c r="G2481" s="18" t="s">
        <v>6255</v>
      </c>
      <c r="H2481" s="9" t="s">
        <v>121</v>
      </c>
      <c r="I2481" s="152" t="s">
        <v>1109</v>
      </c>
      <c r="J2481" s="154" t="s">
        <v>4200</v>
      </c>
      <c r="K2481" s="54">
        <v>2</v>
      </c>
      <c r="L2481" s="233">
        <v>2</v>
      </c>
      <c r="M2481" s="153">
        <v>0</v>
      </c>
      <c r="N2481" s="153">
        <v>0</v>
      </c>
      <c r="O2481" s="153">
        <v>0</v>
      </c>
      <c r="P2481" s="153">
        <v>0</v>
      </c>
      <c r="Q2481" s="153">
        <v>0</v>
      </c>
      <c r="R2481" s="26">
        <v>0</v>
      </c>
      <c r="S2481" s="54" t="s">
        <v>4201</v>
      </c>
      <c r="T2481" s="257">
        <f t="shared" si="83"/>
        <v>4</v>
      </c>
      <c r="U2481" s="257">
        <f t="shared" si="84"/>
        <v>0</v>
      </c>
      <c r="V2481">
        <v>1</v>
      </c>
      <c r="W2481">
        <v>0</v>
      </c>
    </row>
    <row r="2482" spans="1:23" ht="57" x14ac:dyDescent="0.3">
      <c r="A2482" s="229">
        <v>42005</v>
      </c>
      <c r="B2482" s="229">
        <v>42369</v>
      </c>
      <c r="C2482" s="6">
        <v>1</v>
      </c>
      <c r="D2482" s="6">
        <v>365</v>
      </c>
      <c r="E2482" s="54">
        <v>2015</v>
      </c>
      <c r="F2482" s="15" t="s">
        <v>22</v>
      </c>
      <c r="G2482" s="18" t="s">
        <v>6255</v>
      </c>
      <c r="H2482" s="9" t="s">
        <v>74</v>
      </c>
      <c r="I2482" s="152" t="s">
        <v>1109</v>
      </c>
      <c r="J2482" s="154" t="s">
        <v>4202</v>
      </c>
      <c r="K2482" s="54">
        <v>10</v>
      </c>
      <c r="L2482" s="233">
        <v>54</v>
      </c>
      <c r="M2482" s="153">
        <v>0</v>
      </c>
      <c r="N2482" s="153">
        <v>0</v>
      </c>
      <c r="O2482" s="153">
        <v>0</v>
      </c>
      <c r="P2482" s="153">
        <v>0</v>
      </c>
      <c r="Q2482" s="153">
        <v>0</v>
      </c>
      <c r="R2482" s="26">
        <v>0</v>
      </c>
      <c r="S2482" s="54" t="s">
        <v>1219</v>
      </c>
      <c r="T2482" s="257">
        <f t="shared" si="83"/>
        <v>64</v>
      </c>
      <c r="U2482" s="257">
        <f t="shared" si="84"/>
        <v>0</v>
      </c>
      <c r="V2482">
        <v>1</v>
      </c>
      <c r="W2482">
        <v>0</v>
      </c>
    </row>
    <row r="2483" spans="1:23" ht="34.200000000000003" x14ac:dyDescent="0.3">
      <c r="A2483" s="229">
        <v>42005</v>
      </c>
      <c r="B2483" s="229">
        <v>42369</v>
      </c>
      <c r="C2483" s="6">
        <v>1</v>
      </c>
      <c r="D2483" s="6">
        <v>365</v>
      </c>
      <c r="E2483" s="54">
        <v>2015</v>
      </c>
      <c r="F2483" s="15" t="s">
        <v>22</v>
      </c>
      <c r="G2483" s="18" t="s">
        <v>6255</v>
      </c>
      <c r="H2483" s="9" t="s">
        <v>41</v>
      </c>
      <c r="I2483" s="152" t="s">
        <v>1109</v>
      </c>
      <c r="J2483" s="154" t="s">
        <v>4203</v>
      </c>
      <c r="K2483" s="54">
        <v>4</v>
      </c>
      <c r="L2483" s="233">
        <v>13</v>
      </c>
      <c r="M2483" s="153">
        <v>0</v>
      </c>
      <c r="N2483" s="153">
        <v>0</v>
      </c>
      <c r="O2483" s="153">
        <v>0</v>
      </c>
      <c r="P2483" s="153">
        <v>0</v>
      </c>
      <c r="Q2483" s="153">
        <v>0</v>
      </c>
      <c r="R2483" s="26">
        <v>0</v>
      </c>
      <c r="S2483" s="54" t="s">
        <v>1219</v>
      </c>
      <c r="T2483" s="257">
        <f t="shared" si="83"/>
        <v>17</v>
      </c>
      <c r="U2483" s="257">
        <f t="shared" si="84"/>
        <v>0</v>
      </c>
      <c r="V2483">
        <v>1</v>
      </c>
      <c r="W2483">
        <v>0</v>
      </c>
    </row>
    <row r="2484" spans="1:23" ht="34.200000000000003" x14ac:dyDescent="0.3">
      <c r="A2484" s="229">
        <v>42005</v>
      </c>
      <c r="B2484" s="229">
        <v>42369</v>
      </c>
      <c r="C2484" s="6">
        <v>1</v>
      </c>
      <c r="D2484" s="6">
        <v>365</v>
      </c>
      <c r="E2484" s="54">
        <v>2015</v>
      </c>
      <c r="F2484" s="15" t="s">
        <v>22</v>
      </c>
      <c r="G2484" s="18" t="s">
        <v>6255</v>
      </c>
      <c r="H2484" s="9" t="s">
        <v>78</v>
      </c>
      <c r="I2484" s="152" t="s">
        <v>1109</v>
      </c>
      <c r="J2484" s="154" t="s">
        <v>4204</v>
      </c>
      <c r="K2484" s="54">
        <v>1</v>
      </c>
      <c r="L2484" s="233">
        <v>14</v>
      </c>
      <c r="M2484" s="153">
        <v>0</v>
      </c>
      <c r="N2484" s="153">
        <v>0</v>
      </c>
      <c r="O2484" s="153">
        <v>0</v>
      </c>
      <c r="P2484" s="153">
        <v>0</v>
      </c>
      <c r="Q2484" s="153">
        <v>0</v>
      </c>
      <c r="R2484" s="26">
        <v>0</v>
      </c>
      <c r="S2484" s="54" t="s">
        <v>1219</v>
      </c>
      <c r="T2484" s="257">
        <f t="shared" si="83"/>
        <v>15</v>
      </c>
      <c r="U2484" s="257">
        <f t="shared" si="84"/>
        <v>0</v>
      </c>
      <c r="V2484">
        <v>1</v>
      </c>
      <c r="W2484">
        <v>0</v>
      </c>
    </row>
    <row r="2485" spans="1:23" ht="34.200000000000003" x14ac:dyDescent="0.3">
      <c r="A2485" s="229">
        <v>42005</v>
      </c>
      <c r="B2485" s="229">
        <v>42369</v>
      </c>
      <c r="C2485" s="6">
        <v>1</v>
      </c>
      <c r="D2485" s="6">
        <v>365</v>
      </c>
      <c r="E2485" s="54">
        <v>2015</v>
      </c>
      <c r="F2485" s="15" t="s">
        <v>22</v>
      </c>
      <c r="G2485" s="18" t="s">
        <v>6255</v>
      </c>
      <c r="H2485" s="9" t="s">
        <v>174</v>
      </c>
      <c r="I2485" s="152" t="s">
        <v>1109</v>
      </c>
      <c r="J2485" s="154" t="s">
        <v>4205</v>
      </c>
      <c r="K2485" s="54">
        <v>1</v>
      </c>
      <c r="L2485" s="233">
        <v>7</v>
      </c>
      <c r="M2485" s="153">
        <v>0</v>
      </c>
      <c r="N2485" s="153">
        <v>0</v>
      </c>
      <c r="O2485" s="153">
        <v>0</v>
      </c>
      <c r="P2485" s="153">
        <v>0</v>
      </c>
      <c r="Q2485" s="153">
        <v>0</v>
      </c>
      <c r="R2485" s="26">
        <v>0</v>
      </c>
      <c r="S2485" s="54" t="s">
        <v>1219</v>
      </c>
      <c r="T2485" s="257">
        <f t="shared" si="83"/>
        <v>8</v>
      </c>
      <c r="U2485" s="257">
        <f t="shared" si="84"/>
        <v>0</v>
      </c>
      <c r="V2485">
        <v>1</v>
      </c>
      <c r="W2485">
        <v>0</v>
      </c>
    </row>
    <row r="2486" spans="1:23" ht="22.8" x14ac:dyDescent="0.3">
      <c r="A2486" s="229">
        <v>42005</v>
      </c>
      <c r="B2486" s="229">
        <v>42369</v>
      </c>
      <c r="C2486" s="6">
        <v>1</v>
      </c>
      <c r="D2486" s="6">
        <v>365</v>
      </c>
      <c r="E2486" s="54">
        <v>2015</v>
      </c>
      <c r="F2486" s="15" t="s">
        <v>22</v>
      </c>
      <c r="G2486" s="18" t="s">
        <v>6255</v>
      </c>
      <c r="H2486" s="9" t="s">
        <v>43</v>
      </c>
      <c r="I2486" s="152" t="s">
        <v>1109</v>
      </c>
      <c r="J2486" s="154" t="s">
        <v>4206</v>
      </c>
      <c r="K2486" s="54">
        <v>1</v>
      </c>
      <c r="L2486" s="233">
        <v>0</v>
      </c>
      <c r="M2486" s="153">
        <v>0</v>
      </c>
      <c r="N2486" s="153">
        <v>0</v>
      </c>
      <c r="O2486" s="153">
        <v>0</v>
      </c>
      <c r="P2486" s="153">
        <v>0</v>
      </c>
      <c r="Q2486" s="153">
        <v>0</v>
      </c>
      <c r="R2486" s="26">
        <v>0</v>
      </c>
      <c r="S2486" s="54" t="s">
        <v>1219</v>
      </c>
      <c r="T2486" s="257">
        <f t="shared" si="83"/>
        <v>1</v>
      </c>
      <c r="U2486" s="257">
        <f t="shared" si="84"/>
        <v>0</v>
      </c>
      <c r="V2486">
        <v>1</v>
      </c>
      <c r="W2486">
        <v>0</v>
      </c>
    </row>
    <row r="2487" spans="1:23" ht="34.200000000000003" x14ac:dyDescent="0.3">
      <c r="A2487" s="229">
        <v>42005</v>
      </c>
      <c r="B2487" s="229">
        <v>42369</v>
      </c>
      <c r="C2487" s="6">
        <v>1</v>
      </c>
      <c r="D2487" s="6">
        <v>365</v>
      </c>
      <c r="E2487" s="54">
        <v>2015</v>
      </c>
      <c r="F2487" s="15" t="s">
        <v>22</v>
      </c>
      <c r="G2487" s="18" t="s">
        <v>6255</v>
      </c>
      <c r="H2487" s="9" t="s">
        <v>31</v>
      </c>
      <c r="I2487" s="152" t="s">
        <v>1109</v>
      </c>
      <c r="J2487" s="154" t="s">
        <v>4207</v>
      </c>
      <c r="K2487" s="54">
        <v>1</v>
      </c>
      <c r="L2487" s="233">
        <v>5</v>
      </c>
      <c r="M2487" s="153">
        <v>0</v>
      </c>
      <c r="N2487" s="153">
        <v>0</v>
      </c>
      <c r="O2487" s="153">
        <v>0</v>
      </c>
      <c r="P2487" s="153">
        <v>0</v>
      </c>
      <c r="Q2487" s="153">
        <v>0</v>
      </c>
      <c r="R2487" s="26">
        <v>0</v>
      </c>
      <c r="S2487" s="54" t="s">
        <v>1219</v>
      </c>
      <c r="T2487" s="257">
        <f t="shared" si="83"/>
        <v>6</v>
      </c>
      <c r="U2487" s="257">
        <f t="shared" si="84"/>
        <v>0</v>
      </c>
      <c r="V2487">
        <v>1</v>
      </c>
      <c r="W2487">
        <v>0</v>
      </c>
    </row>
    <row r="2488" spans="1:23" ht="34.200000000000003" x14ac:dyDescent="0.3">
      <c r="A2488" s="229">
        <v>42005</v>
      </c>
      <c r="B2488" s="229">
        <v>42369</v>
      </c>
      <c r="C2488" s="6">
        <v>1</v>
      </c>
      <c r="D2488" s="6">
        <v>365</v>
      </c>
      <c r="E2488" s="54">
        <v>2015</v>
      </c>
      <c r="F2488" s="15" t="s">
        <v>22</v>
      </c>
      <c r="G2488" s="18" t="s">
        <v>6255</v>
      </c>
      <c r="H2488" s="9" t="s">
        <v>84</v>
      </c>
      <c r="I2488" s="152" t="s">
        <v>1109</v>
      </c>
      <c r="J2488" s="154" t="s">
        <v>4208</v>
      </c>
      <c r="K2488" s="54">
        <v>1</v>
      </c>
      <c r="L2488" s="233">
        <v>3</v>
      </c>
      <c r="M2488" s="153">
        <v>0</v>
      </c>
      <c r="N2488" s="153">
        <v>0</v>
      </c>
      <c r="O2488" s="153">
        <v>0</v>
      </c>
      <c r="P2488" s="153">
        <v>0</v>
      </c>
      <c r="Q2488" s="153">
        <v>0</v>
      </c>
      <c r="R2488" s="26">
        <v>0</v>
      </c>
      <c r="S2488" s="54" t="s">
        <v>1219</v>
      </c>
      <c r="T2488" s="257">
        <f t="shared" si="83"/>
        <v>4</v>
      </c>
      <c r="U2488" s="257">
        <f t="shared" si="84"/>
        <v>0</v>
      </c>
      <c r="V2488">
        <v>1</v>
      </c>
      <c r="W2488">
        <v>0</v>
      </c>
    </row>
    <row r="2489" spans="1:23" ht="22.8" x14ac:dyDescent="0.3">
      <c r="A2489" s="229">
        <v>42005</v>
      </c>
      <c r="B2489" s="229">
        <v>42369</v>
      </c>
      <c r="C2489" s="6">
        <v>1</v>
      </c>
      <c r="D2489" s="6">
        <v>365</v>
      </c>
      <c r="E2489" s="54">
        <v>2015</v>
      </c>
      <c r="F2489" s="15" t="s">
        <v>22</v>
      </c>
      <c r="G2489" s="18" t="s">
        <v>6255</v>
      </c>
      <c r="H2489" s="9" t="s">
        <v>118</v>
      </c>
      <c r="I2489" s="152" t="s">
        <v>1109</v>
      </c>
      <c r="J2489" s="154" t="s">
        <v>4209</v>
      </c>
      <c r="K2489" s="54">
        <v>0</v>
      </c>
      <c r="L2489" s="233">
        <v>1</v>
      </c>
      <c r="M2489" s="153">
        <v>0</v>
      </c>
      <c r="N2489" s="153">
        <v>0</v>
      </c>
      <c r="O2489" s="153">
        <v>0</v>
      </c>
      <c r="P2489" s="153">
        <v>0</v>
      </c>
      <c r="Q2489" s="153">
        <v>0</v>
      </c>
      <c r="R2489" s="26">
        <v>0</v>
      </c>
      <c r="S2489" s="54" t="s">
        <v>1219</v>
      </c>
      <c r="T2489" s="257">
        <f t="shared" si="83"/>
        <v>1</v>
      </c>
      <c r="U2489" s="257">
        <f t="shared" si="84"/>
        <v>0</v>
      </c>
      <c r="V2489">
        <v>1</v>
      </c>
      <c r="W2489">
        <v>0</v>
      </c>
    </row>
    <row r="2490" spans="1:23" ht="68.400000000000006" x14ac:dyDescent="0.3">
      <c r="A2490" s="212">
        <v>42008</v>
      </c>
      <c r="B2490" s="212">
        <v>42011</v>
      </c>
      <c r="C2490" s="6">
        <v>1</v>
      </c>
      <c r="D2490" s="6">
        <v>4</v>
      </c>
      <c r="E2490" s="54">
        <v>2015</v>
      </c>
      <c r="F2490" s="15" t="s">
        <v>22</v>
      </c>
      <c r="G2490" s="18" t="s">
        <v>6256</v>
      </c>
      <c r="H2490" s="9" t="s">
        <v>174</v>
      </c>
      <c r="I2490" s="70" t="s">
        <v>4210</v>
      </c>
      <c r="J2490" s="71" t="s">
        <v>4211</v>
      </c>
      <c r="K2490" s="55">
        <v>0</v>
      </c>
      <c r="L2490" s="238">
        <v>17163</v>
      </c>
      <c r="M2490" s="156">
        <v>0</v>
      </c>
      <c r="N2490" s="156">
        <v>0</v>
      </c>
      <c r="O2490" s="156">
        <v>0</v>
      </c>
      <c r="P2490" s="156">
        <v>0</v>
      </c>
      <c r="Q2490" s="156">
        <v>0</v>
      </c>
      <c r="R2490" s="26">
        <v>11.316000000000001</v>
      </c>
      <c r="S2490" s="57" t="s">
        <v>149</v>
      </c>
      <c r="T2490" s="257">
        <f t="shared" si="83"/>
        <v>17163</v>
      </c>
      <c r="U2490" s="257">
        <f t="shared" si="84"/>
        <v>0</v>
      </c>
      <c r="V2490">
        <v>2</v>
      </c>
      <c r="W2490">
        <v>0</v>
      </c>
    </row>
    <row r="2491" spans="1:23" ht="114" x14ac:dyDescent="0.3">
      <c r="A2491" s="225">
        <v>42009</v>
      </c>
      <c r="B2491" s="225">
        <v>42009</v>
      </c>
      <c r="C2491" s="6">
        <v>1</v>
      </c>
      <c r="D2491" s="6">
        <v>1</v>
      </c>
      <c r="E2491" s="54">
        <v>2015</v>
      </c>
      <c r="F2491" s="15" t="s">
        <v>22</v>
      </c>
      <c r="G2491" s="18" t="s">
        <v>6256</v>
      </c>
      <c r="H2491" s="9" t="s">
        <v>31</v>
      </c>
      <c r="I2491" s="70" t="s">
        <v>4212</v>
      </c>
      <c r="J2491" s="127" t="s">
        <v>4213</v>
      </c>
      <c r="K2491" s="155">
        <v>0</v>
      </c>
      <c r="L2491" s="247">
        <v>295</v>
      </c>
      <c r="M2491" s="136">
        <v>59</v>
      </c>
      <c r="N2491" s="136">
        <v>0</v>
      </c>
      <c r="O2491" s="136">
        <v>0</v>
      </c>
      <c r="P2491" s="136">
        <v>0</v>
      </c>
      <c r="Q2491" s="136">
        <v>0</v>
      </c>
      <c r="R2491" s="128">
        <v>0</v>
      </c>
      <c r="S2491" s="125" t="s">
        <v>115</v>
      </c>
      <c r="T2491" s="257">
        <f t="shared" si="83"/>
        <v>295</v>
      </c>
      <c r="U2491" s="257">
        <f t="shared" si="84"/>
        <v>59</v>
      </c>
      <c r="V2491">
        <v>1</v>
      </c>
      <c r="W2491">
        <v>1</v>
      </c>
    </row>
    <row r="2492" spans="1:23" ht="148.19999999999999" x14ac:dyDescent="0.3">
      <c r="A2492" s="212">
        <v>42013</v>
      </c>
      <c r="B2492" s="212">
        <v>42016</v>
      </c>
      <c r="C2492" s="6">
        <v>1</v>
      </c>
      <c r="D2492" s="6">
        <v>4</v>
      </c>
      <c r="E2492" s="54">
        <v>2015</v>
      </c>
      <c r="F2492" s="15" t="s">
        <v>22</v>
      </c>
      <c r="G2492" s="18" t="s">
        <v>6255</v>
      </c>
      <c r="H2492" s="9" t="s">
        <v>34</v>
      </c>
      <c r="I2492" s="70" t="s">
        <v>4214</v>
      </c>
      <c r="J2492" s="71" t="s">
        <v>4215</v>
      </c>
      <c r="K2492" s="55">
        <v>0</v>
      </c>
      <c r="L2492" s="238">
        <v>123883</v>
      </c>
      <c r="M2492" s="156">
        <v>0</v>
      </c>
      <c r="N2492" s="156">
        <v>0</v>
      </c>
      <c r="O2492" s="156">
        <v>0</v>
      </c>
      <c r="P2492" s="156">
        <v>0</v>
      </c>
      <c r="Q2492" s="156">
        <v>0</v>
      </c>
      <c r="R2492" s="26">
        <v>50.11</v>
      </c>
      <c r="S2492" s="57" t="s">
        <v>149</v>
      </c>
      <c r="T2492" s="257">
        <f t="shared" si="83"/>
        <v>123883</v>
      </c>
      <c r="U2492" s="257">
        <f t="shared" si="84"/>
        <v>0</v>
      </c>
      <c r="V2492">
        <v>3</v>
      </c>
      <c r="W2492">
        <v>0</v>
      </c>
    </row>
    <row r="2493" spans="1:23" ht="68.400000000000006" x14ac:dyDescent="0.3">
      <c r="A2493" s="212">
        <v>42013</v>
      </c>
      <c r="B2493" s="212">
        <v>42016</v>
      </c>
      <c r="C2493" s="6">
        <v>1</v>
      </c>
      <c r="D2493" s="6">
        <v>4</v>
      </c>
      <c r="E2493" s="54">
        <v>2015</v>
      </c>
      <c r="F2493" s="15" t="s">
        <v>22</v>
      </c>
      <c r="G2493" s="18" t="s">
        <v>6255</v>
      </c>
      <c r="H2493" s="9" t="s">
        <v>78</v>
      </c>
      <c r="I2493" s="70" t="s">
        <v>4216</v>
      </c>
      <c r="J2493" s="34" t="s">
        <v>4217</v>
      </c>
      <c r="K2493" s="55">
        <v>0</v>
      </c>
      <c r="L2493" s="238">
        <v>17798</v>
      </c>
      <c r="M2493" s="156">
        <v>0</v>
      </c>
      <c r="N2493" s="156">
        <v>0</v>
      </c>
      <c r="O2493" s="156">
        <v>0</v>
      </c>
      <c r="P2493" s="156">
        <v>0</v>
      </c>
      <c r="Q2493" s="156">
        <v>0</v>
      </c>
      <c r="R2493" s="26">
        <v>5.8769999999999998</v>
      </c>
      <c r="S2493" s="57" t="s">
        <v>149</v>
      </c>
      <c r="T2493" s="257">
        <f t="shared" si="83"/>
        <v>17798</v>
      </c>
      <c r="U2493" s="257">
        <f t="shared" si="84"/>
        <v>0</v>
      </c>
      <c r="V2493">
        <v>2</v>
      </c>
      <c r="W2493">
        <v>0</v>
      </c>
    </row>
    <row r="2494" spans="1:23" ht="68.400000000000006" x14ac:dyDescent="0.3">
      <c r="A2494" s="212">
        <v>42013</v>
      </c>
      <c r="B2494" s="212">
        <v>42016</v>
      </c>
      <c r="C2494" s="6">
        <v>1</v>
      </c>
      <c r="D2494" s="6">
        <v>4</v>
      </c>
      <c r="E2494" s="54">
        <v>2015</v>
      </c>
      <c r="F2494" s="15" t="s">
        <v>22</v>
      </c>
      <c r="G2494" s="18" t="s">
        <v>6255</v>
      </c>
      <c r="H2494" s="9" t="s">
        <v>74</v>
      </c>
      <c r="I2494" s="70" t="s">
        <v>4218</v>
      </c>
      <c r="J2494" s="71" t="s">
        <v>4219</v>
      </c>
      <c r="K2494" s="55">
        <v>0</v>
      </c>
      <c r="L2494" s="238">
        <v>9893</v>
      </c>
      <c r="M2494" s="156">
        <v>0</v>
      </c>
      <c r="N2494" s="156">
        <v>0</v>
      </c>
      <c r="O2494" s="156">
        <v>0</v>
      </c>
      <c r="P2494" s="156">
        <v>0</v>
      </c>
      <c r="Q2494" s="156">
        <v>0</v>
      </c>
      <c r="R2494" s="26">
        <v>3.38</v>
      </c>
      <c r="S2494" s="57" t="s">
        <v>149</v>
      </c>
      <c r="T2494" s="257">
        <f t="shared" si="83"/>
        <v>9893</v>
      </c>
      <c r="U2494" s="257">
        <f t="shared" si="84"/>
        <v>0</v>
      </c>
      <c r="V2494">
        <v>1</v>
      </c>
      <c r="W2494">
        <v>0</v>
      </c>
    </row>
    <row r="2495" spans="1:23" ht="91.2" x14ac:dyDescent="0.3">
      <c r="A2495" s="212">
        <v>42013</v>
      </c>
      <c r="B2495" s="212">
        <v>42016</v>
      </c>
      <c r="C2495" s="6">
        <v>1</v>
      </c>
      <c r="D2495" s="6">
        <v>4</v>
      </c>
      <c r="E2495" s="54">
        <v>2015</v>
      </c>
      <c r="F2495" s="15" t="s">
        <v>22</v>
      </c>
      <c r="G2495" s="18" t="s">
        <v>6255</v>
      </c>
      <c r="H2495" s="9" t="s">
        <v>41</v>
      </c>
      <c r="I2495" s="70" t="s">
        <v>4220</v>
      </c>
      <c r="J2495" s="71" t="s">
        <v>4221</v>
      </c>
      <c r="K2495" s="55">
        <v>0</v>
      </c>
      <c r="L2495" s="238">
        <v>32918</v>
      </c>
      <c r="M2495" s="156">
        <v>0</v>
      </c>
      <c r="N2495" s="156">
        <v>0</v>
      </c>
      <c r="O2495" s="156">
        <v>0</v>
      </c>
      <c r="P2495" s="156">
        <v>0</v>
      </c>
      <c r="Q2495" s="156">
        <v>0</v>
      </c>
      <c r="R2495" s="26">
        <v>11.249000000000001</v>
      </c>
      <c r="S2495" s="57" t="s">
        <v>149</v>
      </c>
      <c r="T2495" s="257">
        <f t="shared" si="83"/>
        <v>32918</v>
      </c>
      <c r="U2495" s="257">
        <f t="shared" si="84"/>
        <v>0</v>
      </c>
      <c r="V2495">
        <v>2</v>
      </c>
      <c r="W2495">
        <v>0</v>
      </c>
    </row>
    <row r="2496" spans="1:23" ht="79.8" x14ac:dyDescent="0.3">
      <c r="A2496" s="212">
        <v>42013</v>
      </c>
      <c r="B2496" s="212">
        <v>42016</v>
      </c>
      <c r="C2496" s="6">
        <v>1</v>
      </c>
      <c r="D2496" s="6">
        <v>4</v>
      </c>
      <c r="E2496" s="54">
        <v>2015</v>
      </c>
      <c r="F2496" s="15" t="s">
        <v>22</v>
      </c>
      <c r="G2496" s="18" t="s">
        <v>6255</v>
      </c>
      <c r="H2496" s="9" t="s">
        <v>70</v>
      </c>
      <c r="I2496" s="70" t="s">
        <v>4222</v>
      </c>
      <c r="J2496" s="71" t="s">
        <v>4223</v>
      </c>
      <c r="K2496" s="55">
        <v>0</v>
      </c>
      <c r="L2496" s="238">
        <v>5314</v>
      </c>
      <c r="M2496" s="156">
        <v>0</v>
      </c>
      <c r="N2496" s="156">
        <v>0</v>
      </c>
      <c r="O2496" s="156">
        <v>0</v>
      </c>
      <c r="P2496" s="156">
        <v>0</v>
      </c>
      <c r="Q2496" s="156">
        <v>0</v>
      </c>
      <c r="R2496" s="26">
        <v>1.8149999999999999</v>
      </c>
      <c r="S2496" s="57" t="s">
        <v>149</v>
      </c>
      <c r="T2496" s="257">
        <f t="shared" si="83"/>
        <v>5314</v>
      </c>
      <c r="U2496" s="257">
        <f t="shared" si="84"/>
        <v>0</v>
      </c>
      <c r="V2496">
        <v>1</v>
      </c>
      <c r="W2496">
        <v>0</v>
      </c>
    </row>
    <row r="2497" spans="1:23" ht="68.400000000000006" x14ac:dyDescent="0.3">
      <c r="A2497" s="212">
        <v>42013</v>
      </c>
      <c r="B2497" s="212">
        <v>42016</v>
      </c>
      <c r="C2497" s="6">
        <v>1</v>
      </c>
      <c r="D2497" s="6">
        <v>4</v>
      </c>
      <c r="E2497" s="54">
        <v>2015</v>
      </c>
      <c r="F2497" s="15" t="s">
        <v>22</v>
      </c>
      <c r="G2497" s="18" t="s">
        <v>6255</v>
      </c>
      <c r="H2497" s="9" t="s">
        <v>52</v>
      </c>
      <c r="I2497" s="70" t="s">
        <v>4224</v>
      </c>
      <c r="J2497" s="71" t="s">
        <v>4225</v>
      </c>
      <c r="K2497" s="55">
        <v>0</v>
      </c>
      <c r="L2497" s="238">
        <v>43400</v>
      </c>
      <c r="M2497" s="156">
        <v>0</v>
      </c>
      <c r="N2497" s="156">
        <v>0</v>
      </c>
      <c r="O2497" s="156">
        <v>0</v>
      </c>
      <c r="P2497" s="156">
        <v>0</v>
      </c>
      <c r="Q2497" s="156">
        <v>0</v>
      </c>
      <c r="R2497" s="26">
        <v>14.831950000000001</v>
      </c>
      <c r="S2497" s="57" t="s">
        <v>149</v>
      </c>
      <c r="T2497" s="257">
        <f t="shared" si="83"/>
        <v>43400</v>
      </c>
      <c r="U2497" s="257">
        <f t="shared" si="84"/>
        <v>0</v>
      </c>
      <c r="V2497">
        <v>2</v>
      </c>
      <c r="W2497">
        <v>0</v>
      </c>
    </row>
    <row r="2498" spans="1:23" ht="91.2" x14ac:dyDescent="0.3">
      <c r="A2498" s="212">
        <v>42013</v>
      </c>
      <c r="B2498" s="212">
        <v>42016</v>
      </c>
      <c r="C2498" s="6">
        <v>1</v>
      </c>
      <c r="D2498" s="6">
        <v>4</v>
      </c>
      <c r="E2498" s="54">
        <v>2015</v>
      </c>
      <c r="F2498" s="15" t="s">
        <v>22</v>
      </c>
      <c r="G2498" s="18" t="s">
        <v>6255</v>
      </c>
      <c r="H2498" s="9" t="s">
        <v>43</v>
      </c>
      <c r="I2498" s="70" t="s">
        <v>4226</v>
      </c>
      <c r="J2498" s="71" t="s">
        <v>4227</v>
      </c>
      <c r="K2498" s="55">
        <v>0</v>
      </c>
      <c r="L2498" s="238">
        <v>54480</v>
      </c>
      <c r="M2498" s="156">
        <v>0</v>
      </c>
      <c r="N2498" s="156">
        <v>0</v>
      </c>
      <c r="O2498" s="156">
        <v>0</v>
      </c>
      <c r="P2498" s="156">
        <v>0</v>
      </c>
      <c r="Q2498" s="156">
        <v>0</v>
      </c>
      <c r="R2498" s="26">
        <v>18.619</v>
      </c>
      <c r="S2498" s="57" t="s">
        <v>149</v>
      </c>
      <c r="T2498" s="257">
        <f t="shared" si="83"/>
        <v>54480</v>
      </c>
      <c r="U2498" s="257">
        <f t="shared" si="84"/>
        <v>0</v>
      </c>
      <c r="V2498">
        <v>2</v>
      </c>
      <c r="W2498">
        <v>0</v>
      </c>
    </row>
    <row r="2499" spans="1:23" ht="68.400000000000006" x14ac:dyDescent="0.3">
      <c r="A2499" s="212">
        <v>42013</v>
      </c>
      <c r="B2499" s="212">
        <v>42016</v>
      </c>
      <c r="C2499" s="6">
        <v>1</v>
      </c>
      <c r="D2499" s="6">
        <v>4</v>
      </c>
      <c r="E2499" s="54">
        <v>2015</v>
      </c>
      <c r="F2499" s="15" t="s">
        <v>22</v>
      </c>
      <c r="G2499" s="18" t="s">
        <v>6255</v>
      </c>
      <c r="H2499" s="9" t="s">
        <v>57</v>
      </c>
      <c r="I2499" s="70" t="s">
        <v>4228</v>
      </c>
      <c r="J2499" s="71" t="s">
        <v>4229</v>
      </c>
      <c r="K2499" s="55">
        <v>0</v>
      </c>
      <c r="L2499" s="238">
        <v>6493</v>
      </c>
      <c r="M2499" s="156">
        <v>0</v>
      </c>
      <c r="N2499" s="156">
        <v>0</v>
      </c>
      <c r="O2499" s="156">
        <v>0</v>
      </c>
      <c r="P2499" s="156">
        <v>0</v>
      </c>
      <c r="Q2499" s="156">
        <v>0</v>
      </c>
      <c r="R2499" s="26">
        <v>2.2189199999999998</v>
      </c>
      <c r="S2499" s="57" t="s">
        <v>149</v>
      </c>
      <c r="T2499" s="257">
        <f t="shared" ref="T2499:T2562" si="85">SUM(K2499:L2499)</f>
        <v>6493</v>
      </c>
      <c r="U2499" s="257">
        <f t="shared" ref="U2499:U2562" si="86">SUM(M2499:P2499)</f>
        <v>0</v>
      </c>
      <c r="V2499">
        <v>1</v>
      </c>
      <c r="W2499">
        <v>0</v>
      </c>
    </row>
    <row r="2500" spans="1:23" ht="79.8" x14ac:dyDescent="0.3">
      <c r="A2500" s="212">
        <v>42013</v>
      </c>
      <c r="B2500" s="212">
        <v>42016</v>
      </c>
      <c r="C2500" s="6">
        <v>1</v>
      </c>
      <c r="D2500" s="6">
        <v>4</v>
      </c>
      <c r="E2500" s="54">
        <v>2015</v>
      </c>
      <c r="F2500" s="15" t="s">
        <v>22</v>
      </c>
      <c r="G2500" s="18" t="s">
        <v>6255</v>
      </c>
      <c r="H2500" s="9" t="s">
        <v>37</v>
      </c>
      <c r="I2500" s="70" t="s">
        <v>4230</v>
      </c>
      <c r="J2500" s="71" t="s">
        <v>4231</v>
      </c>
      <c r="K2500" s="55">
        <v>0</v>
      </c>
      <c r="L2500" s="238">
        <v>41117</v>
      </c>
      <c r="M2500" s="156">
        <v>0</v>
      </c>
      <c r="N2500" s="156">
        <v>0</v>
      </c>
      <c r="O2500" s="156">
        <v>0</v>
      </c>
      <c r="P2500" s="156">
        <v>0</v>
      </c>
      <c r="Q2500" s="156">
        <v>0</v>
      </c>
      <c r="R2500" s="26">
        <v>14.051672</v>
      </c>
      <c r="S2500" s="57" t="s">
        <v>149</v>
      </c>
      <c r="T2500" s="257">
        <f t="shared" si="85"/>
        <v>41117</v>
      </c>
      <c r="U2500" s="257">
        <f t="shared" si="86"/>
        <v>0</v>
      </c>
      <c r="V2500">
        <v>2</v>
      </c>
      <c r="W2500">
        <v>0</v>
      </c>
    </row>
    <row r="2501" spans="1:23" ht="68.400000000000006" x14ac:dyDescent="0.3">
      <c r="A2501" s="212">
        <v>42013</v>
      </c>
      <c r="B2501" s="212">
        <v>42016</v>
      </c>
      <c r="C2501" s="6">
        <v>1</v>
      </c>
      <c r="D2501" s="6">
        <v>4</v>
      </c>
      <c r="E2501" s="54">
        <v>2015</v>
      </c>
      <c r="F2501" s="15" t="s">
        <v>22</v>
      </c>
      <c r="G2501" s="18" t="s">
        <v>6255</v>
      </c>
      <c r="H2501" s="9" t="s">
        <v>24</v>
      </c>
      <c r="I2501" s="70" t="s">
        <v>4232</v>
      </c>
      <c r="J2501" s="71" t="s">
        <v>4233</v>
      </c>
      <c r="K2501" s="55">
        <v>0</v>
      </c>
      <c r="L2501" s="238">
        <v>2357</v>
      </c>
      <c r="M2501" s="156">
        <v>0</v>
      </c>
      <c r="N2501" s="156">
        <v>0</v>
      </c>
      <c r="O2501" s="156">
        <v>0</v>
      </c>
      <c r="P2501" s="156">
        <v>0</v>
      </c>
      <c r="Q2501" s="156">
        <v>0</v>
      </c>
      <c r="R2501" s="26">
        <v>0.80544199999999999</v>
      </c>
      <c r="S2501" s="57" t="s">
        <v>149</v>
      </c>
      <c r="T2501" s="257">
        <f t="shared" si="85"/>
        <v>2357</v>
      </c>
      <c r="U2501" s="257">
        <f t="shared" si="86"/>
        <v>0</v>
      </c>
      <c r="V2501">
        <v>1</v>
      </c>
      <c r="W2501">
        <v>0</v>
      </c>
    </row>
    <row r="2502" spans="1:23" ht="68.400000000000006" x14ac:dyDescent="0.3">
      <c r="A2502" s="212">
        <v>42013</v>
      </c>
      <c r="B2502" s="212">
        <v>42016</v>
      </c>
      <c r="C2502" s="6">
        <v>1</v>
      </c>
      <c r="D2502" s="6">
        <v>4</v>
      </c>
      <c r="E2502" s="54">
        <v>2015</v>
      </c>
      <c r="F2502" s="15" t="s">
        <v>22</v>
      </c>
      <c r="G2502" s="18" t="s">
        <v>6255</v>
      </c>
      <c r="H2502" s="9" t="s">
        <v>28</v>
      </c>
      <c r="I2502" s="70" t="s">
        <v>4234</v>
      </c>
      <c r="J2502" s="71" t="s">
        <v>4235</v>
      </c>
      <c r="K2502" s="55">
        <v>0</v>
      </c>
      <c r="L2502" s="238">
        <v>4831</v>
      </c>
      <c r="M2502" s="156">
        <v>0</v>
      </c>
      <c r="N2502" s="156">
        <v>0</v>
      </c>
      <c r="O2502" s="156">
        <v>0</v>
      </c>
      <c r="P2502" s="156">
        <v>0</v>
      </c>
      <c r="Q2502" s="156">
        <v>0</v>
      </c>
      <c r="R2502" s="26">
        <v>1.650806</v>
      </c>
      <c r="S2502" s="57" t="s">
        <v>149</v>
      </c>
      <c r="T2502" s="257">
        <f t="shared" si="85"/>
        <v>4831</v>
      </c>
      <c r="U2502" s="257">
        <f t="shared" si="86"/>
        <v>0</v>
      </c>
      <c r="V2502">
        <v>1</v>
      </c>
      <c r="W2502">
        <v>0</v>
      </c>
    </row>
    <row r="2503" spans="1:23" ht="114" x14ac:dyDescent="0.3">
      <c r="A2503" s="212">
        <v>42013</v>
      </c>
      <c r="B2503" s="212">
        <v>42016</v>
      </c>
      <c r="C2503" s="6">
        <v>1</v>
      </c>
      <c r="D2503" s="6">
        <v>4</v>
      </c>
      <c r="E2503" s="54">
        <v>2015</v>
      </c>
      <c r="F2503" s="15" t="s">
        <v>22</v>
      </c>
      <c r="G2503" s="18" t="s">
        <v>6255</v>
      </c>
      <c r="H2503" s="9" t="s">
        <v>121</v>
      </c>
      <c r="I2503" s="70" t="s">
        <v>4236</v>
      </c>
      <c r="J2503" s="71" t="s">
        <v>4237</v>
      </c>
      <c r="K2503" s="55">
        <v>0</v>
      </c>
      <c r="L2503" s="238">
        <v>18415</v>
      </c>
      <c r="M2503" s="156">
        <v>0</v>
      </c>
      <c r="N2503" s="156">
        <v>0</v>
      </c>
      <c r="O2503" s="156">
        <v>0</v>
      </c>
      <c r="P2503" s="156">
        <v>0</v>
      </c>
      <c r="Q2503" s="156">
        <v>0</v>
      </c>
      <c r="R2503" s="26">
        <v>6.2930000000000001</v>
      </c>
      <c r="S2503" s="57" t="s">
        <v>149</v>
      </c>
      <c r="T2503" s="257">
        <f t="shared" si="85"/>
        <v>18415</v>
      </c>
      <c r="U2503" s="257">
        <f t="shared" si="86"/>
        <v>0</v>
      </c>
      <c r="V2503">
        <v>2</v>
      </c>
      <c r="W2503">
        <v>0</v>
      </c>
    </row>
    <row r="2504" spans="1:23" ht="68.400000000000006" x14ac:dyDescent="0.3">
      <c r="A2504" s="212">
        <v>42013</v>
      </c>
      <c r="B2504" s="212">
        <v>42016</v>
      </c>
      <c r="C2504" s="6">
        <v>1</v>
      </c>
      <c r="D2504" s="6">
        <v>4</v>
      </c>
      <c r="E2504" s="54">
        <v>2015</v>
      </c>
      <c r="F2504" s="15" t="s">
        <v>22</v>
      </c>
      <c r="G2504" s="18" t="s">
        <v>6255</v>
      </c>
      <c r="H2504" s="9" t="s">
        <v>66</v>
      </c>
      <c r="I2504" s="70" t="s">
        <v>4238</v>
      </c>
      <c r="J2504" s="71" t="s">
        <v>4239</v>
      </c>
      <c r="K2504" s="55">
        <v>0</v>
      </c>
      <c r="L2504" s="238">
        <v>4832</v>
      </c>
      <c r="M2504" s="156">
        <v>0</v>
      </c>
      <c r="N2504" s="156">
        <v>0</v>
      </c>
      <c r="O2504" s="156">
        <v>0</v>
      </c>
      <c r="P2504" s="156">
        <v>0</v>
      </c>
      <c r="Q2504" s="156">
        <v>0</v>
      </c>
      <c r="R2504" s="26">
        <v>1.6513359999999999</v>
      </c>
      <c r="S2504" s="57" t="s">
        <v>149</v>
      </c>
      <c r="T2504" s="257">
        <f t="shared" si="85"/>
        <v>4832</v>
      </c>
      <c r="U2504" s="257">
        <f t="shared" si="86"/>
        <v>0</v>
      </c>
      <c r="V2504">
        <v>1</v>
      </c>
      <c r="W2504">
        <v>0</v>
      </c>
    </row>
    <row r="2505" spans="1:23" ht="91.2" x14ac:dyDescent="0.3">
      <c r="A2505" s="212">
        <v>42013</v>
      </c>
      <c r="B2505" s="212">
        <v>42016</v>
      </c>
      <c r="C2505" s="6">
        <v>1</v>
      </c>
      <c r="D2505" s="6">
        <v>4</v>
      </c>
      <c r="E2505" s="54">
        <v>2015</v>
      </c>
      <c r="F2505" s="15" t="s">
        <v>22</v>
      </c>
      <c r="G2505" s="18" t="s">
        <v>6255</v>
      </c>
      <c r="H2505" s="9" t="s">
        <v>64</v>
      </c>
      <c r="I2505" s="70" t="s">
        <v>4240</v>
      </c>
      <c r="J2505" s="71" t="s">
        <v>4241</v>
      </c>
      <c r="K2505" s="55">
        <v>0</v>
      </c>
      <c r="L2505" s="238">
        <v>40415</v>
      </c>
      <c r="M2505" s="156">
        <v>0</v>
      </c>
      <c r="N2505" s="156">
        <v>0</v>
      </c>
      <c r="O2505" s="156">
        <v>0</v>
      </c>
      <c r="P2505" s="156">
        <v>0</v>
      </c>
      <c r="Q2505" s="156">
        <v>0</v>
      </c>
      <c r="R2505" s="26">
        <v>13.811999999999999</v>
      </c>
      <c r="S2505" s="57" t="s">
        <v>149</v>
      </c>
      <c r="T2505" s="257">
        <f t="shared" si="85"/>
        <v>40415</v>
      </c>
      <c r="U2505" s="257">
        <f t="shared" si="86"/>
        <v>0</v>
      </c>
      <c r="V2505">
        <v>2</v>
      </c>
      <c r="W2505">
        <v>0</v>
      </c>
    </row>
    <row r="2506" spans="1:23" ht="68.400000000000006" x14ac:dyDescent="0.3">
      <c r="A2506" s="212">
        <v>42013</v>
      </c>
      <c r="B2506" s="212">
        <v>42016</v>
      </c>
      <c r="C2506" s="6">
        <v>1</v>
      </c>
      <c r="D2506" s="6">
        <v>4</v>
      </c>
      <c r="E2506" s="54">
        <v>2015</v>
      </c>
      <c r="F2506" s="15" t="s">
        <v>22</v>
      </c>
      <c r="G2506" s="18" t="s">
        <v>6255</v>
      </c>
      <c r="H2506" s="9" t="s">
        <v>88</v>
      </c>
      <c r="I2506" s="70" t="s">
        <v>4242</v>
      </c>
      <c r="J2506" s="71" t="s">
        <v>4243</v>
      </c>
      <c r="K2506" s="55">
        <v>0</v>
      </c>
      <c r="L2506" s="238">
        <v>5524</v>
      </c>
      <c r="M2506" s="156">
        <v>0</v>
      </c>
      <c r="N2506" s="156">
        <v>0</v>
      </c>
      <c r="O2506" s="156">
        <v>0</v>
      </c>
      <c r="P2506" s="156">
        <v>0</v>
      </c>
      <c r="Q2506" s="156">
        <v>0</v>
      </c>
      <c r="R2506" s="26">
        <v>1.8878269999999999</v>
      </c>
      <c r="S2506" s="57" t="s">
        <v>149</v>
      </c>
      <c r="T2506" s="257">
        <f t="shared" si="85"/>
        <v>5524</v>
      </c>
      <c r="U2506" s="257">
        <f t="shared" si="86"/>
        <v>0</v>
      </c>
      <c r="V2506">
        <v>1</v>
      </c>
      <c r="W2506">
        <v>0</v>
      </c>
    </row>
    <row r="2507" spans="1:23" ht="79.8" x14ac:dyDescent="0.3">
      <c r="A2507" s="212">
        <v>42013</v>
      </c>
      <c r="B2507" s="212">
        <v>42016</v>
      </c>
      <c r="C2507" s="6">
        <v>1</v>
      </c>
      <c r="D2507" s="6">
        <v>4</v>
      </c>
      <c r="E2507" s="54">
        <v>2015</v>
      </c>
      <c r="F2507" s="15" t="s">
        <v>22</v>
      </c>
      <c r="G2507" s="18" t="s">
        <v>6255</v>
      </c>
      <c r="H2507" s="9" t="s">
        <v>27</v>
      </c>
      <c r="I2507" s="70" t="s">
        <v>301</v>
      </c>
      <c r="J2507" s="71" t="s">
        <v>4244</v>
      </c>
      <c r="K2507" s="55">
        <v>0</v>
      </c>
      <c r="L2507" s="238">
        <v>45604</v>
      </c>
      <c r="M2507" s="156">
        <v>0</v>
      </c>
      <c r="N2507" s="156">
        <v>0</v>
      </c>
      <c r="O2507" s="156">
        <v>0</v>
      </c>
      <c r="P2507" s="156">
        <v>0</v>
      </c>
      <c r="Q2507" s="156">
        <v>0</v>
      </c>
      <c r="R2507" s="26">
        <v>155.80000000000001</v>
      </c>
      <c r="S2507" s="57" t="s">
        <v>149</v>
      </c>
      <c r="T2507" s="257">
        <f t="shared" si="85"/>
        <v>45604</v>
      </c>
      <c r="U2507" s="257">
        <f t="shared" si="86"/>
        <v>0</v>
      </c>
      <c r="V2507">
        <v>2</v>
      </c>
      <c r="W2507">
        <v>0</v>
      </c>
    </row>
    <row r="2508" spans="1:23" ht="91.2" x14ac:dyDescent="0.3">
      <c r="A2508" s="212">
        <v>42013</v>
      </c>
      <c r="B2508" s="212">
        <v>42016</v>
      </c>
      <c r="C2508" s="6">
        <v>1</v>
      </c>
      <c r="D2508" s="6">
        <v>4</v>
      </c>
      <c r="E2508" s="54">
        <v>2015</v>
      </c>
      <c r="F2508" s="15" t="s">
        <v>22</v>
      </c>
      <c r="G2508" s="18" t="s">
        <v>6255</v>
      </c>
      <c r="H2508" s="9" t="s">
        <v>84</v>
      </c>
      <c r="I2508" s="70" t="s">
        <v>4245</v>
      </c>
      <c r="J2508" s="71" t="s">
        <v>4246</v>
      </c>
      <c r="K2508" s="55">
        <v>0</v>
      </c>
      <c r="L2508" s="238">
        <v>5257</v>
      </c>
      <c r="M2508" s="156">
        <v>0</v>
      </c>
      <c r="N2508" s="156">
        <v>0</v>
      </c>
      <c r="O2508" s="156">
        <v>0</v>
      </c>
      <c r="P2508" s="156">
        <v>0</v>
      </c>
      <c r="Q2508" s="156">
        <v>0</v>
      </c>
      <c r="R2508" s="26">
        <v>1.7969999999999999</v>
      </c>
      <c r="S2508" s="57" t="s">
        <v>149</v>
      </c>
      <c r="T2508" s="257">
        <f t="shared" si="85"/>
        <v>5257</v>
      </c>
      <c r="U2508" s="257">
        <f t="shared" si="86"/>
        <v>0</v>
      </c>
      <c r="V2508">
        <v>1</v>
      </c>
      <c r="W2508">
        <v>0</v>
      </c>
    </row>
    <row r="2509" spans="1:23" ht="68.400000000000006" x14ac:dyDescent="0.3">
      <c r="A2509" s="212">
        <v>42013</v>
      </c>
      <c r="B2509" s="212">
        <v>42016</v>
      </c>
      <c r="C2509" s="6">
        <v>1</v>
      </c>
      <c r="D2509" s="6">
        <v>4</v>
      </c>
      <c r="E2509" s="54">
        <v>2015</v>
      </c>
      <c r="F2509" s="15" t="s">
        <v>22</v>
      </c>
      <c r="G2509" s="18" t="s">
        <v>6255</v>
      </c>
      <c r="H2509" s="9" t="s">
        <v>72</v>
      </c>
      <c r="I2509" s="70" t="s">
        <v>4247</v>
      </c>
      <c r="J2509" s="71" t="s">
        <v>4248</v>
      </c>
      <c r="K2509" s="55">
        <v>0</v>
      </c>
      <c r="L2509" s="238">
        <v>11191</v>
      </c>
      <c r="M2509" s="156">
        <v>0</v>
      </c>
      <c r="N2509" s="156">
        <v>0</v>
      </c>
      <c r="O2509" s="156">
        <v>0</v>
      </c>
      <c r="P2509" s="156">
        <v>0</v>
      </c>
      <c r="Q2509" s="156">
        <v>0</v>
      </c>
      <c r="R2509" s="26">
        <v>3.8243360000000002</v>
      </c>
      <c r="S2509" s="57" t="s">
        <v>149</v>
      </c>
      <c r="T2509" s="257">
        <f t="shared" si="85"/>
        <v>11191</v>
      </c>
      <c r="U2509" s="257">
        <f t="shared" si="86"/>
        <v>0</v>
      </c>
      <c r="V2509">
        <v>2</v>
      </c>
      <c r="W2509">
        <v>0</v>
      </c>
    </row>
    <row r="2510" spans="1:23" ht="79.8" x14ac:dyDescent="0.3">
      <c r="A2510" s="216">
        <v>42013</v>
      </c>
      <c r="B2510" s="216">
        <v>42013</v>
      </c>
      <c r="C2510" s="6">
        <v>1</v>
      </c>
      <c r="D2510" s="6">
        <v>1</v>
      </c>
      <c r="E2510" s="54">
        <v>2015</v>
      </c>
      <c r="F2510" s="15" t="s">
        <v>22</v>
      </c>
      <c r="G2510" s="82" t="s">
        <v>6256</v>
      </c>
      <c r="H2510" s="9" t="s">
        <v>70</v>
      </c>
      <c r="I2510" s="20" t="s">
        <v>70</v>
      </c>
      <c r="J2510" s="21" t="s">
        <v>4249</v>
      </c>
      <c r="K2510" s="55">
        <v>0</v>
      </c>
      <c r="L2510" s="239">
        <v>77</v>
      </c>
      <c r="M2510" s="56">
        <v>0</v>
      </c>
      <c r="N2510" s="56">
        <v>0</v>
      </c>
      <c r="O2510" s="56">
        <v>0</v>
      </c>
      <c r="P2510" s="56">
        <v>0</v>
      </c>
      <c r="Q2510" s="56">
        <v>329.5</v>
      </c>
      <c r="R2510" s="26">
        <v>40.970999999999997</v>
      </c>
      <c r="S2510" s="57" t="s">
        <v>327</v>
      </c>
      <c r="T2510" s="257">
        <f t="shared" si="85"/>
        <v>77</v>
      </c>
      <c r="U2510" s="257">
        <f t="shared" si="86"/>
        <v>0</v>
      </c>
      <c r="V2510">
        <v>1</v>
      </c>
      <c r="W2510">
        <v>0</v>
      </c>
    </row>
    <row r="2511" spans="1:23" ht="57" x14ac:dyDescent="0.3">
      <c r="A2511" s="212">
        <v>42032</v>
      </c>
      <c r="B2511" s="212">
        <v>42032</v>
      </c>
      <c r="C2511" s="6">
        <v>1</v>
      </c>
      <c r="D2511" s="6">
        <v>1</v>
      </c>
      <c r="E2511" s="54">
        <v>2015</v>
      </c>
      <c r="F2511" s="15" t="s">
        <v>22</v>
      </c>
      <c r="G2511" s="18" t="s">
        <v>6255</v>
      </c>
      <c r="H2511" s="9" t="s">
        <v>43</v>
      </c>
      <c r="I2511" s="70" t="s">
        <v>1393</v>
      </c>
      <c r="J2511" s="71" t="s">
        <v>4250</v>
      </c>
      <c r="K2511" s="55">
        <v>0</v>
      </c>
      <c r="L2511" s="238">
        <v>15178</v>
      </c>
      <c r="M2511" s="156">
        <v>0</v>
      </c>
      <c r="N2511" s="156">
        <v>0</v>
      </c>
      <c r="O2511" s="156">
        <v>0</v>
      </c>
      <c r="P2511" s="156">
        <v>0</v>
      </c>
      <c r="Q2511" s="156">
        <v>0</v>
      </c>
      <c r="R2511" s="26">
        <v>3.742</v>
      </c>
      <c r="S2511" s="57" t="s">
        <v>149</v>
      </c>
      <c r="T2511" s="257">
        <f t="shared" si="85"/>
        <v>15178</v>
      </c>
      <c r="U2511" s="257">
        <f t="shared" si="86"/>
        <v>0</v>
      </c>
      <c r="V2511">
        <v>2</v>
      </c>
      <c r="W2511">
        <v>0</v>
      </c>
    </row>
    <row r="2512" spans="1:23" ht="57" x14ac:dyDescent="0.3">
      <c r="A2512" s="212">
        <v>42034</v>
      </c>
      <c r="B2512" s="212">
        <v>42038</v>
      </c>
      <c r="C2512" s="6">
        <v>1</v>
      </c>
      <c r="D2512" s="6">
        <v>5</v>
      </c>
      <c r="E2512" s="54">
        <v>2015</v>
      </c>
      <c r="F2512" s="15" t="s">
        <v>22</v>
      </c>
      <c r="G2512" s="18" t="s">
        <v>6256</v>
      </c>
      <c r="H2512" s="9" t="s">
        <v>41</v>
      </c>
      <c r="I2512" s="70" t="s">
        <v>4251</v>
      </c>
      <c r="J2512" s="71" t="s">
        <v>4252</v>
      </c>
      <c r="K2512" s="55">
        <v>0</v>
      </c>
      <c r="L2512" s="238">
        <v>14826</v>
      </c>
      <c r="M2512" s="156">
        <v>0</v>
      </c>
      <c r="N2512" s="156">
        <v>0</v>
      </c>
      <c r="O2512" s="156">
        <v>0</v>
      </c>
      <c r="P2512" s="156">
        <v>0</v>
      </c>
      <c r="Q2512" s="156">
        <v>0</v>
      </c>
      <c r="R2512" s="26">
        <v>5.9969999999999999</v>
      </c>
      <c r="S2512" s="57" t="s">
        <v>149</v>
      </c>
      <c r="T2512" s="257">
        <f t="shared" si="85"/>
        <v>14826</v>
      </c>
      <c r="U2512" s="257">
        <f t="shared" si="86"/>
        <v>0</v>
      </c>
      <c r="V2512">
        <v>2</v>
      </c>
      <c r="W2512">
        <v>0</v>
      </c>
    </row>
    <row r="2513" spans="1:23" ht="102.6" x14ac:dyDescent="0.3">
      <c r="A2513" s="225">
        <v>42037</v>
      </c>
      <c r="B2513" s="225">
        <v>42037</v>
      </c>
      <c r="C2513" s="6">
        <v>2</v>
      </c>
      <c r="D2513" s="6">
        <v>1</v>
      </c>
      <c r="E2513" s="54">
        <v>2015</v>
      </c>
      <c r="F2513" s="15" t="s">
        <v>22</v>
      </c>
      <c r="G2513" s="18" t="s">
        <v>6255</v>
      </c>
      <c r="H2513" s="9" t="s">
        <v>41</v>
      </c>
      <c r="I2513" s="70" t="s">
        <v>4253</v>
      </c>
      <c r="J2513" s="127" t="s">
        <v>4254</v>
      </c>
      <c r="K2513" s="124">
        <v>0</v>
      </c>
      <c r="L2513" s="246">
        <v>20</v>
      </c>
      <c r="M2513" s="156">
        <v>0</v>
      </c>
      <c r="N2513" s="72">
        <v>0</v>
      </c>
      <c r="O2513" s="72">
        <v>0</v>
      </c>
      <c r="P2513" s="72">
        <v>0</v>
      </c>
      <c r="Q2513" s="72">
        <v>0</v>
      </c>
      <c r="R2513" s="128">
        <v>0</v>
      </c>
      <c r="S2513" s="125" t="s">
        <v>115</v>
      </c>
      <c r="T2513" s="257">
        <f t="shared" si="85"/>
        <v>20</v>
      </c>
      <c r="U2513" s="257">
        <f t="shared" si="86"/>
        <v>0</v>
      </c>
      <c r="V2513">
        <v>1</v>
      </c>
      <c r="W2513">
        <v>0</v>
      </c>
    </row>
    <row r="2514" spans="1:23" ht="79.8" x14ac:dyDescent="0.3">
      <c r="A2514" s="225">
        <v>42039</v>
      </c>
      <c r="B2514" s="225">
        <v>42039</v>
      </c>
      <c r="C2514" s="6">
        <v>2</v>
      </c>
      <c r="D2514" s="6">
        <v>1</v>
      </c>
      <c r="E2514" s="54">
        <v>2015</v>
      </c>
      <c r="F2514" s="15" t="s">
        <v>22</v>
      </c>
      <c r="G2514" s="18" t="s">
        <v>6256</v>
      </c>
      <c r="H2514" s="9" t="s">
        <v>41</v>
      </c>
      <c r="I2514" s="70" t="s">
        <v>4255</v>
      </c>
      <c r="J2514" s="127" t="s">
        <v>4256</v>
      </c>
      <c r="K2514" s="124">
        <v>0</v>
      </c>
      <c r="L2514" s="246">
        <v>0</v>
      </c>
      <c r="M2514" s="72">
        <v>120</v>
      </c>
      <c r="N2514" s="72">
        <v>0</v>
      </c>
      <c r="O2514" s="72">
        <v>0</v>
      </c>
      <c r="P2514" s="72">
        <v>0</v>
      </c>
      <c r="Q2514" s="72">
        <v>0</v>
      </c>
      <c r="R2514" s="128">
        <v>7.3999999999999996E-2</v>
      </c>
      <c r="S2514" s="125" t="s">
        <v>115</v>
      </c>
      <c r="T2514" s="257">
        <f t="shared" si="85"/>
        <v>0</v>
      </c>
      <c r="U2514" s="257">
        <f t="shared" si="86"/>
        <v>120</v>
      </c>
      <c r="V2514">
        <v>0</v>
      </c>
      <c r="W2514">
        <v>1</v>
      </c>
    </row>
    <row r="2515" spans="1:23" ht="45.6" x14ac:dyDescent="0.3">
      <c r="A2515" s="212">
        <v>42043</v>
      </c>
      <c r="B2515" s="212">
        <v>42045</v>
      </c>
      <c r="C2515" s="6">
        <v>2</v>
      </c>
      <c r="D2515" s="6">
        <v>3</v>
      </c>
      <c r="E2515" s="54">
        <v>2015</v>
      </c>
      <c r="F2515" s="15" t="s">
        <v>22</v>
      </c>
      <c r="G2515" s="18" t="s">
        <v>6255</v>
      </c>
      <c r="H2515" s="9" t="s">
        <v>174</v>
      </c>
      <c r="I2515" s="20" t="s">
        <v>2921</v>
      </c>
      <c r="J2515" s="53" t="s">
        <v>4258</v>
      </c>
      <c r="K2515" s="55">
        <v>0</v>
      </c>
      <c r="L2515" s="238">
        <v>2154</v>
      </c>
      <c r="M2515" s="156">
        <v>0</v>
      </c>
      <c r="N2515" s="156">
        <v>0</v>
      </c>
      <c r="O2515" s="156">
        <v>0</v>
      </c>
      <c r="P2515" s="156">
        <v>0</v>
      </c>
      <c r="Q2515" s="156">
        <v>0</v>
      </c>
      <c r="R2515" s="26">
        <v>0.871</v>
      </c>
      <c r="S2515" s="57" t="s">
        <v>149</v>
      </c>
      <c r="T2515" s="257">
        <f t="shared" si="85"/>
        <v>2154</v>
      </c>
      <c r="U2515" s="257">
        <f t="shared" si="86"/>
        <v>0</v>
      </c>
      <c r="V2515">
        <v>1</v>
      </c>
      <c r="W2515">
        <v>0</v>
      </c>
    </row>
    <row r="2516" spans="1:23" ht="57" x14ac:dyDescent="0.3">
      <c r="A2516" s="225">
        <v>42045</v>
      </c>
      <c r="B2516" s="225">
        <v>42045</v>
      </c>
      <c r="C2516" s="6">
        <v>2</v>
      </c>
      <c r="D2516" s="6">
        <v>1</v>
      </c>
      <c r="E2516" s="54">
        <v>2015</v>
      </c>
      <c r="F2516" s="7" t="s">
        <v>17</v>
      </c>
      <c r="G2516" s="28" t="s">
        <v>6261</v>
      </c>
      <c r="H2516" s="9" t="s">
        <v>43</v>
      </c>
      <c r="I2516" s="70" t="s">
        <v>689</v>
      </c>
      <c r="J2516" s="127" t="s">
        <v>4259</v>
      </c>
      <c r="K2516" s="124">
        <v>0</v>
      </c>
      <c r="L2516" s="246">
        <v>1</v>
      </c>
      <c r="M2516" s="72">
        <v>0</v>
      </c>
      <c r="N2516" s="72">
        <v>0</v>
      </c>
      <c r="O2516" s="72">
        <v>0</v>
      </c>
      <c r="P2516" s="72">
        <v>1</v>
      </c>
      <c r="Q2516" s="72">
        <v>0</v>
      </c>
      <c r="R2516" s="128">
        <v>0</v>
      </c>
      <c r="S2516" s="125" t="s">
        <v>115</v>
      </c>
      <c r="T2516" s="257">
        <f t="shared" si="85"/>
        <v>1</v>
      </c>
      <c r="U2516" s="257">
        <f t="shared" si="86"/>
        <v>1</v>
      </c>
      <c r="V2516">
        <v>1</v>
      </c>
      <c r="W2516">
        <v>1</v>
      </c>
    </row>
    <row r="2517" spans="1:23" ht="79.8" x14ac:dyDescent="0.3">
      <c r="A2517" s="212">
        <v>42046</v>
      </c>
      <c r="B2517" s="212">
        <v>42048</v>
      </c>
      <c r="C2517" s="6">
        <v>2</v>
      </c>
      <c r="D2517" s="6">
        <v>3</v>
      </c>
      <c r="E2517" s="54">
        <v>2015</v>
      </c>
      <c r="F2517" s="15" t="s">
        <v>22</v>
      </c>
      <c r="G2517" s="18" t="s">
        <v>6255</v>
      </c>
      <c r="H2517" s="9" t="s">
        <v>34</v>
      </c>
      <c r="I2517" s="70" t="s">
        <v>4260</v>
      </c>
      <c r="J2517" s="71" t="s">
        <v>4261</v>
      </c>
      <c r="K2517" s="55">
        <v>0</v>
      </c>
      <c r="L2517" s="238">
        <v>14025</v>
      </c>
      <c r="M2517" s="156">
        <v>0</v>
      </c>
      <c r="N2517" s="156">
        <v>0</v>
      </c>
      <c r="O2517" s="156">
        <v>0</v>
      </c>
      <c r="P2517" s="156">
        <v>0</v>
      </c>
      <c r="Q2517" s="156">
        <v>0</v>
      </c>
      <c r="R2517" s="26">
        <v>7.4020000000000001</v>
      </c>
      <c r="S2517" s="57" t="s">
        <v>149</v>
      </c>
      <c r="T2517" s="257">
        <f t="shared" si="85"/>
        <v>14025</v>
      </c>
      <c r="U2517" s="257">
        <f t="shared" si="86"/>
        <v>0</v>
      </c>
      <c r="V2517">
        <v>2</v>
      </c>
      <c r="W2517">
        <v>0</v>
      </c>
    </row>
    <row r="2518" spans="1:23" ht="114" x14ac:dyDescent="0.3">
      <c r="A2518" s="214">
        <v>44425</v>
      </c>
      <c r="B2518" s="214">
        <v>44425</v>
      </c>
      <c r="C2518" s="6">
        <v>8</v>
      </c>
      <c r="D2518" s="6">
        <v>1</v>
      </c>
      <c r="E2518" s="33">
        <v>2021</v>
      </c>
      <c r="F2518" s="7" t="s">
        <v>17</v>
      </c>
      <c r="G2518" s="8" t="s">
        <v>6261</v>
      </c>
      <c r="H2518" s="9" t="s">
        <v>48</v>
      </c>
      <c r="I2518" s="34" t="s">
        <v>4077</v>
      </c>
      <c r="J2518" s="58" t="s">
        <v>4262</v>
      </c>
      <c r="K2518" s="33">
        <v>0</v>
      </c>
      <c r="L2518" s="236">
        <v>12</v>
      </c>
      <c r="M2518" s="35">
        <v>3</v>
      </c>
      <c r="N2518" s="35">
        <v>0</v>
      </c>
      <c r="O2518" s="35">
        <v>0</v>
      </c>
      <c r="P2518" s="35">
        <v>0</v>
      </c>
      <c r="Q2518" s="35">
        <v>0</v>
      </c>
      <c r="R2518" s="42">
        <v>4.0020749999999999E-3</v>
      </c>
      <c r="S2518" s="7" t="s">
        <v>2777</v>
      </c>
      <c r="T2518" s="257">
        <f t="shared" si="85"/>
        <v>12</v>
      </c>
      <c r="U2518" s="257">
        <f t="shared" si="86"/>
        <v>3</v>
      </c>
      <c r="V2518">
        <v>1</v>
      </c>
      <c r="W2518">
        <v>1</v>
      </c>
    </row>
    <row r="2519" spans="1:23" ht="45.6" x14ac:dyDescent="0.3">
      <c r="A2519" s="212">
        <v>42067</v>
      </c>
      <c r="B2519" s="212">
        <v>42069</v>
      </c>
      <c r="C2519" s="6">
        <v>3</v>
      </c>
      <c r="D2519" s="6">
        <v>3</v>
      </c>
      <c r="E2519" s="54">
        <v>2015</v>
      </c>
      <c r="F2519" s="15" t="s">
        <v>22</v>
      </c>
      <c r="G2519" s="9" t="s">
        <v>6257</v>
      </c>
      <c r="H2519" s="9" t="s">
        <v>174</v>
      </c>
      <c r="I2519" s="70" t="s">
        <v>4263</v>
      </c>
      <c r="J2519" s="71" t="s">
        <v>4264</v>
      </c>
      <c r="K2519" s="55">
        <v>0</v>
      </c>
      <c r="L2519" s="238">
        <v>18380</v>
      </c>
      <c r="M2519" s="156">
        <v>0</v>
      </c>
      <c r="N2519" s="156">
        <v>0</v>
      </c>
      <c r="O2519" s="156">
        <v>0</v>
      </c>
      <c r="P2519" s="156">
        <v>0</v>
      </c>
      <c r="Q2519" s="156">
        <v>0</v>
      </c>
      <c r="R2519" s="26">
        <v>10.477</v>
      </c>
      <c r="S2519" s="57" t="s">
        <v>149</v>
      </c>
      <c r="T2519" s="257">
        <f t="shared" si="85"/>
        <v>18380</v>
      </c>
      <c r="U2519" s="257">
        <f t="shared" si="86"/>
        <v>0</v>
      </c>
      <c r="V2519">
        <v>2</v>
      </c>
      <c r="W2519">
        <v>0</v>
      </c>
    </row>
    <row r="2520" spans="1:23" ht="68.400000000000006" x14ac:dyDescent="0.3">
      <c r="A2520" s="225">
        <v>42068</v>
      </c>
      <c r="B2520" s="225">
        <v>42068</v>
      </c>
      <c r="C2520" s="6">
        <v>3</v>
      </c>
      <c r="D2520" s="6">
        <v>1</v>
      </c>
      <c r="E2520" s="54">
        <v>2015</v>
      </c>
      <c r="F2520" s="7" t="s">
        <v>17</v>
      </c>
      <c r="G2520" s="28" t="s">
        <v>6261</v>
      </c>
      <c r="H2520" s="9" t="s">
        <v>55</v>
      </c>
      <c r="I2520" s="70" t="s">
        <v>1019</v>
      </c>
      <c r="J2520" s="127" t="s">
        <v>4265</v>
      </c>
      <c r="K2520" s="124">
        <v>2</v>
      </c>
      <c r="L2520" s="246">
        <v>5</v>
      </c>
      <c r="M2520" s="72">
        <v>0</v>
      </c>
      <c r="N2520" s="72">
        <v>0</v>
      </c>
      <c r="O2520" s="72">
        <v>0</v>
      </c>
      <c r="P2520" s="72">
        <v>0</v>
      </c>
      <c r="Q2520" s="72">
        <v>0</v>
      </c>
      <c r="R2520" s="128">
        <v>0</v>
      </c>
      <c r="S2520" s="125" t="s">
        <v>115</v>
      </c>
      <c r="T2520" s="257">
        <f t="shared" si="85"/>
        <v>7</v>
      </c>
      <c r="U2520" s="257">
        <f t="shared" si="86"/>
        <v>0</v>
      </c>
      <c r="V2520">
        <v>1</v>
      </c>
      <c r="W2520">
        <v>0</v>
      </c>
    </row>
    <row r="2521" spans="1:23" ht="79.8" x14ac:dyDescent="0.3">
      <c r="A2521" s="212">
        <v>42073</v>
      </c>
      <c r="B2521" s="212">
        <v>42082</v>
      </c>
      <c r="C2521" s="6">
        <v>3</v>
      </c>
      <c r="D2521" s="6">
        <v>10</v>
      </c>
      <c r="E2521" s="54">
        <v>2015</v>
      </c>
      <c r="F2521" s="15" t="s">
        <v>22</v>
      </c>
      <c r="G2521" s="18" t="s">
        <v>6256</v>
      </c>
      <c r="H2521" s="9" t="s">
        <v>37</v>
      </c>
      <c r="I2521" s="70" t="s">
        <v>4266</v>
      </c>
      <c r="J2521" s="71" t="s">
        <v>4267</v>
      </c>
      <c r="K2521" s="124">
        <v>0</v>
      </c>
      <c r="L2521" s="238">
        <v>37490</v>
      </c>
      <c r="M2521" s="72">
        <v>513</v>
      </c>
      <c r="N2521" s="72">
        <v>0</v>
      </c>
      <c r="O2521" s="72">
        <v>0</v>
      </c>
      <c r="P2521" s="72">
        <v>0</v>
      </c>
      <c r="Q2521" s="72">
        <v>0</v>
      </c>
      <c r="R2521" s="26">
        <f>4.622+56.668</f>
        <v>61.29</v>
      </c>
      <c r="S2521" s="57" t="s">
        <v>149</v>
      </c>
      <c r="T2521" s="257">
        <f t="shared" si="85"/>
        <v>37490</v>
      </c>
      <c r="U2521" s="257">
        <f t="shared" si="86"/>
        <v>513</v>
      </c>
      <c r="V2521">
        <v>2</v>
      </c>
      <c r="W2521">
        <v>1</v>
      </c>
    </row>
    <row r="2522" spans="1:23" ht="102.6" x14ac:dyDescent="0.3">
      <c r="A2522" s="212">
        <v>42074</v>
      </c>
      <c r="B2522" s="212">
        <v>42075</v>
      </c>
      <c r="C2522" s="6">
        <v>3</v>
      </c>
      <c r="D2522" s="6">
        <v>2</v>
      </c>
      <c r="E2522" s="54">
        <v>2015</v>
      </c>
      <c r="F2522" s="15" t="s">
        <v>22</v>
      </c>
      <c r="G2522" s="82" t="s">
        <v>6256</v>
      </c>
      <c r="H2522" s="9" t="s">
        <v>88</v>
      </c>
      <c r="I2522" s="70" t="s">
        <v>4268</v>
      </c>
      <c r="J2522" s="71" t="s">
        <v>4269</v>
      </c>
      <c r="K2522" s="55">
        <v>0</v>
      </c>
      <c r="L2522" s="238">
        <v>7451</v>
      </c>
      <c r="M2522" s="156">
        <v>300</v>
      </c>
      <c r="N2522" s="156">
        <v>0</v>
      </c>
      <c r="O2522" s="156">
        <v>0</v>
      </c>
      <c r="P2522" s="156">
        <v>0</v>
      </c>
      <c r="Q2522" s="156">
        <v>0</v>
      </c>
      <c r="R2522" s="26">
        <f>0.099+5.709</f>
        <v>5.8079999999999998</v>
      </c>
      <c r="S2522" s="50" t="s">
        <v>131</v>
      </c>
      <c r="T2522" s="257">
        <f t="shared" si="85"/>
        <v>7451</v>
      </c>
      <c r="U2522" s="257">
        <f t="shared" si="86"/>
        <v>300</v>
      </c>
      <c r="V2522">
        <v>1</v>
      </c>
      <c r="W2522">
        <v>1</v>
      </c>
    </row>
    <row r="2523" spans="1:23" ht="114" x14ac:dyDescent="0.3">
      <c r="A2523" s="212">
        <v>42074</v>
      </c>
      <c r="B2523" s="212">
        <v>42075</v>
      </c>
      <c r="C2523" s="6">
        <v>3</v>
      </c>
      <c r="D2523" s="6">
        <v>2</v>
      </c>
      <c r="E2523" s="54">
        <v>2015</v>
      </c>
      <c r="F2523" s="15" t="s">
        <v>22</v>
      </c>
      <c r="G2523" s="18" t="s">
        <v>6256</v>
      </c>
      <c r="H2523" s="9" t="s">
        <v>174</v>
      </c>
      <c r="I2523" s="70" t="s">
        <v>4270</v>
      </c>
      <c r="J2523" s="71" t="s">
        <v>4271</v>
      </c>
      <c r="K2523" s="55">
        <v>0</v>
      </c>
      <c r="L2523" s="238">
        <v>29231</v>
      </c>
      <c r="M2523" s="156">
        <v>45</v>
      </c>
      <c r="N2523" s="156">
        <v>0</v>
      </c>
      <c r="O2523" s="156">
        <v>0</v>
      </c>
      <c r="P2523" s="156">
        <v>0</v>
      </c>
      <c r="Q2523" s="156">
        <v>0</v>
      </c>
      <c r="R2523" s="26">
        <f>21.491+287.55</f>
        <v>309.041</v>
      </c>
      <c r="S2523" s="57" t="s">
        <v>149</v>
      </c>
      <c r="T2523" s="257">
        <f t="shared" si="85"/>
        <v>29231</v>
      </c>
      <c r="U2523" s="257">
        <f t="shared" si="86"/>
        <v>45</v>
      </c>
      <c r="V2523">
        <v>2</v>
      </c>
      <c r="W2523">
        <v>1</v>
      </c>
    </row>
    <row r="2524" spans="1:23" ht="171" x14ac:dyDescent="0.3">
      <c r="A2524" s="212">
        <v>42074</v>
      </c>
      <c r="B2524" s="212">
        <v>42080</v>
      </c>
      <c r="C2524" s="6">
        <v>3</v>
      </c>
      <c r="D2524" s="6">
        <v>7</v>
      </c>
      <c r="E2524" s="54">
        <v>2015</v>
      </c>
      <c r="F2524" s="15" t="s">
        <v>22</v>
      </c>
      <c r="G2524" s="18" t="s">
        <v>6256</v>
      </c>
      <c r="H2524" s="9" t="s">
        <v>41</v>
      </c>
      <c r="I2524" s="70" t="s">
        <v>4272</v>
      </c>
      <c r="J2524" s="71" t="s">
        <v>4273</v>
      </c>
      <c r="K2524" s="55">
        <v>0</v>
      </c>
      <c r="L2524" s="238">
        <v>44577</v>
      </c>
      <c r="M2524" s="156">
        <v>677</v>
      </c>
      <c r="N2524" s="156">
        <v>0</v>
      </c>
      <c r="O2524" s="156">
        <v>0</v>
      </c>
      <c r="P2524" s="156">
        <v>0</v>
      </c>
      <c r="Q2524" s="156">
        <v>0</v>
      </c>
      <c r="R2524" s="26">
        <f>25.354+571.45</f>
        <v>596.80400000000009</v>
      </c>
      <c r="S2524" s="57" t="s">
        <v>149</v>
      </c>
      <c r="T2524" s="257">
        <f t="shared" si="85"/>
        <v>44577</v>
      </c>
      <c r="U2524" s="257">
        <f t="shared" si="86"/>
        <v>677</v>
      </c>
      <c r="V2524">
        <v>2</v>
      </c>
      <c r="W2524">
        <v>1</v>
      </c>
    </row>
    <row r="2525" spans="1:23" ht="68.400000000000006" x14ac:dyDescent="0.3">
      <c r="A2525" s="212">
        <v>42074</v>
      </c>
      <c r="B2525" s="212">
        <v>42082</v>
      </c>
      <c r="C2525" s="6">
        <v>3</v>
      </c>
      <c r="D2525" s="6">
        <v>9</v>
      </c>
      <c r="E2525" s="54">
        <v>2015</v>
      </c>
      <c r="F2525" s="15" t="s">
        <v>22</v>
      </c>
      <c r="G2525" s="18" t="s">
        <v>6255</v>
      </c>
      <c r="H2525" s="9" t="s">
        <v>41</v>
      </c>
      <c r="I2525" s="70" t="s">
        <v>4274</v>
      </c>
      <c r="J2525" s="71" t="s">
        <v>4275</v>
      </c>
      <c r="K2525" s="55">
        <v>0</v>
      </c>
      <c r="L2525" s="238">
        <v>2170</v>
      </c>
      <c r="M2525" s="156">
        <v>0</v>
      </c>
      <c r="N2525" s="156">
        <v>0</v>
      </c>
      <c r="O2525" s="156">
        <v>0</v>
      </c>
      <c r="P2525" s="156">
        <v>0</v>
      </c>
      <c r="Q2525" s="156">
        <v>0</v>
      </c>
      <c r="R2525" s="26">
        <v>1.2929999999999999</v>
      </c>
      <c r="S2525" s="57" t="s">
        <v>149</v>
      </c>
      <c r="T2525" s="257">
        <f t="shared" si="85"/>
        <v>2170</v>
      </c>
      <c r="U2525" s="257">
        <f t="shared" si="86"/>
        <v>0</v>
      </c>
      <c r="V2525">
        <v>1</v>
      </c>
      <c r="W2525">
        <v>0</v>
      </c>
    </row>
    <row r="2526" spans="1:23" ht="136.80000000000001" x14ac:dyDescent="0.3">
      <c r="A2526" s="212">
        <v>42076</v>
      </c>
      <c r="B2526" s="216">
        <v>42080</v>
      </c>
      <c r="C2526" s="6">
        <v>3</v>
      </c>
      <c r="D2526" s="6">
        <v>5</v>
      </c>
      <c r="E2526" s="54">
        <v>2015</v>
      </c>
      <c r="F2526" s="15" t="s">
        <v>22</v>
      </c>
      <c r="G2526" s="18" t="s">
        <v>6256</v>
      </c>
      <c r="H2526" s="9" t="s">
        <v>39</v>
      </c>
      <c r="I2526" s="20" t="s">
        <v>4276</v>
      </c>
      <c r="J2526" s="21" t="s">
        <v>4277</v>
      </c>
      <c r="K2526" s="124">
        <v>0</v>
      </c>
      <c r="L2526" s="239">
        <v>1322</v>
      </c>
      <c r="M2526" s="136">
        <v>0</v>
      </c>
      <c r="N2526" s="136">
        <v>0</v>
      </c>
      <c r="O2526" s="136">
        <v>0</v>
      </c>
      <c r="P2526" s="136">
        <v>0</v>
      </c>
      <c r="Q2526" s="56">
        <v>5772.14</v>
      </c>
      <c r="R2526" s="128">
        <f>105.073+324.398</f>
        <v>429.471</v>
      </c>
      <c r="S2526" s="125" t="s">
        <v>4278</v>
      </c>
      <c r="T2526" s="257">
        <f t="shared" si="85"/>
        <v>1322</v>
      </c>
      <c r="U2526" s="257">
        <f t="shared" si="86"/>
        <v>0</v>
      </c>
      <c r="V2526">
        <v>1</v>
      </c>
      <c r="W2526">
        <v>0</v>
      </c>
    </row>
    <row r="2527" spans="1:23" ht="171" x14ac:dyDescent="0.3">
      <c r="A2527" s="225">
        <v>42077</v>
      </c>
      <c r="B2527" s="225">
        <v>42078</v>
      </c>
      <c r="C2527" s="6">
        <v>3</v>
      </c>
      <c r="D2527" s="6">
        <v>2</v>
      </c>
      <c r="E2527" s="54">
        <v>2015</v>
      </c>
      <c r="F2527" s="15" t="s">
        <v>22</v>
      </c>
      <c r="G2527" s="18" t="s">
        <v>6256</v>
      </c>
      <c r="H2527" s="9" t="s">
        <v>52</v>
      </c>
      <c r="I2527" s="70" t="s">
        <v>4279</v>
      </c>
      <c r="J2527" s="127" t="s">
        <v>4280</v>
      </c>
      <c r="K2527" s="124">
        <v>3</v>
      </c>
      <c r="L2527" s="247">
        <v>3603</v>
      </c>
      <c r="M2527" s="72">
        <v>972</v>
      </c>
      <c r="N2527" s="72">
        <v>0</v>
      </c>
      <c r="O2527" s="72">
        <v>0</v>
      </c>
      <c r="P2527" s="72">
        <v>0</v>
      </c>
      <c r="Q2527" s="72">
        <v>0</v>
      </c>
      <c r="R2527" s="128">
        <v>1.091</v>
      </c>
      <c r="S2527" s="125" t="s">
        <v>115</v>
      </c>
      <c r="T2527" s="257">
        <f t="shared" si="85"/>
        <v>3606</v>
      </c>
      <c r="U2527" s="257">
        <f t="shared" si="86"/>
        <v>972</v>
      </c>
      <c r="V2527">
        <v>1</v>
      </c>
      <c r="W2527">
        <v>1</v>
      </c>
    </row>
    <row r="2528" spans="1:23" ht="102.6" x14ac:dyDescent="0.3">
      <c r="A2528" s="214">
        <v>43978</v>
      </c>
      <c r="B2528" s="214">
        <v>43979</v>
      </c>
      <c r="C2528" s="6">
        <v>5</v>
      </c>
      <c r="D2528" s="6">
        <v>2</v>
      </c>
      <c r="E2528" s="33">
        <v>2020</v>
      </c>
      <c r="F2528" s="7" t="s">
        <v>17</v>
      </c>
      <c r="G2528" s="8" t="s">
        <v>6261</v>
      </c>
      <c r="H2528" s="9" t="s">
        <v>48</v>
      </c>
      <c r="I2528" s="34" t="s">
        <v>2287</v>
      </c>
      <c r="J2528" s="34" t="s">
        <v>4281</v>
      </c>
      <c r="K2528" s="33">
        <v>2</v>
      </c>
      <c r="L2528" s="235">
        <v>5</v>
      </c>
      <c r="M2528" s="35">
        <v>0</v>
      </c>
      <c r="N2528" s="35">
        <v>0</v>
      </c>
      <c r="O2528" s="35">
        <v>0</v>
      </c>
      <c r="P2528" s="35">
        <v>0</v>
      </c>
      <c r="Q2528" s="41">
        <v>0</v>
      </c>
      <c r="R2528" s="42">
        <v>3.2670000000000008E-3</v>
      </c>
      <c r="S2528" s="33" t="s">
        <v>115</v>
      </c>
      <c r="T2528" s="257">
        <f t="shared" si="85"/>
        <v>7</v>
      </c>
      <c r="U2528" s="257">
        <f t="shared" si="86"/>
        <v>0</v>
      </c>
      <c r="V2528">
        <v>1</v>
      </c>
      <c r="W2528">
        <v>0</v>
      </c>
    </row>
    <row r="2529" spans="1:23" ht="79.8" x14ac:dyDescent="0.3">
      <c r="A2529" s="226">
        <v>42078</v>
      </c>
      <c r="B2529" s="226">
        <v>42078</v>
      </c>
      <c r="C2529" s="6">
        <v>3</v>
      </c>
      <c r="D2529" s="6">
        <v>1</v>
      </c>
      <c r="E2529" s="54">
        <v>2015</v>
      </c>
      <c r="F2529" s="15" t="s">
        <v>22</v>
      </c>
      <c r="G2529" s="18" t="s">
        <v>6256</v>
      </c>
      <c r="H2529" s="9" t="s">
        <v>46</v>
      </c>
      <c r="I2529" s="70" t="s">
        <v>4282</v>
      </c>
      <c r="J2529" s="127" t="s">
        <v>4283</v>
      </c>
      <c r="K2529" s="124">
        <v>0</v>
      </c>
      <c r="L2529" s="247">
        <v>6</v>
      </c>
      <c r="M2529" s="72">
        <v>0</v>
      </c>
      <c r="N2529" s="72">
        <v>0</v>
      </c>
      <c r="O2529" s="72">
        <v>0</v>
      </c>
      <c r="P2529" s="72">
        <v>0</v>
      </c>
      <c r="Q2529" s="72">
        <v>0</v>
      </c>
      <c r="R2529" s="128">
        <v>0</v>
      </c>
      <c r="S2529" s="125" t="s">
        <v>115</v>
      </c>
      <c r="T2529" s="257">
        <f t="shared" si="85"/>
        <v>6</v>
      </c>
      <c r="U2529" s="257">
        <f t="shared" si="86"/>
        <v>0</v>
      </c>
      <c r="V2529">
        <v>1</v>
      </c>
      <c r="W2529">
        <v>0</v>
      </c>
    </row>
    <row r="2530" spans="1:23" ht="205.2" x14ac:dyDescent="0.3">
      <c r="A2530" s="212">
        <v>42078</v>
      </c>
      <c r="B2530" s="212">
        <v>42079</v>
      </c>
      <c r="C2530" s="6">
        <v>3</v>
      </c>
      <c r="D2530" s="6">
        <v>2</v>
      </c>
      <c r="E2530" s="54">
        <v>2015</v>
      </c>
      <c r="F2530" s="15" t="s">
        <v>22</v>
      </c>
      <c r="G2530" s="18" t="s">
        <v>6256</v>
      </c>
      <c r="H2530" s="9" t="s">
        <v>51</v>
      </c>
      <c r="I2530" s="70" t="s">
        <v>4284</v>
      </c>
      <c r="J2530" s="71" t="s">
        <v>4285</v>
      </c>
      <c r="K2530" s="55">
        <v>0</v>
      </c>
      <c r="L2530" s="238">
        <v>15755</v>
      </c>
      <c r="M2530" s="156">
        <v>672</v>
      </c>
      <c r="N2530" s="156">
        <v>9</v>
      </c>
      <c r="O2530" s="156">
        <v>0</v>
      </c>
      <c r="P2530" s="156">
        <v>0</v>
      </c>
      <c r="Q2530" s="156">
        <v>0</v>
      </c>
      <c r="R2530" s="26">
        <f>5.189+797.53</f>
        <v>802.71899999999994</v>
      </c>
      <c r="S2530" s="50" t="s">
        <v>131</v>
      </c>
      <c r="T2530" s="257">
        <f t="shared" si="85"/>
        <v>15755</v>
      </c>
      <c r="U2530" s="257">
        <f t="shared" si="86"/>
        <v>681</v>
      </c>
      <c r="V2530">
        <v>2</v>
      </c>
      <c r="W2530">
        <v>1</v>
      </c>
    </row>
    <row r="2531" spans="1:23" ht="34.200000000000003" x14ac:dyDescent="0.3">
      <c r="A2531" s="225">
        <v>42080</v>
      </c>
      <c r="B2531" s="225">
        <v>42080</v>
      </c>
      <c r="C2531" s="6">
        <v>3</v>
      </c>
      <c r="D2531" s="6">
        <v>1</v>
      </c>
      <c r="E2531" s="54">
        <v>2015</v>
      </c>
      <c r="F2531" s="15" t="s">
        <v>22</v>
      </c>
      <c r="G2531" s="18" t="s">
        <v>6256</v>
      </c>
      <c r="H2531" s="9" t="s">
        <v>56</v>
      </c>
      <c r="I2531" s="70" t="s">
        <v>4287</v>
      </c>
      <c r="J2531" s="127" t="s">
        <v>4288</v>
      </c>
      <c r="K2531" s="124">
        <v>0</v>
      </c>
      <c r="L2531" s="247">
        <v>70</v>
      </c>
      <c r="M2531" s="72">
        <v>0</v>
      </c>
      <c r="N2531" s="72">
        <v>0</v>
      </c>
      <c r="O2531" s="72">
        <v>0</v>
      </c>
      <c r="P2531" s="72">
        <v>0</v>
      </c>
      <c r="Q2531" s="72">
        <v>0</v>
      </c>
      <c r="R2531" s="128">
        <v>2.1000000000000001E-2</v>
      </c>
      <c r="S2531" s="125" t="s">
        <v>115</v>
      </c>
      <c r="T2531" s="257">
        <f t="shared" si="85"/>
        <v>70</v>
      </c>
      <c r="U2531" s="257">
        <f t="shared" si="86"/>
        <v>0</v>
      </c>
      <c r="V2531">
        <v>1</v>
      </c>
      <c r="W2531">
        <v>0</v>
      </c>
    </row>
    <row r="2532" spans="1:23" ht="228" x14ac:dyDescent="0.3">
      <c r="A2532" s="210">
        <v>42084</v>
      </c>
      <c r="B2532" s="210">
        <v>42090</v>
      </c>
      <c r="C2532" s="6">
        <v>3</v>
      </c>
      <c r="D2532" s="6">
        <v>7</v>
      </c>
      <c r="E2532" s="54">
        <v>2015</v>
      </c>
      <c r="F2532" s="15" t="s">
        <v>22</v>
      </c>
      <c r="G2532" s="18" t="s">
        <v>6256</v>
      </c>
      <c r="H2532" s="9" t="s">
        <v>174</v>
      </c>
      <c r="I2532" s="70" t="s">
        <v>4289</v>
      </c>
      <c r="J2532" s="71" t="s">
        <v>4290</v>
      </c>
      <c r="K2532" s="55">
        <v>5</v>
      </c>
      <c r="L2532" s="238">
        <v>61381</v>
      </c>
      <c r="M2532" s="156">
        <v>165</v>
      </c>
      <c r="N2532" s="156">
        <v>86</v>
      </c>
      <c r="O2532" s="156">
        <v>0</v>
      </c>
      <c r="P2532" s="156">
        <v>0</v>
      </c>
      <c r="Q2532" s="156">
        <v>0</v>
      </c>
      <c r="R2532" s="26">
        <f>11.421+42.584+2278.35</f>
        <v>2332.355</v>
      </c>
      <c r="S2532" s="50" t="s">
        <v>131</v>
      </c>
      <c r="T2532" s="257">
        <f t="shared" si="85"/>
        <v>61386</v>
      </c>
      <c r="U2532" s="257">
        <f t="shared" si="86"/>
        <v>251</v>
      </c>
      <c r="V2532">
        <v>2</v>
      </c>
      <c r="W2532">
        <v>1</v>
      </c>
    </row>
    <row r="2533" spans="1:23" ht="79.8" x14ac:dyDescent="0.3">
      <c r="A2533" s="216">
        <v>42095</v>
      </c>
      <c r="B2533" s="216">
        <v>42118</v>
      </c>
      <c r="C2533" s="6">
        <v>4</v>
      </c>
      <c r="D2533" s="6">
        <v>24</v>
      </c>
      <c r="E2533" s="54">
        <v>2015</v>
      </c>
      <c r="F2533" s="15" t="s">
        <v>22</v>
      </c>
      <c r="G2533" s="18" t="s">
        <v>6256</v>
      </c>
      <c r="H2533" s="9" t="s">
        <v>57</v>
      </c>
      <c r="I2533" s="20" t="s">
        <v>4291</v>
      </c>
      <c r="J2533" s="21" t="s">
        <v>4292</v>
      </c>
      <c r="K2533" s="55">
        <v>0</v>
      </c>
      <c r="L2533" s="239">
        <v>85</v>
      </c>
      <c r="M2533" s="56">
        <v>0</v>
      </c>
      <c r="N2533" s="56">
        <v>0</v>
      </c>
      <c r="O2533" s="56">
        <v>0</v>
      </c>
      <c r="P2533" s="56">
        <v>0</v>
      </c>
      <c r="Q2533" s="56">
        <v>692</v>
      </c>
      <c r="R2533" s="26">
        <v>30.282</v>
      </c>
      <c r="S2533" s="57" t="s">
        <v>327</v>
      </c>
      <c r="T2533" s="257">
        <f t="shared" si="85"/>
        <v>85</v>
      </c>
      <c r="U2533" s="257">
        <f t="shared" si="86"/>
        <v>0</v>
      </c>
      <c r="V2533">
        <v>1</v>
      </c>
      <c r="W2533">
        <v>0</v>
      </c>
    </row>
    <row r="2534" spans="1:23" ht="68.400000000000006" x14ac:dyDescent="0.3">
      <c r="A2534" s="210">
        <v>42106</v>
      </c>
      <c r="B2534" s="210">
        <v>42106</v>
      </c>
      <c r="C2534" s="6">
        <v>4</v>
      </c>
      <c r="D2534" s="6">
        <v>1</v>
      </c>
      <c r="E2534" s="54">
        <v>2015</v>
      </c>
      <c r="F2534" s="15" t="s">
        <v>22</v>
      </c>
      <c r="G2534" s="18" t="s">
        <v>6255</v>
      </c>
      <c r="H2534" s="9" t="s">
        <v>34</v>
      </c>
      <c r="I2534" s="70" t="s">
        <v>4293</v>
      </c>
      <c r="J2534" s="71" t="s">
        <v>4294</v>
      </c>
      <c r="K2534" s="55">
        <v>0</v>
      </c>
      <c r="L2534" s="238">
        <v>10785</v>
      </c>
      <c r="M2534" s="156">
        <v>0</v>
      </c>
      <c r="N2534" s="156">
        <v>0</v>
      </c>
      <c r="O2534" s="156">
        <v>0</v>
      </c>
      <c r="P2534" s="156">
        <v>0</v>
      </c>
      <c r="Q2534" s="156">
        <v>0</v>
      </c>
      <c r="R2534" s="26">
        <v>10.195</v>
      </c>
      <c r="S2534" s="57" t="s">
        <v>149</v>
      </c>
      <c r="T2534" s="257">
        <f t="shared" si="85"/>
        <v>10785</v>
      </c>
      <c r="U2534" s="257">
        <f t="shared" si="86"/>
        <v>0</v>
      </c>
      <c r="V2534">
        <v>2</v>
      </c>
      <c r="W2534">
        <v>0</v>
      </c>
    </row>
    <row r="2535" spans="1:23" ht="57" x14ac:dyDescent="0.3">
      <c r="A2535" s="210">
        <v>42107</v>
      </c>
      <c r="B2535" s="210">
        <v>42109</v>
      </c>
      <c r="C2535" s="6">
        <v>4</v>
      </c>
      <c r="D2535" s="6">
        <v>3</v>
      </c>
      <c r="E2535" s="54">
        <v>2015</v>
      </c>
      <c r="F2535" s="15" t="s">
        <v>22</v>
      </c>
      <c r="G2535" s="82" t="s">
        <v>6256</v>
      </c>
      <c r="H2535" s="9" t="s">
        <v>174</v>
      </c>
      <c r="I2535" s="70" t="s">
        <v>4295</v>
      </c>
      <c r="J2535" s="71" t="s">
        <v>4296</v>
      </c>
      <c r="K2535" s="55">
        <v>0</v>
      </c>
      <c r="L2535" s="238">
        <v>8880</v>
      </c>
      <c r="M2535" s="156">
        <v>0</v>
      </c>
      <c r="N2535" s="156">
        <v>0</v>
      </c>
      <c r="O2535" s="156">
        <v>0</v>
      </c>
      <c r="P2535" s="156">
        <v>0</v>
      </c>
      <c r="Q2535" s="156">
        <v>0</v>
      </c>
      <c r="R2535" s="26">
        <v>7.1619999999999999</v>
      </c>
      <c r="S2535" s="57" t="s">
        <v>149</v>
      </c>
      <c r="T2535" s="257">
        <f t="shared" si="85"/>
        <v>8880</v>
      </c>
      <c r="U2535" s="257">
        <f t="shared" si="86"/>
        <v>0</v>
      </c>
      <c r="V2535">
        <v>1</v>
      </c>
      <c r="W2535">
        <v>0</v>
      </c>
    </row>
    <row r="2536" spans="1:23" ht="79.8" x14ac:dyDescent="0.3">
      <c r="A2536" s="225">
        <v>42118</v>
      </c>
      <c r="B2536" s="225">
        <v>42119</v>
      </c>
      <c r="C2536" s="6">
        <v>4</v>
      </c>
      <c r="D2536" s="6">
        <v>2</v>
      </c>
      <c r="E2536" s="54">
        <v>2015</v>
      </c>
      <c r="F2536" s="15" t="s">
        <v>22</v>
      </c>
      <c r="G2536" s="9" t="s">
        <v>6257</v>
      </c>
      <c r="H2536" s="9" t="s">
        <v>78</v>
      </c>
      <c r="I2536" s="70" t="s">
        <v>4297</v>
      </c>
      <c r="J2536" s="127" t="s">
        <v>4298</v>
      </c>
      <c r="K2536" s="124">
        <v>0</v>
      </c>
      <c r="L2536" s="247">
        <v>350</v>
      </c>
      <c r="M2536" s="72">
        <v>70</v>
      </c>
      <c r="N2536" s="72">
        <v>0</v>
      </c>
      <c r="O2536" s="72">
        <v>0</v>
      </c>
      <c r="P2536" s="72">
        <v>1</v>
      </c>
      <c r="Q2536" s="72">
        <v>0</v>
      </c>
      <c r="R2536" s="128">
        <v>2.3E-2</v>
      </c>
      <c r="S2536" s="125" t="s">
        <v>115</v>
      </c>
      <c r="T2536" s="257">
        <f t="shared" si="85"/>
        <v>350</v>
      </c>
      <c r="U2536" s="257">
        <f t="shared" si="86"/>
        <v>71</v>
      </c>
      <c r="V2536">
        <v>1</v>
      </c>
      <c r="W2536">
        <v>1</v>
      </c>
    </row>
    <row r="2537" spans="1:23" ht="57" x14ac:dyDescent="0.3">
      <c r="A2537" s="210">
        <v>42120</v>
      </c>
      <c r="B2537" s="210">
        <v>42120</v>
      </c>
      <c r="C2537" s="6">
        <v>4</v>
      </c>
      <c r="D2537" s="6">
        <v>1</v>
      </c>
      <c r="E2537" s="54">
        <v>2015</v>
      </c>
      <c r="F2537" s="15" t="s">
        <v>22</v>
      </c>
      <c r="G2537" s="82" t="s">
        <v>6256</v>
      </c>
      <c r="H2537" s="9" t="s">
        <v>174</v>
      </c>
      <c r="I2537" s="70" t="s">
        <v>4299</v>
      </c>
      <c r="J2537" s="71" t="s">
        <v>4300</v>
      </c>
      <c r="K2537" s="55">
        <v>0</v>
      </c>
      <c r="L2537" s="238">
        <v>973</v>
      </c>
      <c r="M2537" s="156">
        <v>0</v>
      </c>
      <c r="N2537" s="156">
        <v>0</v>
      </c>
      <c r="O2537" s="156">
        <v>0</v>
      </c>
      <c r="P2537" s="156">
        <v>0</v>
      </c>
      <c r="Q2537" s="156">
        <v>0</v>
      </c>
      <c r="R2537" s="26">
        <v>1.006</v>
      </c>
      <c r="S2537" s="57" t="s">
        <v>149</v>
      </c>
      <c r="T2537" s="257">
        <f t="shared" si="85"/>
        <v>973</v>
      </c>
      <c r="U2537" s="257">
        <f t="shared" si="86"/>
        <v>0</v>
      </c>
      <c r="V2537">
        <v>1</v>
      </c>
      <c r="W2537">
        <v>0</v>
      </c>
    </row>
    <row r="2538" spans="1:23" ht="57" x14ac:dyDescent="0.3">
      <c r="A2538" s="210">
        <v>42122</v>
      </c>
      <c r="B2538" s="210">
        <v>42122</v>
      </c>
      <c r="C2538" s="6">
        <v>4</v>
      </c>
      <c r="D2538" s="6">
        <v>1</v>
      </c>
      <c r="E2538" s="54">
        <v>2015</v>
      </c>
      <c r="F2538" s="15" t="s">
        <v>22</v>
      </c>
      <c r="G2538" s="18" t="s">
        <v>6256</v>
      </c>
      <c r="H2538" s="9" t="s">
        <v>174</v>
      </c>
      <c r="I2538" s="70" t="s">
        <v>4301</v>
      </c>
      <c r="J2538" s="71" t="s">
        <v>4302</v>
      </c>
      <c r="K2538" s="55">
        <v>0</v>
      </c>
      <c r="L2538" s="238">
        <v>10320</v>
      </c>
      <c r="M2538" s="156">
        <v>0</v>
      </c>
      <c r="N2538" s="156">
        <v>0</v>
      </c>
      <c r="O2538" s="156">
        <v>0</v>
      </c>
      <c r="P2538" s="156">
        <v>0</v>
      </c>
      <c r="Q2538" s="156">
        <v>0</v>
      </c>
      <c r="R2538" s="26">
        <v>5.2409999999999997</v>
      </c>
      <c r="S2538" s="57" t="s">
        <v>149</v>
      </c>
      <c r="T2538" s="257">
        <f t="shared" si="85"/>
        <v>10320</v>
      </c>
      <c r="U2538" s="257">
        <f t="shared" si="86"/>
        <v>0</v>
      </c>
      <c r="V2538">
        <v>2</v>
      </c>
      <c r="W2538">
        <v>0</v>
      </c>
    </row>
    <row r="2539" spans="1:23" x14ac:dyDescent="0.3">
      <c r="A2539" s="212">
        <v>37417</v>
      </c>
      <c r="B2539" s="212">
        <v>37417</v>
      </c>
      <c r="C2539" s="6">
        <v>6</v>
      </c>
      <c r="D2539" s="6">
        <v>1</v>
      </c>
      <c r="E2539" s="6">
        <v>2002</v>
      </c>
      <c r="F2539" s="15" t="s">
        <v>22</v>
      </c>
      <c r="G2539" s="18" t="s">
        <v>6256</v>
      </c>
      <c r="H2539" s="9" t="s">
        <v>48</v>
      </c>
      <c r="I2539" s="34" t="s">
        <v>310</v>
      </c>
      <c r="J2539" s="39" t="s">
        <v>4303</v>
      </c>
      <c r="K2539" s="13">
        <v>3</v>
      </c>
      <c r="L2539" s="233">
        <v>6</v>
      </c>
      <c r="M2539" s="13">
        <v>0</v>
      </c>
      <c r="N2539" s="13">
        <v>0</v>
      </c>
      <c r="O2539" s="13">
        <v>0</v>
      </c>
      <c r="P2539" s="13">
        <v>0</v>
      </c>
      <c r="Q2539" s="13">
        <v>0</v>
      </c>
      <c r="R2539" s="26">
        <v>0</v>
      </c>
      <c r="S2539" s="7" t="s">
        <v>115</v>
      </c>
      <c r="T2539" s="257">
        <f t="shared" si="85"/>
        <v>9</v>
      </c>
      <c r="U2539" s="257">
        <f t="shared" si="86"/>
        <v>0</v>
      </c>
      <c r="V2539">
        <v>1</v>
      </c>
      <c r="W2539">
        <v>0</v>
      </c>
    </row>
    <row r="2540" spans="1:23" ht="102.6" x14ac:dyDescent="0.3">
      <c r="A2540" s="210">
        <v>42135</v>
      </c>
      <c r="B2540" s="210">
        <v>42136</v>
      </c>
      <c r="C2540" s="6">
        <v>5</v>
      </c>
      <c r="D2540" s="6">
        <v>2</v>
      </c>
      <c r="E2540" s="54">
        <v>2015</v>
      </c>
      <c r="F2540" s="15" t="s">
        <v>22</v>
      </c>
      <c r="G2540" s="18" t="s">
        <v>6256</v>
      </c>
      <c r="H2540" s="9" t="s">
        <v>78</v>
      </c>
      <c r="I2540" s="70" t="s">
        <v>4304</v>
      </c>
      <c r="J2540" s="71" t="s">
        <v>4305</v>
      </c>
      <c r="K2540" s="55">
        <v>0</v>
      </c>
      <c r="L2540" s="238">
        <v>1615</v>
      </c>
      <c r="M2540" s="72">
        <v>3</v>
      </c>
      <c r="N2540" s="72">
        <v>0</v>
      </c>
      <c r="O2540" s="72">
        <v>4</v>
      </c>
      <c r="P2540" s="72">
        <v>0</v>
      </c>
      <c r="Q2540" s="72">
        <v>0</v>
      </c>
      <c r="R2540" s="26">
        <f>1.6+68.2</f>
        <v>69.8</v>
      </c>
      <c r="S2540" s="57" t="s">
        <v>149</v>
      </c>
      <c r="T2540" s="257">
        <f t="shared" si="85"/>
        <v>1615</v>
      </c>
      <c r="U2540" s="257">
        <f t="shared" si="86"/>
        <v>7</v>
      </c>
      <c r="V2540">
        <v>1</v>
      </c>
      <c r="W2540">
        <v>1</v>
      </c>
    </row>
    <row r="2541" spans="1:23" ht="79.8" x14ac:dyDescent="0.3">
      <c r="A2541" s="210">
        <v>42136</v>
      </c>
      <c r="B2541" s="210">
        <v>42137</v>
      </c>
      <c r="C2541" s="6">
        <v>5</v>
      </c>
      <c r="D2541" s="6">
        <v>2</v>
      </c>
      <c r="E2541" s="54">
        <v>2015</v>
      </c>
      <c r="F2541" s="15" t="s">
        <v>22</v>
      </c>
      <c r="G2541" s="18" t="s">
        <v>6256</v>
      </c>
      <c r="H2541" s="9" t="s">
        <v>174</v>
      </c>
      <c r="I2541" s="70" t="s">
        <v>4306</v>
      </c>
      <c r="J2541" s="71" t="s">
        <v>4307</v>
      </c>
      <c r="K2541" s="55">
        <v>0</v>
      </c>
      <c r="L2541" s="238">
        <v>1066</v>
      </c>
      <c r="M2541" s="72">
        <v>0</v>
      </c>
      <c r="N2541" s="72">
        <v>0</v>
      </c>
      <c r="O2541" s="72">
        <v>0</v>
      </c>
      <c r="P2541" s="72">
        <v>0</v>
      </c>
      <c r="Q2541" s="72">
        <v>0</v>
      </c>
      <c r="R2541" s="26">
        <v>0.54400000000000004</v>
      </c>
      <c r="S2541" s="57" t="s">
        <v>149</v>
      </c>
      <c r="T2541" s="257">
        <f t="shared" si="85"/>
        <v>1066</v>
      </c>
      <c r="U2541" s="257">
        <f t="shared" si="86"/>
        <v>0</v>
      </c>
      <c r="V2541">
        <v>1</v>
      </c>
      <c r="W2541">
        <v>0</v>
      </c>
    </row>
    <row r="2542" spans="1:23" ht="102.6" x14ac:dyDescent="0.3">
      <c r="A2542" s="216">
        <v>42136</v>
      </c>
      <c r="B2542" s="216">
        <v>42140</v>
      </c>
      <c r="C2542" s="6">
        <v>5</v>
      </c>
      <c r="D2542" s="6">
        <v>5</v>
      </c>
      <c r="E2542" s="54">
        <v>2015</v>
      </c>
      <c r="F2542" s="15" t="s">
        <v>22</v>
      </c>
      <c r="G2542" s="18" t="s">
        <v>6256</v>
      </c>
      <c r="H2542" s="9" t="s">
        <v>51</v>
      </c>
      <c r="I2542" s="20" t="s">
        <v>4308</v>
      </c>
      <c r="J2542" s="21" t="s">
        <v>4309</v>
      </c>
      <c r="K2542" s="55">
        <v>0</v>
      </c>
      <c r="L2542" s="239">
        <v>1416</v>
      </c>
      <c r="M2542" s="56">
        <v>0</v>
      </c>
      <c r="N2542" s="56">
        <v>0</v>
      </c>
      <c r="O2542" s="56">
        <v>0</v>
      </c>
      <c r="P2542" s="56">
        <v>0</v>
      </c>
      <c r="Q2542" s="56">
        <v>5934.57</v>
      </c>
      <c r="R2542" s="26">
        <v>321.85199999999998</v>
      </c>
      <c r="S2542" s="57" t="s">
        <v>327</v>
      </c>
      <c r="T2542" s="257">
        <f t="shared" si="85"/>
        <v>1416</v>
      </c>
      <c r="U2542" s="257">
        <f t="shared" si="86"/>
        <v>0</v>
      </c>
      <c r="V2542">
        <v>1</v>
      </c>
      <c r="W2542">
        <v>0</v>
      </c>
    </row>
    <row r="2543" spans="1:23" ht="68.400000000000006" x14ac:dyDescent="0.3">
      <c r="A2543" s="230">
        <v>42139</v>
      </c>
      <c r="B2543" s="230">
        <v>42139</v>
      </c>
      <c r="C2543" s="6">
        <v>5</v>
      </c>
      <c r="D2543" s="6">
        <v>1</v>
      </c>
      <c r="E2543" s="54">
        <v>2015</v>
      </c>
      <c r="F2543" s="15" t="s">
        <v>22</v>
      </c>
      <c r="G2543" s="16" t="s">
        <v>6256</v>
      </c>
      <c r="H2543" s="9" t="s">
        <v>78</v>
      </c>
      <c r="I2543" s="70" t="s">
        <v>1262</v>
      </c>
      <c r="J2543" s="157" t="s">
        <v>4310</v>
      </c>
      <c r="K2543" s="55">
        <v>0</v>
      </c>
      <c r="L2543" s="238">
        <v>4982</v>
      </c>
      <c r="M2543" s="72">
        <v>0</v>
      </c>
      <c r="N2543" s="72">
        <v>0</v>
      </c>
      <c r="O2543" s="72">
        <v>0</v>
      </c>
      <c r="P2543" s="72">
        <v>0</v>
      </c>
      <c r="Q2543" s="72">
        <v>0</v>
      </c>
      <c r="R2543" s="26">
        <v>2.6</v>
      </c>
      <c r="S2543" s="57" t="s">
        <v>149</v>
      </c>
      <c r="T2543" s="257">
        <f t="shared" si="85"/>
        <v>4982</v>
      </c>
      <c r="U2543" s="257">
        <f t="shared" si="86"/>
        <v>0</v>
      </c>
      <c r="V2543">
        <v>1</v>
      </c>
      <c r="W2543">
        <v>0</v>
      </c>
    </row>
    <row r="2544" spans="1:23" ht="114" x14ac:dyDescent="0.3">
      <c r="A2544" s="225">
        <v>42145</v>
      </c>
      <c r="B2544" s="225">
        <v>42146</v>
      </c>
      <c r="C2544" s="6">
        <v>5</v>
      </c>
      <c r="D2544" s="6">
        <v>2</v>
      </c>
      <c r="E2544" s="54">
        <v>2015</v>
      </c>
      <c r="F2544" s="15" t="s">
        <v>22</v>
      </c>
      <c r="G2544" s="18" t="s">
        <v>6256</v>
      </c>
      <c r="H2544" s="9" t="s">
        <v>121</v>
      </c>
      <c r="I2544" s="70" t="s">
        <v>3025</v>
      </c>
      <c r="J2544" s="127" t="s">
        <v>4311</v>
      </c>
      <c r="K2544" s="124">
        <v>1</v>
      </c>
      <c r="L2544" s="247">
        <v>250</v>
      </c>
      <c r="M2544" s="72">
        <v>208</v>
      </c>
      <c r="N2544" s="72">
        <v>0</v>
      </c>
      <c r="O2544" s="72">
        <v>0</v>
      </c>
      <c r="P2544" s="72">
        <v>0</v>
      </c>
      <c r="Q2544" s="72">
        <v>0</v>
      </c>
      <c r="R2544" s="128">
        <v>0.51700000000000002</v>
      </c>
      <c r="S2544" s="125" t="s">
        <v>115</v>
      </c>
      <c r="T2544" s="257">
        <f t="shared" si="85"/>
        <v>251</v>
      </c>
      <c r="U2544" s="257">
        <f t="shared" si="86"/>
        <v>208</v>
      </c>
      <c r="V2544">
        <v>1</v>
      </c>
      <c r="W2544">
        <v>1</v>
      </c>
    </row>
    <row r="2545" spans="1:23" ht="45.6" x14ac:dyDescent="0.3">
      <c r="A2545" s="210">
        <v>42145</v>
      </c>
      <c r="B2545" s="210">
        <v>42146</v>
      </c>
      <c r="C2545" s="6">
        <v>5</v>
      </c>
      <c r="D2545" s="6">
        <v>2</v>
      </c>
      <c r="E2545" s="54">
        <v>2015</v>
      </c>
      <c r="F2545" s="15" t="s">
        <v>22</v>
      </c>
      <c r="G2545" s="18" t="s">
        <v>6256</v>
      </c>
      <c r="H2545" s="9" t="s">
        <v>70</v>
      </c>
      <c r="I2545" s="70" t="s">
        <v>4312</v>
      </c>
      <c r="J2545" s="157" t="s">
        <v>4313</v>
      </c>
      <c r="K2545" s="55">
        <v>0</v>
      </c>
      <c r="L2545" s="238">
        <v>7535</v>
      </c>
      <c r="M2545" s="72">
        <v>0</v>
      </c>
      <c r="N2545" s="72">
        <v>0</v>
      </c>
      <c r="O2545" s="72">
        <v>0</v>
      </c>
      <c r="P2545" s="72">
        <v>0</v>
      </c>
      <c r="Q2545" s="72">
        <v>0</v>
      </c>
      <c r="R2545" s="26">
        <v>0.88200000000000001</v>
      </c>
      <c r="S2545" s="57" t="s">
        <v>149</v>
      </c>
      <c r="T2545" s="257">
        <f t="shared" si="85"/>
        <v>7535</v>
      </c>
      <c r="U2545" s="257">
        <f t="shared" si="86"/>
        <v>0</v>
      </c>
      <c r="V2545">
        <v>1</v>
      </c>
      <c r="W2545">
        <v>0</v>
      </c>
    </row>
    <row r="2546" spans="1:23" ht="45.6" x14ac:dyDescent="0.3">
      <c r="A2546" s="216">
        <v>42145</v>
      </c>
      <c r="B2546" s="216">
        <v>42145</v>
      </c>
      <c r="C2546" s="6">
        <v>5</v>
      </c>
      <c r="D2546" s="6">
        <v>1</v>
      </c>
      <c r="E2546" s="54">
        <v>2015</v>
      </c>
      <c r="F2546" s="15" t="s">
        <v>22</v>
      </c>
      <c r="G2546" s="18" t="s">
        <v>6256</v>
      </c>
      <c r="H2546" s="9" t="s">
        <v>121</v>
      </c>
      <c r="I2546" s="20" t="s">
        <v>4314</v>
      </c>
      <c r="J2546" s="71" t="s">
        <v>4315</v>
      </c>
      <c r="K2546" s="57">
        <v>0</v>
      </c>
      <c r="L2546" s="233" t="s">
        <v>1678</v>
      </c>
      <c r="M2546" s="13">
        <v>91</v>
      </c>
      <c r="N2546" s="13">
        <v>15</v>
      </c>
      <c r="O2546" s="13">
        <v>0</v>
      </c>
      <c r="P2546" s="13">
        <v>0</v>
      </c>
      <c r="Q2546" s="13">
        <v>0</v>
      </c>
      <c r="R2546" s="26">
        <v>386.596</v>
      </c>
      <c r="S2546" s="57" t="s">
        <v>149</v>
      </c>
      <c r="T2546" s="257">
        <f t="shared" si="85"/>
        <v>0</v>
      </c>
      <c r="U2546" s="257">
        <f t="shared" si="86"/>
        <v>106</v>
      </c>
      <c r="V2546">
        <v>0</v>
      </c>
      <c r="W2546">
        <v>1</v>
      </c>
    </row>
    <row r="2547" spans="1:23" ht="45.6" x14ac:dyDescent="0.3">
      <c r="A2547" s="225">
        <v>42148</v>
      </c>
      <c r="B2547" s="225">
        <v>42148</v>
      </c>
      <c r="C2547" s="6">
        <v>5</v>
      </c>
      <c r="D2547" s="6">
        <v>1</v>
      </c>
      <c r="E2547" s="54">
        <v>2015</v>
      </c>
      <c r="F2547" s="15" t="s">
        <v>22</v>
      </c>
      <c r="G2547" s="18" t="s">
        <v>6256</v>
      </c>
      <c r="H2547" s="9" t="s">
        <v>78</v>
      </c>
      <c r="I2547" s="70" t="s">
        <v>1031</v>
      </c>
      <c r="J2547" s="127" t="s">
        <v>4316</v>
      </c>
      <c r="K2547" s="124">
        <v>0</v>
      </c>
      <c r="L2547" s="247">
        <v>0</v>
      </c>
      <c r="M2547" s="72">
        <v>0</v>
      </c>
      <c r="N2547" s="72">
        <v>0</v>
      </c>
      <c r="O2547" s="72">
        <v>0</v>
      </c>
      <c r="P2547" s="72">
        <v>0</v>
      </c>
      <c r="Q2547" s="72">
        <v>0</v>
      </c>
      <c r="R2547" s="128">
        <v>0</v>
      </c>
      <c r="S2547" s="125" t="s">
        <v>115</v>
      </c>
      <c r="T2547" s="257">
        <f t="shared" si="85"/>
        <v>0</v>
      </c>
      <c r="U2547" s="257">
        <f t="shared" si="86"/>
        <v>0</v>
      </c>
      <c r="V2547">
        <v>0</v>
      </c>
      <c r="W2547">
        <v>0</v>
      </c>
    </row>
    <row r="2548" spans="1:23" ht="125.4" x14ac:dyDescent="0.3">
      <c r="A2548" s="210">
        <v>42148</v>
      </c>
      <c r="B2548" s="210">
        <v>42148</v>
      </c>
      <c r="C2548" s="6">
        <v>5</v>
      </c>
      <c r="D2548" s="6">
        <v>1</v>
      </c>
      <c r="E2548" s="54">
        <v>2015</v>
      </c>
      <c r="F2548" s="15" t="s">
        <v>22</v>
      </c>
      <c r="G2548" s="16" t="s">
        <v>6256</v>
      </c>
      <c r="H2548" s="9" t="s">
        <v>78</v>
      </c>
      <c r="I2548" s="70" t="s">
        <v>1031</v>
      </c>
      <c r="J2548" s="157" t="s">
        <v>4317</v>
      </c>
      <c r="K2548" s="55">
        <v>0</v>
      </c>
      <c r="L2548" s="238">
        <v>20040</v>
      </c>
      <c r="M2548" s="72">
        <v>2</v>
      </c>
      <c r="N2548" s="72">
        <v>0</v>
      </c>
      <c r="O2548" s="72">
        <v>0</v>
      </c>
      <c r="P2548" s="72">
        <v>0</v>
      </c>
      <c r="Q2548" s="72">
        <v>0</v>
      </c>
      <c r="R2548" s="26">
        <f>8.5+35</f>
        <v>43.5</v>
      </c>
      <c r="S2548" s="50" t="s">
        <v>131</v>
      </c>
      <c r="T2548" s="257">
        <f t="shared" si="85"/>
        <v>20040</v>
      </c>
      <c r="U2548" s="257">
        <f t="shared" si="86"/>
        <v>2</v>
      </c>
      <c r="V2548">
        <v>2</v>
      </c>
      <c r="W2548">
        <v>1</v>
      </c>
    </row>
    <row r="2549" spans="1:23" ht="409.6" x14ac:dyDescent="0.3">
      <c r="A2549" s="212">
        <v>42149</v>
      </c>
      <c r="B2549" s="212">
        <v>42153</v>
      </c>
      <c r="C2549" s="6">
        <v>5</v>
      </c>
      <c r="D2549" s="6">
        <v>5</v>
      </c>
      <c r="E2549" s="54">
        <v>2015</v>
      </c>
      <c r="F2549" s="15" t="s">
        <v>22</v>
      </c>
      <c r="G2549" s="82" t="s">
        <v>6256</v>
      </c>
      <c r="H2549" s="9" t="s">
        <v>37</v>
      </c>
      <c r="I2549" s="20" t="s">
        <v>3149</v>
      </c>
      <c r="J2549" s="21" t="s">
        <v>4318</v>
      </c>
      <c r="K2549" s="55">
        <v>14</v>
      </c>
      <c r="L2549" s="233">
        <v>6500</v>
      </c>
      <c r="M2549" s="13">
        <v>1800</v>
      </c>
      <c r="N2549" s="156">
        <v>3</v>
      </c>
      <c r="O2549" s="156">
        <v>0</v>
      </c>
      <c r="P2549" s="156">
        <v>44</v>
      </c>
      <c r="Q2549" s="156">
        <v>0</v>
      </c>
      <c r="R2549" s="26">
        <v>250.6</v>
      </c>
      <c r="S2549" s="57" t="s">
        <v>2970</v>
      </c>
      <c r="T2549" s="257">
        <f t="shared" si="85"/>
        <v>6514</v>
      </c>
      <c r="U2549" s="257">
        <f t="shared" si="86"/>
        <v>1847</v>
      </c>
      <c r="V2549">
        <v>1</v>
      </c>
      <c r="W2549">
        <v>2</v>
      </c>
    </row>
    <row r="2550" spans="1:23" ht="79.8" x14ac:dyDescent="0.3">
      <c r="A2550" s="225">
        <v>42150</v>
      </c>
      <c r="B2550" s="225">
        <v>42150</v>
      </c>
      <c r="C2550" s="6">
        <v>5</v>
      </c>
      <c r="D2550" s="6">
        <v>1</v>
      </c>
      <c r="E2550" s="54">
        <v>2015</v>
      </c>
      <c r="F2550" s="15" t="s">
        <v>22</v>
      </c>
      <c r="G2550" s="82" t="s">
        <v>6256</v>
      </c>
      <c r="H2550" s="9" t="s">
        <v>37</v>
      </c>
      <c r="I2550" s="70" t="s">
        <v>223</v>
      </c>
      <c r="J2550" s="127" t="s">
        <v>4319</v>
      </c>
      <c r="K2550" s="124">
        <v>1</v>
      </c>
      <c r="L2550" s="247">
        <v>15</v>
      </c>
      <c r="M2550" s="72">
        <v>0</v>
      </c>
      <c r="N2550" s="72">
        <v>1</v>
      </c>
      <c r="O2550" s="72">
        <v>0</v>
      </c>
      <c r="P2550" s="72">
        <v>0</v>
      </c>
      <c r="Q2550" s="72">
        <v>0</v>
      </c>
      <c r="R2550" s="128">
        <v>0</v>
      </c>
      <c r="S2550" s="125" t="s">
        <v>115</v>
      </c>
      <c r="T2550" s="257">
        <f t="shared" si="85"/>
        <v>16</v>
      </c>
      <c r="U2550" s="257">
        <f t="shared" si="86"/>
        <v>1</v>
      </c>
      <c r="V2550">
        <v>1</v>
      </c>
      <c r="W2550">
        <v>1</v>
      </c>
    </row>
    <row r="2551" spans="1:23" ht="57" x14ac:dyDescent="0.3">
      <c r="A2551" s="210">
        <v>42150</v>
      </c>
      <c r="B2551" s="210">
        <v>42150</v>
      </c>
      <c r="C2551" s="6">
        <v>5</v>
      </c>
      <c r="D2551" s="6">
        <v>1</v>
      </c>
      <c r="E2551" s="54">
        <v>2015</v>
      </c>
      <c r="F2551" s="15" t="s">
        <v>22</v>
      </c>
      <c r="G2551" s="82" t="s">
        <v>6256</v>
      </c>
      <c r="H2551" s="9" t="s">
        <v>174</v>
      </c>
      <c r="I2551" s="70" t="s">
        <v>4320</v>
      </c>
      <c r="J2551" s="157" t="s">
        <v>4321</v>
      </c>
      <c r="K2551" s="55">
        <v>0</v>
      </c>
      <c r="L2551" s="238">
        <v>4355</v>
      </c>
      <c r="M2551" s="72">
        <v>0</v>
      </c>
      <c r="N2551" s="72">
        <v>0</v>
      </c>
      <c r="O2551" s="72">
        <v>0</v>
      </c>
      <c r="P2551" s="72">
        <v>0</v>
      </c>
      <c r="Q2551" s="72">
        <v>0</v>
      </c>
      <c r="R2551" s="26">
        <v>6.68</v>
      </c>
      <c r="S2551" s="57" t="s">
        <v>149</v>
      </c>
      <c r="T2551" s="257">
        <f t="shared" si="85"/>
        <v>4355</v>
      </c>
      <c r="U2551" s="257">
        <f t="shared" si="86"/>
        <v>0</v>
      </c>
      <c r="V2551">
        <v>1</v>
      </c>
      <c r="W2551">
        <v>0</v>
      </c>
    </row>
    <row r="2552" spans="1:23" ht="79.8" x14ac:dyDescent="0.3">
      <c r="A2552" s="225">
        <v>42153</v>
      </c>
      <c r="B2552" s="225">
        <v>42153</v>
      </c>
      <c r="C2552" s="6">
        <v>5</v>
      </c>
      <c r="D2552" s="6">
        <v>1</v>
      </c>
      <c r="E2552" s="54">
        <v>2015</v>
      </c>
      <c r="F2552" s="15" t="s">
        <v>22</v>
      </c>
      <c r="G2552" s="18" t="s">
        <v>6256</v>
      </c>
      <c r="H2552" s="9" t="s">
        <v>121</v>
      </c>
      <c r="I2552" s="70" t="s">
        <v>4322</v>
      </c>
      <c r="J2552" s="127" t="s">
        <v>4323</v>
      </c>
      <c r="K2552" s="124">
        <v>0</v>
      </c>
      <c r="L2552" s="247">
        <v>31</v>
      </c>
      <c r="M2552" s="72">
        <v>23</v>
      </c>
      <c r="N2552" s="72">
        <v>0</v>
      </c>
      <c r="O2552" s="72">
        <v>0</v>
      </c>
      <c r="P2552" s="72">
        <v>0</v>
      </c>
      <c r="Q2552" s="72">
        <v>0</v>
      </c>
      <c r="R2552" s="128">
        <v>0.38100000000000001</v>
      </c>
      <c r="S2552" s="125" t="s">
        <v>115</v>
      </c>
      <c r="T2552" s="257">
        <f t="shared" si="85"/>
        <v>31</v>
      </c>
      <c r="U2552" s="257">
        <f t="shared" si="86"/>
        <v>23</v>
      </c>
      <c r="V2552">
        <v>1</v>
      </c>
      <c r="W2552">
        <v>1</v>
      </c>
    </row>
    <row r="2553" spans="1:23" x14ac:dyDescent="0.3">
      <c r="A2553" s="212">
        <v>37427</v>
      </c>
      <c r="B2553" s="212">
        <v>37427</v>
      </c>
      <c r="C2553" s="6">
        <v>6</v>
      </c>
      <c r="D2553" s="6">
        <v>1</v>
      </c>
      <c r="E2553" s="6">
        <v>2002</v>
      </c>
      <c r="F2553" s="15" t="s">
        <v>22</v>
      </c>
      <c r="G2553" s="18" t="s">
        <v>6256</v>
      </c>
      <c r="H2553" s="9" t="s">
        <v>48</v>
      </c>
      <c r="I2553" s="34" t="s">
        <v>4325</v>
      </c>
      <c r="J2553" s="39" t="s">
        <v>4326</v>
      </c>
      <c r="K2553" s="13">
        <v>0</v>
      </c>
      <c r="L2553" s="233">
        <v>1500</v>
      </c>
      <c r="M2553" s="13">
        <v>150</v>
      </c>
      <c r="N2553" s="13">
        <v>0</v>
      </c>
      <c r="O2553" s="13">
        <v>0</v>
      </c>
      <c r="P2553" s="13">
        <v>0</v>
      </c>
      <c r="Q2553" s="13">
        <v>0</v>
      </c>
      <c r="R2553" s="26">
        <v>0</v>
      </c>
      <c r="S2553" s="7" t="s">
        <v>115</v>
      </c>
      <c r="T2553" s="257">
        <f t="shared" si="85"/>
        <v>1500</v>
      </c>
      <c r="U2553" s="257">
        <f t="shared" si="86"/>
        <v>150</v>
      </c>
      <c r="V2553">
        <v>1</v>
      </c>
      <c r="W2553">
        <v>1</v>
      </c>
    </row>
    <row r="2554" spans="1:23" ht="34.200000000000003" x14ac:dyDescent="0.3">
      <c r="A2554" s="216">
        <v>42162</v>
      </c>
      <c r="B2554" s="216">
        <v>42162</v>
      </c>
      <c r="C2554" s="6">
        <v>6</v>
      </c>
      <c r="D2554" s="6">
        <v>1</v>
      </c>
      <c r="E2554" s="54">
        <v>2015</v>
      </c>
      <c r="F2554" s="15" t="s">
        <v>22</v>
      </c>
      <c r="G2554" s="16" t="s">
        <v>6254</v>
      </c>
      <c r="H2554" s="9" t="s">
        <v>39</v>
      </c>
      <c r="I2554" s="20" t="s">
        <v>4327</v>
      </c>
      <c r="J2554" s="21" t="s">
        <v>4328</v>
      </c>
      <c r="K2554" s="57">
        <v>0</v>
      </c>
      <c r="L2554" s="233" t="s">
        <v>1678</v>
      </c>
      <c r="M2554" s="136">
        <v>0</v>
      </c>
      <c r="N2554" s="136">
        <v>0</v>
      </c>
      <c r="O2554" s="136">
        <v>0</v>
      </c>
      <c r="P2554" s="136">
        <v>0</v>
      </c>
      <c r="Q2554" s="136">
        <v>0</v>
      </c>
      <c r="R2554" s="26">
        <v>17.919</v>
      </c>
      <c r="S2554" s="57" t="s">
        <v>149</v>
      </c>
      <c r="T2554" s="257">
        <f t="shared" si="85"/>
        <v>0</v>
      </c>
      <c r="U2554" s="257">
        <f t="shared" si="86"/>
        <v>0</v>
      </c>
      <c r="V2554">
        <v>0</v>
      </c>
      <c r="W2554">
        <v>0</v>
      </c>
    </row>
    <row r="2555" spans="1:23" ht="114" x14ac:dyDescent="0.3">
      <c r="A2555" s="210">
        <v>42166</v>
      </c>
      <c r="B2555" s="210">
        <v>42169</v>
      </c>
      <c r="C2555" s="6">
        <v>6</v>
      </c>
      <c r="D2555" s="6">
        <v>4</v>
      </c>
      <c r="E2555" s="54">
        <v>2015</v>
      </c>
      <c r="F2555" s="15" t="s">
        <v>22</v>
      </c>
      <c r="G2555" s="16" t="s">
        <v>6256</v>
      </c>
      <c r="H2555" s="9" t="s">
        <v>174</v>
      </c>
      <c r="I2555" s="34" t="s">
        <v>4329</v>
      </c>
      <c r="J2555" s="157" t="s">
        <v>4330</v>
      </c>
      <c r="K2555" s="55">
        <v>0</v>
      </c>
      <c r="L2555" s="238">
        <v>2571</v>
      </c>
      <c r="M2555" s="72">
        <v>18</v>
      </c>
      <c r="N2555" s="72">
        <v>4</v>
      </c>
      <c r="O2555" s="72">
        <v>0</v>
      </c>
      <c r="P2555" s="72">
        <v>0</v>
      </c>
      <c r="Q2555" s="72">
        <v>0</v>
      </c>
      <c r="R2555" s="26">
        <f>3.943+139.6</f>
        <v>143.54300000000001</v>
      </c>
      <c r="S2555" s="57" t="s">
        <v>149</v>
      </c>
      <c r="T2555" s="257">
        <f t="shared" si="85"/>
        <v>2571</v>
      </c>
      <c r="U2555" s="257">
        <f t="shared" si="86"/>
        <v>22</v>
      </c>
      <c r="V2555">
        <v>1</v>
      </c>
      <c r="W2555">
        <v>1</v>
      </c>
    </row>
    <row r="2556" spans="1:23" ht="136.80000000000001" x14ac:dyDescent="0.3">
      <c r="A2556" s="230">
        <v>42168</v>
      </c>
      <c r="B2556" s="230">
        <v>42169</v>
      </c>
      <c r="C2556" s="6">
        <v>6</v>
      </c>
      <c r="D2556" s="6">
        <v>2</v>
      </c>
      <c r="E2556" s="54">
        <v>2015</v>
      </c>
      <c r="F2556" s="15" t="s">
        <v>22</v>
      </c>
      <c r="G2556" s="18" t="s">
        <v>6256</v>
      </c>
      <c r="H2556" s="9" t="s">
        <v>69</v>
      </c>
      <c r="I2556" s="70" t="s">
        <v>4331</v>
      </c>
      <c r="J2556" s="157" t="s">
        <v>4332</v>
      </c>
      <c r="K2556" s="158">
        <v>0</v>
      </c>
      <c r="L2556" s="238">
        <v>52908</v>
      </c>
      <c r="M2556" s="72">
        <v>0</v>
      </c>
      <c r="N2556" s="72">
        <v>1</v>
      </c>
      <c r="O2556" s="72">
        <v>25</v>
      </c>
      <c r="P2556" s="72">
        <v>0</v>
      </c>
      <c r="Q2556" s="72">
        <v>0</v>
      </c>
      <c r="R2556" s="159">
        <f>56.901+586.051</f>
        <v>642.952</v>
      </c>
      <c r="S2556" s="125" t="s">
        <v>149</v>
      </c>
      <c r="T2556" s="257">
        <f t="shared" si="85"/>
        <v>52908</v>
      </c>
      <c r="U2556" s="257">
        <f t="shared" si="86"/>
        <v>26</v>
      </c>
      <c r="V2556">
        <v>2</v>
      </c>
      <c r="W2556">
        <v>1</v>
      </c>
    </row>
    <row r="2557" spans="1:23" ht="91.2" x14ac:dyDescent="0.3">
      <c r="A2557" s="225">
        <v>42169</v>
      </c>
      <c r="B2557" s="225">
        <v>42169</v>
      </c>
      <c r="C2557" s="6">
        <v>6</v>
      </c>
      <c r="D2557" s="6">
        <v>1</v>
      </c>
      <c r="E2557" s="54">
        <v>2015</v>
      </c>
      <c r="F2557" s="7" t="s">
        <v>17</v>
      </c>
      <c r="G2557" s="28" t="s">
        <v>6261</v>
      </c>
      <c r="H2557" s="9" t="s">
        <v>174</v>
      </c>
      <c r="I2557" s="70" t="s">
        <v>650</v>
      </c>
      <c r="J2557" s="127" t="s">
        <v>4333</v>
      </c>
      <c r="K2557" s="124">
        <v>0</v>
      </c>
      <c r="L2557" s="247">
        <v>70</v>
      </c>
      <c r="M2557" s="72">
        <v>0</v>
      </c>
      <c r="N2557" s="72">
        <v>0</v>
      </c>
      <c r="O2557" s="72">
        <v>0</v>
      </c>
      <c r="P2557" s="72">
        <v>0</v>
      </c>
      <c r="Q2557" s="72">
        <v>0</v>
      </c>
      <c r="R2557" s="128">
        <v>0</v>
      </c>
      <c r="S2557" s="125" t="s">
        <v>115</v>
      </c>
      <c r="T2557" s="257">
        <f t="shared" si="85"/>
        <v>70</v>
      </c>
      <c r="U2557" s="257">
        <f t="shared" si="86"/>
        <v>0</v>
      </c>
      <c r="V2557">
        <v>1</v>
      </c>
      <c r="W2557">
        <v>0</v>
      </c>
    </row>
    <row r="2558" spans="1:23" ht="148.19999999999999" x14ac:dyDescent="0.3">
      <c r="A2558" s="210">
        <v>42173</v>
      </c>
      <c r="B2558" s="210">
        <v>42175</v>
      </c>
      <c r="C2558" s="6">
        <v>6</v>
      </c>
      <c r="D2558" s="6">
        <v>3</v>
      </c>
      <c r="E2558" s="54">
        <v>2015</v>
      </c>
      <c r="F2558" s="15" t="s">
        <v>22</v>
      </c>
      <c r="G2558" s="16" t="s">
        <v>6256</v>
      </c>
      <c r="H2558" s="9" t="s">
        <v>88</v>
      </c>
      <c r="I2558" s="34" t="s">
        <v>4334</v>
      </c>
      <c r="J2558" s="157" t="s">
        <v>4335</v>
      </c>
      <c r="K2558" s="55">
        <v>0</v>
      </c>
      <c r="L2558" s="238">
        <v>8338</v>
      </c>
      <c r="M2558" s="72">
        <v>251</v>
      </c>
      <c r="N2558" s="72">
        <v>0</v>
      </c>
      <c r="O2558" s="72">
        <v>0</v>
      </c>
      <c r="P2558" s="72">
        <v>0</v>
      </c>
      <c r="Q2558" s="72">
        <v>0</v>
      </c>
      <c r="R2558" s="26">
        <f>10.088+0.353</f>
        <v>10.440999999999999</v>
      </c>
      <c r="S2558" s="50" t="s">
        <v>131</v>
      </c>
      <c r="T2558" s="257">
        <f t="shared" si="85"/>
        <v>8338</v>
      </c>
      <c r="U2558" s="257">
        <f t="shared" si="86"/>
        <v>251</v>
      </c>
      <c r="V2558">
        <v>1</v>
      </c>
      <c r="W2558">
        <v>1</v>
      </c>
    </row>
    <row r="2559" spans="1:23" ht="91.2" x14ac:dyDescent="0.3">
      <c r="A2559" s="225">
        <v>42175</v>
      </c>
      <c r="B2559" s="225">
        <v>42176</v>
      </c>
      <c r="C2559" s="6">
        <v>6</v>
      </c>
      <c r="D2559" s="6">
        <v>2</v>
      </c>
      <c r="E2559" s="54">
        <v>2015</v>
      </c>
      <c r="F2559" s="15" t="s">
        <v>22</v>
      </c>
      <c r="G2559" s="18" t="s">
        <v>6256</v>
      </c>
      <c r="H2559" s="9" t="s">
        <v>61</v>
      </c>
      <c r="I2559" s="70" t="s">
        <v>4336</v>
      </c>
      <c r="J2559" s="127" t="s">
        <v>4337</v>
      </c>
      <c r="K2559" s="124">
        <v>0</v>
      </c>
      <c r="L2559" s="247">
        <f>(50*5)*1</f>
        <v>250</v>
      </c>
      <c r="M2559" s="72">
        <v>50</v>
      </c>
      <c r="N2559" s="72">
        <v>0</v>
      </c>
      <c r="O2559" s="72">
        <v>0</v>
      </c>
      <c r="P2559" s="72">
        <v>0</v>
      </c>
      <c r="Q2559" s="72">
        <v>0</v>
      </c>
      <c r="R2559" s="128">
        <v>1.6E-2</v>
      </c>
      <c r="S2559" s="125" t="s">
        <v>115</v>
      </c>
      <c r="T2559" s="257">
        <f t="shared" si="85"/>
        <v>250</v>
      </c>
      <c r="U2559" s="257">
        <f t="shared" si="86"/>
        <v>50</v>
      </c>
      <c r="V2559">
        <v>1</v>
      </c>
      <c r="W2559">
        <v>1</v>
      </c>
    </row>
    <row r="2560" spans="1:23" ht="68.400000000000006" x14ac:dyDescent="0.3">
      <c r="A2560" s="225">
        <v>42177</v>
      </c>
      <c r="B2560" s="225">
        <v>42177</v>
      </c>
      <c r="C2560" s="6">
        <v>6</v>
      </c>
      <c r="D2560" s="6">
        <v>1</v>
      </c>
      <c r="E2560" s="54">
        <v>2015</v>
      </c>
      <c r="F2560" s="7" t="s">
        <v>17</v>
      </c>
      <c r="G2560" s="28" t="s">
        <v>6261</v>
      </c>
      <c r="H2560" s="9" t="s">
        <v>70</v>
      </c>
      <c r="I2560" s="70" t="s">
        <v>2840</v>
      </c>
      <c r="J2560" s="127" t="s">
        <v>4338</v>
      </c>
      <c r="K2560" s="124">
        <v>1</v>
      </c>
      <c r="L2560" s="247">
        <v>452</v>
      </c>
      <c r="M2560" s="72">
        <v>1</v>
      </c>
      <c r="N2560" s="72">
        <v>0</v>
      </c>
      <c r="O2560" s="72">
        <v>0</v>
      </c>
      <c r="P2560" s="72">
        <v>0</v>
      </c>
      <c r="Q2560" s="72">
        <v>0</v>
      </c>
      <c r="R2560" s="128">
        <v>0.12</v>
      </c>
      <c r="S2560" s="125" t="s">
        <v>115</v>
      </c>
      <c r="T2560" s="257">
        <f t="shared" si="85"/>
        <v>453</v>
      </c>
      <c r="U2560" s="257">
        <f t="shared" si="86"/>
        <v>1</v>
      </c>
      <c r="V2560">
        <v>1</v>
      </c>
      <c r="W2560">
        <v>1</v>
      </c>
    </row>
    <row r="2561" spans="1:23" ht="102.6" x14ac:dyDescent="0.3">
      <c r="A2561" s="225">
        <v>42178</v>
      </c>
      <c r="B2561" s="225">
        <v>42178</v>
      </c>
      <c r="C2561" s="6">
        <v>6</v>
      </c>
      <c r="D2561" s="6">
        <v>1</v>
      </c>
      <c r="E2561" s="54">
        <v>2015</v>
      </c>
      <c r="F2561" s="15" t="s">
        <v>22</v>
      </c>
      <c r="G2561" s="18" t="s">
        <v>6256</v>
      </c>
      <c r="H2561" s="9" t="s">
        <v>51</v>
      </c>
      <c r="I2561" s="70" t="s">
        <v>4339</v>
      </c>
      <c r="J2561" s="127" t="s">
        <v>4340</v>
      </c>
      <c r="K2561" s="124">
        <v>1</v>
      </c>
      <c r="L2561" s="247">
        <v>1116</v>
      </c>
      <c r="M2561" s="72">
        <v>292</v>
      </c>
      <c r="N2561" s="72">
        <v>1</v>
      </c>
      <c r="O2561" s="72">
        <v>0</v>
      </c>
      <c r="P2561" s="72">
        <v>1</v>
      </c>
      <c r="Q2561" s="72">
        <v>0</v>
      </c>
      <c r="R2561" s="128">
        <v>0.307</v>
      </c>
      <c r="S2561" s="125" t="s">
        <v>115</v>
      </c>
      <c r="T2561" s="257">
        <f t="shared" si="85"/>
        <v>1117</v>
      </c>
      <c r="U2561" s="257">
        <f t="shared" si="86"/>
        <v>294</v>
      </c>
      <c r="V2561">
        <v>1</v>
      </c>
      <c r="W2561">
        <v>1</v>
      </c>
    </row>
    <row r="2562" spans="1:23" ht="79.8" x14ac:dyDescent="0.3">
      <c r="A2562" s="210">
        <v>42178</v>
      </c>
      <c r="B2562" s="210">
        <v>42178</v>
      </c>
      <c r="C2562" s="6">
        <v>6</v>
      </c>
      <c r="D2562" s="6">
        <v>1</v>
      </c>
      <c r="E2562" s="54">
        <v>2015</v>
      </c>
      <c r="F2562" s="15" t="s">
        <v>22</v>
      </c>
      <c r="G2562" s="16" t="s">
        <v>6256</v>
      </c>
      <c r="H2562" s="9" t="s">
        <v>34</v>
      </c>
      <c r="I2562" s="34" t="s">
        <v>3529</v>
      </c>
      <c r="J2562" s="157" t="s">
        <v>4341</v>
      </c>
      <c r="K2562" s="55">
        <v>0</v>
      </c>
      <c r="L2562" s="238">
        <v>827</v>
      </c>
      <c r="M2562" s="72">
        <v>0</v>
      </c>
      <c r="N2562" s="72">
        <v>0</v>
      </c>
      <c r="O2562" s="72">
        <v>0</v>
      </c>
      <c r="P2562" s="72">
        <v>0</v>
      </c>
      <c r="Q2562" s="72">
        <v>0</v>
      </c>
      <c r="R2562" s="26">
        <v>1.32</v>
      </c>
      <c r="S2562" s="57" t="s">
        <v>149</v>
      </c>
      <c r="T2562" s="257">
        <f t="shared" si="85"/>
        <v>827</v>
      </c>
      <c r="U2562" s="257">
        <f t="shared" si="86"/>
        <v>0</v>
      </c>
      <c r="V2562">
        <v>1</v>
      </c>
      <c r="W2562">
        <v>0</v>
      </c>
    </row>
    <row r="2563" spans="1:23" ht="57" x14ac:dyDescent="0.3">
      <c r="A2563" s="225">
        <v>42180</v>
      </c>
      <c r="B2563" s="225">
        <v>42180</v>
      </c>
      <c r="C2563" s="6">
        <v>6</v>
      </c>
      <c r="D2563" s="6">
        <v>1</v>
      </c>
      <c r="E2563" s="54">
        <v>2015</v>
      </c>
      <c r="F2563" s="15" t="s">
        <v>22</v>
      </c>
      <c r="G2563" s="18" t="s">
        <v>6256</v>
      </c>
      <c r="H2563" s="9" t="s">
        <v>39</v>
      </c>
      <c r="I2563" s="70" t="s">
        <v>39</v>
      </c>
      <c r="J2563" s="127" t="s">
        <v>4342</v>
      </c>
      <c r="K2563" s="124">
        <v>0</v>
      </c>
      <c r="L2563" s="247">
        <v>10</v>
      </c>
      <c r="M2563" s="72">
        <v>2</v>
      </c>
      <c r="N2563" s="72">
        <v>0</v>
      </c>
      <c r="O2563" s="72">
        <v>0</v>
      </c>
      <c r="P2563" s="72">
        <v>0</v>
      </c>
      <c r="Q2563" s="72">
        <v>0</v>
      </c>
      <c r="R2563" s="128">
        <v>5.6000000000000001E-2</v>
      </c>
      <c r="S2563" s="125" t="s">
        <v>115</v>
      </c>
      <c r="T2563" s="257">
        <f t="shared" ref="T2563:T2626" si="87">SUM(K2563:L2563)</f>
        <v>10</v>
      </c>
      <c r="U2563" s="257">
        <f t="shared" ref="U2563:U2626" si="88">SUM(M2563:P2563)</f>
        <v>2</v>
      </c>
      <c r="V2563">
        <v>1</v>
      </c>
      <c r="W2563">
        <v>1</v>
      </c>
    </row>
    <row r="2564" spans="1:23" ht="114" x14ac:dyDescent="0.3">
      <c r="A2564" s="210">
        <v>42180</v>
      </c>
      <c r="B2564" s="210">
        <v>42180</v>
      </c>
      <c r="C2564" s="6">
        <v>6</v>
      </c>
      <c r="D2564" s="6">
        <v>1</v>
      </c>
      <c r="E2564" s="54">
        <v>2015</v>
      </c>
      <c r="F2564" s="15" t="s">
        <v>22</v>
      </c>
      <c r="G2564" s="18" t="s">
        <v>6256</v>
      </c>
      <c r="H2564" s="9" t="s">
        <v>74</v>
      </c>
      <c r="I2564" s="34" t="s">
        <v>4343</v>
      </c>
      <c r="J2564" s="157" t="s">
        <v>4344</v>
      </c>
      <c r="K2564" s="55">
        <v>0</v>
      </c>
      <c r="L2564" s="238">
        <v>2917</v>
      </c>
      <c r="M2564" s="72">
        <v>0</v>
      </c>
      <c r="N2564" s="72">
        <v>0</v>
      </c>
      <c r="O2564" s="72">
        <v>0</v>
      </c>
      <c r="P2564" s="72">
        <v>0</v>
      </c>
      <c r="Q2564" s="72">
        <v>0</v>
      </c>
      <c r="R2564" s="26">
        <f>2.022+30.36</f>
        <v>32.381999999999998</v>
      </c>
      <c r="S2564" s="57" t="s">
        <v>149</v>
      </c>
      <c r="T2564" s="257">
        <f t="shared" si="87"/>
        <v>2917</v>
      </c>
      <c r="U2564" s="257">
        <f t="shared" si="88"/>
        <v>0</v>
      </c>
      <c r="V2564">
        <v>1</v>
      </c>
      <c r="W2564">
        <v>0</v>
      </c>
    </row>
    <row r="2565" spans="1:23" ht="68.400000000000006" x14ac:dyDescent="0.3">
      <c r="A2565" s="216">
        <v>42186</v>
      </c>
      <c r="B2565" s="216">
        <v>42188</v>
      </c>
      <c r="C2565" s="6">
        <v>7</v>
      </c>
      <c r="D2565" s="6">
        <v>3</v>
      </c>
      <c r="E2565" s="54">
        <v>2015</v>
      </c>
      <c r="F2565" s="15" t="s">
        <v>22</v>
      </c>
      <c r="G2565" s="18" t="s">
        <v>6256</v>
      </c>
      <c r="H2565" s="9" t="s">
        <v>70</v>
      </c>
      <c r="I2565" s="20" t="s">
        <v>1321</v>
      </c>
      <c r="J2565" s="21" t="s">
        <v>4345</v>
      </c>
      <c r="K2565" s="55">
        <v>0</v>
      </c>
      <c r="L2565" s="239">
        <v>383</v>
      </c>
      <c r="M2565" s="56">
        <v>0</v>
      </c>
      <c r="N2565" s="56">
        <v>0</v>
      </c>
      <c r="O2565" s="56">
        <v>0</v>
      </c>
      <c r="P2565" s="56">
        <v>0</v>
      </c>
      <c r="Q2565" s="56">
        <v>2146.3000000000002</v>
      </c>
      <c r="R2565" s="26">
        <v>200.499</v>
      </c>
      <c r="S2565" s="57" t="s">
        <v>327</v>
      </c>
      <c r="T2565" s="257">
        <f t="shared" si="87"/>
        <v>383</v>
      </c>
      <c r="U2565" s="257">
        <f t="shared" si="88"/>
        <v>0</v>
      </c>
      <c r="V2565">
        <v>1</v>
      </c>
      <c r="W2565">
        <v>0</v>
      </c>
    </row>
    <row r="2566" spans="1:23" ht="68.400000000000006" x14ac:dyDescent="0.3">
      <c r="A2566" s="216">
        <v>42186</v>
      </c>
      <c r="B2566" s="216">
        <v>42338</v>
      </c>
      <c r="C2566" s="6">
        <v>7</v>
      </c>
      <c r="D2566" s="6">
        <v>153</v>
      </c>
      <c r="E2566" s="54">
        <v>2015</v>
      </c>
      <c r="F2566" s="15" t="s">
        <v>22</v>
      </c>
      <c r="G2566" s="16" t="s">
        <v>23</v>
      </c>
      <c r="H2566" s="9" t="s">
        <v>34</v>
      </c>
      <c r="I2566" s="20" t="s">
        <v>4346</v>
      </c>
      <c r="J2566" s="21" t="s">
        <v>4347</v>
      </c>
      <c r="K2566" s="55">
        <v>0</v>
      </c>
      <c r="L2566" s="239">
        <v>15</v>
      </c>
      <c r="M2566" s="56">
        <v>0</v>
      </c>
      <c r="N2566" s="56">
        <v>0</v>
      </c>
      <c r="O2566" s="56">
        <v>0</v>
      </c>
      <c r="P2566" s="56">
        <v>0</v>
      </c>
      <c r="Q2566" s="56">
        <v>0</v>
      </c>
      <c r="R2566" s="26">
        <v>3.1520000000000001</v>
      </c>
      <c r="S2566" s="57" t="s">
        <v>327</v>
      </c>
      <c r="T2566" s="257">
        <f t="shared" si="87"/>
        <v>15</v>
      </c>
      <c r="U2566" s="257">
        <f t="shared" si="88"/>
        <v>0</v>
      </c>
      <c r="V2566">
        <v>1</v>
      </c>
      <c r="W2566">
        <v>0</v>
      </c>
    </row>
    <row r="2567" spans="1:23" ht="125.4" x14ac:dyDescent="0.3">
      <c r="A2567" s="210">
        <v>42188</v>
      </c>
      <c r="B2567" s="210">
        <v>42188</v>
      </c>
      <c r="C2567" s="6">
        <v>7</v>
      </c>
      <c r="D2567" s="6">
        <v>1</v>
      </c>
      <c r="E2567" s="54">
        <v>2015</v>
      </c>
      <c r="F2567" s="15" t="s">
        <v>22</v>
      </c>
      <c r="G2567" s="82" t="s">
        <v>6256</v>
      </c>
      <c r="H2567" s="9" t="s">
        <v>31</v>
      </c>
      <c r="I2567" s="34" t="s">
        <v>312</v>
      </c>
      <c r="J2567" s="157" t="s">
        <v>4348</v>
      </c>
      <c r="K2567" s="55">
        <v>0</v>
      </c>
      <c r="L2567" s="238">
        <v>4585</v>
      </c>
      <c r="M2567" s="72">
        <v>207</v>
      </c>
      <c r="N2567" s="72">
        <v>0</v>
      </c>
      <c r="O2567" s="72">
        <v>0</v>
      </c>
      <c r="P2567" s="72">
        <v>0</v>
      </c>
      <c r="Q2567" s="72">
        <v>0</v>
      </c>
      <c r="R2567" s="128">
        <f>6.707+0.068</f>
        <v>6.7749999999999995</v>
      </c>
      <c r="S2567" s="50" t="s">
        <v>131</v>
      </c>
      <c r="T2567" s="257">
        <f t="shared" si="87"/>
        <v>4585</v>
      </c>
      <c r="U2567" s="257">
        <f t="shared" si="88"/>
        <v>207</v>
      </c>
      <c r="V2567">
        <v>1</v>
      </c>
      <c r="W2567">
        <v>1</v>
      </c>
    </row>
    <row r="2568" spans="1:23" ht="182.4" x14ac:dyDescent="0.3">
      <c r="A2568" s="210">
        <v>42189</v>
      </c>
      <c r="B2568" s="210">
        <v>42189</v>
      </c>
      <c r="C2568" s="6">
        <v>7</v>
      </c>
      <c r="D2568" s="6">
        <v>1</v>
      </c>
      <c r="E2568" s="54">
        <v>2015</v>
      </c>
      <c r="F2568" s="15" t="s">
        <v>22</v>
      </c>
      <c r="G2568" s="16" t="s">
        <v>6256</v>
      </c>
      <c r="H2568" s="9" t="s">
        <v>34</v>
      </c>
      <c r="I2568" s="34" t="s">
        <v>4349</v>
      </c>
      <c r="J2568" s="157" t="s">
        <v>4350</v>
      </c>
      <c r="K2568" s="55">
        <v>0</v>
      </c>
      <c r="L2568" s="238">
        <v>8380</v>
      </c>
      <c r="M2568" s="72">
        <v>300</v>
      </c>
      <c r="N2568" s="72">
        <v>12</v>
      </c>
      <c r="O2568" s="72">
        <v>3</v>
      </c>
      <c r="P2568" s="72">
        <v>0</v>
      </c>
      <c r="Q2568" s="72">
        <v>0</v>
      </c>
      <c r="R2568" s="26">
        <f>12.2+363.77</f>
        <v>375.96999999999997</v>
      </c>
      <c r="S2568" s="57" t="s">
        <v>149</v>
      </c>
      <c r="T2568" s="257">
        <f t="shared" si="87"/>
        <v>8380</v>
      </c>
      <c r="U2568" s="257">
        <f t="shared" si="88"/>
        <v>315</v>
      </c>
      <c r="V2568">
        <v>1</v>
      </c>
      <c r="W2568">
        <v>1</v>
      </c>
    </row>
    <row r="2569" spans="1:23" ht="91.2" x14ac:dyDescent="0.3">
      <c r="A2569" s="225">
        <v>42191</v>
      </c>
      <c r="B2569" s="225">
        <v>42192</v>
      </c>
      <c r="C2569" s="6">
        <v>7</v>
      </c>
      <c r="D2569" s="6">
        <v>2</v>
      </c>
      <c r="E2569" s="54">
        <v>2015</v>
      </c>
      <c r="F2569" s="7" t="s">
        <v>17</v>
      </c>
      <c r="G2569" s="28" t="s">
        <v>6261</v>
      </c>
      <c r="H2569" s="9" t="s">
        <v>43</v>
      </c>
      <c r="I2569" s="70" t="s">
        <v>1386</v>
      </c>
      <c r="J2569" s="127" t="s">
        <v>4351</v>
      </c>
      <c r="K2569" s="124">
        <v>0</v>
      </c>
      <c r="L2569" s="247">
        <v>0</v>
      </c>
      <c r="M2569" s="72">
        <v>0</v>
      </c>
      <c r="N2569" s="72">
        <v>0</v>
      </c>
      <c r="O2569" s="72">
        <v>0</v>
      </c>
      <c r="P2569" s="72">
        <v>0</v>
      </c>
      <c r="Q2569" s="72">
        <v>0</v>
      </c>
      <c r="R2569" s="128">
        <v>0</v>
      </c>
      <c r="S2569" s="125" t="s">
        <v>115</v>
      </c>
      <c r="T2569" s="257">
        <f t="shared" si="87"/>
        <v>0</v>
      </c>
      <c r="U2569" s="257">
        <f t="shared" si="88"/>
        <v>0</v>
      </c>
      <c r="V2569">
        <v>0</v>
      </c>
      <c r="W2569">
        <v>0</v>
      </c>
    </row>
    <row r="2570" spans="1:23" ht="102.6" x14ac:dyDescent="0.3">
      <c r="A2570" s="212">
        <v>42192</v>
      </c>
      <c r="B2570" s="212">
        <v>42242</v>
      </c>
      <c r="C2570" s="6">
        <v>7</v>
      </c>
      <c r="D2570" s="6">
        <v>51</v>
      </c>
      <c r="E2570" s="54">
        <v>2015</v>
      </c>
      <c r="F2570" s="7" t="s">
        <v>17</v>
      </c>
      <c r="G2570" s="8" t="s">
        <v>6259</v>
      </c>
      <c r="H2570" s="9" t="s">
        <v>39</v>
      </c>
      <c r="I2570" s="20" t="s">
        <v>4352</v>
      </c>
      <c r="J2570" s="21" t="s">
        <v>4353</v>
      </c>
      <c r="K2570" s="55">
        <v>0</v>
      </c>
      <c r="L2570" s="233">
        <v>334240</v>
      </c>
      <c r="M2570" s="156">
        <v>0</v>
      </c>
      <c r="N2570" s="156">
        <v>0</v>
      </c>
      <c r="O2570" s="156">
        <v>0</v>
      </c>
      <c r="P2570" s="156">
        <v>0</v>
      </c>
      <c r="Q2570" s="156">
        <v>0</v>
      </c>
      <c r="R2570" s="26">
        <v>5.7</v>
      </c>
      <c r="S2570" s="57" t="s">
        <v>115</v>
      </c>
      <c r="T2570" s="257">
        <f t="shared" si="87"/>
        <v>334240</v>
      </c>
      <c r="U2570" s="257">
        <f t="shared" si="88"/>
        <v>0</v>
      </c>
      <c r="V2570">
        <v>3</v>
      </c>
      <c r="W2570">
        <v>0</v>
      </c>
    </row>
    <row r="2571" spans="1:23" ht="114" x14ac:dyDescent="0.3">
      <c r="A2571" s="210">
        <v>42194</v>
      </c>
      <c r="B2571" s="210">
        <v>42198</v>
      </c>
      <c r="C2571" s="6">
        <v>7</v>
      </c>
      <c r="D2571" s="6">
        <v>5</v>
      </c>
      <c r="E2571" s="54">
        <v>2015</v>
      </c>
      <c r="F2571" s="7" t="s">
        <v>17</v>
      </c>
      <c r="G2571" s="28" t="s">
        <v>6261</v>
      </c>
      <c r="H2571" s="9" t="s">
        <v>174</v>
      </c>
      <c r="I2571" s="34" t="s">
        <v>4354</v>
      </c>
      <c r="J2571" s="157" t="s">
        <v>4355</v>
      </c>
      <c r="K2571" s="124">
        <v>0</v>
      </c>
      <c r="L2571" s="238">
        <v>2270</v>
      </c>
      <c r="M2571" s="72">
        <v>34</v>
      </c>
      <c r="N2571" s="72">
        <v>1</v>
      </c>
      <c r="O2571" s="72">
        <v>0</v>
      </c>
      <c r="P2571" s="72">
        <v>0</v>
      </c>
      <c r="Q2571" s="72">
        <v>0</v>
      </c>
      <c r="R2571" s="160">
        <f>1.289+43.15</f>
        <v>44.439</v>
      </c>
      <c r="S2571" s="125" t="s">
        <v>149</v>
      </c>
      <c r="T2571" s="257">
        <f t="shared" si="87"/>
        <v>2270</v>
      </c>
      <c r="U2571" s="257">
        <f t="shared" si="88"/>
        <v>35</v>
      </c>
      <c r="V2571">
        <v>1</v>
      </c>
      <c r="W2571">
        <v>1</v>
      </c>
    </row>
    <row r="2572" spans="1:23" ht="136.80000000000001" x14ac:dyDescent="0.3">
      <c r="A2572" s="210">
        <v>42194</v>
      </c>
      <c r="B2572" s="210">
        <v>42198</v>
      </c>
      <c r="C2572" s="6">
        <v>7</v>
      </c>
      <c r="D2572" s="6">
        <v>5</v>
      </c>
      <c r="E2572" s="54">
        <v>2015</v>
      </c>
      <c r="F2572" s="15" t="s">
        <v>22</v>
      </c>
      <c r="G2572" s="16" t="s">
        <v>6256</v>
      </c>
      <c r="H2572" s="9" t="s">
        <v>174</v>
      </c>
      <c r="I2572" s="34" t="s">
        <v>4356</v>
      </c>
      <c r="J2572" s="157" t="s">
        <v>4357</v>
      </c>
      <c r="K2572" s="55">
        <v>1</v>
      </c>
      <c r="L2572" s="238">
        <v>14266</v>
      </c>
      <c r="M2572" s="72">
        <v>797</v>
      </c>
      <c r="N2572" s="72">
        <v>1</v>
      </c>
      <c r="O2572" s="72">
        <v>0</v>
      </c>
      <c r="P2572" s="72">
        <v>0</v>
      </c>
      <c r="Q2572" s="72">
        <v>0</v>
      </c>
      <c r="R2572" s="128">
        <f>17.412+0.837</f>
        <v>18.248999999999999</v>
      </c>
      <c r="S2572" s="73" t="s">
        <v>2609</v>
      </c>
      <c r="T2572" s="257">
        <f t="shared" si="87"/>
        <v>14267</v>
      </c>
      <c r="U2572" s="257">
        <f t="shared" si="88"/>
        <v>798</v>
      </c>
      <c r="V2572">
        <v>2</v>
      </c>
      <c r="W2572">
        <v>1</v>
      </c>
    </row>
    <row r="2573" spans="1:23" ht="68.400000000000006" x14ac:dyDescent="0.3">
      <c r="A2573" s="225">
        <v>42195</v>
      </c>
      <c r="B2573" s="225">
        <v>42195</v>
      </c>
      <c r="C2573" s="6">
        <v>7</v>
      </c>
      <c r="D2573" s="6">
        <v>1</v>
      </c>
      <c r="E2573" s="54">
        <v>2015</v>
      </c>
      <c r="F2573" s="15" t="s">
        <v>22</v>
      </c>
      <c r="G2573" s="18" t="s">
        <v>6256</v>
      </c>
      <c r="H2573" s="9" t="s">
        <v>34</v>
      </c>
      <c r="I2573" s="70" t="s">
        <v>4358</v>
      </c>
      <c r="J2573" s="127" t="s">
        <v>4359</v>
      </c>
      <c r="K2573" s="55">
        <v>0</v>
      </c>
      <c r="L2573" s="238">
        <v>8380</v>
      </c>
      <c r="M2573" s="72">
        <v>250</v>
      </c>
      <c r="N2573" s="72">
        <v>0</v>
      </c>
      <c r="O2573" s="72">
        <v>0</v>
      </c>
      <c r="P2573" s="72">
        <v>0</v>
      </c>
      <c r="Q2573" s="72">
        <v>0</v>
      </c>
      <c r="R2573" s="26">
        <f>0.244+5.2</f>
        <v>5.444</v>
      </c>
      <c r="S2573" s="73" t="s">
        <v>2609</v>
      </c>
      <c r="T2573" s="257">
        <f t="shared" si="87"/>
        <v>8380</v>
      </c>
      <c r="U2573" s="257">
        <f t="shared" si="88"/>
        <v>250</v>
      </c>
      <c r="V2573">
        <v>1</v>
      </c>
      <c r="W2573">
        <v>1</v>
      </c>
    </row>
    <row r="2574" spans="1:23" ht="91.2" x14ac:dyDescent="0.3">
      <c r="A2574" s="225">
        <v>42196</v>
      </c>
      <c r="B2574" s="225">
        <v>42197</v>
      </c>
      <c r="C2574" s="6">
        <v>7</v>
      </c>
      <c r="D2574" s="6">
        <v>2</v>
      </c>
      <c r="E2574" s="54">
        <v>2015</v>
      </c>
      <c r="F2574" s="7" t="s">
        <v>17</v>
      </c>
      <c r="G2574" s="28" t="s">
        <v>6261</v>
      </c>
      <c r="H2574" s="9" t="s">
        <v>174</v>
      </c>
      <c r="I2574" s="70" t="s">
        <v>4360</v>
      </c>
      <c r="J2574" s="127" t="s">
        <v>4361</v>
      </c>
      <c r="K2574" s="124">
        <v>1</v>
      </c>
      <c r="L2574" s="247">
        <v>6</v>
      </c>
      <c r="M2574" s="72">
        <v>1</v>
      </c>
      <c r="N2574" s="72">
        <v>0</v>
      </c>
      <c r="O2574" s="72">
        <v>0</v>
      </c>
      <c r="P2574" s="72">
        <v>0</v>
      </c>
      <c r="Q2574" s="72">
        <v>0</v>
      </c>
      <c r="R2574" s="128">
        <v>0.12</v>
      </c>
      <c r="S2574" s="125" t="s">
        <v>115</v>
      </c>
      <c r="T2574" s="257">
        <f t="shared" si="87"/>
        <v>7</v>
      </c>
      <c r="U2574" s="257">
        <f t="shared" si="88"/>
        <v>1</v>
      </c>
      <c r="V2574">
        <v>1</v>
      </c>
      <c r="W2574">
        <v>1</v>
      </c>
    </row>
    <row r="2575" spans="1:23" ht="79.8" x14ac:dyDescent="0.3">
      <c r="A2575" s="210">
        <v>42200</v>
      </c>
      <c r="B2575" s="210">
        <v>42201</v>
      </c>
      <c r="C2575" s="6">
        <v>7</v>
      </c>
      <c r="D2575" s="6">
        <v>2</v>
      </c>
      <c r="E2575" s="54">
        <v>2015</v>
      </c>
      <c r="F2575" s="15" t="s">
        <v>22</v>
      </c>
      <c r="G2575" s="16" t="s">
        <v>6256</v>
      </c>
      <c r="H2575" s="9" t="s">
        <v>174</v>
      </c>
      <c r="I2575" s="34" t="s">
        <v>4362</v>
      </c>
      <c r="J2575" s="157" t="s">
        <v>4363</v>
      </c>
      <c r="K2575" s="55">
        <v>0</v>
      </c>
      <c r="L2575" s="238">
        <v>2449</v>
      </c>
      <c r="M2575" s="72">
        <v>0</v>
      </c>
      <c r="N2575" s="72">
        <v>0</v>
      </c>
      <c r="O2575" s="72">
        <v>0</v>
      </c>
      <c r="P2575" s="72">
        <v>0</v>
      </c>
      <c r="Q2575" s="72">
        <v>0</v>
      </c>
      <c r="R2575" s="128">
        <v>3.948</v>
      </c>
      <c r="S2575" s="57" t="s">
        <v>149</v>
      </c>
      <c r="T2575" s="257">
        <f t="shared" si="87"/>
        <v>2449</v>
      </c>
      <c r="U2575" s="257">
        <f t="shared" si="88"/>
        <v>0</v>
      </c>
      <c r="V2575">
        <v>1</v>
      </c>
      <c r="W2575">
        <v>0</v>
      </c>
    </row>
    <row r="2576" spans="1:23" ht="45.6" x14ac:dyDescent="0.3">
      <c r="A2576" s="225">
        <v>42203</v>
      </c>
      <c r="B2576" s="225">
        <v>42203</v>
      </c>
      <c r="C2576" s="6">
        <v>7</v>
      </c>
      <c r="D2576" s="6">
        <v>1</v>
      </c>
      <c r="E2576" s="54">
        <v>2015</v>
      </c>
      <c r="F2576" s="7" t="s">
        <v>17</v>
      </c>
      <c r="G2576" s="28" t="s">
        <v>6261</v>
      </c>
      <c r="H2576" s="9" t="s">
        <v>61</v>
      </c>
      <c r="I2576" s="70" t="s">
        <v>4364</v>
      </c>
      <c r="J2576" s="127" t="s">
        <v>4365</v>
      </c>
      <c r="K2576" s="124">
        <v>0</v>
      </c>
      <c r="L2576" s="247">
        <v>0</v>
      </c>
      <c r="M2576" s="72">
        <v>0</v>
      </c>
      <c r="N2576" s="72">
        <v>0</v>
      </c>
      <c r="O2576" s="72">
        <v>0</v>
      </c>
      <c r="P2576" s="72">
        <v>0</v>
      </c>
      <c r="Q2576" s="72">
        <v>0</v>
      </c>
      <c r="R2576" s="128">
        <v>0</v>
      </c>
      <c r="S2576" s="125" t="s">
        <v>115</v>
      </c>
      <c r="T2576" s="257">
        <f t="shared" si="87"/>
        <v>0</v>
      </c>
      <c r="U2576" s="257">
        <f t="shared" si="88"/>
        <v>0</v>
      </c>
      <c r="V2576">
        <v>0</v>
      </c>
      <c r="W2576">
        <v>0</v>
      </c>
    </row>
    <row r="2577" spans="1:23" ht="114" x14ac:dyDescent="0.3">
      <c r="A2577" s="225">
        <v>42204</v>
      </c>
      <c r="B2577" s="225">
        <v>42205</v>
      </c>
      <c r="C2577" s="6">
        <v>7</v>
      </c>
      <c r="D2577" s="6">
        <v>2</v>
      </c>
      <c r="E2577" s="54">
        <v>2015</v>
      </c>
      <c r="F2577" s="15" t="s">
        <v>22</v>
      </c>
      <c r="G2577" s="18" t="s">
        <v>6256</v>
      </c>
      <c r="H2577" s="9" t="s">
        <v>27</v>
      </c>
      <c r="I2577" s="70" t="s">
        <v>671</v>
      </c>
      <c r="J2577" s="127" t="s">
        <v>4366</v>
      </c>
      <c r="K2577" s="124">
        <v>0</v>
      </c>
      <c r="L2577" s="247">
        <v>1005</v>
      </c>
      <c r="M2577" s="72">
        <v>201</v>
      </c>
      <c r="N2577" s="72">
        <v>0</v>
      </c>
      <c r="O2577" s="72">
        <v>0</v>
      </c>
      <c r="P2577" s="72">
        <v>0</v>
      </c>
      <c r="Q2577" s="72">
        <v>0</v>
      </c>
      <c r="R2577" s="128">
        <v>0.21099999999999999</v>
      </c>
      <c r="S2577" s="125" t="s">
        <v>115</v>
      </c>
      <c r="T2577" s="257">
        <f t="shared" si="87"/>
        <v>1005</v>
      </c>
      <c r="U2577" s="257">
        <f t="shared" si="88"/>
        <v>201</v>
      </c>
      <c r="V2577">
        <v>1</v>
      </c>
      <c r="W2577">
        <v>1</v>
      </c>
    </row>
    <row r="2578" spans="1:23" ht="136.80000000000001" x14ac:dyDescent="0.3">
      <c r="A2578" s="225">
        <v>42207</v>
      </c>
      <c r="B2578" s="225">
        <v>42210</v>
      </c>
      <c r="C2578" s="6">
        <v>7</v>
      </c>
      <c r="D2578" s="6">
        <v>4</v>
      </c>
      <c r="E2578" s="54">
        <v>2015</v>
      </c>
      <c r="F2578" s="15" t="s">
        <v>22</v>
      </c>
      <c r="G2578" s="16" t="s">
        <v>6256</v>
      </c>
      <c r="H2578" s="9" t="s">
        <v>34</v>
      </c>
      <c r="I2578" s="70" t="s">
        <v>1032</v>
      </c>
      <c r="J2578" s="127" t="s">
        <v>4367</v>
      </c>
      <c r="K2578" s="124">
        <v>0</v>
      </c>
      <c r="L2578" s="247">
        <v>1000</v>
      </c>
      <c r="M2578" s="72">
        <v>200</v>
      </c>
      <c r="N2578" s="72">
        <v>0</v>
      </c>
      <c r="O2578" s="72">
        <v>0</v>
      </c>
      <c r="P2578" s="72">
        <v>0</v>
      </c>
      <c r="Q2578" s="72">
        <v>0</v>
      </c>
      <c r="R2578" s="128">
        <f>0.066+65.1</f>
        <v>65.165999999999997</v>
      </c>
      <c r="S2578" s="73" t="s">
        <v>2609</v>
      </c>
      <c r="T2578" s="257">
        <f t="shared" si="87"/>
        <v>1000</v>
      </c>
      <c r="U2578" s="257">
        <f t="shared" si="88"/>
        <v>200</v>
      </c>
      <c r="V2578">
        <v>1</v>
      </c>
      <c r="W2578">
        <v>1</v>
      </c>
    </row>
    <row r="2579" spans="1:23" ht="34.200000000000003" x14ac:dyDescent="0.3">
      <c r="A2579" s="225">
        <v>42209</v>
      </c>
      <c r="B2579" s="225">
        <v>42209</v>
      </c>
      <c r="C2579" s="6">
        <v>7</v>
      </c>
      <c r="D2579" s="6">
        <v>1</v>
      </c>
      <c r="E2579" s="54">
        <v>2015</v>
      </c>
      <c r="F2579" s="15" t="s">
        <v>22</v>
      </c>
      <c r="G2579" s="18" t="s">
        <v>6256</v>
      </c>
      <c r="H2579" s="9" t="s">
        <v>46</v>
      </c>
      <c r="I2579" s="70" t="s">
        <v>843</v>
      </c>
      <c r="J2579" s="127" t="s">
        <v>4368</v>
      </c>
      <c r="K2579" s="124">
        <v>0</v>
      </c>
      <c r="L2579" s="247">
        <v>30</v>
      </c>
      <c r="M2579" s="72">
        <v>6</v>
      </c>
      <c r="N2579" s="72">
        <v>0</v>
      </c>
      <c r="O2579" s="72">
        <v>0</v>
      </c>
      <c r="P2579" s="72">
        <v>0</v>
      </c>
      <c r="Q2579" s="72">
        <v>0</v>
      </c>
      <c r="R2579" s="128">
        <v>6.0000000000000001E-3</v>
      </c>
      <c r="S2579" s="125" t="s">
        <v>115</v>
      </c>
      <c r="T2579" s="257">
        <f t="shared" si="87"/>
        <v>30</v>
      </c>
      <c r="U2579" s="257">
        <f t="shared" si="88"/>
        <v>6</v>
      </c>
      <c r="V2579">
        <v>1</v>
      </c>
      <c r="W2579">
        <v>1</v>
      </c>
    </row>
    <row r="2580" spans="1:23" ht="68.400000000000006" x14ac:dyDescent="0.3">
      <c r="A2580" s="225">
        <v>42209</v>
      </c>
      <c r="B2580" s="225">
        <v>42209</v>
      </c>
      <c r="C2580" s="6">
        <v>7</v>
      </c>
      <c r="D2580" s="6">
        <v>1</v>
      </c>
      <c r="E2580" s="54">
        <v>2015</v>
      </c>
      <c r="F2580" s="15" t="s">
        <v>22</v>
      </c>
      <c r="G2580" s="18" t="s">
        <v>6256</v>
      </c>
      <c r="H2580" s="9" t="s">
        <v>46</v>
      </c>
      <c r="I2580" s="70" t="s">
        <v>4369</v>
      </c>
      <c r="J2580" s="127" t="s">
        <v>4370</v>
      </c>
      <c r="K2580" s="124">
        <v>0</v>
      </c>
      <c r="L2580" s="247">
        <v>10</v>
      </c>
      <c r="M2580" s="72">
        <v>2</v>
      </c>
      <c r="N2580" s="72">
        <v>0</v>
      </c>
      <c r="O2580" s="72">
        <v>0</v>
      </c>
      <c r="P2580" s="72">
        <v>0</v>
      </c>
      <c r="Q2580" s="72">
        <v>0</v>
      </c>
      <c r="R2580" s="128">
        <v>2E-3</v>
      </c>
      <c r="S2580" s="125" t="s">
        <v>115</v>
      </c>
      <c r="T2580" s="257">
        <f t="shared" si="87"/>
        <v>10</v>
      </c>
      <c r="U2580" s="257">
        <f t="shared" si="88"/>
        <v>2</v>
      </c>
      <c r="V2580">
        <v>1</v>
      </c>
      <c r="W2580">
        <v>1</v>
      </c>
    </row>
    <row r="2581" spans="1:23" ht="45.6" x14ac:dyDescent="0.3">
      <c r="A2581" s="225">
        <v>42209</v>
      </c>
      <c r="B2581" s="225">
        <v>42209</v>
      </c>
      <c r="C2581" s="6">
        <v>7</v>
      </c>
      <c r="D2581" s="6">
        <v>1</v>
      </c>
      <c r="E2581" s="54">
        <v>2015</v>
      </c>
      <c r="F2581" s="15" t="s">
        <v>22</v>
      </c>
      <c r="G2581" s="18" t="s">
        <v>6256</v>
      </c>
      <c r="H2581" s="9" t="s">
        <v>46</v>
      </c>
      <c r="I2581" s="70" t="s">
        <v>429</v>
      </c>
      <c r="J2581" s="127" t="s">
        <v>4371</v>
      </c>
      <c r="K2581" s="124">
        <v>0</v>
      </c>
      <c r="L2581" s="247">
        <v>10</v>
      </c>
      <c r="M2581" s="72">
        <v>2</v>
      </c>
      <c r="N2581" s="72">
        <v>0</v>
      </c>
      <c r="O2581" s="72">
        <v>0</v>
      </c>
      <c r="P2581" s="72">
        <v>0</v>
      </c>
      <c r="Q2581" s="72">
        <v>0</v>
      </c>
      <c r="R2581" s="128">
        <v>2E-3</v>
      </c>
      <c r="S2581" s="125" t="s">
        <v>115</v>
      </c>
      <c r="T2581" s="257">
        <f t="shared" si="87"/>
        <v>10</v>
      </c>
      <c r="U2581" s="257">
        <f t="shared" si="88"/>
        <v>2</v>
      </c>
      <c r="V2581">
        <v>1</v>
      </c>
      <c r="W2581">
        <v>1</v>
      </c>
    </row>
    <row r="2582" spans="1:23" ht="102.6" x14ac:dyDescent="0.3">
      <c r="A2582" s="225">
        <v>42211</v>
      </c>
      <c r="B2582" s="225">
        <v>42211</v>
      </c>
      <c r="C2582" s="6">
        <v>7</v>
      </c>
      <c r="D2582" s="6">
        <v>1</v>
      </c>
      <c r="E2582" s="54">
        <v>2015</v>
      </c>
      <c r="F2582" s="7" t="s">
        <v>17</v>
      </c>
      <c r="G2582" s="28" t="s">
        <v>6261</v>
      </c>
      <c r="H2582" s="9" t="s">
        <v>52</v>
      </c>
      <c r="I2582" s="70" t="s">
        <v>663</v>
      </c>
      <c r="J2582" s="127" t="s">
        <v>4372</v>
      </c>
      <c r="K2582" s="124">
        <v>0</v>
      </c>
      <c r="L2582" s="247">
        <v>7</v>
      </c>
      <c r="M2582" s="72">
        <v>0</v>
      </c>
      <c r="N2582" s="72">
        <v>0</v>
      </c>
      <c r="O2582" s="72">
        <v>0</v>
      </c>
      <c r="P2582" s="72">
        <v>0</v>
      </c>
      <c r="Q2582" s="72">
        <v>0</v>
      </c>
      <c r="R2582" s="128">
        <v>0</v>
      </c>
      <c r="S2582" s="125" t="s">
        <v>115</v>
      </c>
      <c r="T2582" s="257">
        <f t="shared" si="87"/>
        <v>7</v>
      </c>
      <c r="U2582" s="257">
        <f t="shared" si="88"/>
        <v>0</v>
      </c>
      <c r="V2582">
        <v>1</v>
      </c>
      <c r="W2582">
        <v>0</v>
      </c>
    </row>
    <row r="2583" spans="1:23" ht="57" x14ac:dyDescent="0.3">
      <c r="A2583" s="225">
        <v>42213</v>
      </c>
      <c r="B2583" s="225">
        <v>42213</v>
      </c>
      <c r="C2583" s="6">
        <v>7</v>
      </c>
      <c r="D2583" s="6">
        <v>1</v>
      </c>
      <c r="E2583" s="54">
        <v>2015</v>
      </c>
      <c r="F2583" s="15" t="s">
        <v>22</v>
      </c>
      <c r="G2583" s="18" t="s">
        <v>6256</v>
      </c>
      <c r="H2583" s="9" t="s">
        <v>74</v>
      </c>
      <c r="I2583" s="70" t="s">
        <v>350</v>
      </c>
      <c r="J2583" s="127" t="s">
        <v>4373</v>
      </c>
      <c r="K2583" s="124">
        <v>1</v>
      </c>
      <c r="L2583" s="246">
        <v>5</v>
      </c>
      <c r="M2583" s="72">
        <v>0</v>
      </c>
      <c r="N2583" s="72">
        <v>0</v>
      </c>
      <c r="O2583" s="72">
        <v>0</v>
      </c>
      <c r="P2583" s="72">
        <v>0</v>
      </c>
      <c r="Q2583" s="72">
        <v>0</v>
      </c>
      <c r="R2583" s="128">
        <v>0</v>
      </c>
      <c r="S2583" s="125" t="s">
        <v>115</v>
      </c>
      <c r="T2583" s="257">
        <f t="shared" si="87"/>
        <v>6</v>
      </c>
      <c r="U2583" s="257">
        <f t="shared" si="88"/>
        <v>0</v>
      </c>
      <c r="V2583">
        <v>1</v>
      </c>
      <c r="W2583">
        <v>0</v>
      </c>
    </row>
    <row r="2584" spans="1:23" ht="34.200000000000003" x14ac:dyDescent="0.3">
      <c r="A2584" s="225">
        <v>42220</v>
      </c>
      <c r="B2584" s="225">
        <v>42220</v>
      </c>
      <c r="C2584" s="6">
        <v>8</v>
      </c>
      <c r="D2584" s="6">
        <v>1</v>
      </c>
      <c r="E2584" s="54">
        <v>2015</v>
      </c>
      <c r="F2584" s="7" t="s">
        <v>17</v>
      </c>
      <c r="G2584" s="8" t="s">
        <v>6261</v>
      </c>
      <c r="H2584" s="9" t="s">
        <v>118</v>
      </c>
      <c r="I2584" s="70" t="s">
        <v>1014</v>
      </c>
      <c r="J2584" s="127" t="s">
        <v>4374</v>
      </c>
      <c r="K2584" s="124">
        <v>1</v>
      </c>
      <c r="L2584" s="246">
        <v>4</v>
      </c>
      <c r="M2584" s="72">
        <v>0</v>
      </c>
      <c r="N2584" s="72">
        <v>0</v>
      </c>
      <c r="O2584" s="72">
        <v>0</v>
      </c>
      <c r="P2584" s="72">
        <v>0</v>
      </c>
      <c r="Q2584" s="72">
        <v>0</v>
      </c>
      <c r="R2584" s="128">
        <v>0</v>
      </c>
      <c r="S2584" s="125" t="s">
        <v>115</v>
      </c>
      <c r="T2584" s="257">
        <f t="shared" si="87"/>
        <v>5</v>
      </c>
      <c r="U2584" s="257">
        <f t="shared" si="88"/>
        <v>0</v>
      </c>
      <c r="V2584">
        <v>1</v>
      </c>
      <c r="W2584">
        <v>0</v>
      </c>
    </row>
    <row r="2585" spans="1:23" ht="34.200000000000003" x14ac:dyDescent="0.3">
      <c r="A2585" s="129">
        <v>37909</v>
      </c>
      <c r="B2585" s="129">
        <v>37909</v>
      </c>
      <c r="C2585" s="6">
        <v>10</v>
      </c>
      <c r="D2585" s="6">
        <v>1</v>
      </c>
      <c r="E2585" s="19">
        <v>2003</v>
      </c>
      <c r="F2585" s="15" t="s">
        <v>22</v>
      </c>
      <c r="G2585" s="18" t="s">
        <v>6256</v>
      </c>
      <c r="H2585" s="9" t="s">
        <v>48</v>
      </c>
      <c r="I2585" s="17" t="s">
        <v>4375</v>
      </c>
      <c r="J2585" s="62" t="s">
        <v>4376</v>
      </c>
      <c r="K2585" s="23">
        <v>1</v>
      </c>
      <c r="L2585" s="234">
        <v>1</v>
      </c>
      <c r="M2585" s="23">
        <v>0</v>
      </c>
      <c r="N2585" s="23">
        <v>0</v>
      </c>
      <c r="O2585" s="37">
        <v>0</v>
      </c>
      <c r="P2585" s="37">
        <v>0</v>
      </c>
      <c r="Q2585" s="23">
        <v>0</v>
      </c>
      <c r="R2585" s="24">
        <v>0</v>
      </c>
      <c r="S2585" s="7" t="s">
        <v>115</v>
      </c>
      <c r="T2585" s="257">
        <f t="shared" si="87"/>
        <v>2</v>
      </c>
      <c r="U2585" s="257">
        <f t="shared" si="88"/>
        <v>0</v>
      </c>
      <c r="V2585">
        <v>1</v>
      </c>
      <c r="W2585">
        <v>0</v>
      </c>
    </row>
    <row r="2586" spans="1:23" ht="68.400000000000006" x14ac:dyDescent="0.3">
      <c r="A2586" s="210">
        <v>42225</v>
      </c>
      <c r="B2586" s="210">
        <v>42225</v>
      </c>
      <c r="C2586" s="6">
        <v>8</v>
      </c>
      <c r="D2586" s="6">
        <v>1</v>
      </c>
      <c r="E2586" s="54">
        <v>2015</v>
      </c>
      <c r="F2586" s="15" t="s">
        <v>22</v>
      </c>
      <c r="G2586" s="16" t="s">
        <v>6256</v>
      </c>
      <c r="H2586" s="9" t="s">
        <v>72</v>
      </c>
      <c r="I2586" s="34" t="s">
        <v>4377</v>
      </c>
      <c r="J2586" s="157" t="s">
        <v>4378</v>
      </c>
      <c r="K2586" s="55">
        <v>0</v>
      </c>
      <c r="L2586" s="238">
        <v>5232</v>
      </c>
      <c r="M2586" s="72">
        <v>0</v>
      </c>
      <c r="N2586" s="72">
        <v>0</v>
      </c>
      <c r="O2586" s="72">
        <v>0</v>
      </c>
      <c r="P2586" s="72">
        <v>0</v>
      </c>
      <c r="Q2586" s="72">
        <v>0</v>
      </c>
      <c r="R2586" s="26">
        <v>4.8689999999999998</v>
      </c>
      <c r="S2586" s="57" t="s">
        <v>149</v>
      </c>
      <c r="T2586" s="257">
        <f t="shared" si="87"/>
        <v>5232</v>
      </c>
      <c r="U2586" s="257">
        <f t="shared" si="88"/>
        <v>0</v>
      </c>
      <c r="V2586">
        <v>1</v>
      </c>
      <c r="W2586">
        <v>0</v>
      </c>
    </row>
    <row r="2587" spans="1:23" ht="57" x14ac:dyDescent="0.3">
      <c r="A2587" s="225">
        <v>42226</v>
      </c>
      <c r="B2587" s="225">
        <v>42226</v>
      </c>
      <c r="C2587" s="6">
        <v>8</v>
      </c>
      <c r="D2587" s="6">
        <v>1</v>
      </c>
      <c r="E2587" s="54">
        <v>2015</v>
      </c>
      <c r="F2587" s="15" t="s">
        <v>22</v>
      </c>
      <c r="G2587" s="18" t="s">
        <v>6256</v>
      </c>
      <c r="H2587" s="9" t="s">
        <v>112</v>
      </c>
      <c r="I2587" s="70" t="s">
        <v>892</v>
      </c>
      <c r="J2587" s="127" t="s">
        <v>4379</v>
      </c>
      <c r="K2587" s="124">
        <v>1</v>
      </c>
      <c r="L2587" s="246">
        <v>49</v>
      </c>
      <c r="M2587" s="72">
        <v>7</v>
      </c>
      <c r="N2587" s="72">
        <v>0</v>
      </c>
      <c r="O2587" s="72">
        <v>0</v>
      </c>
      <c r="P2587" s="72">
        <v>0</v>
      </c>
      <c r="Q2587" s="72">
        <v>0</v>
      </c>
      <c r="R2587" s="128">
        <v>2E-3</v>
      </c>
      <c r="S2587" s="125" t="s">
        <v>115</v>
      </c>
      <c r="T2587" s="257">
        <f t="shared" si="87"/>
        <v>50</v>
      </c>
      <c r="U2587" s="257">
        <f t="shared" si="88"/>
        <v>7</v>
      </c>
      <c r="V2587">
        <v>1</v>
      </c>
      <c r="W2587">
        <v>1</v>
      </c>
    </row>
    <row r="2588" spans="1:23" ht="68.400000000000006" x14ac:dyDescent="0.3">
      <c r="A2588" s="210">
        <v>42231</v>
      </c>
      <c r="B2588" s="210">
        <v>42232</v>
      </c>
      <c r="C2588" s="6">
        <v>8</v>
      </c>
      <c r="D2588" s="6">
        <v>2</v>
      </c>
      <c r="E2588" s="54">
        <v>2015</v>
      </c>
      <c r="F2588" s="15" t="s">
        <v>22</v>
      </c>
      <c r="G2588" s="16" t="s">
        <v>6256</v>
      </c>
      <c r="H2588" s="9" t="s">
        <v>72</v>
      </c>
      <c r="I2588" s="34" t="s">
        <v>2954</v>
      </c>
      <c r="J2588" s="157" t="s">
        <v>4380</v>
      </c>
      <c r="K2588" s="55">
        <v>0</v>
      </c>
      <c r="L2588" s="238">
        <v>4425</v>
      </c>
      <c r="M2588" s="72">
        <v>0</v>
      </c>
      <c r="N2588" s="72">
        <v>0</v>
      </c>
      <c r="O2588" s="72">
        <v>0</v>
      </c>
      <c r="P2588" s="72">
        <v>0</v>
      </c>
      <c r="Q2588" s="72">
        <v>0</v>
      </c>
      <c r="R2588" s="26">
        <v>3.633</v>
      </c>
      <c r="S2588" s="57" t="s">
        <v>149</v>
      </c>
      <c r="T2588" s="257">
        <f t="shared" si="87"/>
        <v>4425</v>
      </c>
      <c r="U2588" s="257">
        <f t="shared" si="88"/>
        <v>0</v>
      </c>
      <c r="V2588">
        <v>1</v>
      </c>
      <c r="W2588">
        <v>0</v>
      </c>
    </row>
    <row r="2589" spans="1:23" ht="205.2" x14ac:dyDescent="0.3">
      <c r="A2589" s="225">
        <v>42246</v>
      </c>
      <c r="B2589" s="225">
        <v>42246</v>
      </c>
      <c r="C2589" s="6">
        <v>8</v>
      </c>
      <c r="D2589" s="6">
        <v>1</v>
      </c>
      <c r="E2589" s="54">
        <v>2015</v>
      </c>
      <c r="F2589" s="15" t="s">
        <v>22</v>
      </c>
      <c r="G2589" s="18" t="s">
        <v>6256</v>
      </c>
      <c r="H2589" s="9" t="s">
        <v>43</v>
      </c>
      <c r="I2589" s="70" t="s">
        <v>4381</v>
      </c>
      <c r="J2589" s="127" t="s">
        <v>4382</v>
      </c>
      <c r="K2589" s="55">
        <v>3</v>
      </c>
      <c r="L2589" s="246">
        <v>63</v>
      </c>
      <c r="M2589" s="72">
        <v>12</v>
      </c>
      <c r="N2589" s="72">
        <v>0</v>
      </c>
      <c r="O2589" s="72">
        <v>0</v>
      </c>
      <c r="P2589" s="72">
        <v>0</v>
      </c>
      <c r="Q2589" s="72">
        <v>0</v>
      </c>
      <c r="R2589" s="128">
        <v>1.2999999999999999E-2</v>
      </c>
      <c r="S2589" s="125" t="s">
        <v>115</v>
      </c>
      <c r="T2589" s="257">
        <f t="shared" si="87"/>
        <v>66</v>
      </c>
      <c r="U2589" s="257">
        <f t="shared" si="88"/>
        <v>12</v>
      </c>
      <c r="V2589">
        <v>1</v>
      </c>
      <c r="W2589">
        <v>1</v>
      </c>
    </row>
    <row r="2590" spans="1:23" ht="136.80000000000001" x14ac:dyDescent="0.3">
      <c r="A2590" s="225">
        <v>42247</v>
      </c>
      <c r="B2590" s="225">
        <v>42247</v>
      </c>
      <c r="C2590" s="6">
        <v>8</v>
      </c>
      <c r="D2590" s="6">
        <v>1</v>
      </c>
      <c r="E2590" s="54">
        <v>2015</v>
      </c>
      <c r="F2590" s="15" t="s">
        <v>22</v>
      </c>
      <c r="G2590" s="18" t="s">
        <v>6256</v>
      </c>
      <c r="H2590" s="9" t="s">
        <v>78</v>
      </c>
      <c r="I2590" s="70" t="s">
        <v>1031</v>
      </c>
      <c r="J2590" s="127" t="s">
        <v>4383</v>
      </c>
      <c r="K2590" s="124">
        <v>3</v>
      </c>
      <c r="L2590" s="246" t="s">
        <v>95</v>
      </c>
      <c r="M2590" s="72">
        <v>0</v>
      </c>
      <c r="N2590" s="72">
        <v>0</v>
      </c>
      <c r="O2590" s="72">
        <v>0</v>
      </c>
      <c r="P2590" s="72">
        <v>0</v>
      </c>
      <c r="Q2590" s="72">
        <v>0</v>
      </c>
      <c r="R2590" s="128">
        <v>0</v>
      </c>
      <c r="S2590" s="125" t="s">
        <v>115</v>
      </c>
      <c r="T2590" s="257">
        <f t="shared" si="87"/>
        <v>3</v>
      </c>
      <c r="U2590" s="257">
        <f t="shared" si="88"/>
        <v>0</v>
      </c>
      <c r="V2590">
        <v>1</v>
      </c>
      <c r="W2590">
        <v>0</v>
      </c>
    </row>
    <row r="2591" spans="1:23" ht="68.400000000000006" x14ac:dyDescent="0.3">
      <c r="A2591" s="210">
        <v>42248</v>
      </c>
      <c r="B2591" s="210">
        <v>42249</v>
      </c>
      <c r="C2591" s="6">
        <v>9</v>
      </c>
      <c r="D2591" s="6">
        <v>2</v>
      </c>
      <c r="E2591" s="54">
        <v>2015</v>
      </c>
      <c r="F2591" s="15" t="s">
        <v>22</v>
      </c>
      <c r="G2591" s="18" t="s">
        <v>6256</v>
      </c>
      <c r="H2591" s="9" t="s">
        <v>174</v>
      </c>
      <c r="I2591" s="34" t="s">
        <v>4384</v>
      </c>
      <c r="J2591" s="157" t="s">
        <v>4385</v>
      </c>
      <c r="K2591" s="55">
        <v>0</v>
      </c>
      <c r="L2591" s="238">
        <v>6320</v>
      </c>
      <c r="M2591" s="72">
        <v>0</v>
      </c>
      <c r="N2591" s="72">
        <v>0</v>
      </c>
      <c r="O2591" s="72">
        <v>0</v>
      </c>
      <c r="P2591" s="72">
        <v>0</v>
      </c>
      <c r="Q2591" s="72">
        <v>0</v>
      </c>
      <c r="R2591" s="128">
        <v>9.6560000000000006</v>
      </c>
      <c r="S2591" s="57" t="s">
        <v>149</v>
      </c>
      <c r="T2591" s="257">
        <f t="shared" si="87"/>
        <v>6320</v>
      </c>
      <c r="U2591" s="257">
        <f t="shared" si="88"/>
        <v>0</v>
      </c>
      <c r="V2591">
        <v>1</v>
      </c>
      <c r="W2591">
        <v>0</v>
      </c>
    </row>
    <row r="2592" spans="1:23" ht="102.6" x14ac:dyDescent="0.3">
      <c r="A2592" s="225">
        <v>42250</v>
      </c>
      <c r="B2592" s="225">
        <v>42250</v>
      </c>
      <c r="C2592" s="6">
        <v>9</v>
      </c>
      <c r="D2592" s="6">
        <v>1</v>
      </c>
      <c r="E2592" s="54">
        <v>2015</v>
      </c>
      <c r="F2592" s="15" t="s">
        <v>22</v>
      </c>
      <c r="G2592" s="18" t="s">
        <v>6256</v>
      </c>
      <c r="H2592" s="9" t="s">
        <v>118</v>
      </c>
      <c r="I2592" s="70" t="s">
        <v>4386</v>
      </c>
      <c r="J2592" s="127" t="s">
        <v>4387</v>
      </c>
      <c r="K2592" s="124">
        <v>0</v>
      </c>
      <c r="L2592" s="246">
        <v>200</v>
      </c>
      <c r="M2592" s="72">
        <v>34</v>
      </c>
      <c r="N2592" s="72">
        <v>0</v>
      </c>
      <c r="O2592" s="72">
        <v>0</v>
      </c>
      <c r="P2592" s="72">
        <v>0</v>
      </c>
      <c r="Q2592" s="72">
        <v>0</v>
      </c>
      <c r="R2592" s="128">
        <v>3.5999999999999997E-2</v>
      </c>
      <c r="S2592" s="125" t="s">
        <v>115</v>
      </c>
      <c r="T2592" s="257">
        <f t="shared" si="87"/>
        <v>200</v>
      </c>
      <c r="U2592" s="257">
        <f t="shared" si="88"/>
        <v>34</v>
      </c>
      <c r="V2592">
        <v>1</v>
      </c>
      <c r="W2592">
        <v>1</v>
      </c>
    </row>
    <row r="2593" spans="1:23" ht="262.2" x14ac:dyDescent="0.3">
      <c r="A2593" s="210">
        <v>42254</v>
      </c>
      <c r="B2593" s="210">
        <v>42255</v>
      </c>
      <c r="C2593" s="6">
        <v>9</v>
      </c>
      <c r="D2593" s="6">
        <v>2</v>
      </c>
      <c r="E2593" s="54">
        <v>2015</v>
      </c>
      <c r="F2593" s="15" t="s">
        <v>22</v>
      </c>
      <c r="G2593" s="16" t="s">
        <v>6256</v>
      </c>
      <c r="H2593" s="9" t="s">
        <v>72</v>
      </c>
      <c r="I2593" s="34" t="s">
        <v>4388</v>
      </c>
      <c r="J2593" s="157" t="s">
        <v>4389</v>
      </c>
      <c r="K2593" s="55">
        <v>0</v>
      </c>
      <c r="L2593" s="238">
        <v>4376</v>
      </c>
      <c r="M2593" s="72">
        <v>700</v>
      </c>
      <c r="N2593" s="72">
        <v>0</v>
      </c>
      <c r="O2593" s="72">
        <v>0</v>
      </c>
      <c r="P2593" s="72">
        <v>0</v>
      </c>
      <c r="Q2593" s="72">
        <v>0</v>
      </c>
      <c r="R2593" s="26">
        <f>2.801+0.735+129.37</f>
        <v>132.90600000000001</v>
      </c>
      <c r="S2593" s="73" t="s">
        <v>2609</v>
      </c>
      <c r="T2593" s="257">
        <f t="shared" si="87"/>
        <v>4376</v>
      </c>
      <c r="U2593" s="257">
        <f t="shared" si="88"/>
        <v>700</v>
      </c>
      <c r="V2593">
        <v>1</v>
      </c>
      <c r="W2593">
        <v>1</v>
      </c>
    </row>
    <row r="2594" spans="1:23" ht="102.6" x14ac:dyDescent="0.3">
      <c r="A2594" s="225">
        <v>42255</v>
      </c>
      <c r="B2594" s="225">
        <v>42255</v>
      </c>
      <c r="C2594" s="6">
        <v>9</v>
      </c>
      <c r="D2594" s="6">
        <v>1</v>
      </c>
      <c r="E2594" s="54">
        <v>2015</v>
      </c>
      <c r="F2594" s="15" t="s">
        <v>22</v>
      </c>
      <c r="G2594" s="82" t="s">
        <v>6256</v>
      </c>
      <c r="H2594" s="9" t="s">
        <v>27</v>
      </c>
      <c r="I2594" s="70" t="s">
        <v>652</v>
      </c>
      <c r="J2594" s="127" t="s">
        <v>4390</v>
      </c>
      <c r="K2594" s="124">
        <v>0</v>
      </c>
      <c r="L2594" s="246">
        <v>3</v>
      </c>
      <c r="M2594" s="72">
        <v>0</v>
      </c>
      <c r="N2594" s="72">
        <v>0</v>
      </c>
      <c r="O2594" s="72">
        <v>0</v>
      </c>
      <c r="P2594" s="72">
        <v>0</v>
      </c>
      <c r="Q2594" s="72">
        <v>0</v>
      </c>
      <c r="R2594" s="128">
        <v>0</v>
      </c>
      <c r="S2594" s="125" t="s">
        <v>115</v>
      </c>
      <c r="T2594" s="257">
        <f t="shared" si="87"/>
        <v>3</v>
      </c>
      <c r="U2594" s="257">
        <f t="shared" si="88"/>
        <v>0</v>
      </c>
      <c r="V2594">
        <v>1</v>
      </c>
      <c r="W2594">
        <v>0</v>
      </c>
    </row>
    <row r="2595" spans="1:23" ht="68.400000000000006" x14ac:dyDescent="0.3">
      <c r="A2595" s="210">
        <v>42258</v>
      </c>
      <c r="B2595" s="210">
        <v>42259</v>
      </c>
      <c r="C2595" s="6">
        <v>9</v>
      </c>
      <c r="D2595" s="6">
        <v>2</v>
      </c>
      <c r="E2595" s="54">
        <v>2015</v>
      </c>
      <c r="F2595" s="15" t="s">
        <v>22</v>
      </c>
      <c r="G2595" s="16" t="s">
        <v>6256</v>
      </c>
      <c r="H2595" s="9" t="s">
        <v>72</v>
      </c>
      <c r="I2595" s="34" t="s">
        <v>870</v>
      </c>
      <c r="J2595" s="34" t="s">
        <v>4391</v>
      </c>
      <c r="K2595" s="55">
        <v>0</v>
      </c>
      <c r="L2595" s="238">
        <v>3122</v>
      </c>
      <c r="M2595" s="72">
        <v>0</v>
      </c>
      <c r="N2595" s="72">
        <v>0</v>
      </c>
      <c r="O2595" s="72">
        <v>0</v>
      </c>
      <c r="P2595" s="72">
        <v>0</v>
      </c>
      <c r="Q2595" s="72">
        <v>0</v>
      </c>
      <c r="R2595" s="26">
        <v>4.2069999999999999</v>
      </c>
      <c r="S2595" s="57" t="s">
        <v>149</v>
      </c>
      <c r="T2595" s="257">
        <f t="shared" si="87"/>
        <v>3122</v>
      </c>
      <c r="U2595" s="257">
        <f t="shared" si="88"/>
        <v>0</v>
      </c>
      <c r="V2595">
        <v>1</v>
      </c>
      <c r="W2595">
        <v>0</v>
      </c>
    </row>
    <row r="2596" spans="1:23" ht="102.6" x14ac:dyDescent="0.3">
      <c r="A2596" s="212">
        <v>42262</v>
      </c>
      <c r="B2596" s="212">
        <v>42264</v>
      </c>
      <c r="C2596" s="6">
        <v>9</v>
      </c>
      <c r="D2596" s="6">
        <v>3</v>
      </c>
      <c r="E2596" s="54">
        <v>2015</v>
      </c>
      <c r="F2596" s="7" t="s">
        <v>17</v>
      </c>
      <c r="G2596" s="28" t="s">
        <v>6261</v>
      </c>
      <c r="H2596" s="9" t="s">
        <v>61</v>
      </c>
      <c r="I2596" s="53" t="s">
        <v>4392</v>
      </c>
      <c r="J2596" s="34" t="s">
        <v>4393</v>
      </c>
      <c r="K2596" s="124">
        <v>0</v>
      </c>
      <c r="L2596" s="239">
        <v>2330</v>
      </c>
      <c r="M2596" s="72">
        <v>0</v>
      </c>
      <c r="N2596" s="72">
        <v>4</v>
      </c>
      <c r="O2596" s="72">
        <v>0</v>
      </c>
      <c r="P2596" s="72">
        <v>0</v>
      </c>
      <c r="Q2596" s="72">
        <v>0</v>
      </c>
      <c r="R2596" s="128">
        <f>3.054+97.49</f>
        <v>100.544</v>
      </c>
      <c r="S2596" s="125" t="s">
        <v>149</v>
      </c>
      <c r="T2596" s="257">
        <f t="shared" si="87"/>
        <v>2330</v>
      </c>
      <c r="U2596" s="257">
        <f t="shared" si="88"/>
        <v>4</v>
      </c>
      <c r="V2596">
        <v>1</v>
      </c>
      <c r="W2596">
        <v>1</v>
      </c>
    </row>
    <row r="2597" spans="1:23" ht="193.8" x14ac:dyDescent="0.3">
      <c r="A2597" s="212">
        <v>42263</v>
      </c>
      <c r="B2597" s="212">
        <v>42265</v>
      </c>
      <c r="C2597" s="6">
        <v>9</v>
      </c>
      <c r="D2597" s="6">
        <v>3</v>
      </c>
      <c r="E2597" s="54">
        <v>2015</v>
      </c>
      <c r="F2597" s="7" t="s">
        <v>17</v>
      </c>
      <c r="G2597" s="28" t="s">
        <v>6261</v>
      </c>
      <c r="H2597" s="9" t="s">
        <v>174</v>
      </c>
      <c r="I2597" s="53" t="s">
        <v>4394</v>
      </c>
      <c r="J2597" s="34" t="s">
        <v>4395</v>
      </c>
      <c r="K2597" s="124">
        <v>6</v>
      </c>
      <c r="L2597" s="239">
        <v>2552</v>
      </c>
      <c r="M2597" s="72">
        <v>34</v>
      </c>
      <c r="N2597" s="72">
        <v>0</v>
      </c>
      <c r="O2597" s="72">
        <v>0</v>
      </c>
      <c r="P2597" s="72">
        <v>0</v>
      </c>
      <c r="Q2597" s="72">
        <v>0</v>
      </c>
      <c r="R2597" s="160">
        <f>4.234+36.08</f>
        <v>40.314</v>
      </c>
      <c r="S2597" s="73" t="s">
        <v>2609</v>
      </c>
      <c r="T2597" s="257">
        <f t="shared" si="87"/>
        <v>2558</v>
      </c>
      <c r="U2597" s="257">
        <f t="shared" si="88"/>
        <v>34</v>
      </c>
      <c r="V2597">
        <v>1</v>
      </c>
      <c r="W2597">
        <v>1</v>
      </c>
    </row>
    <row r="2598" spans="1:23" ht="68.400000000000006" x14ac:dyDescent="0.3">
      <c r="A2598" s="210">
        <v>42265</v>
      </c>
      <c r="B2598" s="210">
        <v>42267</v>
      </c>
      <c r="C2598" s="6">
        <v>9</v>
      </c>
      <c r="D2598" s="6">
        <v>3</v>
      </c>
      <c r="E2598" s="54">
        <v>2015</v>
      </c>
      <c r="F2598" s="15" t="s">
        <v>22</v>
      </c>
      <c r="G2598" s="18" t="s">
        <v>6256</v>
      </c>
      <c r="H2598" s="9" t="s">
        <v>28</v>
      </c>
      <c r="I2598" s="34" t="s">
        <v>4234</v>
      </c>
      <c r="J2598" s="34" t="s">
        <v>4396</v>
      </c>
      <c r="K2598" s="55">
        <v>0</v>
      </c>
      <c r="L2598" s="238">
        <v>5368</v>
      </c>
      <c r="M2598" s="72">
        <v>0</v>
      </c>
      <c r="N2598" s="72">
        <v>0</v>
      </c>
      <c r="O2598" s="72">
        <v>0</v>
      </c>
      <c r="P2598" s="72">
        <v>0</v>
      </c>
      <c r="Q2598" s="72">
        <v>0</v>
      </c>
      <c r="R2598" s="26">
        <v>9.6229999999999993</v>
      </c>
      <c r="S2598" s="57" t="s">
        <v>149</v>
      </c>
      <c r="T2598" s="257">
        <f t="shared" si="87"/>
        <v>5368</v>
      </c>
      <c r="U2598" s="257">
        <f t="shared" si="88"/>
        <v>0</v>
      </c>
      <c r="V2598">
        <v>1</v>
      </c>
      <c r="W2598">
        <v>0</v>
      </c>
    </row>
    <row r="2599" spans="1:23" ht="68.400000000000006" x14ac:dyDescent="0.3">
      <c r="A2599" s="212">
        <v>42265</v>
      </c>
      <c r="B2599" s="212">
        <v>42267</v>
      </c>
      <c r="C2599" s="6">
        <v>9</v>
      </c>
      <c r="D2599" s="6">
        <v>3</v>
      </c>
      <c r="E2599" s="54">
        <v>2015</v>
      </c>
      <c r="F2599" s="15" t="s">
        <v>22</v>
      </c>
      <c r="G2599" s="16" t="s">
        <v>6256</v>
      </c>
      <c r="H2599" s="9" t="s">
        <v>28</v>
      </c>
      <c r="I2599" s="53" t="s">
        <v>4397</v>
      </c>
      <c r="J2599" s="34" t="s">
        <v>4398</v>
      </c>
      <c r="K2599" s="55">
        <v>0</v>
      </c>
      <c r="L2599" s="239">
        <v>13754</v>
      </c>
      <c r="M2599" s="72">
        <v>0</v>
      </c>
      <c r="N2599" s="72">
        <v>0</v>
      </c>
      <c r="O2599" s="72">
        <v>0</v>
      </c>
      <c r="P2599" s="72">
        <v>0</v>
      </c>
      <c r="Q2599" s="72">
        <v>0</v>
      </c>
      <c r="R2599" s="26">
        <v>21.870999999999999</v>
      </c>
      <c r="S2599" s="57" t="s">
        <v>149</v>
      </c>
      <c r="T2599" s="257">
        <f t="shared" si="87"/>
        <v>13754</v>
      </c>
      <c r="U2599" s="257">
        <f t="shared" si="88"/>
        <v>0</v>
      </c>
      <c r="V2599">
        <v>2</v>
      </c>
      <c r="W2599">
        <v>0</v>
      </c>
    </row>
    <row r="2600" spans="1:23" ht="239.4" x14ac:dyDescent="0.3">
      <c r="A2600" s="210">
        <v>42266</v>
      </c>
      <c r="B2600" s="210">
        <v>42268</v>
      </c>
      <c r="C2600" s="6">
        <v>9</v>
      </c>
      <c r="D2600" s="6">
        <v>3</v>
      </c>
      <c r="E2600" s="54">
        <v>2015</v>
      </c>
      <c r="F2600" s="15" t="s">
        <v>22</v>
      </c>
      <c r="G2600" s="16" t="s">
        <v>6254</v>
      </c>
      <c r="H2600" s="9" t="s">
        <v>72</v>
      </c>
      <c r="I2600" s="34" t="s">
        <v>4399</v>
      </c>
      <c r="J2600" s="34" t="s">
        <v>4400</v>
      </c>
      <c r="K2600" s="55">
        <v>0</v>
      </c>
      <c r="L2600" s="238">
        <v>5106</v>
      </c>
      <c r="M2600" s="72">
        <v>0</v>
      </c>
      <c r="N2600" s="72">
        <v>0</v>
      </c>
      <c r="O2600" s="72">
        <v>0</v>
      </c>
      <c r="P2600" s="72">
        <v>0</v>
      </c>
      <c r="Q2600" s="72">
        <v>0</v>
      </c>
      <c r="R2600" s="26">
        <v>3.4790000000000001</v>
      </c>
      <c r="S2600" s="73" t="s">
        <v>2609</v>
      </c>
      <c r="T2600" s="257">
        <f t="shared" si="87"/>
        <v>5106</v>
      </c>
      <c r="U2600" s="257">
        <f t="shared" si="88"/>
        <v>0</v>
      </c>
      <c r="V2600">
        <v>1</v>
      </c>
      <c r="W2600">
        <v>0</v>
      </c>
    </row>
    <row r="2601" spans="1:23" ht="79.8" x14ac:dyDescent="0.3">
      <c r="A2601" s="225">
        <v>42267</v>
      </c>
      <c r="B2601" s="225">
        <v>42268</v>
      </c>
      <c r="C2601" s="6">
        <v>9</v>
      </c>
      <c r="D2601" s="6">
        <v>2</v>
      </c>
      <c r="E2601" s="54">
        <v>2015</v>
      </c>
      <c r="F2601" s="15" t="s">
        <v>22</v>
      </c>
      <c r="G2601" s="16" t="s">
        <v>6254</v>
      </c>
      <c r="H2601" s="9" t="s">
        <v>74</v>
      </c>
      <c r="I2601" s="70" t="s">
        <v>4401</v>
      </c>
      <c r="J2601" s="127" t="s">
        <v>4402</v>
      </c>
      <c r="K2601" s="124">
        <v>0</v>
      </c>
      <c r="L2601" s="251">
        <v>773970</v>
      </c>
      <c r="M2601" s="72">
        <v>1434</v>
      </c>
      <c r="N2601" s="72">
        <v>59</v>
      </c>
      <c r="O2601" s="72">
        <v>6</v>
      </c>
      <c r="P2601" s="72">
        <v>42</v>
      </c>
      <c r="Q2601" s="72">
        <v>309.39999999999998</v>
      </c>
      <c r="R2601" s="128">
        <v>823.4</v>
      </c>
      <c r="S2601" s="125" t="s">
        <v>21</v>
      </c>
      <c r="T2601" s="257">
        <f t="shared" si="87"/>
        <v>773970</v>
      </c>
      <c r="U2601" s="257">
        <f t="shared" si="88"/>
        <v>1541</v>
      </c>
      <c r="V2601">
        <v>4</v>
      </c>
      <c r="W2601">
        <v>2</v>
      </c>
    </row>
    <row r="2602" spans="1:23" ht="79.8" x14ac:dyDescent="0.3">
      <c r="A2602" s="212">
        <v>42272</v>
      </c>
      <c r="B2602" s="212">
        <v>42272</v>
      </c>
      <c r="C2602" s="6">
        <v>9</v>
      </c>
      <c r="D2602" s="6">
        <v>1</v>
      </c>
      <c r="E2602" s="54">
        <v>2015</v>
      </c>
      <c r="F2602" s="15" t="s">
        <v>22</v>
      </c>
      <c r="G2602" s="16" t="s">
        <v>6256</v>
      </c>
      <c r="H2602" s="9" t="s">
        <v>174</v>
      </c>
      <c r="I2602" s="53" t="s">
        <v>4403</v>
      </c>
      <c r="J2602" s="34" t="s">
        <v>4404</v>
      </c>
      <c r="K2602" s="55">
        <v>0</v>
      </c>
      <c r="L2602" s="239">
        <v>3945</v>
      </c>
      <c r="M2602" s="72">
        <v>0</v>
      </c>
      <c r="N2602" s="72">
        <v>0</v>
      </c>
      <c r="O2602" s="72">
        <v>0</v>
      </c>
      <c r="P2602" s="72">
        <v>0</v>
      </c>
      <c r="Q2602" s="72">
        <v>0</v>
      </c>
      <c r="R2602" s="128">
        <v>5.0149999999999997</v>
      </c>
      <c r="S2602" s="57" t="s">
        <v>149</v>
      </c>
      <c r="T2602" s="257">
        <f t="shared" si="87"/>
        <v>3945</v>
      </c>
      <c r="U2602" s="257">
        <f t="shared" si="88"/>
        <v>0</v>
      </c>
      <c r="V2602">
        <v>1</v>
      </c>
      <c r="W2602">
        <v>0</v>
      </c>
    </row>
    <row r="2603" spans="1:23" ht="68.400000000000006" x14ac:dyDescent="0.3">
      <c r="A2603" s="212">
        <v>38142</v>
      </c>
      <c r="B2603" s="212">
        <v>38142</v>
      </c>
      <c r="C2603" s="6">
        <v>6</v>
      </c>
      <c r="D2603" s="6">
        <v>1</v>
      </c>
      <c r="E2603" s="6">
        <v>2004</v>
      </c>
      <c r="F2603" s="15" t="s">
        <v>22</v>
      </c>
      <c r="G2603" s="18" t="s">
        <v>6256</v>
      </c>
      <c r="H2603" s="9" t="s">
        <v>48</v>
      </c>
      <c r="I2603" s="17" t="s">
        <v>4405</v>
      </c>
      <c r="J2603" s="66" t="s">
        <v>4406</v>
      </c>
      <c r="K2603" s="13">
        <v>8</v>
      </c>
      <c r="L2603" s="233">
        <v>8</v>
      </c>
      <c r="M2603" s="13">
        <v>0</v>
      </c>
      <c r="N2603" s="13">
        <v>0</v>
      </c>
      <c r="O2603" s="13">
        <v>0</v>
      </c>
      <c r="P2603" s="13">
        <v>0</v>
      </c>
      <c r="Q2603" s="13">
        <v>0</v>
      </c>
      <c r="R2603" s="26">
        <v>0</v>
      </c>
      <c r="S2603" s="7" t="s">
        <v>115</v>
      </c>
      <c r="T2603" s="257">
        <f t="shared" si="87"/>
        <v>16</v>
      </c>
      <c r="U2603" s="257">
        <f t="shared" si="88"/>
        <v>0</v>
      </c>
      <c r="V2603">
        <v>1</v>
      </c>
      <c r="W2603">
        <v>0</v>
      </c>
    </row>
    <row r="2604" spans="1:23" ht="34.200000000000003" x14ac:dyDescent="0.3">
      <c r="A2604" s="220">
        <v>38630</v>
      </c>
      <c r="B2604" s="220">
        <v>38630</v>
      </c>
      <c r="C2604" s="6">
        <v>10</v>
      </c>
      <c r="D2604" s="6">
        <v>1</v>
      </c>
      <c r="E2604" s="76">
        <v>2005</v>
      </c>
      <c r="F2604" s="15" t="s">
        <v>22</v>
      </c>
      <c r="G2604" s="18" t="s">
        <v>6256</v>
      </c>
      <c r="H2604" s="9" t="s">
        <v>48</v>
      </c>
      <c r="I2604" s="77" t="s">
        <v>1826</v>
      </c>
      <c r="J2604" s="90" t="s">
        <v>4407</v>
      </c>
      <c r="K2604" s="79">
        <v>1</v>
      </c>
      <c r="L2604" s="242">
        <v>1</v>
      </c>
      <c r="M2604" s="79">
        <v>0</v>
      </c>
      <c r="N2604" s="79">
        <v>0</v>
      </c>
      <c r="O2604" s="37">
        <v>0</v>
      </c>
      <c r="P2604" s="37">
        <v>0</v>
      </c>
      <c r="Q2604" s="79">
        <v>0</v>
      </c>
      <c r="R2604" s="80">
        <v>0</v>
      </c>
      <c r="S2604" s="7" t="s">
        <v>115</v>
      </c>
      <c r="T2604" s="257">
        <f t="shared" si="87"/>
        <v>2</v>
      </c>
      <c r="U2604" s="257">
        <f t="shared" si="88"/>
        <v>0</v>
      </c>
      <c r="V2604">
        <v>1</v>
      </c>
      <c r="W2604">
        <v>0</v>
      </c>
    </row>
    <row r="2605" spans="1:23" ht="34.200000000000003" x14ac:dyDescent="0.3">
      <c r="A2605" s="212">
        <v>42280</v>
      </c>
      <c r="B2605" s="212">
        <v>42281</v>
      </c>
      <c r="C2605" s="6">
        <v>10</v>
      </c>
      <c r="D2605" s="6">
        <v>2</v>
      </c>
      <c r="E2605" s="54">
        <v>2015</v>
      </c>
      <c r="F2605" s="15" t="s">
        <v>22</v>
      </c>
      <c r="G2605" s="18" t="s">
        <v>6256</v>
      </c>
      <c r="H2605" s="9" t="s">
        <v>74</v>
      </c>
      <c r="I2605" s="53" t="s">
        <v>4408</v>
      </c>
      <c r="J2605" s="34" t="s">
        <v>4409</v>
      </c>
      <c r="K2605" s="124">
        <v>0</v>
      </c>
      <c r="L2605" s="239">
        <v>12039</v>
      </c>
      <c r="M2605" s="56">
        <v>0</v>
      </c>
      <c r="N2605" s="56">
        <v>0</v>
      </c>
      <c r="O2605" s="56">
        <v>0</v>
      </c>
      <c r="P2605" s="56">
        <v>0</v>
      </c>
      <c r="Q2605" s="56">
        <v>0</v>
      </c>
      <c r="R2605" s="26">
        <v>16.558</v>
      </c>
      <c r="S2605" s="125" t="s">
        <v>149</v>
      </c>
      <c r="T2605" s="257">
        <f t="shared" si="87"/>
        <v>12039</v>
      </c>
      <c r="U2605" s="257">
        <f t="shared" si="88"/>
        <v>0</v>
      </c>
      <c r="V2605">
        <v>2</v>
      </c>
      <c r="W2605">
        <v>0</v>
      </c>
    </row>
    <row r="2606" spans="1:23" ht="91.2" x14ac:dyDescent="0.3">
      <c r="A2606" s="210">
        <v>42280</v>
      </c>
      <c r="B2606" s="210">
        <v>42280</v>
      </c>
      <c r="C2606" s="6">
        <v>10</v>
      </c>
      <c r="D2606" s="6">
        <v>1</v>
      </c>
      <c r="E2606" s="54">
        <v>2015</v>
      </c>
      <c r="F2606" s="15" t="s">
        <v>22</v>
      </c>
      <c r="G2606" s="16" t="s">
        <v>6256</v>
      </c>
      <c r="H2606" s="9" t="s">
        <v>28</v>
      </c>
      <c r="I2606" s="34" t="s">
        <v>211</v>
      </c>
      <c r="J2606" s="34" t="s">
        <v>4410</v>
      </c>
      <c r="K2606" s="55">
        <v>0</v>
      </c>
      <c r="L2606" s="239">
        <v>3750</v>
      </c>
      <c r="M2606" s="56">
        <v>0</v>
      </c>
      <c r="N2606" s="56">
        <v>16</v>
      </c>
      <c r="O2606" s="56">
        <v>0</v>
      </c>
      <c r="P2606" s="56">
        <v>0</v>
      </c>
      <c r="Q2606" s="56">
        <v>0</v>
      </c>
      <c r="R2606" s="26">
        <f>6.408+162.45</f>
        <v>168.85799999999998</v>
      </c>
      <c r="S2606" s="57" t="s">
        <v>149</v>
      </c>
      <c r="T2606" s="257">
        <f t="shared" si="87"/>
        <v>3750</v>
      </c>
      <c r="U2606" s="257">
        <f t="shared" si="88"/>
        <v>16</v>
      </c>
      <c r="V2606">
        <v>1</v>
      </c>
      <c r="W2606">
        <v>1</v>
      </c>
    </row>
    <row r="2607" spans="1:23" ht="68.400000000000006" x14ac:dyDescent="0.3">
      <c r="A2607" s="210">
        <v>42283</v>
      </c>
      <c r="B2607" s="225">
        <v>42283</v>
      </c>
      <c r="C2607" s="6">
        <v>10</v>
      </c>
      <c r="D2607" s="6">
        <v>1</v>
      </c>
      <c r="E2607" s="54">
        <v>2015</v>
      </c>
      <c r="F2607" s="15" t="s">
        <v>22</v>
      </c>
      <c r="G2607" s="82" t="s">
        <v>6256</v>
      </c>
      <c r="H2607" s="9" t="s">
        <v>34</v>
      </c>
      <c r="I2607" s="34" t="s">
        <v>1098</v>
      </c>
      <c r="J2607" s="34" t="s">
        <v>4411</v>
      </c>
      <c r="K2607" s="55">
        <v>0</v>
      </c>
      <c r="L2607" s="233">
        <v>28809</v>
      </c>
      <c r="M2607" s="56">
        <v>0</v>
      </c>
      <c r="N2607" s="56">
        <v>0</v>
      </c>
      <c r="O2607" s="56">
        <v>0</v>
      </c>
      <c r="P2607" s="56">
        <v>0</v>
      </c>
      <c r="Q2607" s="56">
        <v>0</v>
      </c>
      <c r="R2607" s="26">
        <v>21.707000000000001</v>
      </c>
      <c r="S2607" s="57" t="s">
        <v>149</v>
      </c>
      <c r="T2607" s="257">
        <f t="shared" si="87"/>
        <v>28809</v>
      </c>
      <c r="U2607" s="257">
        <f t="shared" si="88"/>
        <v>0</v>
      </c>
      <c r="V2607">
        <v>2</v>
      </c>
      <c r="W2607">
        <v>0</v>
      </c>
    </row>
    <row r="2608" spans="1:23" ht="216.6" x14ac:dyDescent="0.3">
      <c r="A2608" s="210">
        <v>42285</v>
      </c>
      <c r="B2608" s="210">
        <v>42285</v>
      </c>
      <c r="C2608" s="6">
        <v>10</v>
      </c>
      <c r="D2608" s="6">
        <v>1</v>
      </c>
      <c r="E2608" s="54">
        <v>2015</v>
      </c>
      <c r="F2608" s="15" t="s">
        <v>22</v>
      </c>
      <c r="G2608" s="18" t="s">
        <v>6256</v>
      </c>
      <c r="H2608" s="9" t="s">
        <v>37</v>
      </c>
      <c r="I2608" s="34" t="s">
        <v>360</v>
      </c>
      <c r="J2608" s="34" t="s">
        <v>4412</v>
      </c>
      <c r="K2608" s="55">
        <v>0</v>
      </c>
      <c r="L2608" s="239">
        <v>4000</v>
      </c>
      <c r="M2608" s="56">
        <v>1</v>
      </c>
      <c r="N2608" s="56">
        <v>13</v>
      </c>
      <c r="O2608" s="56">
        <v>0</v>
      </c>
      <c r="P2608" s="56">
        <v>0</v>
      </c>
      <c r="Q2608" s="56">
        <v>0</v>
      </c>
      <c r="R2608" s="161">
        <f>1.193+12.8</f>
        <v>13.993</v>
      </c>
      <c r="S2608" s="73" t="s">
        <v>2609</v>
      </c>
      <c r="T2608" s="257">
        <f t="shared" si="87"/>
        <v>4000</v>
      </c>
      <c r="U2608" s="257">
        <f t="shared" si="88"/>
        <v>14</v>
      </c>
      <c r="V2608">
        <v>1</v>
      </c>
      <c r="W2608">
        <v>1</v>
      </c>
    </row>
    <row r="2609" spans="1:23" ht="114" x14ac:dyDescent="0.3">
      <c r="A2609" s="210">
        <v>42293</v>
      </c>
      <c r="B2609" s="210">
        <v>42294</v>
      </c>
      <c r="C2609" s="6">
        <v>10</v>
      </c>
      <c r="D2609" s="6">
        <v>2</v>
      </c>
      <c r="E2609" s="54">
        <v>2015</v>
      </c>
      <c r="F2609" s="15" t="s">
        <v>22</v>
      </c>
      <c r="G2609" s="18" t="s">
        <v>6256</v>
      </c>
      <c r="H2609" s="9" t="s">
        <v>69</v>
      </c>
      <c r="I2609" s="34" t="s">
        <v>4413</v>
      </c>
      <c r="J2609" s="34" t="s">
        <v>4414</v>
      </c>
      <c r="K2609" s="158">
        <v>0</v>
      </c>
      <c r="L2609" s="233">
        <v>50891</v>
      </c>
      <c r="M2609" s="56">
        <v>835</v>
      </c>
      <c r="N2609" s="56">
        <v>59</v>
      </c>
      <c r="O2609" s="72">
        <v>0</v>
      </c>
      <c r="P2609" s="72">
        <v>0</v>
      </c>
      <c r="Q2609" s="72">
        <v>0</v>
      </c>
      <c r="R2609" s="161">
        <f>114.5+601.29</f>
        <v>715.79</v>
      </c>
      <c r="S2609" s="73" t="s">
        <v>2609</v>
      </c>
      <c r="T2609" s="257">
        <f t="shared" si="87"/>
        <v>50891</v>
      </c>
      <c r="U2609" s="257">
        <f t="shared" si="88"/>
        <v>894</v>
      </c>
      <c r="V2609">
        <v>2</v>
      </c>
      <c r="W2609">
        <v>1</v>
      </c>
    </row>
    <row r="2610" spans="1:23" ht="296.39999999999998" x14ac:dyDescent="0.3">
      <c r="A2610" s="210">
        <v>42293</v>
      </c>
      <c r="B2610" s="210">
        <v>42297</v>
      </c>
      <c r="C2610" s="6">
        <v>10</v>
      </c>
      <c r="D2610" s="6">
        <v>5</v>
      </c>
      <c r="E2610" s="54">
        <v>2015</v>
      </c>
      <c r="F2610" s="15" t="s">
        <v>22</v>
      </c>
      <c r="G2610" s="16" t="s">
        <v>6256</v>
      </c>
      <c r="H2610" s="9" t="s">
        <v>174</v>
      </c>
      <c r="I2610" s="34" t="s">
        <v>4415</v>
      </c>
      <c r="J2610" s="34" t="s">
        <v>4416</v>
      </c>
      <c r="K2610" s="158">
        <v>0</v>
      </c>
      <c r="L2610" s="238">
        <v>40465</v>
      </c>
      <c r="M2610" s="162">
        <v>78</v>
      </c>
      <c r="N2610" s="162">
        <v>97</v>
      </c>
      <c r="O2610" s="162">
        <v>0</v>
      </c>
      <c r="P2610" s="162">
        <v>0</v>
      </c>
      <c r="Q2610" s="162">
        <v>0</v>
      </c>
      <c r="R2610" s="159">
        <f>77.5+2106.492</f>
        <v>2183.9920000000002</v>
      </c>
      <c r="S2610" s="73" t="s">
        <v>2609</v>
      </c>
      <c r="T2610" s="257">
        <f t="shared" si="87"/>
        <v>40465</v>
      </c>
      <c r="U2610" s="257">
        <f t="shared" si="88"/>
        <v>175</v>
      </c>
      <c r="V2610">
        <v>2</v>
      </c>
      <c r="W2610">
        <v>1</v>
      </c>
    </row>
    <row r="2611" spans="1:23" ht="91.2" x14ac:dyDescent="0.3">
      <c r="A2611" s="210">
        <v>42293</v>
      </c>
      <c r="B2611" s="210">
        <v>42298</v>
      </c>
      <c r="C2611" s="6">
        <v>10</v>
      </c>
      <c r="D2611" s="6">
        <v>6</v>
      </c>
      <c r="E2611" s="54">
        <v>2015</v>
      </c>
      <c r="F2611" s="15" t="s">
        <v>22</v>
      </c>
      <c r="G2611" s="16" t="s">
        <v>6256</v>
      </c>
      <c r="H2611" s="9" t="s">
        <v>174</v>
      </c>
      <c r="I2611" s="34" t="s">
        <v>4417</v>
      </c>
      <c r="J2611" s="34" t="s">
        <v>4418</v>
      </c>
      <c r="K2611" s="158">
        <v>0</v>
      </c>
      <c r="L2611" s="238">
        <v>4003</v>
      </c>
      <c r="M2611" s="162">
        <v>0</v>
      </c>
      <c r="N2611" s="162">
        <v>0</v>
      </c>
      <c r="O2611" s="162">
        <v>0</v>
      </c>
      <c r="P2611" s="162">
        <v>0</v>
      </c>
      <c r="Q2611" s="162">
        <v>0</v>
      </c>
      <c r="R2611" s="159">
        <v>5.4329999999999998</v>
      </c>
      <c r="S2611" s="158" t="s">
        <v>149</v>
      </c>
      <c r="T2611" s="257">
        <f t="shared" si="87"/>
        <v>4003</v>
      </c>
      <c r="U2611" s="257">
        <f t="shared" si="88"/>
        <v>0</v>
      </c>
      <c r="V2611">
        <v>1</v>
      </c>
      <c r="W2611">
        <v>0</v>
      </c>
    </row>
    <row r="2612" spans="1:23" ht="45.6" x14ac:dyDescent="0.3">
      <c r="A2612" s="230">
        <v>42295</v>
      </c>
      <c r="B2612" s="230">
        <v>42295</v>
      </c>
      <c r="C2612" s="6">
        <v>10</v>
      </c>
      <c r="D2612" s="6">
        <v>1</v>
      </c>
      <c r="E2612" s="54">
        <v>2015</v>
      </c>
      <c r="F2612" s="15" t="s">
        <v>22</v>
      </c>
      <c r="G2612" s="18" t="s">
        <v>6256</v>
      </c>
      <c r="H2612" s="9" t="s">
        <v>69</v>
      </c>
      <c r="I2612" s="70" t="s">
        <v>4419</v>
      </c>
      <c r="J2612" s="163" t="s">
        <v>4420</v>
      </c>
      <c r="K2612" s="158">
        <v>0</v>
      </c>
      <c r="L2612" s="252">
        <v>600</v>
      </c>
      <c r="M2612" s="162">
        <v>150</v>
      </c>
      <c r="N2612" s="162">
        <v>0</v>
      </c>
      <c r="O2612" s="162">
        <v>0</v>
      </c>
      <c r="P2612" s="162">
        <v>0</v>
      </c>
      <c r="Q2612" s="162">
        <v>0</v>
      </c>
      <c r="R2612" s="159">
        <v>0.158</v>
      </c>
      <c r="S2612" s="125" t="s">
        <v>115</v>
      </c>
      <c r="T2612" s="257">
        <f t="shared" si="87"/>
        <v>600</v>
      </c>
      <c r="U2612" s="257">
        <f t="shared" si="88"/>
        <v>150</v>
      </c>
      <c r="V2612">
        <v>1</v>
      </c>
      <c r="W2612">
        <v>1</v>
      </c>
    </row>
    <row r="2613" spans="1:23" ht="79.8" x14ac:dyDescent="0.3">
      <c r="A2613" s="210">
        <v>42295</v>
      </c>
      <c r="B2613" s="210">
        <v>42297</v>
      </c>
      <c r="C2613" s="6">
        <v>10</v>
      </c>
      <c r="D2613" s="6">
        <v>3</v>
      </c>
      <c r="E2613" s="54">
        <v>2015</v>
      </c>
      <c r="F2613" s="15" t="s">
        <v>22</v>
      </c>
      <c r="G2613" s="18" t="s">
        <v>6256</v>
      </c>
      <c r="H2613" s="9" t="s">
        <v>31</v>
      </c>
      <c r="I2613" s="34" t="s">
        <v>4421</v>
      </c>
      <c r="J2613" s="34" t="s">
        <v>4422</v>
      </c>
      <c r="K2613" s="55">
        <v>0</v>
      </c>
      <c r="L2613" s="239">
        <v>3408</v>
      </c>
      <c r="M2613" s="72">
        <v>0</v>
      </c>
      <c r="N2613" s="72">
        <v>0</v>
      </c>
      <c r="O2613" s="72">
        <v>0</v>
      </c>
      <c r="P2613" s="72">
        <v>0</v>
      </c>
      <c r="Q2613" s="72">
        <v>0</v>
      </c>
      <c r="R2613" s="128">
        <f>0.76+333.56</f>
        <v>334.32</v>
      </c>
      <c r="S2613" s="125" t="s">
        <v>149</v>
      </c>
      <c r="T2613" s="257">
        <f t="shared" si="87"/>
        <v>3408</v>
      </c>
      <c r="U2613" s="257">
        <f t="shared" si="88"/>
        <v>0</v>
      </c>
      <c r="V2613">
        <v>1</v>
      </c>
      <c r="W2613">
        <v>0</v>
      </c>
    </row>
    <row r="2614" spans="1:23" ht="34.200000000000003" x14ac:dyDescent="0.3">
      <c r="A2614" s="216">
        <v>42295</v>
      </c>
      <c r="B2614" s="216">
        <v>42297</v>
      </c>
      <c r="C2614" s="6">
        <v>10</v>
      </c>
      <c r="D2614" s="6">
        <v>3</v>
      </c>
      <c r="E2614" s="54">
        <v>2015</v>
      </c>
      <c r="F2614" s="7" t="s">
        <v>17</v>
      </c>
      <c r="G2614" s="28" t="s">
        <v>6261</v>
      </c>
      <c r="H2614" s="9" t="s">
        <v>61</v>
      </c>
      <c r="I2614" s="20" t="s">
        <v>4423</v>
      </c>
      <c r="J2614" s="21" t="s">
        <v>4424</v>
      </c>
      <c r="K2614" s="136">
        <v>0</v>
      </c>
      <c r="L2614" s="247">
        <v>0</v>
      </c>
      <c r="M2614" s="136">
        <v>0</v>
      </c>
      <c r="N2614" s="136">
        <v>0</v>
      </c>
      <c r="O2614" s="136">
        <v>0</v>
      </c>
      <c r="P2614" s="136">
        <v>0</v>
      </c>
      <c r="Q2614" s="136">
        <v>0</v>
      </c>
      <c r="R2614" s="26">
        <v>35.881</v>
      </c>
      <c r="S2614" s="125" t="s">
        <v>4425</v>
      </c>
      <c r="T2614" s="257">
        <f t="shared" si="87"/>
        <v>0</v>
      </c>
      <c r="U2614" s="257">
        <f t="shared" si="88"/>
        <v>0</v>
      </c>
      <c r="V2614">
        <v>0</v>
      </c>
      <c r="W2614">
        <v>0</v>
      </c>
    </row>
    <row r="2615" spans="1:23" ht="57" x14ac:dyDescent="0.3">
      <c r="A2615" s="216">
        <v>42297</v>
      </c>
      <c r="B2615" s="216">
        <v>42298</v>
      </c>
      <c r="C2615" s="6">
        <v>10</v>
      </c>
      <c r="D2615" s="6">
        <v>2</v>
      </c>
      <c r="E2615" s="54">
        <v>2015</v>
      </c>
      <c r="F2615" s="15" t="s">
        <v>22</v>
      </c>
      <c r="G2615" s="82" t="s">
        <v>6256</v>
      </c>
      <c r="H2615" s="9" t="s">
        <v>34</v>
      </c>
      <c r="I2615" s="20" t="s">
        <v>1098</v>
      </c>
      <c r="J2615" s="21" t="s">
        <v>4426</v>
      </c>
      <c r="K2615" s="55">
        <v>0</v>
      </c>
      <c r="L2615" s="239">
        <v>255</v>
      </c>
      <c r="M2615" s="56">
        <v>51</v>
      </c>
      <c r="N2615" s="56">
        <v>18</v>
      </c>
      <c r="O2615" s="56">
        <v>0</v>
      </c>
      <c r="P2615" s="56">
        <v>0</v>
      </c>
      <c r="Q2615" s="56">
        <v>0</v>
      </c>
      <c r="R2615" s="26">
        <v>240.72300000000001</v>
      </c>
      <c r="S2615" s="57" t="s">
        <v>149</v>
      </c>
      <c r="T2615" s="257">
        <f t="shared" si="87"/>
        <v>255</v>
      </c>
      <c r="U2615" s="257">
        <f t="shared" si="88"/>
        <v>69</v>
      </c>
      <c r="V2615">
        <v>1</v>
      </c>
      <c r="W2615">
        <v>1</v>
      </c>
    </row>
    <row r="2616" spans="1:23" ht="262.2" x14ac:dyDescent="0.3">
      <c r="A2616" s="212">
        <v>42299</v>
      </c>
      <c r="B2616" s="212">
        <v>42301</v>
      </c>
      <c r="C2616" s="6">
        <v>10</v>
      </c>
      <c r="D2616" s="6">
        <v>3</v>
      </c>
      <c r="E2616" s="54">
        <v>2015</v>
      </c>
      <c r="F2616" s="15" t="s">
        <v>22</v>
      </c>
      <c r="G2616" s="16" t="s">
        <v>6254</v>
      </c>
      <c r="H2616" s="9" t="s">
        <v>51</v>
      </c>
      <c r="I2616" s="20" t="s">
        <v>4427</v>
      </c>
      <c r="J2616" s="21" t="s">
        <v>4428</v>
      </c>
      <c r="K2616" s="55">
        <v>0</v>
      </c>
      <c r="L2616" s="238">
        <v>76823</v>
      </c>
      <c r="M2616" s="156">
        <v>220</v>
      </c>
      <c r="N2616" s="156">
        <v>140</v>
      </c>
      <c r="O2616" s="156">
        <v>24</v>
      </c>
      <c r="P2616" s="156">
        <v>0</v>
      </c>
      <c r="Q2616" s="156">
        <v>10305.4</v>
      </c>
      <c r="R2616" s="26">
        <v>1544.3</v>
      </c>
      <c r="S2616" s="57" t="s">
        <v>149</v>
      </c>
      <c r="T2616" s="257">
        <f t="shared" si="87"/>
        <v>76823</v>
      </c>
      <c r="U2616" s="257">
        <f t="shared" si="88"/>
        <v>384</v>
      </c>
      <c r="V2616">
        <v>2</v>
      </c>
      <c r="W2616">
        <v>1</v>
      </c>
    </row>
    <row r="2617" spans="1:23" ht="159.6" x14ac:dyDescent="0.3">
      <c r="A2617" s="212">
        <v>42299</v>
      </c>
      <c r="B2617" s="212">
        <v>42301</v>
      </c>
      <c r="C2617" s="6">
        <v>10</v>
      </c>
      <c r="D2617" s="6">
        <v>3</v>
      </c>
      <c r="E2617" s="54">
        <v>2015</v>
      </c>
      <c r="F2617" s="15" t="s">
        <v>22</v>
      </c>
      <c r="G2617" s="16" t="s">
        <v>6254</v>
      </c>
      <c r="H2617" s="9" t="s">
        <v>39</v>
      </c>
      <c r="I2617" s="20" t="s">
        <v>4429</v>
      </c>
      <c r="J2617" s="21" t="s">
        <v>4430</v>
      </c>
      <c r="K2617" s="55">
        <v>0</v>
      </c>
      <c r="L2617" s="238">
        <v>17862</v>
      </c>
      <c r="M2617" s="156">
        <v>1242</v>
      </c>
      <c r="N2617" s="156">
        <v>186</v>
      </c>
      <c r="O2617" s="156">
        <v>21</v>
      </c>
      <c r="P2617" s="156">
        <v>0</v>
      </c>
      <c r="Q2617" s="156">
        <v>0</v>
      </c>
      <c r="R2617" s="26">
        <v>1744.1</v>
      </c>
      <c r="S2617" s="57" t="s">
        <v>149</v>
      </c>
      <c r="T2617" s="257">
        <f t="shared" si="87"/>
        <v>17862</v>
      </c>
      <c r="U2617" s="257">
        <f t="shared" si="88"/>
        <v>1449</v>
      </c>
      <c r="V2617">
        <v>2</v>
      </c>
      <c r="W2617">
        <v>2</v>
      </c>
    </row>
    <row r="2618" spans="1:23" ht="79.8" x14ac:dyDescent="0.3">
      <c r="A2618" s="212">
        <v>42299</v>
      </c>
      <c r="B2618" s="212">
        <v>42301</v>
      </c>
      <c r="C2618" s="6">
        <v>10</v>
      </c>
      <c r="D2618" s="6">
        <v>3</v>
      </c>
      <c r="E2618" s="54">
        <v>2015</v>
      </c>
      <c r="F2618" s="15" t="s">
        <v>22</v>
      </c>
      <c r="G2618" s="16" t="s">
        <v>6254</v>
      </c>
      <c r="H2618" s="9" t="s">
        <v>52</v>
      </c>
      <c r="I2618" s="20" t="s">
        <v>4431</v>
      </c>
      <c r="J2618" s="21" t="s">
        <v>4432</v>
      </c>
      <c r="K2618" s="57">
        <v>0</v>
      </c>
      <c r="L2618" s="233" t="s">
        <v>1678</v>
      </c>
      <c r="M2618" s="136">
        <v>0</v>
      </c>
      <c r="N2618" s="136">
        <v>0</v>
      </c>
      <c r="O2618" s="136">
        <v>0</v>
      </c>
      <c r="P2618" s="136">
        <v>0</v>
      </c>
      <c r="Q2618" s="136">
        <v>0</v>
      </c>
      <c r="R2618" s="26">
        <v>720.3</v>
      </c>
      <c r="S2618" s="57" t="s">
        <v>149</v>
      </c>
      <c r="T2618" s="257">
        <f t="shared" si="87"/>
        <v>0</v>
      </c>
      <c r="U2618" s="257">
        <f t="shared" si="88"/>
        <v>0</v>
      </c>
      <c r="V2618">
        <v>0</v>
      </c>
      <c r="W2618">
        <v>0</v>
      </c>
    </row>
    <row r="2619" spans="1:23" ht="79.8" x14ac:dyDescent="0.3">
      <c r="A2619" s="212">
        <v>42299</v>
      </c>
      <c r="B2619" s="212">
        <v>42301</v>
      </c>
      <c r="C2619" s="6">
        <v>10</v>
      </c>
      <c r="D2619" s="6">
        <v>3</v>
      </c>
      <c r="E2619" s="54">
        <v>2015</v>
      </c>
      <c r="F2619" s="15" t="s">
        <v>22</v>
      </c>
      <c r="G2619" s="16" t="s">
        <v>6254</v>
      </c>
      <c r="H2619" s="9" t="s">
        <v>56</v>
      </c>
      <c r="I2619" s="20" t="s">
        <v>4433</v>
      </c>
      <c r="J2619" s="21" t="s">
        <v>4434</v>
      </c>
      <c r="K2619" s="57">
        <v>0</v>
      </c>
      <c r="L2619" s="239">
        <v>15010</v>
      </c>
      <c r="M2619" s="136">
        <v>0</v>
      </c>
      <c r="N2619" s="136">
        <v>0</v>
      </c>
      <c r="O2619" s="136">
        <v>0</v>
      </c>
      <c r="P2619" s="136">
        <v>0</v>
      </c>
      <c r="Q2619" s="136">
        <v>0</v>
      </c>
      <c r="R2619" s="26">
        <v>7.5</v>
      </c>
      <c r="S2619" s="57" t="s">
        <v>149</v>
      </c>
      <c r="T2619" s="257">
        <f t="shared" si="87"/>
        <v>15010</v>
      </c>
      <c r="U2619" s="257">
        <f t="shared" si="88"/>
        <v>0</v>
      </c>
      <c r="V2619">
        <v>2</v>
      </c>
      <c r="W2619">
        <v>0</v>
      </c>
    </row>
    <row r="2620" spans="1:23" ht="91.2" x14ac:dyDescent="0.3">
      <c r="A2620" s="210">
        <v>42301</v>
      </c>
      <c r="B2620" s="210">
        <v>42303</v>
      </c>
      <c r="C2620" s="6">
        <v>10</v>
      </c>
      <c r="D2620" s="6">
        <v>3</v>
      </c>
      <c r="E2620" s="54">
        <v>2015</v>
      </c>
      <c r="F2620" s="15" t="s">
        <v>22</v>
      </c>
      <c r="G2620" s="16" t="s">
        <v>6256</v>
      </c>
      <c r="H2620" s="9" t="s">
        <v>78</v>
      </c>
      <c r="I2620" s="34" t="s">
        <v>1561</v>
      </c>
      <c r="J2620" s="34" t="s">
        <v>4435</v>
      </c>
      <c r="K2620" s="55">
        <v>0</v>
      </c>
      <c r="L2620" s="238">
        <v>6371</v>
      </c>
      <c r="M2620" s="56">
        <v>2</v>
      </c>
      <c r="N2620" s="72">
        <v>0</v>
      </c>
      <c r="O2620" s="72">
        <v>0</v>
      </c>
      <c r="P2620" s="72">
        <v>0</v>
      </c>
      <c r="Q2620" s="72">
        <v>0</v>
      </c>
      <c r="R2620" s="26">
        <f>4.859+42.281</f>
        <v>47.14</v>
      </c>
      <c r="S2620" s="57" t="s">
        <v>4436</v>
      </c>
      <c r="T2620" s="257">
        <f t="shared" si="87"/>
        <v>6371</v>
      </c>
      <c r="U2620" s="257">
        <f t="shared" si="88"/>
        <v>2</v>
      </c>
      <c r="V2620">
        <v>1</v>
      </c>
      <c r="W2620">
        <v>1</v>
      </c>
    </row>
    <row r="2621" spans="1:23" ht="159.6" x14ac:dyDescent="0.3">
      <c r="A2621" s="212">
        <v>42304</v>
      </c>
      <c r="B2621" s="212">
        <v>42312</v>
      </c>
      <c r="C2621" s="6">
        <v>10</v>
      </c>
      <c r="D2621" s="6">
        <v>9</v>
      </c>
      <c r="E2621" s="54">
        <v>2015</v>
      </c>
      <c r="F2621" s="7" t="s">
        <v>17</v>
      </c>
      <c r="G2621" s="28" t="s">
        <v>6261</v>
      </c>
      <c r="H2621" s="9" t="s">
        <v>118</v>
      </c>
      <c r="I2621" s="20" t="s">
        <v>1014</v>
      </c>
      <c r="J2621" s="21" t="s">
        <v>4438</v>
      </c>
      <c r="K2621" s="55">
        <v>0</v>
      </c>
      <c r="L2621" s="251">
        <v>116</v>
      </c>
      <c r="M2621" s="156">
        <v>1</v>
      </c>
      <c r="N2621" s="156">
        <v>0</v>
      </c>
      <c r="O2621" s="156">
        <v>0</v>
      </c>
      <c r="P2621" s="156">
        <v>0</v>
      </c>
      <c r="Q2621" s="156">
        <v>0</v>
      </c>
      <c r="R2621" s="26">
        <v>15</v>
      </c>
      <c r="S2621" s="57" t="s">
        <v>4439</v>
      </c>
      <c r="T2621" s="257">
        <f t="shared" si="87"/>
        <v>116</v>
      </c>
      <c r="U2621" s="257">
        <f t="shared" si="88"/>
        <v>1</v>
      </c>
      <c r="V2621">
        <v>1</v>
      </c>
      <c r="W2621">
        <v>1</v>
      </c>
    </row>
    <row r="2622" spans="1:23" ht="136.80000000000001" x14ac:dyDescent="0.3">
      <c r="A2622" s="225">
        <v>42306</v>
      </c>
      <c r="B2622" s="225">
        <v>42306</v>
      </c>
      <c r="C2622" s="6">
        <v>10</v>
      </c>
      <c r="D2622" s="6">
        <v>1</v>
      </c>
      <c r="E2622" s="54">
        <v>2015</v>
      </c>
      <c r="F2622" s="15" t="s">
        <v>22</v>
      </c>
      <c r="G2622" s="18" t="s">
        <v>6256</v>
      </c>
      <c r="H2622" s="9" t="s">
        <v>56</v>
      </c>
      <c r="I2622" s="70" t="s">
        <v>4440</v>
      </c>
      <c r="J2622" s="127" t="s">
        <v>4441</v>
      </c>
      <c r="K2622" s="124">
        <v>0</v>
      </c>
      <c r="L2622" s="238" t="s">
        <v>95</v>
      </c>
      <c r="M2622" s="72">
        <v>0</v>
      </c>
      <c r="N2622" s="72">
        <v>0</v>
      </c>
      <c r="O2622" s="72">
        <v>0</v>
      </c>
      <c r="P2622" s="72">
        <v>0</v>
      </c>
      <c r="Q2622" s="72">
        <v>0</v>
      </c>
      <c r="R2622" s="128">
        <v>0</v>
      </c>
      <c r="S2622" s="125" t="s">
        <v>115</v>
      </c>
      <c r="T2622" s="257">
        <f t="shared" si="87"/>
        <v>0</v>
      </c>
      <c r="U2622" s="257">
        <f t="shared" si="88"/>
        <v>0</v>
      </c>
      <c r="V2622">
        <v>0</v>
      </c>
      <c r="W2622">
        <v>0</v>
      </c>
    </row>
    <row r="2623" spans="1:23" ht="228" x14ac:dyDescent="0.3">
      <c r="A2623" s="225">
        <v>42306</v>
      </c>
      <c r="B2623" s="225">
        <v>42307</v>
      </c>
      <c r="C2623" s="6">
        <v>10</v>
      </c>
      <c r="D2623" s="6">
        <v>2</v>
      </c>
      <c r="E2623" s="54">
        <v>2015</v>
      </c>
      <c r="F2623" s="15" t="s">
        <v>22</v>
      </c>
      <c r="G2623" s="18" t="s">
        <v>6256</v>
      </c>
      <c r="H2623" s="9" t="s">
        <v>51</v>
      </c>
      <c r="I2623" s="70" t="s">
        <v>4442</v>
      </c>
      <c r="J2623" s="127" t="s">
        <v>4443</v>
      </c>
      <c r="K2623" s="124">
        <v>0</v>
      </c>
      <c r="L2623" s="238">
        <v>279</v>
      </c>
      <c r="M2623" s="72" t="s">
        <v>95</v>
      </c>
      <c r="N2623" s="72">
        <v>0</v>
      </c>
      <c r="O2623" s="72">
        <v>0</v>
      </c>
      <c r="P2623" s="72">
        <v>0</v>
      </c>
      <c r="Q2623" s="72">
        <v>0</v>
      </c>
      <c r="R2623" s="128">
        <v>0</v>
      </c>
      <c r="S2623" s="125" t="s">
        <v>115</v>
      </c>
      <c r="T2623" s="257">
        <f t="shared" si="87"/>
        <v>279</v>
      </c>
      <c r="U2623" s="257">
        <f t="shared" si="88"/>
        <v>0</v>
      </c>
      <c r="V2623">
        <v>1</v>
      </c>
      <c r="W2623">
        <v>0</v>
      </c>
    </row>
    <row r="2624" spans="1:23" ht="68.400000000000006" x14ac:dyDescent="0.3">
      <c r="A2624" s="210">
        <v>42306</v>
      </c>
      <c r="B2624" s="210">
        <v>42307</v>
      </c>
      <c r="C2624" s="6">
        <v>10</v>
      </c>
      <c r="D2624" s="6">
        <v>2</v>
      </c>
      <c r="E2624" s="54">
        <v>2015</v>
      </c>
      <c r="F2624" s="15" t="s">
        <v>22</v>
      </c>
      <c r="G2624" s="16" t="s">
        <v>6256</v>
      </c>
      <c r="H2624" s="9" t="s">
        <v>72</v>
      </c>
      <c r="I2624" s="34" t="s">
        <v>1372</v>
      </c>
      <c r="J2624" s="34" t="s">
        <v>4444</v>
      </c>
      <c r="K2624" s="55">
        <v>0</v>
      </c>
      <c r="L2624" s="239">
        <v>2200</v>
      </c>
      <c r="M2624" s="72">
        <v>0</v>
      </c>
      <c r="N2624" s="72">
        <v>0</v>
      </c>
      <c r="O2624" s="72">
        <v>0</v>
      </c>
      <c r="P2624" s="72">
        <v>0</v>
      </c>
      <c r="Q2624" s="72">
        <v>0</v>
      </c>
      <c r="R2624" s="26">
        <v>1.7350000000000001</v>
      </c>
      <c r="S2624" s="57" t="s">
        <v>149</v>
      </c>
      <c r="T2624" s="257">
        <f t="shared" si="87"/>
        <v>2200</v>
      </c>
      <c r="U2624" s="257">
        <f t="shared" si="88"/>
        <v>0</v>
      </c>
      <c r="V2624">
        <v>1</v>
      </c>
      <c r="W2624">
        <v>0</v>
      </c>
    </row>
    <row r="2625" spans="1:23" ht="148.19999999999999" x14ac:dyDescent="0.3">
      <c r="A2625" s="210">
        <v>42307</v>
      </c>
      <c r="B2625" s="210">
        <v>42307</v>
      </c>
      <c r="C2625" s="6">
        <v>10</v>
      </c>
      <c r="D2625" s="6">
        <v>1</v>
      </c>
      <c r="E2625" s="54">
        <v>2015</v>
      </c>
      <c r="F2625" s="15" t="s">
        <v>22</v>
      </c>
      <c r="G2625" s="18" t="s">
        <v>6256</v>
      </c>
      <c r="H2625" s="9" t="s">
        <v>78</v>
      </c>
      <c r="I2625" s="34" t="s">
        <v>4445</v>
      </c>
      <c r="J2625" s="34" t="s">
        <v>4446</v>
      </c>
      <c r="K2625" s="55">
        <v>0</v>
      </c>
      <c r="L2625" s="238">
        <v>16573</v>
      </c>
      <c r="M2625" s="37" t="s">
        <v>95</v>
      </c>
      <c r="N2625" s="72">
        <v>39</v>
      </c>
      <c r="O2625" s="72">
        <v>2</v>
      </c>
      <c r="P2625" s="72">
        <v>0</v>
      </c>
      <c r="Q2625" s="72">
        <v>0</v>
      </c>
      <c r="R2625" s="99">
        <f>15.419+154.17</f>
        <v>169.589</v>
      </c>
      <c r="S2625" s="73" t="s">
        <v>2609</v>
      </c>
      <c r="T2625" s="257">
        <f t="shared" si="87"/>
        <v>16573</v>
      </c>
      <c r="U2625" s="257">
        <f t="shared" si="88"/>
        <v>41</v>
      </c>
      <c r="V2625">
        <v>2</v>
      </c>
      <c r="W2625">
        <v>1</v>
      </c>
    </row>
    <row r="2626" spans="1:23" ht="79.8" x14ac:dyDescent="0.3">
      <c r="A2626" s="230">
        <v>42307</v>
      </c>
      <c r="B2626" s="230">
        <v>42309</v>
      </c>
      <c r="C2626" s="6">
        <v>10</v>
      </c>
      <c r="D2626" s="6">
        <v>3</v>
      </c>
      <c r="E2626" s="54">
        <v>2015</v>
      </c>
      <c r="F2626" s="15" t="s">
        <v>22</v>
      </c>
      <c r="G2626" s="16" t="s">
        <v>6256</v>
      </c>
      <c r="H2626" s="9" t="s">
        <v>174</v>
      </c>
      <c r="I2626" s="163" t="s">
        <v>4447</v>
      </c>
      <c r="J2626" s="163" t="s">
        <v>4448</v>
      </c>
      <c r="K2626" s="158">
        <v>0</v>
      </c>
      <c r="L2626" s="238">
        <v>13972</v>
      </c>
      <c r="M2626" s="162">
        <v>0</v>
      </c>
      <c r="N2626" s="162">
        <v>0</v>
      </c>
      <c r="O2626" s="162">
        <v>0</v>
      </c>
      <c r="P2626" s="162">
        <v>0</v>
      </c>
      <c r="Q2626" s="162">
        <v>0</v>
      </c>
      <c r="R2626" s="159">
        <v>20.818999999999999</v>
      </c>
      <c r="S2626" s="158" t="s">
        <v>149</v>
      </c>
      <c r="T2626" s="257">
        <f t="shared" si="87"/>
        <v>13972</v>
      </c>
      <c r="U2626" s="257">
        <f t="shared" si="88"/>
        <v>0</v>
      </c>
      <c r="V2626">
        <v>2</v>
      </c>
      <c r="W2626">
        <v>0</v>
      </c>
    </row>
    <row r="2627" spans="1:23" ht="79.8" x14ac:dyDescent="0.3">
      <c r="A2627" s="210">
        <v>42320</v>
      </c>
      <c r="B2627" s="210">
        <v>42323</v>
      </c>
      <c r="C2627" s="6">
        <v>11</v>
      </c>
      <c r="D2627" s="6">
        <v>4</v>
      </c>
      <c r="E2627" s="54">
        <v>2015</v>
      </c>
      <c r="F2627" s="15" t="s">
        <v>22</v>
      </c>
      <c r="G2627" s="18" t="s">
        <v>6256</v>
      </c>
      <c r="H2627" s="9" t="s">
        <v>174</v>
      </c>
      <c r="I2627" s="34" t="s">
        <v>4450</v>
      </c>
      <c r="J2627" s="34" t="s">
        <v>4451</v>
      </c>
      <c r="K2627" s="55">
        <v>0</v>
      </c>
      <c r="L2627" s="238">
        <v>6938</v>
      </c>
      <c r="M2627" s="162">
        <v>0</v>
      </c>
      <c r="N2627" s="162">
        <v>0</v>
      </c>
      <c r="O2627" s="162">
        <v>0</v>
      </c>
      <c r="P2627" s="162">
        <v>0</v>
      </c>
      <c r="Q2627" s="162">
        <v>0</v>
      </c>
      <c r="R2627" s="159">
        <v>11.965</v>
      </c>
      <c r="S2627" s="158" t="s">
        <v>149</v>
      </c>
      <c r="T2627" s="257">
        <f t="shared" ref="T2627:T2690" si="89">SUM(K2627:L2627)</f>
        <v>6938</v>
      </c>
      <c r="U2627" s="257">
        <f t="shared" ref="U2627:U2690" si="90">SUM(M2627:P2627)</f>
        <v>0</v>
      </c>
      <c r="V2627">
        <v>1</v>
      </c>
      <c r="W2627">
        <v>0</v>
      </c>
    </row>
    <row r="2628" spans="1:23" ht="79.8" x14ac:dyDescent="0.3">
      <c r="A2628" s="210">
        <v>42327</v>
      </c>
      <c r="B2628" s="210">
        <v>42331</v>
      </c>
      <c r="C2628" s="6">
        <v>11</v>
      </c>
      <c r="D2628" s="6">
        <v>5</v>
      </c>
      <c r="E2628" s="54">
        <v>2015</v>
      </c>
      <c r="F2628" s="15" t="s">
        <v>22</v>
      </c>
      <c r="G2628" s="16" t="s">
        <v>6256</v>
      </c>
      <c r="H2628" s="9" t="s">
        <v>174</v>
      </c>
      <c r="I2628" s="34" t="s">
        <v>4452</v>
      </c>
      <c r="J2628" s="34" t="s">
        <v>4453</v>
      </c>
      <c r="K2628" s="55">
        <v>0</v>
      </c>
      <c r="L2628" s="238">
        <v>3616</v>
      </c>
      <c r="M2628" s="162">
        <v>0</v>
      </c>
      <c r="N2628" s="162">
        <v>0</v>
      </c>
      <c r="O2628" s="162">
        <v>0</v>
      </c>
      <c r="P2628" s="162">
        <v>0</v>
      </c>
      <c r="Q2628" s="162">
        <v>0</v>
      </c>
      <c r="R2628" s="159">
        <v>6.4359999999999999</v>
      </c>
      <c r="S2628" s="158" t="s">
        <v>149</v>
      </c>
      <c r="T2628" s="257">
        <f t="shared" si="89"/>
        <v>3616</v>
      </c>
      <c r="U2628" s="257">
        <f t="shared" si="90"/>
        <v>0</v>
      </c>
      <c r="V2628">
        <v>1</v>
      </c>
      <c r="W2628">
        <v>0</v>
      </c>
    </row>
    <row r="2629" spans="1:23" ht="79.8" x14ac:dyDescent="0.3">
      <c r="A2629" s="210">
        <v>42327</v>
      </c>
      <c r="B2629" s="210">
        <v>42334</v>
      </c>
      <c r="C2629" s="6">
        <v>11</v>
      </c>
      <c r="D2629" s="6">
        <v>8</v>
      </c>
      <c r="E2629" s="54">
        <v>2015</v>
      </c>
      <c r="F2629" s="15" t="s">
        <v>22</v>
      </c>
      <c r="G2629" s="16" t="s">
        <v>6256</v>
      </c>
      <c r="H2629" s="9" t="s">
        <v>174</v>
      </c>
      <c r="I2629" s="34" t="s">
        <v>4454</v>
      </c>
      <c r="J2629" s="34" t="s">
        <v>4455</v>
      </c>
      <c r="K2629" s="55">
        <v>0</v>
      </c>
      <c r="L2629" s="238">
        <v>2063</v>
      </c>
      <c r="M2629" s="162">
        <v>0</v>
      </c>
      <c r="N2629" s="162">
        <v>0</v>
      </c>
      <c r="O2629" s="162">
        <v>0</v>
      </c>
      <c r="P2629" s="162">
        <v>0</v>
      </c>
      <c r="Q2629" s="162">
        <v>0</v>
      </c>
      <c r="R2629" s="159">
        <v>1.2509999999999999</v>
      </c>
      <c r="S2629" s="158" t="s">
        <v>149</v>
      </c>
      <c r="T2629" s="257">
        <f t="shared" si="89"/>
        <v>2063</v>
      </c>
      <c r="U2629" s="257">
        <f t="shared" si="90"/>
        <v>0</v>
      </c>
      <c r="V2629">
        <v>1</v>
      </c>
      <c r="W2629">
        <v>0</v>
      </c>
    </row>
    <row r="2630" spans="1:23" ht="79.8" x14ac:dyDescent="0.3">
      <c r="A2630" s="210">
        <v>42341</v>
      </c>
      <c r="B2630" s="210">
        <v>42343</v>
      </c>
      <c r="C2630" s="6">
        <v>12</v>
      </c>
      <c r="D2630" s="6">
        <v>3</v>
      </c>
      <c r="E2630" s="54">
        <v>2015</v>
      </c>
      <c r="F2630" s="15" t="s">
        <v>22</v>
      </c>
      <c r="G2630" s="16" t="s">
        <v>6256</v>
      </c>
      <c r="H2630" s="9" t="s">
        <v>174</v>
      </c>
      <c r="I2630" s="34" t="s">
        <v>4457</v>
      </c>
      <c r="J2630" s="34" t="s">
        <v>4458</v>
      </c>
      <c r="K2630" s="55">
        <v>0</v>
      </c>
      <c r="L2630" s="238">
        <v>4337</v>
      </c>
      <c r="M2630" s="162">
        <v>0</v>
      </c>
      <c r="N2630" s="162">
        <v>0</v>
      </c>
      <c r="O2630" s="162">
        <v>0</v>
      </c>
      <c r="P2630" s="162">
        <v>0</v>
      </c>
      <c r="Q2630" s="162">
        <v>0</v>
      </c>
      <c r="R2630" s="159">
        <v>6.7549999999999999</v>
      </c>
      <c r="S2630" s="158" t="s">
        <v>149</v>
      </c>
      <c r="T2630" s="257">
        <f t="shared" si="89"/>
        <v>4337</v>
      </c>
      <c r="U2630" s="257">
        <f t="shared" si="90"/>
        <v>0</v>
      </c>
      <c r="V2630">
        <v>1</v>
      </c>
      <c r="W2630">
        <v>0</v>
      </c>
    </row>
    <row r="2631" spans="1:23" ht="193.8" x14ac:dyDescent="0.3">
      <c r="A2631" s="225">
        <v>42342</v>
      </c>
      <c r="B2631" s="225">
        <v>42342</v>
      </c>
      <c r="C2631" s="6">
        <v>12</v>
      </c>
      <c r="D2631" s="6">
        <v>1</v>
      </c>
      <c r="E2631" s="54">
        <v>2015</v>
      </c>
      <c r="F2631" s="15" t="s">
        <v>22</v>
      </c>
      <c r="G2631" s="18" t="s">
        <v>6256</v>
      </c>
      <c r="H2631" s="9" t="s">
        <v>174</v>
      </c>
      <c r="I2631" s="70" t="s">
        <v>4459</v>
      </c>
      <c r="J2631" s="127" t="s">
        <v>4460</v>
      </c>
      <c r="K2631" s="124">
        <v>0</v>
      </c>
      <c r="L2631" s="238" t="s">
        <v>95</v>
      </c>
      <c r="M2631" s="72" t="s">
        <v>95</v>
      </c>
      <c r="N2631" s="72">
        <v>0</v>
      </c>
      <c r="O2631" s="72">
        <v>0</v>
      </c>
      <c r="P2631" s="72">
        <v>0</v>
      </c>
      <c r="Q2631" s="72">
        <v>0</v>
      </c>
      <c r="R2631" s="128">
        <v>0</v>
      </c>
      <c r="S2631" s="125" t="s">
        <v>115</v>
      </c>
      <c r="T2631" s="257">
        <f t="shared" si="89"/>
        <v>0</v>
      </c>
      <c r="U2631" s="257">
        <f t="shared" si="90"/>
        <v>0</v>
      </c>
      <c r="V2631">
        <v>0</v>
      </c>
      <c r="W2631">
        <v>0</v>
      </c>
    </row>
    <row r="2632" spans="1:23" ht="79.8" x14ac:dyDescent="0.3">
      <c r="A2632" s="210">
        <v>42350</v>
      </c>
      <c r="B2632" s="210">
        <v>42351</v>
      </c>
      <c r="C2632" s="6">
        <v>12</v>
      </c>
      <c r="D2632" s="6">
        <v>2</v>
      </c>
      <c r="E2632" s="54">
        <v>2015</v>
      </c>
      <c r="F2632" s="15" t="s">
        <v>22</v>
      </c>
      <c r="G2632" s="18" t="s">
        <v>6255</v>
      </c>
      <c r="H2632" s="9" t="s">
        <v>34</v>
      </c>
      <c r="I2632" s="34" t="s">
        <v>4462</v>
      </c>
      <c r="J2632" s="34" t="s">
        <v>4463</v>
      </c>
      <c r="K2632" s="55">
        <v>0</v>
      </c>
      <c r="L2632" s="238">
        <v>7547</v>
      </c>
      <c r="M2632" s="56">
        <v>0</v>
      </c>
      <c r="N2632" s="56">
        <v>0</v>
      </c>
      <c r="O2632" s="56">
        <v>0</v>
      </c>
      <c r="P2632" s="56">
        <v>0</v>
      </c>
      <c r="Q2632" s="56">
        <v>0</v>
      </c>
      <c r="R2632" s="26">
        <v>10.648999999999999</v>
      </c>
      <c r="S2632" s="57" t="s">
        <v>149</v>
      </c>
      <c r="T2632" s="257">
        <f t="shared" si="89"/>
        <v>7547</v>
      </c>
      <c r="U2632" s="257">
        <f t="shared" si="90"/>
        <v>0</v>
      </c>
      <c r="V2632">
        <v>1</v>
      </c>
      <c r="W2632">
        <v>0</v>
      </c>
    </row>
    <row r="2633" spans="1:23" ht="79.8" x14ac:dyDescent="0.3">
      <c r="A2633" s="210">
        <v>42354</v>
      </c>
      <c r="B2633" s="210">
        <v>42355</v>
      </c>
      <c r="C2633" s="6">
        <v>12</v>
      </c>
      <c r="D2633" s="6">
        <v>2</v>
      </c>
      <c r="E2633" s="54">
        <v>2015</v>
      </c>
      <c r="F2633" s="15" t="s">
        <v>22</v>
      </c>
      <c r="G2633" s="18" t="s">
        <v>6255</v>
      </c>
      <c r="H2633" s="9" t="s">
        <v>74</v>
      </c>
      <c r="I2633" s="34" t="s">
        <v>4464</v>
      </c>
      <c r="J2633" s="34" t="s">
        <v>4465</v>
      </c>
      <c r="K2633" s="124">
        <v>0</v>
      </c>
      <c r="L2633" s="239">
        <v>3436</v>
      </c>
      <c r="M2633" s="56">
        <v>0</v>
      </c>
      <c r="N2633" s="56">
        <v>0</v>
      </c>
      <c r="O2633" s="56">
        <v>0</v>
      </c>
      <c r="P2633" s="56">
        <v>0</v>
      </c>
      <c r="Q2633" s="56">
        <v>0</v>
      </c>
      <c r="R2633" s="26">
        <v>4.9329999999999998</v>
      </c>
      <c r="S2633" s="125" t="s">
        <v>149</v>
      </c>
      <c r="T2633" s="257">
        <f t="shared" si="89"/>
        <v>3436</v>
      </c>
      <c r="U2633" s="257">
        <f t="shared" si="90"/>
        <v>0</v>
      </c>
      <c r="V2633">
        <v>1</v>
      </c>
      <c r="W2633">
        <v>0</v>
      </c>
    </row>
    <row r="2634" spans="1:23" ht="136.80000000000001" x14ac:dyDescent="0.3">
      <c r="A2634" s="210">
        <v>42364</v>
      </c>
      <c r="B2634" s="210">
        <v>42366</v>
      </c>
      <c r="C2634" s="6">
        <v>12</v>
      </c>
      <c r="D2634" s="6">
        <v>3</v>
      </c>
      <c r="E2634" s="54">
        <v>2015</v>
      </c>
      <c r="F2634" s="15" t="s">
        <v>22</v>
      </c>
      <c r="G2634" s="18" t="s">
        <v>6255</v>
      </c>
      <c r="H2634" s="9" t="s">
        <v>34</v>
      </c>
      <c r="I2634" s="34" t="s">
        <v>4466</v>
      </c>
      <c r="J2634" s="34" t="s">
        <v>4467</v>
      </c>
      <c r="K2634" s="55">
        <v>0</v>
      </c>
      <c r="L2634" s="238">
        <v>199942</v>
      </c>
      <c r="M2634" s="56">
        <v>0</v>
      </c>
      <c r="N2634" s="56">
        <v>0</v>
      </c>
      <c r="O2634" s="56">
        <v>0</v>
      </c>
      <c r="P2634" s="56">
        <v>0</v>
      </c>
      <c r="Q2634" s="56">
        <v>0</v>
      </c>
      <c r="R2634" s="26">
        <v>132.90299999999999</v>
      </c>
      <c r="S2634" s="57" t="s">
        <v>149</v>
      </c>
      <c r="T2634" s="257">
        <f t="shared" si="89"/>
        <v>199942</v>
      </c>
      <c r="U2634" s="257">
        <f t="shared" si="90"/>
        <v>0</v>
      </c>
      <c r="V2634">
        <v>3</v>
      </c>
      <c r="W2634">
        <v>0</v>
      </c>
    </row>
    <row r="2635" spans="1:23" ht="91.2" x14ac:dyDescent="0.3">
      <c r="A2635" s="210">
        <v>42364</v>
      </c>
      <c r="B2635" s="210">
        <v>42366</v>
      </c>
      <c r="C2635" s="6">
        <v>12</v>
      </c>
      <c r="D2635" s="6">
        <v>3</v>
      </c>
      <c r="E2635" s="54">
        <v>2015</v>
      </c>
      <c r="F2635" s="15" t="s">
        <v>22</v>
      </c>
      <c r="G2635" s="18" t="s">
        <v>6255</v>
      </c>
      <c r="H2635" s="9" t="s">
        <v>74</v>
      </c>
      <c r="I2635" s="34" t="s">
        <v>4468</v>
      </c>
      <c r="J2635" s="34" t="s">
        <v>4469</v>
      </c>
      <c r="K2635" s="124">
        <v>0</v>
      </c>
      <c r="L2635" s="239">
        <v>9098</v>
      </c>
      <c r="M2635" s="56">
        <v>0</v>
      </c>
      <c r="N2635" s="56">
        <v>0</v>
      </c>
      <c r="O2635" s="56">
        <v>0</v>
      </c>
      <c r="P2635" s="56">
        <v>0</v>
      </c>
      <c r="Q2635" s="56">
        <v>0</v>
      </c>
      <c r="R2635" s="26">
        <v>15.5</v>
      </c>
      <c r="S2635" s="125" t="s">
        <v>149</v>
      </c>
      <c r="T2635" s="257">
        <f t="shared" si="89"/>
        <v>9098</v>
      </c>
      <c r="U2635" s="257">
        <f t="shared" si="90"/>
        <v>0</v>
      </c>
      <c r="V2635">
        <v>1</v>
      </c>
      <c r="W2635">
        <v>0</v>
      </c>
    </row>
    <row r="2636" spans="1:23" ht="57" x14ac:dyDescent="0.3">
      <c r="A2636" s="210">
        <v>42364</v>
      </c>
      <c r="B2636" s="210">
        <v>42366</v>
      </c>
      <c r="C2636" s="6">
        <v>12</v>
      </c>
      <c r="D2636" s="6">
        <v>3</v>
      </c>
      <c r="E2636" s="54">
        <v>2015</v>
      </c>
      <c r="F2636" s="15" t="s">
        <v>22</v>
      </c>
      <c r="G2636" s="18" t="s">
        <v>6255</v>
      </c>
      <c r="H2636" s="9" t="s">
        <v>72</v>
      </c>
      <c r="I2636" s="70" t="s">
        <v>4470</v>
      </c>
      <c r="J2636" s="127" t="s">
        <v>4471</v>
      </c>
      <c r="K2636" s="124">
        <v>0</v>
      </c>
      <c r="L2636" s="238">
        <v>1755</v>
      </c>
      <c r="M2636" s="56">
        <v>0</v>
      </c>
      <c r="N2636" s="56">
        <v>0</v>
      </c>
      <c r="O2636" s="56">
        <v>0</v>
      </c>
      <c r="P2636" s="56">
        <v>0</v>
      </c>
      <c r="Q2636" s="56">
        <v>0</v>
      </c>
      <c r="R2636" s="128">
        <v>1.3</v>
      </c>
      <c r="S2636" s="125" t="s">
        <v>149</v>
      </c>
      <c r="T2636" s="257">
        <f t="shared" si="89"/>
        <v>1755</v>
      </c>
      <c r="U2636" s="257">
        <f t="shared" si="90"/>
        <v>0</v>
      </c>
      <c r="V2636">
        <v>1</v>
      </c>
      <c r="W2636">
        <v>0</v>
      </c>
    </row>
    <row r="2637" spans="1:23" ht="228" x14ac:dyDescent="0.3">
      <c r="A2637" s="210">
        <v>42341</v>
      </c>
      <c r="B2637" s="210">
        <v>42344</v>
      </c>
      <c r="C2637" s="6">
        <v>12</v>
      </c>
      <c r="D2637" s="6">
        <v>4</v>
      </c>
      <c r="E2637" s="54">
        <v>2015</v>
      </c>
      <c r="F2637" s="15" t="s">
        <v>22</v>
      </c>
      <c r="G2637" s="18" t="s">
        <v>6256</v>
      </c>
      <c r="H2637" s="17" t="s">
        <v>565</v>
      </c>
      <c r="I2637" s="34" t="s">
        <v>4472</v>
      </c>
      <c r="J2637" s="34" t="s">
        <v>4473</v>
      </c>
      <c r="K2637" s="124">
        <v>0</v>
      </c>
      <c r="L2637" s="238">
        <v>23220</v>
      </c>
      <c r="M2637" s="72">
        <v>0</v>
      </c>
      <c r="N2637" s="72">
        <v>0</v>
      </c>
      <c r="O2637" s="72">
        <v>0</v>
      </c>
      <c r="P2637" s="72">
        <v>0</v>
      </c>
      <c r="Q2637" s="72">
        <v>0</v>
      </c>
      <c r="R2637" s="128">
        <v>1.7050000000000001</v>
      </c>
      <c r="S2637" s="73" t="s">
        <v>2609</v>
      </c>
      <c r="T2637" s="257">
        <f t="shared" si="89"/>
        <v>23220</v>
      </c>
      <c r="U2637" s="257">
        <f t="shared" si="90"/>
        <v>0</v>
      </c>
      <c r="V2637">
        <v>2</v>
      </c>
      <c r="W2637">
        <v>0</v>
      </c>
    </row>
    <row r="2638" spans="1:23" ht="114" x14ac:dyDescent="0.3">
      <c r="A2638" s="213">
        <v>42506</v>
      </c>
      <c r="B2638" s="213">
        <v>42506</v>
      </c>
      <c r="C2638" s="6">
        <v>5</v>
      </c>
      <c r="D2638" s="6">
        <v>1</v>
      </c>
      <c r="E2638" s="27">
        <v>2016</v>
      </c>
      <c r="F2638" s="15" t="s">
        <v>22</v>
      </c>
      <c r="G2638" s="28" t="s">
        <v>6256</v>
      </c>
      <c r="H2638" s="9" t="s">
        <v>37</v>
      </c>
      <c r="I2638" s="29" t="s">
        <v>691</v>
      </c>
      <c r="J2638" s="29" t="s">
        <v>4474</v>
      </c>
      <c r="K2638" s="27">
        <v>3</v>
      </c>
      <c r="L2638" s="235">
        <v>0</v>
      </c>
      <c r="M2638" s="27" t="s">
        <v>95</v>
      </c>
      <c r="N2638" s="27">
        <v>0</v>
      </c>
      <c r="O2638" s="27">
        <v>0</v>
      </c>
      <c r="P2638" s="27">
        <v>0</v>
      </c>
      <c r="Q2638" s="27">
        <v>0</v>
      </c>
      <c r="R2638" s="135">
        <v>0</v>
      </c>
      <c r="S2638" s="27" t="s">
        <v>115</v>
      </c>
      <c r="T2638" s="257">
        <f t="shared" si="89"/>
        <v>3</v>
      </c>
      <c r="U2638" s="257">
        <f t="shared" si="90"/>
        <v>0</v>
      </c>
      <c r="V2638">
        <v>1</v>
      </c>
      <c r="W2638">
        <v>0</v>
      </c>
    </row>
    <row r="2639" spans="1:23" ht="45.6" x14ac:dyDescent="0.3">
      <c r="A2639" s="231">
        <v>42370</v>
      </c>
      <c r="B2639" s="231">
        <v>42735</v>
      </c>
      <c r="C2639" s="6">
        <v>1</v>
      </c>
      <c r="D2639" s="6">
        <v>366</v>
      </c>
      <c r="E2639" s="165">
        <v>2016</v>
      </c>
      <c r="F2639" s="15" t="s">
        <v>22</v>
      </c>
      <c r="G2639" s="9" t="s">
        <v>6258</v>
      </c>
      <c r="H2639" s="9" t="s">
        <v>74</v>
      </c>
      <c r="I2639" s="166" t="s">
        <v>25</v>
      </c>
      <c r="J2639" s="29" t="s">
        <v>4475</v>
      </c>
      <c r="K2639" s="167">
        <v>13</v>
      </c>
      <c r="L2639" s="253">
        <v>373</v>
      </c>
      <c r="M2639" s="167">
        <v>0</v>
      </c>
      <c r="N2639" s="167">
        <v>0</v>
      </c>
      <c r="O2639" s="167">
        <v>0</v>
      </c>
      <c r="P2639" s="167">
        <v>0</v>
      </c>
      <c r="Q2639" s="168">
        <v>0</v>
      </c>
      <c r="R2639" s="169">
        <v>0</v>
      </c>
      <c r="S2639" s="167" t="s">
        <v>1219</v>
      </c>
      <c r="T2639" s="257">
        <f t="shared" si="89"/>
        <v>386</v>
      </c>
      <c r="U2639" s="257">
        <f t="shared" si="90"/>
        <v>0</v>
      </c>
      <c r="V2639">
        <v>1</v>
      </c>
      <c r="W2639">
        <v>0</v>
      </c>
    </row>
    <row r="2640" spans="1:23" ht="136.80000000000001" x14ac:dyDescent="0.3">
      <c r="A2640" s="213">
        <v>42682</v>
      </c>
      <c r="B2640" s="213">
        <v>42682</v>
      </c>
      <c r="C2640" s="6">
        <v>11</v>
      </c>
      <c r="D2640" s="6">
        <v>1</v>
      </c>
      <c r="E2640" s="27">
        <v>2016</v>
      </c>
      <c r="F2640" s="15" t="s">
        <v>22</v>
      </c>
      <c r="G2640" s="28" t="s">
        <v>6256</v>
      </c>
      <c r="H2640" s="9" t="s">
        <v>78</v>
      </c>
      <c r="I2640" s="29" t="s">
        <v>1262</v>
      </c>
      <c r="J2640" s="29" t="s">
        <v>4476</v>
      </c>
      <c r="K2640" s="27">
        <v>1</v>
      </c>
      <c r="L2640" s="235">
        <v>0</v>
      </c>
      <c r="M2640" s="27">
        <v>0</v>
      </c>
      <c r="N2640" s="27">
        <v>0</v>
      </c>
      <c r="O2640" s="27">
        <v>0</v>
      </c>
      <c r="P2640" s="27">
        <v>0</v>
      </c>
      <c r="Q2640" s="31">
        <v>0</v>
      </c>
      <c r="R2640" s="135">
        <v>0</v>
      </c>
      <c r="S2640" s="27" t="s">
        <v>115</v>
      </c>
      <c r="T2640" s="257">
        <f t="shared" si="89"/>
        <v>1</v>
      </c>
      <c r="U2640" s="257">
        <f t="shared" si="90"/>
        <v>0</v>
      </c>
      <c r="V2640">
        <v>1</v>
      </c>
      <c r="W2640">
        <v>0</v>
      </c>
    </row>
    <row r="2641" spans="1:23" ht="57" x14ac:dyDescent="0.3">
      <c r="A2641" s="231">
        <v>42370</v>
      </c>
      <c r="B2641" s="231">
        <v>42735</v>
      </c>
      <c r="C2641" s="6">
        <v>1</v>
      </c>
      <c r="D2641" s="6">
        <v>366</v>
      </c>
      <c r="E2641" s="165">
        <v>2016</v>
      </c>
      <c r="F2641" s="15" t="s">
        <v>22</v>
      </c>
      <c r="G2641" s="18" t="s">
        <v>6255</v>
      </c>
      <c r="H2641" s="9" t="s">
        <v>74</v>
      </c>
      <c r="I2641" s="166" t="s">
        <v>25</v>
      </c>
      <c r="J2641" s="29" t="s">
        <v>4478</v>
      </c>
      <c r="K2641" s="167">
        <v>11</v>
      </c>
      <c r="L2641" s="253">
        <v>72</v>
      </c>
      <c r="M2641" s="167">
        <v>0</v>
      </c>
      <c r="N2641" s="167">
        <v>0</v>
      </c>
      <c r="O2641" s="167">
        <v>0</v>
      </c>
      <c r="P2641" s="167">
        <v>0</v>
      </c>
      <c r="Q2641" s="168">
        <v>0</v>
      </c>
      <c r="R2641" s="169">
        <v>0</v>
      </c>
      <c r="S2641" s="167" t="s">
        <v>1219</v>
      </c>
      <c r="T2641" s="257">
        <f t="shared" si="89"/>
        <v>83</v>
      </c>
      <c r="U2641" s="257">
        <f t="shared" si="90"/>
        <v>0</v>
      </c>
      <c r="V2641">
        <v>1</v>
      </c>
      <c r="W2641">
        <v>0</v>
      </c>
    </row>
    <row r="2642" spans="1:23" ht="40.799999999999997" x14ac:dyDescent="0.3">
      <c r="A2642" s="231">
        <v>42370</v>
      </c>
      <c r="B2642" s="231">
        <v>42735</v>
      </c>
      <c r="C2642" s="6">
        <v>1</v>
      </c>
      <c r="D2642" s="6">
        <v>366</v>
      </c>
      <c r="E2642" s="165">
        <v>2016</v>
      </c>
      <c r="F2642" s="15" t="s">
        <v>22</v>
      </c>
      <c r="G2642" s="18" t="s">
        <v>6255</v>
      </c>
      <c r="H2642" s="9" t="s">
        <v>34</v>
      </c>
      <c r="I2642" s="166" t="s">
        <v>25</v>
      </c>
      <c r="J2642" s="167" t="s">
        <v>4479</v>
      </c>
      <c r="K2642" s="167">
        <v>6</v>
      </c>
      <c r="L2642" s="253">
        <v>124</v>
      </c>
      <c r="M2642" s="167">
        <v>0</v>
      </c>
      <c r="N2642" s="167">
        <v>0</v>
      </c>
      <c r="O2642" s="167">
        <v>0</v>
      </c>
      <c r="P2642" s="167">
        <v>0</v>
      </c>
      <c r="Q2642" s="168">
        <v>0</v>
      </c>
      <c r="R2642" s="169">
        <v>0</v>
      </c>
      <c r="S2642" s="167" t="s">
        <v>1219</v>
      </c>
      <c r="T2642" s="257">
        <f t="shared" si="89"/>
        <v>130</v>
      </c>
      <c r="U2642" s="257">
        <f t="shared" si="90"/>
        <v>0</v>
      </c>
      <c r="V2642">
        <v>1</v>
      </c>
      <c r="W2642">
        <v>0</v>
      </c>
    </row>
    <row r="2643" spans="1:23" ht="40.799999999999997" x14ac:dyDescent="0.3">
      <c r="A2643" s="231">
        <v>42370</v>
      </c>
      <c r="B2643" s="231">
        <v>42735</v>
      </c>
      <c r="C2643" s="6">
        <v>1</v>
      </c>
      <c r="D2643" s="6">
        <v>366</v>
      </c>
      <c r="E2643" s="165">
        <v>2016</v>
      </c>
      <c r="F2643" s="15" t="s">
        <v>22</v>
      </c>
      <c r="G2643" s="9" t="s">
        <v>6258</v>
      </c>
      <c r="H2643" s="9" t="s">
        <v>27</v>
      </c>
      <c r="I2643" s="166" t="s">
        <v>25</v>
      </c>
      <c r="J2643" s="170" t="s">
        <v>4480</v>
      </c>
      <c r="K2643" s="167">
        <v>6</v>
      </c>
      <c r="L2643" s="253">
        <v>69</v>
      </c>
      <c r="M2643" s="167">
        <v>0</v>
      </c>
      <c r="N2643" s="167">
        <v>0</v>
      </c>
      <c r="O2643" s="167">
        <v>0</v>
      </c>
      <c r="P2643" s="167">
        <v>0</v>
      </c>
      <c r="Q2643" s="168">
        <v>0</v>
      </c>
      <c r="R2643" s="169">
        <v>0</v>
      </c>
      <c r="S2643" s="167" t="s">
        <v>1219</v>
      </c>
      <c r="T2643" s="257">
        <f t="shared" si="89"/>
        <v>75</v>
      </c>
      <c r="U2643" s="257">
        <f t="shared" si="90"/>
        <v>0</v>
      </c>
      <c r="V2643">
        <v>1</v>
      </c>
      <c r="W2643">
        <v>0</v>
      </c>
    </row>
    <row r="2644" spans="1:23" ht="114" x14ac:dyDescent="0.3">
      <c r="A2644" s="213">
        <v>42682</v>
      </c>
      <c r="B2644" s="213">
        <v>42682</v>
      </c>
      <c r="C2644" s="6">
        <v>11</v>
      </c>
      <c r="D2644" s="6">
        <v>1</v>
      </c>
      <c r="E2644" s="27">
        <v>2016</v>
      </c>
      <c r="F2644" s="15" t="s">
        <v>22</v>
      </c>
      <c r="G2644" s="28" t="s">
        <v>6256</v>
      </c>
      <c r="H2644" s="9" t="s">
        <v>52</v>
      </c>
      <c r="I2644" s="29" t="s">
        <v>2320</v>
      </c>
      <c r="J2644" s="29" t="s">
        <v>4481</v>
      </c>
      <c r="K2644" s="27">
        <v>1</v>
      </c>
      <c r="L2644" s="235">
        <v>0</v>
      </c>
      <c r="M2644" s="27">
        <v>0</v>
      </c>
      <c r="N2644" s="27">
        <v>0</v>
      </c>
      <c r="O2644" s="27">
        <v>0</v>
      </c>
      <c r="P2644" s="27">
        <v>0</v>
      </c>
      <c r="Q2644" s="31">
        <v>0</v>
      </c>
      <c r="R2644" s="135">
        <v>0</v>
      </c>
      <c r="S2644" s="27" t="s">
        <v>115</v>
      </c>
      <c r="T2644" s="257">
        <f t="shared" si="89"/>
        <v>1</v>
      </c>
      <c r="U2644" s="257">
        <f t="shared" si="90"/>
        <v>0</v>
      </c>
      <c r="V2644">
        <v>1</v>
      </c>
      <c r="W2644">
        <v>0</v>
      </c>
    </row>
    <row r="2645" spans="1:23" ht="45.6" x14ac:dyDescent="0.3">
      <c r="A2645" s="231">
        <v>42370</v>
      </c>
      <c r="B2645" s="231">
        <v>42735</v>
      </c>
      <c r="C2645" s="6">
        <v>1</v>
      </c>
      <c r="D2645" s="6">
        <v>366</v>
      </c>
      <c r="E2645" s="165">
        <v>2016</v>
      </c>
      <c r="F2645" s="15" t="s">
        <v>22</v>
      </c>
      <c r="G2645" s="18" t="s">
        <v>6255</v>
      </c>
      <c r="H2645" s="9" t="s">
        <v>27</v>
      </c>
      <c r="I2645" s="166" t="s">
        <v>25</v>
      </c>
      <c r="J2645" s="29" t="s">
        <v>4482</v>
      </c>
      <c r="K2645" s="167">
        <v>4</v>
      </c>
      <c r="L2645" s="253">
        <v>10</v>
      </c>
      <c r="M2645" s="167">
        <v>0</v>
      </c>
      <c r="N2645" s="167">
        <v>0</v>
      </c>
      <c r="O2645" s="167">
        <v>0</v>
      </c>
      <c r="P2645" s="167">
        <v>0</v>
      </c>
      <c r="Q2645" s="168">
        <v>0</v>
      </c>
      <c r="R2645" s="169">
        <v>0</v>
      </c>
      <c r="S2645" s="167" t="s">
        <v>1219</v>
      </c>
      <c r="T2645" s="257">
        <f t="shared" si="89"/>
        <v>14</v>
      </c>
      <c r="U2645" s="257">
        <f t="shared" si="90"/>
        <v>0</v>
      </c>
      <c r="V2645">
        <v>1</v>
      </c>
      <c r="W2645">
        <v>0</v>
      </c>
    </row>
    <row r="2646" spans="1:23" ht="40.799999999999997" x14ac:dyDescent="0.3">
      <c r="A2646" s="231">
        <v>42370</v>
      </c>
      <c r="B2646" s="231">
        <v>42735</v>
      </c>
      <c r="C2646" s="6">
        <v>1</v>
      </c>
      <c r="D2646" s="6">
        <v>366</v>
      </c>
      <c r="E2646" s="165">
        <v>2016</v>
      </c>
      <c r="F2646" s="15" t="s">
        <v>22</v>
      </c>
      <c r="G2646" s="9" t="s">
        <v>6258</v>
      </c>
      <c r="H2646" s="9" t="s">
        <v>78</v>
      </c>
      <c r="I2646" s="166" t="s">
        <v>25</v>
      </c>
      <c r="J2646" s="170" t="s">
        <v>4483</v>
      </c>
      <c r="K2646" s="167">
        <v>4</v>
      </c>
      <c r="L2646" s="253">
        <v>93</v>
      </c>
      <c r="M2646" s="167">
        <v>0</v>
      </c>
      <c r="N2646" s="167">
        <v>0</v>
      </c>
      <c r="O2646" s="167">
        <v>0</v>
      </c>
      <c r="P2646" s="167">
        <v>0</v>
      </c>
      <c r="Q2646" s="168">
        <v>0</v>
      </c>
      <c r="R2646" s="169">
        <v>0</v>
      </c>
      <c r="S2646" s="167" t="s">
        <v>1219</v>
      </c>
      <c r="T2646" s="257">
        <f t="shared" si="89"/>
        <v>97</v>
      </c>
      <c r="U2646" s="257">
        <f t="shared" si="90"/>
        <v>0</v>
      </c>
      <c r="V2646">
        <v>1</v>
      </c>
      <c r="W2646">
        <v>0</v>
      </c>
    </row>
    <row r="2647" spans="1:23" ht="20.399999999999999" x14ac:dyDescent="0.3">
      <c r="A2647" s="231">
        <v>42370</v>
      </c>
      <c r="B2647" s="231">
        <v>42735</v>
      </c>
      <c r="C2647" s="6">
        <v>1</v>
      </c>
      <c r="D2647" s="6">
        <v>366</v>
      </c>
      <c r="E2647" s="165">
        <v>2016</v>
      </c>
      <c r="F2647" s="15" t="s">
        <v>22</v>
      </c>
      <c r="G2647" s="9" t="s">
        <v>6258</v>
      </c>
      <c r="H2647" s="9" t="s">
        <v>69</v>
      </c>
      <c r="I2647" s="166" t="s">
        <v>25</v>
      </c>
      <c r="J2647" s="170" t="s">
        <v>4484</v>
      </c>
      <c r="K2647" s="167">
        <v>4</v>
      </c>
      <c r="L2647" s="253">
        <v>5</v>
      </c>
      <c r="M2647" s="167">
        <v>0</v>
      </c>
      <c r="N2647" s="167">
        <v>0</v>
      </c>
      <c r="O2647" s="167">
        <v>0</v>
      </c>
      <c r="P2647" s="167">
        <v>0</v>
      </c>
      <c r="Q2647" s="168">
        <v>0</v>
      </c>
      <c r="R2647" s="169">
        <v>0</v>
      </c>
      <c r="S2647" s="167" t="s">
        <v>1219</v>
      </c>
      <c r="T2647" s="257">
        <f t="shared" si="89"/>
        <v>9</v>
      </c>
      <c r="U2647" s="257">
        <f t="shared" si="90"/>
        <v>0</v>
      </c>
      <c r="V2647">
        <v>1</v>
      </c>
      <c r="W2647">
        <v>0</v>
      </c>
    </row>
    <row r="2648" spans="1:23" ht="34.200000000000003" x14ac:dyDescent="0.3">
      <c r="A2648" s="231">
        <v>42370</v>
      </c>
      <c r="B2648" s="231">
        <v>42735</v>
      </c>
      <c r="C2648" s="6">
        <v>1</v>
      </c>
      <c r="D2648" s="6">
        <v>366</v>
      </c>
      <c r="E2648" s="165">
        <v>2016</v>
      </c>
      <c r="F2648" s="15" t="s">
        <v>22</v>
      </c>
      <c r="G2648" s="18" t="s">
        <v>6255</v>
      </c>
      <c r="H2648" s="9" t="s">
        <v>37</v>
      </c>
      <c r="I2648" s="166" t="s">
        <v>25</v>
      </c>
      <c r="J2648" s="164" t="s">
        <v>4487</v>
      </c>
      <c r="K2648" s="167">
        <v>3</v>
      </c>
      <c r="L2648" s="253">
        <v>8</v>
      </c>
      <c r="M2648" s="167">
        <v>0</v>
      </c>
      <c r="N2648" s="167">
        <v>0</v>
      </c>
      <c r="O2648" s="167">
        <v>0</v>
      </c>
      <c r="P2648" s="167">
        <v>0</v>
      </c>
      <c r="Q2648" s="168">
        <v>0</v>
      </c>
      <c r="R2648" s="169">
        <v>0</v>
      </c>
      <c r="S2648" s="167" t="s">
        <v>1219</v>
      </c>
      <c r="T2648" s="257">
        <f t="shared" si="89"/>
        <v>11</v>
      </c>
      <c r="U2648" s="257">
        <f t="shared" si="90"/>
        <v>0</v>
      </c>
      <c r="V2648">
        <v>1</v>
      </c>
      <c r="W2648">
        <v>0</v>
      </c>
    </row>
    <row r="2649" spans="1:23" ht="239.4" x14ac:dyDescent="0.3">
      <c r="A2649" s="213">
        <v>42503</v>
      </c>
      <c r="B2649" s="213">
        <v>42503</v>
      </c>
      <c r="C2649" s="6">
        <v>5</v>
      </c>
      <c r="D2649" s="6">
        <v>1</v>
      </c>
      <c r="E2649" s="27">
        <v>2016</v>
      </c>
      <c r="F2649" s="15" t="s">
        <v>22</v>
      </c>
      <c r="G2649" s="28" t="s">
        <v>6256</v>
      </c>
      <c r="H2649" s="9" t="s">
        <v>41</v>
      </c>
      <c r="I2649" s="29" t="s">
        <v>4486</v>
      </c>
      <c r="J2649" s="29" t="s">
        <v>4488</v>
      </c>
      <c r="K2649" s="27">
        <v>0</v>
      </c>
      <c r="L2649" s="235">
        <v>12</v>
      </c>
      <c r="M2649" s="27">
        <v>0</v>
      </c>
      <c r="N2649" s="27">
        <v>0</v>
      </c>
      <c r="O2649" s="27">
        <v>0</v>
      </c>
      <c r="P2649" s="27">
        <v>0</v>
      </c>
      <c r="Q2649" s="27">
        <v>0</v>
      </c>
      <c r="R2649" s="135">
        <v>0</v>
      </c>
      <c r="S2649" s="27" t="s">
        <v>115</v>
      </c>
      <c r="T2649" s="257">
        <f t="shared" si="89"/>
        <v>12</v>
      </c>
      <c r="U2649" s="257">
        <f t="shared" si="90"/>
        <v>0</v>
      </c>
      <c r="V2649">
        <v>1</v>
      </c>
      <c r="W2649">
        <v>0</v>
      </c>
    </row>
    <row r="2650" spans="1:23" ht="20.399999999999999" x14ac:dyDescent="0.3">
      <c r="A2650" s="231">
        <v>42370</v>
      </c>
      <c r="B2650" s="231">
        <v>42735</v>
      </c>
      <c r="C2650" s="6">
        <v>1</v>
      </c>
      <c r="D2650" s="6">
        <v>366</v>
      </c>
      <c r="E2650" s="165">
        <v>2016</v>
      </c>
      <c r="F2650" s="15" t="s">
        <v>22</v>
      </c>
      <c r="G2650" s="18" t="s">
        <v>6255</v>
      </c>
      <c r="H2650" s="9" t="s">
        <v>174</v>
      </c>
      <c r="I2650" s="166" t="s">
        <v>25</v>
      </c>
      <c r="J2650" s="167" t="s">
        <v>4489</v>
      </c>
      <c r="K2650" s="167">
        <v>2</v>
      </c>
      <c r="L2650" s="253">
        <v>2</v>
      </c>
      <c r="M2650" s="167">
        <v>0</v>
      </c>
      <c r="N2650" s="167">
        <v>0</v>
      </c>
      <c r="O2650" s="167">
        <v>0</v>
      </c>
      <c r="P2650" s="167">
        <v>0</v>
      </c>
      <c r="Q2650" s="168">
        <v>0</v>
      </c>
      <c r="R2650" s="169">
        <v>0</v>
      </c>
      <c r="S2650" s="167" t="s">
        <v>1219</v>
      </c>
      <c r="T2650" s="257">
        <f t="shared" si="89"/>
        <v>4</v>
      </c>
      <c r="U2650" s="257">
        <f t="shared" si="90"/>
        <v>0</v>
      </c>
      <c r="V2650">
        <v>1</v>
      </c>
      <c r="W2650">
        <v>0</v>
      </c>
    </row>
    <row r="2651" spans="1:23" ht="30.6" x14ac:dyDescent="0.3">
      <c r="A2651" s="231">
        <v>42370</v>
      </c>
      <c r="B2651" s="231">
        <v>42735</v>
      </c>
      <c r="C2651" s="6">
        <v>1</v>
      </c>
      <c r="D2651" s="6">
        <v>366</v>
      </c>
      <c r="E2651" s="165">
        <v>2016</v>
      </c>
      <c r="F2651" s="15" t="s">
        <v>22</v>
      </c>
      <c r="G2651" s="9" t="s">
        <v>6258</v>
      </c>
      <c r="H2651" s="9" t="s">
        <v>37</v>
      </c>
      <c r="I2651" s="166" t="s">
        <v>25</v>
      </c>
      <c r="J2651" s="170" t="s">
        <v>4490</v>
      </c>
      <c r="K2651" s="167">
        <v>2</v>
      </c>
      <c r="L2651" s="253">
        <v>9</v>
      </c>
      <c r="M2651" s="167">
        <v>0</v>
      </c>
      <c r="N2651" s="167">
        <v>0</v>
      </c>
      <c r="O2651" s="167">
        <v>0</v>
      </c>
      <c r="P2651" s="167">
        <v>0</v>
      </c>
      <c r="Q2651" s="168">
        <v>0</v>
      </c>
      <c r="R2651" s="169">
        <v>0</v>
      </c>
      <c r="S2651" s="167" t="s">
        <v>1219</v>
      </c>
      <c r="T2651" s="257">
        <f t="shared" si="89"/>
        <v>11</v>
      </c>
      <c r="U2651" s="257">
        <f t="shared" si="90"/>
        <v>0</v>
      </c>
      <c r="V2651">
        <v>1</v>
      </c>
      <c r="W2651">
        <v>0</v>
      </c>
    </row>
    <row r="2652" spans="1:23" ht="193.8" x14ac:dyDescent="0.3">
      <c r="A2652" s="213">
        <v>42569</v>
      </c>
      <c r="B2652" s="213">
        <v>42569</v>
      </c>
      <c r="C2652" s="6">
        <v>7</v>
      </c>
      <c r="D2652" s="6">
        <v>1</v>
      </c>
      <c r="E2652" s="27">
        <v>2016</v>
      </c>
      <c r="F2652" s="15" t="s">
        <v>22</v>
      </c>
      <c r="G2652" s="28" t="s">
        <v>6256</v>
      </c>
      <c r="H2652" s="9" t="s">
        <v>118</v>
      </c>
      <c r="I2652" s="29" t="s">
        <v>4437</v>
      </c>
      <c r="J2652" s="29" t="s">
        <v>4491</v>
      </c>
      <c r="K2652" s="27">
        <v>0</v>
      </c>
      <c r="L2652" s="235" t="s">
        <v>95</v>
      </c>
      <c r="M2652" s="27">
        <v>0</v>
      </c>
      <c r="N2652" s="27">
        <v>0</v>
      </c>
      <c r="O2652" s="27">
        <v>0</v>
      </c>
      <c r="P2652" s="27">
        <v>2</v>
      </c>
      <c r="Q2652" s="31">
        <v>0</v>
      </c>
      <c r="R2652" s="135">
        <v>0</v>
      </c>
      <c r="S2652" s="27" t="s">
        <v>115</v>
      </c>
      <c r="T2652" s="257">
        <f t="shared" si="89"/>
        <v>0</v>
      </c>
      <c r="U2652" s="257">
        <f t="shared" si="90"/>
        <v>2</v>
      </c>
      <c r="V2652">
        <v>0</v>
      </c>
      <c r="W2652">
        <v>1</v>
      </c>
    </row>
    <row r="2653" spans="1:23" ht="79.8" x14ac:dyDescent="0.3">
      <c r="A2653" s="213">
        <v>42516</v>
      </c>
      <c r="B2653" s="213">
        <v>42516</v>
      </c>
      <c r="C2653" s="6">
        <v>5</v>
      </c>
      <c r="D2653" s="6">
        <v>1</v>
      </c>
      <c r="E2653" s="27">
        <v>2016</v>
      </c>
      <c r="F2653" s="15" t="s">
        <v>22</v>
      </c>
      <c r="G2653" s="82" t="s">
        <v>6256</v>
      </c>
      <c r="H2653" s="9" t="s">
        <v>70</v>
      </c>
      <c r="I2653" s="29" t="s">
        <v>4492</v>
      </c>
      <c r="J2653" s="29" t="s">
        <v>4493</v>
      </c>
      <c r="K2653" s="27">
        <v>2</v>
      </c>
      <c r="L2653" s="235">
        <v>5</v>
      </c>
      <c r="M2653" s="27">
        <v>0</v>
      </c>
      <c r="N2653" s="27">
        <v>0</v>
      </c>
      <c r="O2653" s="27">
        <v>0</v>
      </c>
      <c r="P2653" s="27">
        <v>0</v>
      </c>
      <c r="Q2653" s="31">
        <v>0</v>
      </c>
      <c r="R2653" s="135">
        <v>0</v>
      </c>
      <c r="S2653" s="27" t="s">
        <v>115</v>
      </c>
      <c r="T2653" s="257">
        <f t="shared" si="89"/>
        <v>7</v>
      </c>
      <c r="U2653" s="257">
        <f t="shared" si="90"/>
        <v>0</v>
      </c>
      <c r="V2653">
        <v>1</v>
      </c>
      <c r="W2653">
        <v>0</v>
      </c>
    </row>
    <row r="2654" spans="1:23" ht="262.2" x14ac:dyDescent="0.3">
      <c r="A2654" s="213">
        <v>42587</v>
      </c>
      <c r="B2654" s="213">
        <v>42588</v>
      </c>
      <c r="C2654" s="6">
        <v>8</v>
      </c>
      <c r="D2654" s="6">
        <v>2</v>
      </c>
      <c r="E2654" s="27">
        <v>2016</v>
      </c>
      <c r="F2654" s="15" t="s">
        <v>22</v>
      </c>
      <c r="G2654" s="28" t="s">
        <v>6256</v>
      </c>
      <c r="H2654" s="9" t="s">
        <v>64</v>
      </c>
      <c r="I2654" s="29" t="s">
        <v>4494</v>
      </c>
      <c r="J2654" s="30" t="s">
        <v>4495</v>
      </c>
      <c r="K2654" s="27">
        <v>41</v>
      </c>
      <c r="L2654" s="235">
        <v>995332</v>
      </c>
      <c r="M2654" s="27">
        <v>1067</v>
      </c>
      <c r="N2654" s="27">
        <v>30</v>
      </c>
      <c r="O2654" s="27">
        <v>0</v>
      </c>
      <c r="P2654" s="27">
        <v>60</v>
      </c>
      <c r="Q2654" s="31">
        <v>7450</v>
      </c>
      <c r="R2654" s="32">
        <v>2092.4</v>
      </c>
      <c r="S2654" s="27" t="s">
        <v>21</v>
      </c>
      <c r="T2654" s="257">
        <f t="shared" si="89"/>
        <v>995373</v>
      </c>
      <c r="U2654" s="257">
        <f t="shared" si="90"/>
        <v>1157</v>
      </c>
      <c r="V2654">
        <v>4</v>
      </c>
      <c r="W2654">
        <v>2</v>
      </c>
    </row>
    <row r="2655" spans="1:23" ht="20.399999999999999" x14ac:dyDescent="0.3">
      <c r="A2655" s="231">
        <v>42370</v>
      </c>
      <c r="B2655" s="231">
        <v>42735</v>
      </c>
      <c r="C2655" s="6">
        <v>1</v>
      </c>
      <c r="D2655" s="6">
        <v>366</v>
      </c>
      <c r="E2655" s="165">
        <v>2016</v>
      </c>
      <c r="F2655" s="15" t="s">
        <v>22</v>
      </c>
      <c r="G2655" s="18" t="s">
        <v>6255</v>
      </c>
      <c r="H2655" s="9" t="s">
        <v>57</v>
      </c>
      <c r="I2655" s="166" t="s">
        <v>25</v>
      </c>
      <c r="J2655" s="167" t="s">
        <v>4496</v>
      </c>
      <c r="K2655" s="167">
        <v>1</v>
      </c>
      <c r="L2655" s="253">
        <v>5</v>
      </c>
      <c r="M2655" s="167">
        <v>0</v>
      </c>
      <c r="N2655" s="167">
        <v>0</v>
      </c>
      <c r="O2655" s="167">
        <v>0</v>
      </c>
      <c r="P2655" s="167">
        <v>0</v>
      </c>
      <c r="Q2655" s="168">
        <v>0</v>
      </c>
      <c r="R2655" s="169">
        <v>0</v>
      </c>
      <c r="S2655" s="167" t="s">
        <v>1219</v>
      </c>
      <c r="T2655" s="257">
        <f t="shared" si="89"/>
        <v>6</v>
      </c>
      <c r="U2655" s="257">
        <f t="shared" si="90"/>
        <v>0</v>
      </c>
      <c r="V2655">
        <v>1</v>
      </c>
      <c r="W2655">
        <v>0</v>
      </c>
    </row>
    <row r="2656" spans="1:23" ht="34.200000000000003" x14ac:dyDescent="0.3">
      <c r="A2656" s="231">
        <v>42370</v>
      </c>
      <c r="B2656" s="231">
        <v>42735</v>
      </c>
      <c r="C2656" s="6">
        <v>1</v>
      </c>
      <c r="D2656" s="6">
        <v>366</v>
      </c>
      <c r="E2656" s="165">
        <v>2016</v>
      </c>
      <c r="F2656" s="15" t="s">
        <v>22</v>
      </c>
      <c r="G2656" s="18" t="s">
        <v>6255</v>
      </c>
      <c r="H2656" s="9" t="s">
        <v>41</v>
      </c>
      <c r="I2656" s="166" t="s">
        <v>25</v>
      </c>
      <c r="J2656" s="29" t="s">
        <v>4497</v>
      </c>
      <c r="K2656" s="167">
        <v>1</v>
      </c>
      <c r="L2656" s="253">
        <v>21</v>
      </c>
      <c r="M2656" s="167">
        <v>0</v>
      </c>
      <c r="N2656" s="167">
        <v>0</v>
      </c>
      <c r="O2656" s="167">
        <v>0</v>
      </c>
      <c r="P2656" s="167">
        <v>0</v>
      </c>
      <c r="Q2656" s="168">
        <v>0</v>
      </c>
      <c r="R2656" s="169">
        <v>0</v>
      </c>
      <c r="S2656" s="167" t="s">
        <v>1219</v>
      </c>
      <c r="T2656" s="257">
        <f t="shared" si="89"/>
        <v>22</v>
      </c>
      <c r="U2656" s="257">
        <f t="shared" si="90"/>
        <v>0</v>
      </c>
      <c r="V2656">
        <v>1</v>
      </c>
      <c r="W2656">
        <v>0</v>
      </c>
    </row>
    <row r="2657" spans="1:23" ht="34.200000000000003" x14ac:dyDescent="0.3">
      <c r="A2657" s="231">
        <v>42370</v>
      </c>
      <c r="B2657" s="231">
        <v>42735</v>
      </c>
      <c r="C2657" s="6">
        <v>1</v>
      </c>
      <c r="D2657" s="6">
        <v>366</v>
      </c>
      <c r="E2657" s="165">
        <v>2016</v>
      </c>
      <c r="F2657" s="15" t="s">
        <v>22</v>
      </c>
      <c r="G2657" s="18" t="s">
        <v>6255</v>
      </c>
      <c r="H2657" s="9" t="s">
        <v>46</v>
      </c>
      <c r="I2657" s="166" t="s">
        <v>25</v>
      </c>
      <c r="J2657" s="29" t="s">
        <v>4498</v>
      </c>
      <c r="K2657" s="167">
        <v>1</v>
      </c>
      <c r="L2657" s="253">
        <v>4</v>
      </c>
      <c r="M2657" s="167">
        <v>0</v>
      </c>
      <c r="N2657" s="167">
        <v>0</v>
      </c>
      <c r="O2657" s="167">
        <v>0</v>
      </c>
      <c r="P2657" s="167">
        <v>0</v>
      </c>
      <c r="Q2657" s="168">
        <v>0</v>
      </c>
      <c r="R2657" s="169">
        <v>0</v>
      </c>
      <c r="S2657" s="167" t="s">
        <v>1219</v>
      </c>
      <c r="T2657" s="257">
        <f t="shared" si="89"/>
        <v>5</v>
      </c>
      <c r="U2657" s="257">
        <f t="shared" si="90"/>
        <v>0</v>
      </c>
      <c r="V2657">
        <v>1</v>
      </c>
      <c r="W2657">
        <v>0</v>
      </c>
    </row>
    <row r="2658" spans="1:23" ht="30.6" x14ac:dyDescent="0.3">
      <c r="A2658" s="231">
        <v>42370</v>
      </c>
      <c r="B2658" s="231">
        <v>42735</v>
      </c>
      <c r="C2658" s="6">
        <v>1</v>
      </c>
      <c r="D2658" s="6">
        <v>366</v>
      </c>
      <c r="E2658" s="165">
        <v>2016</v>
      </c>
      <c r="F2658" s="15" t="s">
        <v>22</v>
      </c>
      <c r="G2658" s="9" t="s">
        <v>6258</v>
      </c>
      <c r="H2658" s="9" t="s">
        <v>72</v>
      </c>
      <c r="I2658" s="166" t="s">
        <v>25</v>
      </c>
      <c r="J2658" s="170" t="s">
        <v>4499</v>
      </c>
      <c r="K2658" s="167">
        <v>1</v>
      </c>
      <c r="L2658" s="253">
        <v>34</v>
      </c>
      <c r="M2658" s="167">
        <v>0</v>
      </c>
      <c r="N2658" s="167">
        <v>0</v>
      </c>
      <c r="O2658" s="167">
        <v>0</v>
      </c>
      <c r="P2658" s="167">
        <v>0</v>
      </c>
      <c r="Q2658" s="168">
        <v>0</v>
      </c>
      <c r="R2658" s="169">
        <v>0</v>
      </c>
      <c r="S2658" s="167" t="s">
        <v>1219</v>
      </c>
      <c r="T2658" s="257">
        <f t="shared" si="89"/>
        <v>35</v>
      </c>
      <c r="U2658" s="257">
        <f t="shared" si="90"/>
        <v>0</v>
      </c>
      <c r="V2658">
        <v>1</v>
      </c>
      <c r="W2658">
        <v>0</v>
      </c>
    </row>
    <row r="2659" spans="1:23" ht="40.799999999999997" x14ac:dyDescent="0.3">
      <c r="A2659" s="231">
        <v>42370</v>
      </c>
      <c r="B2659" s="231">
        <v>42735</v>
      </c>
      <c r="C2659" s="6">
        <v>1</v>
      </c>
      <c r="D2659" s="6">
        <v>366</v>
      </c>
      <c r="E2659" s="165">
        <v>2016</v>
      </c>
      <c r="F2659" s="15" t="s">
        <v>22</v>
      </c>
      <c r="G2659" s="9" t="s">
        <v>6258</v>
      </c>
      <c r="H2659" s="9" t="s">
        <v>34</v>
      </c>
      <c r="I2659" s="166" t="s">
        <v>25</v>
      </c>
      <c r="J2659" s="170" t="s">
        <v>4500</v>
      </c>
      <c r="K2659" s="167">
        <v>1</v>
      </c>
      <c r="L2659" s="253">
        <v>24</v>
      </c>
      <c r="M2659" s="167">
        <v>0</v>
      </c>
      <c r="N2659" s="167">
        <v>0</v>
      </c>
      <c r="O2659" s="167">
        <v>0</v>
      </c>
      <c r="P2659" s="167">
        <v>0</v>
      </c>
      <c r="Q2659" s="168">
        <v>0</v>
      </c>
      <c r="R2659" s="169">
        <v>0</v>
      </c>
      <c r="S2659" s="167" t="s">
        <v>1219</v>
      </c>
      <c r="T2659" s="257">
        <f t="shared" si="89"/>
        <v>25</v>
      </c>
      <c r="U2659" s="257">
        <f t="shared" si="90"/>
        <v>0</v>
      </c>
      <c r="V2659">
        <v>1</v>
      </c>
      <c r="W2659">
        <v>0</v>
      </c>
    </row>
    <row r="2660" spans="1:23" ht="30.6" x14ac:dyDescent="0.3">
      <c r="A2660" s="231">
        <v>42370</v>
      </c>
      <c r="B2660" s="231">
        <v>42735</v>
      </c>
      <c r="C2660" s="6">
        <v>1</v>
      </c>
      <c r="D2660" s="6">
        <v>366</v>
      </c>
      <c r="E2660" s="165">
        <v>2016</v>
      </c>
      <c r="F2660" s="15" t="s">
        <v>22</v>
      </c>
      <c r="G2660" s="9" t="s">
        <v>6258</v>
      </c>
      <c r="H2660" s="9" t="s">
        <v>70</v>
      </c>
      <c r="I2660" s="166" t="s">
        <v>25</v>
      </c>
      <c r="J2660" s="170" t="s">
        <v>4501</v>
      </c>
      <c r="K2660" s="167">
        <v>1</v>
      </c>
      <c r="L2660" s="253">
        <v>3</v>
      </c>
      <c r="M2660" s="167">
        <v>0</v>
      </c>
      <c r="N2660" s="167">
        <v>0</v>
      </c>
      <c r="O2660" s="167">
        <v>0</v>
      </c>
      <c r="P2660" s="167">
        <v>0</v>
      </c>
      <c r="Q2660" s="168">
        <v>0</v>
      </c>
      <c r="R2660" s="169">
        <v>0</v>
      </c>
      <c r="S2660" s="167" t="s">
        <v>1219</v>
      </c>
      <c r="T2660" s="257">
        <f t="shared" si="89"/>
        <v>4</v>
      </c>
      <c r="U2660" s="257">
        <f t="shared" si="90"/>
        <v>0</v>
      </c>
      <c r="V2660">
        <v>1</v>
      </c>
      <c r="W2660">
        <v>0</v>
      </c>
    </row>
    <row r="2661" spans="1:23" x14ac:dyDescent="0.3">
      <c r="A2661" s="231">
        <v>42370</v>
      </c>
      <c r="B2661" s="231">
        <v>42735</v>
      </c>
      <c r="C2661" s="6">
        <v>1</v>
      </c>
      <c r="D2661" s="6">
        <v>366</v>
      </c>
      <c r="E2661" s="165">
        <v>2016</v>
      </c>
      <c r="F2661" s="15" t="s">
        <v>22</v>
      </c>
      <c r="G2661" s="9" t="s">
        <v>6258</v>
      </c>
      <c r="H2661" s="9" t="s">
        <v>57</v>
      </c>
      <c r="I2661" s="166" t="s">
        <v>25</v>
      </c>
      <c r="J2661" s="170" t="s">
        <v>4502</v>
      </c>
      <c r="K2661" s="167">
        <v>1</v>
      </c>
      <c r="L2661" s="253">
        <v>1</v>
      </c>
      <c r="M2661" s="167">
        <v>0</v>
      </c>
      <c r="N2661" s="167">
        <v>0</v>
      </c>
      <c r="O2661" s="167">
        <v>0</v>
      </c>
      <c r="P2661" s="167">
        <v>0</v>
      </c>
      <c r="Q2661" s="168">
        <v>0</v>
      </c>
      <c r="R2661" s="169">
        <v>0</v>
      </c>
      <c r="S2661" s="167" t="s">
        <v>1219</v>
      </c>
      <c r="T2661" s="257">
        <f t="shared" si="89"/>
        <v>2</v>
      </c>
      <c r="U2661" s="257">
        <f t="shared" si="90"/>
        <v>0</v>
      </c>
      <c r="V2661">
        <v>1</v>
      </c>
      <c r="W2661">
        <v>0</v>
      </c>
    </row>
    <row r="2662" spans="1:23" ht="68.400000000000006" x14ac:dyDescent="0.3">
      <c r="A2662" s="213">
        <v>42517</v>
      </c>
      <c r="B2662" s="213">
        <v>42517</v>
      </c>
      <c r="C2662" s="6">
        <v>5</v>
      </c>
      <c r="D2662" s="6">
        <v>1</v>
      </c>
      <c r="E2662" s="27">
        <v>2016</v>
      </c>
      <c r="F2662" s="15" t="s">
        <v>22</v>
      </c>
      <c r="G2662" s="82" t="s">
        <v>6256</v>
      </c>
      <c r="H2662" s="9" t="s">
        <v>70</v>
      </c>
      <c r="I2662" s="29" t="s">
        <v>184</v>
      </c>
      <c r="J2662" s="29" t="s">
        <v>4503</v>
      </c>
      <c r="K2662" s="27">
        <v>1</v>
      </c>
      <c r="L2662" s="235">
        <v>1</v>
      </c>
      <c r="M2662" s="27">
        <v>0</v>
      </c>
      <c r="N2662" s="27">
        <v>0</v>
      </c>
      <c r="O2662" s="27">
        <v>0</v>
      </c>
      <c r="P2662" s="27">
        <v>0</v>
      </c>
      <c r="Q2662" s="31">
        <v>0</v>
      </c>
      <c r="R2662" s="135">
        <v>0</v>
      </c>
      <c r="S2662" s="27" t="s">
        <v>115</v>
      </c>
      <c r="T2662" s="257">
        <f t="shared" si="89"/>
        <v>2</v>
      </c>
      <c r="U2662" s="257">
        <f t="shared" si="90"/>
        <v>0</v>
      </c>
      <c r="V2662">
        <v>1</v>
      </c>
      <c r="W2662">
        <v>0</v>
      </c>
    </row>
    <row r="2663" spans="1:23" ht="34.200000000000003" x14ac:dyDescent="0.3">
      <c r="A2663" s="221">
        <v>38552</v>
      </c>
      <c r="B2663" s="221">
        <v>38552</v>
      </c>
      <c r="C2663" s="6">
        <v>7</v>
      </c>
      <c r="D2663" s="6">
        <v>1</v>
      </c>
      <c r="E2663" s="76">
        <v>2005</v>
      </c>
      <c r="F2663" s="7" t="s">
        <v>17</v>
      </c>
      <c r="G2663" s="8" t="s">
        <v>6261</v>
      </c>
      <c r="H2663" s="9" t="s">
        <v>48</v>
      </c>
      <c r="I2663" s="90" t="s">
        <v>1465</v>
      </c>
      <c r="J2663" s="90" t="s">
        <v>4504</v>
      </c>
      <c r="K2663" s="100">
        <v>1</v>
      </c>
      <c r="L2663" s="244">
        <v>1</v>
      </c>
      <c r="M2663" s="101">
        <v>0</v>
      </c>
      <c r="N2663" s="101">
        <v>0</v>
      </c>
      <c r="O2663" s="37">
        <v>0</v>
      </c>
      <c r="P2663" s="37">
        <v>0</v>
      </c>
      <c r="Q2663" s="101">
        <v>0</v>
      </c>
      <c r="R2663" s="102">
        <v>0</v>
      </c>
      <c r="S2663" s="7" t="s">
        <v>115</v>
      </c>
      <c r="T2663" s="257">
        <f t="shared" si="89"/>
        <v>2</v>
      </c>
      <c r="U2663" s="257">
        <f t="shared" si="90"/>
        <v>0</v>
      </c>
      <c r="V2663">
        <v>1</v>
      </c>
      <c r="W2663">
        <v>0</v>
      </c>
    </row>
    <row r="2664" spans="1:23" ht="79.8" x14ac:dyDescent="0.3">
      <c r="A2664" s="213">
        <v>42593</v>
      </c>
      <c r="B2664" s="213">
        <v>42598</v>
      </c>
      <c r="C2664" s="6">
        <v>8</v>
      </c>
      <c r="D2664" s="6">
        <v>6</v>
      </c>
      <c r="E2664" s="27">
        <v>2016</v>
      </c>
      <c r="F2664" s="15" t="s">
        <v>22</v>
      </c>
      <c r="G2664" s="28" t="s">
        <v>6256</v>
      </c>
      <c r="H2664" s="9" t="s">
        <v>41</v>
      </c>
      <c r="I2664" s="29" t="s">
        <v>4505</v>
      </c>
      <c r="J2664" s="30" t="s">
        <v>550</v>
      </c>
      <c r="K2664" s="27">
        <v>5</v>
      </c>
      <c r="L2664" s="235">
        <v>33325</v>
      </c>
      <c r="M2664" s="27">
        <v>744</v>
      </c>
      <c r="N2664" s="27">
        <v>55</v>
      </c>
      <c r="O2664" s="27">
        <v>1</v>
      </c>
      <c r="P2664" s="27">
        <v>496</v>
      </c>
      <c r="Q2664" s="31">
        <v>0</v>
      </c>
      <c r="R2664" s="32">
        <v>1422.9</v>
      </c>
      <c r="S2664" s="27" t="s">
        <v>21</v>
      </c>
      <c r="T2664" s="257">
        <f t="shared" si="89"/>
        <v>33330</v>
      </c>
      <c r="U2664" s="257">
        <f t="shared" si="90"/>
        <v>1296</v>
      </c>
      <c r="V2664">
        <v>2</v>
      </c>
      <c r="W2664">
        <v>2</v>
      </c>
    </row>
    <row r="2665" spans="1:23" ht="34.200000000000003" x14ac:dyDescent="0.3">
      <c r="A2665" s="213">
        <v>42585</v>
      </c>
      <c r="B2665" s="213">
        <v>42587</v>
      </c>
      <c r="C2665" s="6">
        <v>8</v>
      </c>
      <c r="D2665" s="6">
        <v>3</v>
      </c>
      <c r="E2665" s="27">
        <v>2016</v>
      </c>
      <c r="F2665" s="15" t="s">
        <v>22</v>
      </c>
      <c r="G2665" s="28" t="s">
        <v>6256</v>
      </c>
      <c r="H2665" s="9" t="s">
        <v>112</v>
      </c>
      <c r="I2665" s="29" t="s">
        <v>4506</v>
      </c>
      <c r="J2665" s="29" t="s">
        <v>4507</v>
      </c>
      <c r="K2665" s="27">
        <v>0</v>
      </c>
      <c r="L2665" s="235">
        <v>0</v>
      </c>
      <c r="M2665" s="27">
        <v>0</v>
      </c>
      <c r="N2665" s="27">
        <v>0</v>
      </c>
      <c r="O2665" s="27">
        <v>0</v>
      </c>
      <c r="P2665" s="27">
        <v>0</v>
      </c>
      <c r="Q2665" s="31">
        <v>0</v>
      </c>
      <c r="R2665" s="135">
        <v>1047.4390000000001</v>
      </c>
      <c r="S2665" s="27" t="s">
        <v>149</v>
      </c>
      <c r="T2665" s="257">
        <f t="shared" si="89"/>
        <v>0</v>
      </c>
      <c r="U2665" s="257">
        <f t="shared" si="90"/>
        <v>0</v>
      </c>
      <c r="V2665">
        <v>0</v>
      </c>
      <c r="W2665">
        <v>0</v>
      </c>
    </row>
    <row r="2666" spans="1:23" ht="45.6" x14ac:dyDescent="0.3">
      <c r="A2666" s="213">
        <v>42614</v>
      </c>
      <c r="B2666" s="213">
        <v>42614</v>
      </c>
      <c r="C2666" s="6">
        <v>9</v>
      </c>
      <c r="D2666" s="6">
        <v>1</v>
      </c>
      <c r="E2666" s="27">
        <v>2016</v>
      </c>
      <c r="F2666" s="15" t="s">
        <v>22</v>
      </c>
      <c r="G2666" s="28" t="s">
        <v>6256</v>
      </c>
      <c r="H2666" s="9" t="s">
        <v>34</v>
      </c>
      <c r="I2666" s="29" t="s">
        <v>4508</v>
      </c>
      <c r="J2666" s="29" t="s">
        <v>4509</v>
      </c>
      <c r="K2666" s="27">
        <v>0</v>
      </c>
      <c r="L2666" s="235">
        <v>0</v>
      </c>
      <c r="M2666" s="27">
        <v>0</v>
      </c>
      <c r="N2666" s="27">
        <v>0</v>
      </c>
      <c r="O2666" s="27">
        <v>0</v>
      </c>
      <c r="P2666" s="27">
        <v>0</v>
      </c>
      <c r="Q2666" s="31">
        <v>0</v>
      </c>
      <c r="R2666" s="135">
        <v>833.71900000000005</v>
      </c>
      <c r="S2666" s="27" t="s">
        <v>149</v>
      </c>
      <c r="T2666" s="257">
        <f t="shared" si="89"/>
        <v>0</v>
      </c>
      <c r="U2666" s="257">
        <f t="shared" si="90"/>
        <v>0</v>
      </c>
      <c r="V2666">
        <v>0</v>
      </c>
      <c r="W2666">
        <v>0</v>
      </c>
    </row>
    <row r="2667" spans="1:23" ht="20.399999999999999" x14ac:dyDescent="0.3">
      <c r="A2667" s="231">
        <v>42370</v>
      </c>
      <c r="B2667" s="231">
        <v>42735</v>
      </c>
      <c r="C2667" s="6">
        <v>1</v>
      </c>
      <c r="D2667" s="6">
        <v>366</v>
      </c>
      <c r="E2667" s="165">
        <v>2016</v>
      </c>
      <c r="F2667" s="15" t="s">
        <v>22</v>
      </c>
      <c r="G2667" s="18" t="s">
        <v>6255</v>
      </c>
      <c r="H2667" s="9" t="s">
        <v>64</v>
      </c>
      <c r="I2667" s="166" t="s">
        <v>25</v>
      </c>
      <c r="J2667" s="167" t="s">
        <v>4510</v>
      </c>
      <c r="K2667" s="167">
        <v>0</v>
      </c>
      <c r="L2667" s="253">
        <v>10</v>
      </c>
      <c r="M2667" s="167">
        <v>0</v>
      </c>
      <c r="N2667" s="167">
        <v>0</v>
      </c>
      <c r="O2667" s="167">
        <v>0</v>
      </c>
      <c r="P2667" s="167">
        <v>0</v>
      </c>
      <c r="Q2667" s="168">
        <v>0</v>
      </c>
      <c r="R2667" s="169">
        <v>0</v>
      </c>
      <c r="S2667" s="167" t="s">
        <v>1219</v>
      </c>
      <c r="T2667" s="257">
        <f t="shared" si="89"/>
        <v>10</v>
      </c>
      <c r="U2667" s="257">
        <f t="shared" si="90"/>
        <v>0</v>
      </c>
      <c r="V2667">
        <v>1</v>
      </c>
      <c r="W2667">
        <v>0</v>
      </c>
    </row>
    <row r="2668" spans="1:23" ht="22.8" x14ac:dyDescent="0.3">
      <c r="A2668" s="231">
        <v>42370</v>
      </c>
      <c r="B2668" s="231">
        <v>42735</v>
      </c>
      <c r="C2668" s="6">
        <v>1</v>
      </c>
      <c r="D2668" s="6">
        <v>366</v>
      </c>
      <c r="E2668" s="165">
        <v>2016</v>
      </c>
      <c r="F2668" s="15" t="s">
        <v>22</v>
      </c>
      <c r="G2668" s="18" t="s">
        <v>6255</v>
      </c>
      <c r="H2668" s="9" t="s">
        <v>31</v>
      </c>
      <c r="I2668" s="166" t="s">
        <v>25</v>
      </c>
      <c r="J2668" s="29" t="s">
        <v>4511</v>
      </c>
      <c r="K2668" s="167">
        <v>0</v>
      </c>
      <c r="L2668" s="253">
        <v>4</v>
      </c>
      <c r="M2668" s="167">
        <v>0</v>
      </c>
      <c r="N2668" s="167">
        <v>0</v>
      </c>
      <c r="O2668" s="167">
        <v>0</v>
      </c>
      <c r="P2668" s="167">
        <v>0</v>
      </c>
      <c r="Q2668" s="168">
        <v>0</v>
      </c>
      <c r="R2668" s="169">
        <v>0</v>
      </c>
      <c r="S2668" s="167" t="s">
        <v>1219</v>
      </c>
      <c r="T2668" s="257">
        <f t="shared" si="89"/>
        <v>4</v>
      </c>
      <c r="U2668" s="257">
        <f t="shared" si="90"/>
        <v>0</v>
      </c>
      <c r="V2668">
        <v>1</v>
      </c>
      <c r="W2668">
        <v>0</v>
      </c>
    </row>
    <row r="2669" spans="1:23" ht="22.8" x14ac:dyDescent="0.3">
      <c r="A2669" s="231">
        <v>42370</v>
      </c>
      <c r="B2669" s="231">
        <v>42735</v>
      </c>
      <c r="C2669" s="6">
        <v>1</v>
      </c>
      <c r="D2669" s="6">
        <v>366</v>
      </c>
      <c r="E2669" s="165">
        <v>2016</v>
      </c>
      <c r="F2669" s="15" t="s">
        <v>22</v>
      </c>
      <c r="G2669" s="18" t="s">
        <v>6255</v>
      </c>
      <c r="H2669" s="9" t="s">
        <v>78</v>
      </c>
      <c r="I2669" s="166" t="s">
        <v>25</v>
      </c>
      <c r="J2669" s="29" t="s">
        <v>4512</v>
      </c>
      <c r="K2669" s="167">
        <v>0</v>
      </c>
      <c r="L2669" s="253">
        <v>4</v>
      </c>
      <c r="M2669" s="167">
        <v>0</v>
      </c>
      <c r="N2669" s="167">
        <v>0</v>
      </c>
      <c r="O2669" s="167">
        <v>0</v>
      </c>
      <c r="P2669" s="167">
        <v>0</v>
      </c>
      <c r="Q2669" s="168">
        <v>0</v>
      </c>
      <c r="R2669" s="169">
        <v>0</v>
      </c>
      <c r="S2669" s="167" t="s">
        <v>1219</v>
      </c>
      <c r="T2669" s="257">
        <f t="shared" si="89"/>
        <v>4</v>
      </c>
      <c r="U2669" s="257">
        <f t="shared" si="90"/>
        <v>0</v>
      </c>
      <c r="V2669">
        <v>1</v>
      </c>
      <c r="W2669">
        <v>0</v>
      </c>
    </row>
    <row r="2670" spans="1:23" ht="22.8" x14ac:dyDescent="0.3">
      <c r="A2670" s="231">
        <v>42370</v>
      </c>
      <c r="B2670" s="231">
        <v>42735</v>
      </c>
      <c r="C2670" s="6">
        <v>1</v>
      </c>
      <c r="D2670" s="6">
        <v>366</v>
      </c>
      <c r="E2670" s="165">
        <v>2016</v>
      </c>
      <c r="F2670" s="15" t="s">
        <v>22</v>
      </c>
      <c r="G2670" s="18" t="s">
        <v>6255</v>
      </c>
      <c r="H2670" s="9" t="s">
        <v>24</v>
      </c>
      <c r="I2670" s="166" t="s">
        <v>25</v>
      </c>
      <c r="J2670" s="29" t="s">
        <v>4513</v>
      </c>
      <c r="K2670" s="167">
        <v>0</v>
      </c>
      <c r="L2670" s="253">
        <v>2</v>
      </c>
      <c r="M2670" s="167">
        <v>0</v>
      </c>
      <c r="N2670" s="167">
        <v>0</v>
      </c>
      <c r="O2670" s="167">
        <v>0</v>
      </c>
      <c r="P2670" s="167">
        <v>0</v>
      </c>
      <c r="Q2670" s="168">
        <v>0</v>
      </c>
      <c r="R2670" s="169">
        <v>0</v>
      </c>
      <c r="S2670" s="167" t="s">
        <v>1219</v>
      </c>
      <c r="T2670" s="257">
        <f t="shared" si="89"/>
        <v>2</v>
      </c>
      <c r="U2670" s="257">
        <f t="shared" si="90"/>
        <v>0</v>
      </c>
      <c r="V2670">
        <v>1</v>
      </c>
      <c r="W2670">
        <v>0</v>
      </c>
    </row>
    <row r="2671" spans="1:23" ht="22.8" x14ac:dyDescent="0.3">
      <c r="A2671" s="231">
        <v>42370</v>
      </c>
      <c r="B2671" s="231">
        <v>42735</v>
      </c>
      <c r="C2671" s="6">
        <v>1</v>
      </c>
      <c r="D2671" s="6">
        <v>366</v>
      </c>
      <c r="E2671" s="165">
        <v>2016</v>
      </c>
      <c r="F2671" s="15" t="s">
        <v>22</v>
      </c>
      <c r="G2671" s="18" t="s">
        <v>6255</v>
      </c>
      <c r="H2671" s="9" t="s">
        <v>121</v>
      </c>
      <c r="I2671" s="166" t="s">
        <v>25</v>
      </c>
      <c r="J2671" s="29" t="s">
        <v>4514</v>
      </c>
      <c r="K2671" s="167">
        <v>0</v>
      </c>
      <c r="L2671" s="253">
        <v>7</v>
      </c>
      <c r="M2671" s="167">
        <v>0</v>
      </c>
      <c r="N2671" s="167">
        <v>0</v>
      </c>
      <c r="O2671" s="167">
        <v>0</v>
      </c>
      <c r="P2671" s="167">
        <v>0</v>
      </c>
      <c r="Q2671" s="168">
        <v>0</v>
      </c>
      <c r="R2671" s="169">
        <v>0</v>
      </c>
      <c r="S2671" s="167" t="s">
        <v>1219</v>
      </c>
      <c r="T2671" s="257">
        <f t="shared" si="89"/>
        <v>7</v>
      </c>
      <c r="U2671" s="257">
        <f t="shared" si="90"/>
        <v>0</v>
      </c>
      <c r="V2671">
        <v>1</v>
      </c>
      <c r="W2671">
        <v>0</v>
      </c>
    </row>
    <row r="2672" spans="1:23" ht="22.8" x14ac:dyDescent="0.3">
      <c r="A2672" s="231">
        <v>42370</v>
      </c>
      <c r="B2672" s="231">
        <v>42735</v>
      </c>
      <c r="C2672" s="6">
        <v>1</v>
      </c>
      <c r="D2672" s="6">
        <v>366</v>
      </c>
      <c r="E2672" s="165">
        <v>2016</v>
      </c>
      <c r="F2672" s="15" t="s">
        <v>22</v>
      </c>
      <c r="G2672" s="18" t="s">
        <v>6255</v>
      </c>
      <c r="H2672" s="9" t="s">
        <v>118</v>
      </c>
      <c r="I2672" s="166" t="s">
        <v>25</v>
      </c>
      <c r="J2672" s="29" t="s">
        <v>4515</v>
      </c>
      <c r="K2672" s="167">
        <v>0</v>
      </c>
      <c r="L2672" s="253">
        <v>1</v>
      </c>
      <c r="M2672" s="167">
        <v>0</v>
      </c>
      <c r="N2672" s="167">
        <v>0</v>
      </c>
      <c r="O2672" s="167">
        <v>0</v>
      </c>
      <c r="P2672" s="167">
        <v>0</v>
      </c>
      <c r="Q2672" s="168">
        <v>0</v>
      </c>
      <c r="R2672" s="169">
        <v>0</v>
      </c>
      <c r="S2672" s="167" t="s">
        <v>1219</v>
      </c>
      <c r="T2672" s="257">
        <f t="shared" si="89"/>
        <v>1</v>
      </c>
      <c r="U2672" s="257">
        <f t="shared" si="90"/>
        <v>0</v>
      </c>
      <c r="V2672">
        <v>1</v>
      </c>
      <c r="W2672">
        <v>0</v>
      </c>
    </row>
    <row r="2673" spans="1:23" ht="22.8" x14ac:dyDescent="0.3">
      <c r="A2673" s="231">
        <v>42370</v>
      </c>
      <c r="B2673" s="231">
        <v>42735</v>
      </c>
      <c r="C2673" s="6">
        <v>1</v>
      </c>
      <c r="D2673" s="6">
        <v>366</v>
      </c>
      <c r="E2673" s="165">
        <v>2016</v>
      </c>
      <c r="F2673" s="15" t="s">
        <v>22</v>
      </c>
      <c r="G2673" s="18" t="s">
        <v>6255</v>
      </c>
      <c r="H2673" s="9" t="s">
        <v>72</v>
      </c>
      <c r="I2673" s="166" t="s">
        <v>25</v>
      </c>
      <c r="J2673" s="29" t="s">
        <v>4516</v>
      </c>
      <c r="K2673" s="167">
        <v>0</v>
      </c>
      <c r="L2673" s="253">
        <v>2</v>
      </c>
      <c r="M2673" s="167">
        <v>0</v>
      </c>
      <c r="N2673" s="167">
        <v>0</v>
      </c>
      <c r="O2673" s="167">
        <v>0</v>
      </c>
      <c r="P2673" s="167">
        <v>0</v>
      </c>
      <c r="Q2673" s="168">
        <v>0</v>
      </c>
      <c r="R2673" s="169">
        <v>0</v>
      </c>
      <c r="S2673" s="167" t="s">
        <v>1219</v>
      </c>
      <c r="T2673" s="257">
        <f t="shared" si="89"/>
        <v>2</v>
      </c>
      <c r="U2673" s="257">
        <f t="shared" si="90"/>
        <v>0</v>
      </c>
      <c r="V2673">
        <v>1</v>
      </c>
      <c r="W2673">
        <v>0</v>
      </c>
    </row>
    <row r="2674" spans="1:23" ht="20.399999999999999" x14ac:dyDescent="0.3">
      <c r="A2674" s="231">
        <v>42370</v>
      </c>
      <c r="B2674" s="231">
        <v>42735</v>
      </c>
      <c r="C2674" s="6">
        <v>1</v>
      </c>
      <c r="D2674" s="6">
        <v>366</v>
      </c>
      <c r="E2674" s="165">
        <v>2016</v>
      </c>
      <c r="F2674" s="15" t="s">
        <v>22</v>
      </c>
      <c r="G2674" s="9" t="s">
        <v>6258</v>
      </c>
      <c r="H2674" s="9" t="s">
        <v>174</v>
      </c>
      <c r="I2674" s="166" t="s">
        <v>25</v>
      </c>
      <c r="J2674" s="170" t="s">
        <v>4517</v>
      </c>
      <c r="K2674" s="167">
        <v>0</v>
      </c>
      <c r="L2674" s="253">
        <v>36</v>
      </c>
      <c r="M2674" s="167">
        <v>0</v>
      </c>
      <c r="N2674" s="167">
        <v>0</v>
      </c>
      <c r="O2674" s="167">
        <v>0</v>
      </c>
      <c r="P2674" s="167">
        <v>0</v>
      </c>
      <c r="Q2674" s="168">
        <v>0</v>
      </c>
      <c r="R2674" s="169">
        <v>0</v>
      </c>
      <c r="S2674" s="167" t="s">
        <v>1219</v>
      </c>
      <c r="T2674" s="257">
        <f t="shared" si="89"/>
        <v>36</v>
      </c>
      <c r="U2674" s="257">
        <f t="shared" si="90"/>
        <v>0</v>
      </c>
      <c r="V2674">
        <v>1</v>
      </c>
      <c r="W2674">
        <v>0</v>
      </c>
    </row>
    <row r="2675" spans="1:23" ht="20.399999999999999" x14ac:dyDescent="0.3">
      <c r="A2675" s="231">
        <v>42370</v>
      </c>
      <c r="B2675" s="231">
        <v>42735</v>
      </c>
      <c r="C2675" s="6">
        <v>1</v>
      </c>
      <c r="D2675" s="6">
        <v>366</v>
      </c>
      <c r="E2675" s="165">
        <v>2016</v>
      </c>
      <c r="F2675" s="15" t="s">
        <v>22</v>
      </c>
      <c r="G2675" s="9" t="s">
        <v>6258</v>
      </c>
      <c r="H2675" s="9" t="s">
        <v>112</v>
      </c>
      <c r="I2675" s="166" t="s">
        <v>25</v>
      </c>
      <c r="J2675" s="170" t="s">
        <v>4518</v>
      </c>
      <c r="K2675" s="167">
        <v>0</v>
      </c>
      <c r="L2675" s="253">
        <v>26</v>
      </c>
      <c r="M2675" s="167">
        <v>0</v>
      </c>
      <c r="N2675" s="167">
        <v>0</v>
      </c>
      <c r="O2675" s="167">
        <v>0</v>
      </c>
      <c r="P2675" s="167">
        <v>0</v>
      </c>
      <c r="Q2675" s="168">
        <v>0</v>
      </c>
      <c r="R2675" s="169">
        <v>0</v>
      </c>
      <c r="S2675" s="167" t="s">
        <v>1219</v>
      </c>
      <c r="T2675" s="257">
        <f t="shared" si="89"/>
        <v>26</v>
      </c>
      <c r="U2675" s="257">
        <f t="shared" si="90"/>
        <v>0</v>
      </c>
      <c r="V2675">
        <v>1</v>
      </c>
      <c r="W2675">
        <v>0</v>
      </c>
    </row>
    <row r="2676" spans="1:23" ht="20.399999999999999" x14ac:dyDescent="0.3">
      <c r="A2676" s="231">
        <v>42370</v>
      </c>
      <c r="B2676" s="231">
        <v>42735</v>
      </c>
      <c r="C2676" s="6">
        <v>1</v>
      </c>
      <c r="D2676" s="6">
        <v>366</v>
      </c>
      <c r="E2676" s="165">
        <v>2016</v>
      </c>
      <c r="F2676" s="15" t="s">
        <v>22</v>
      </c>
      <c r="G2676" s="9" t="s">
        <v>6258</v>
      </c>
      <c r="H2676" s="9" t="s">
        <v>51</v>
      </c>
      <c r="I2676" s="166" t="s">
        <v>25</v>
      </c>
      <c r="J2676" s="170" t="s">
        <v>4519</v>
      </c>
      <c r="K2676" s="167">
        <v>0</v>
      </c>
      <c r="L2676" s="253">
        <v>13</v>
      </c>
      <c r="M2676" s="167">
        <v>0</v>
      </c>
      <c r="N2676" s="167">
        <v>0</v>
      </c>
      <c r="O2676" s="167">
        <v>0</v>
      </c>
      <c r="P2676" s="167">
        <v>0</v>
      </c>
      <c r="Q2676" s="168">
        <v>0</v>
      </c>
      <c r="R2676" s="169">
        <v>0</v>
      </c>
      <c r="S2676" s="167" t="s">
        <v>1219</v>
      </c>
      <c r="T2676" s="257">
        <f t="shared" si="89"/>
        <v>13</v>
      </c>
      <c r="U2676" s="257">
        <f t="shared" si="90"/>
        <v>0</v>
      </c>
      <c r="V2676">
        <v>1</v>
      </c>
      <c r="W2676">
        <v>0</v>
      </c>
    </row>
    <row r="2677" spans="1:23" ht="30.6" x14ac:dyDescent="0.3">
      <c r="A2677" s="231">
        <v>42370</v>
      </c>
      <c r="B2677" s="231">
        <v>42735</v>
      </c>
      <c r="C2677" s="6">
        <v>1</v>
      </c>
      <c r="D2677" s="6">
        <v>366</v>
      </c>
      <c r="E2677" s="165">
        <v>2016</v>
      </c>
      <c r="F2677" s="15" t="s">
        <v>22</v>
      </c>
      <c r="G2677" s="9" t="s">
        <v>6258</v>
      </c>
      <c r="H2677" s="9" t="s">
        <v>28</v>
      </c>
      <c r="I2677" s="166" t="s">
        <v>25</v>
      </c>
      <c r="J2677" s="170" t="s">
        <v>4520</v>
      </c>
      <c r="K2677" s="167">
        <v>0</v>
      </c>
      <c r="L2677" s="253">
        <v>12</v>
      </c>
      <c r="M2677" s="167">
        <v>0</v>
      </c>
      <c r="N2677" s="167">
        <v>0</v>
      </c>
      <c r="O2677" s="167">
        <v>0</v>
      </c>
      <c r="P2677" s="167">
        <v>0</v>
      </c>
      <c r="Q2677" s="168">
        <v>0</v>
      </c>
      <c r="R2677" s="169">
        <v>0</v>
      </c>
      <c r="S2677" s="167" t="s">
        <v>1219</v>
      </c>
      <c r="T2677" s="257">
        <f t="shared" si="89"/>
        <v>12</v>
      </c>
      <c r="U2677" s="257">
        <f t="shared" si="90"/>
        <v>0</v>
      </c>
      <c r="V2677">
        <v>1</v>
      </c>
      <c r="W2677">
        <v>0</v>
      </c>
    </row>
    <row r="2678" spans="1:23" ht="30.6" x14ac:dyDescent="0.3">
      <c r="A2678" s="231">
        <v>42370</v>
      </c>
      <c r="B2678" s="231">
        <v>42735</v>
      </c>
      <c r="C2678" s="6">
        <v>1</v>
      </c>
      <c r="D2678" s="6">
        <v>366</v>
      </c>
      <c r="E2678" s="165">
        <v>2016</v>
      </c>
      <c r="F2678" s="15" t="s">
        <v>22</v>
      </c>
      <c r="G2678" s="9" t="s">
        <v>6258</v>
      </c>
      <c r="H2678" s="17" t="s">
        <v>565</v>
      </c>
      <c r="I2678" s="166" t="s">
        <v>25</v>
      </c>
      <c r="J2678" s="170" t="s">
        <v>4521</v>
      </c>
      <c r="K2678" s="167">
        <v>0</v>
      </c>
      <c r="L2678" s="253">
        <v>5</v>
      </c>
      <c r="M2678" s="167">
        <v>0</v>
      </c>
      <c r="N2678" s="167">
        <v>0</v>
      </c>
      <c r="O2678" s="167">
        <v>0</v>
      </c>
      <c r="P2678" s="167">
        <v>0</v>
      </c>
      <c r="Q2678" s="168">
        <v>0</v>
      </c>
      <c r="R2678" s="169">
        <v>0</v>
      </c>
      <c r="S2678" s="167" t="s">
        <v>1219</v>
      </c>
      <c r="T2678" s="257">
        <f t="shared" si="89"/>
        <v>5</v>
      </c>
      <c r="U2678" s="257">
        <f t="shared" si="90"/>
        <v>0</v>
      </c>
      <c r="V2678">
        <v>1</v>
      </c>
      <c r="W2678">
        <v>0</v>
      </c>
    </row>
    <row r="2679" spans="1:23" ht="30.6" x14ac:dyDescent="0.3">
      <c r="A2679" s="231">
        <v>42370</v>
      </c>
      <c r="B2679" s="231">
        <v>42735</v>
      </c>
      <c r="C2679" s="6">
        <v>1</v>
      </c>
      <c r="D2679" s="6">
        <v>366</v>
      </c>
      <c r="E2679" s="165">
        <v>2016</v>
      </c>
      <c r="F2679" s="15" t="s">
        <v>22</v>
      </c>
      <c r="G2679" s="9" t="s">
        <v>6258</v>
      </c>
      <c r="H2679" s="9" t="s">
        <v>55</v>
      </c>
      <c r="I2679" s="166" t="s">
        <v>25</v>
      </c>
      <c r="J2679" s="170" t="s">
        <v>4522</v>
      </c>
      <c r="K2679" s="167">
        <v>0</v>
      </c>
      <c r="L2679" s="253">
        <v>4</v>
      </c>
      <c r="M2679" s="167">
        <v>0</v>
      </c>
      <c r="N2679" s="167">
        <v>0</v>
      </c>
      <c r="O2679" s="167">
        <v>0</v>
      </c>
      <c r="P2679" s="167">
        <v>0</v>
      </c>
      <c r="Q2679" s="168">
        <v>0</v>
      </c>
      <c r="R2679" s="169">
        <v>0</v>
      </c>
      <c r="S2679" s="167" t="s">
        <v>1219</v>
      </c>
      <c r="T2679" s="257">
        <f t="shared" si="89"/>
        <v>4</v>
      </c>
      <c r="U2679" s="257">
        <f t="shared" si="90"/>
        <v>0</v>
      </c>
      <c r="V2679">
        <v>1</v>
      </c>
      <c r="W2679">
        <v>0</v>
      </c>
    </row>
    <row r="2680" spans="1:23" ht="20.399999999999999" x14ac:dyDescent="0.3">
      <c r="A2680" s="231">
        <v>42370</v>
      </c>
      <c r="B2680" s="231">
        <v>42735</v>
      </c>
      <c r="C2680" s="6">
        <v>1</v>
      </c>
      <c r="D2680" s="6">
        <v>366</v>
      </c>
      <c r="E2680" s="165">
        <v>2016</v>
      </c>
      <c r="F2680" s="15" t="s">
        <v>22</v>
      </c>
      <c r="G2680" s="9" t="s">
        <v>6258</v>
      </c>
      <c r="H2680" s="9" t="s">
        <v>31</v>
      </c>
      <c r="I2680" s="166" t="s">
        <v>25</v>
      </c>
      <c r="J2680" s="170" t="s">
        <v>4523</v>
      </c>
      <c r="K2680" s="167">
        <v>0</v>
      </c>
      <c r="L2680" s="253">
        <v>3</v>
      </c>
      <c r="M2680" s="167">
        <v>0</v>
      </c>
      <c r="N2680" s="167">
        <v>0</v>
      </c>
      <c r="O2680" s="167">
        <v>0</v>
      </c>
      <c r="P2680" s="167">
        <v>0</v>
      </c>
      <c r="Q2680" s="168">
        <v>0</v>
      </c>
      <c r="R2680" s="169">
        <v>0</v>
      </c>
      <c r="S2680" s="167" t="s">
        <v>1219</v>
      </c>
      <c r="T2680" s="257">
        <f t="shared" si="89"/>
        <v>3</v>
      </c>
      <c r="U2680" s="257">
        <f t="shared" si="90"/>
        <v>0</v>
      </c>
      <c r="V2680">
        <v>1</v>
      </c>
      <c r="W2680">
        <v>0</v>
      </c>
    </row>
    <row r="2681" spans="1:23" ht="20.399999999999999" x14ac:dyDescent="0.3">
      <c r="A2681" s="231">
        <v>42370</v>
      </c>
      <c r="B2681" s="231">
        <v>42735</v>
      </c>
      <c r="C2681" s="6">
        <v>1</v>
      </c>
      <c r="D2681" s="6">
        <v>366</v>
      </c>
      <c r="E2681" s="165">
        <v>2016</v>
      </c>
      <c r="F2681" s="15" t="s">
        <v>22</v>
      </c>
      <c r="G2681" s="9" t="s">
        <v>6258</v>
      </c>
      <c r="H2681" s="9" t="s">
        <v>52</v>
      </c>
      <c r="I2681" s="166" t="s">
        <v>25</v>
      </c>
      <c r="J2681" s="170" t="s">
        <v>4524</v>
      </c>
      <c r="K2681" s="167">
        <v>0</v>
      </c>
      <c r="L2681" s="253">
        <v>2</v>
      </c>
      <c r="M2681" s="167">
        <v>0</v>
      </c>
      <c r="N2681" s="167">
        <v>0</v>
      </c>
      <c r="O2681" s="167">
        <v>0</v>
      </c>
      <c r="P2681" s="167">
        <v>0</v>
      </c>
      <c r="Q2681" s="168">
        <v>0</v>
      </c>
      <c r="R2681" s="169">
        <v>0</v>
      </c>
      <c r="S2681" s="167" t="s">
        <v>1219</v>
      </c>
      <c r="T2681" s="257">
        <f t="shared" si="89"/>
        <v>2</v>
      </c>
      <c r="U2681" s="257">
        <f t="shared" si="90"/>
        <v>0</v>
      </c>
      <c r="V2681">
        <v>1</v>
      </c>
      <c r="W2681">
        <v>0</v>
      </c>
    </row>
    <row r="2682" spans="1:23" ht="20.399999999999999" x14ac:dyDescent="0.3">
      <c r="A2682" s="231">
        <v>42370</v>
      </c>
      <c r="B2682" s="231">
        <v>42735</v>
      </c>
      <c r="C2682" s="6">
        <v>1</v>
      </c>
      <c r="D2682" s="6">
        <v>366</v>
      </c>
      <c r="E2682" s="165">
        <v>2016</v>
      </c>
      <c r="F2682" s="15" t="s">
        <v>22</v>
      </c>
      <c r="G2682" s="9" t="s">
        <v>6258</v>
      </c>
      <c r="H2682" s="9" t="s">
        <v>56</v>
      </c>
      <c r="I2682" s="166" t="s">
        <v>25</v>
      </c>
      <c r="J2682" s="170" t="s">
        <v>4525</v>
      </c>
      <c r="K2682" s="167">
        <v>0</v>
      </c>
      <c r="L2682" s="253">
        <v>1</v>
      </c>
      <c r="M2682" s="167">
        <v>0</v>
      </c>
      <c r="N2682" s="167">
        <v>0</v>
      </c>
      <c r="O2682" s="167">
        <v>0</v>
      </c>
      <c r="P2682" s="167">
        <v>0</v>
      </c>
      <c r="Q2682" s="168">
        <v>0</v>
      </c>
      <c r="R2682" s="169">
        <v>0</v>
      </c>
      <c r="S2682" s="167" t="s">
        <v>1219</v>
      </c>
      <c r="T2682" s="257">
        <f t="shared" si="89"/>
        <v>1</v>
      </c>
      <c r="U2682" s="257">
        <f t="shared" si="90"/>
        <v>0</v>
      </c>
      <c r="V2682">
        <v>1</v>
      </c>
      <c r="W2682">
        <v>0</v>
      </c>
    </row>
    <row r="2683" spans="1:23" ht="20.399999999999999" x14ac:dyDescent="0.3">
      <c r="A2683" s="231">
        <v>42370</v>
      </c>
      <c r="B2683" s="231">
        <v>42735</v>
      </c>
      <c r="C2683" s="6">
        <v>1</v>
      </c>
      <c r="D2683" s="6">
        <v>366</v>
      </c>
      <c r="E2683" s="165">
        <v>2016</v>
      </c>
      <c r="F2683" s="15" t="s">
        <v>22</v>
      </c>
      <c r="G2683" s="9" t="s">
        <v>6258</v>
      </c>
      <c r="H2683" s="9" t="s">
        <v>39</v>
      </c>
      <c r="I2683" s="166" t="s">
        <v>25</v>
      </c>
      <c r="J2683" s="170" t="s">
        <v>4525</v>
      </c>
      <c r="K2683" s="167">
        <v>0</v>
      </c>
      <c r="L2683" s="253">
        <v>1</v>
      </c>
      <c r="M2683" s="167">
        <v>0</v>
      </c>
      <c r="N2683" s="167">
        <v>0</v>
      </c>
      <c r="O2683" s="167">
        <v>0</v>
      </c>
      <c r="P2683" s="167">
        <v>0</v>
      </c>
      <c r="Q2683" s="168">
        <v>0</v>
      </c>
      <c r="R2683" s="169">
        <v>0</v>
      </c>
      <c r="S2683" s="167" t="s">
        <v>1219</v>
      </c>
      <c r="T2683" s="257">
        <f t="shared" si="89"/>
        <v>1</v>
      </c>
      <c r="U2683" s="257">
        <f t="shared" si="90"/>
        <v>0</v>
      </c>
      <c r="V2683">
        <v>1</v>
      </c>
      <c r="W2683">
        <v>0</v>
      </c>
    </row>
    <row r="2684" spans="1:23" ht="45.6" x14ac:dyDescent="0.3">
      <c r="A2684" s="213">
        <v>42376</v>
      </c>
      <c r="B2684" s="213">
        <v>42378</v>
      </c>
      <c r="C2684" s="6">
        <v>1</v>
      </c>
      <c r="D2684" s="6">
        <v>3</v>
      </c>
      <c r="E2684" s="27">
        <v>2016</v>
      </c>
      <c r="F2684" s="15" t="s">
        <v>22</v>
      </c>
      <c r="G2684" s="28" t="s">
        <v>6255</v>
      </c>
      <c r="H2684" s="9" t="s">
        <v>34</v>
      </c>
      <c r="I2684" s="29" t="s">
        <v>4526</v>
      </c>
      <c r="J2684" s="30" t="s">
        <v>4527</v>
      </c>
      <c r="K2684" s="27">
        <v>0</v>
      </c>
      <c r="L2684" s="235">
        <v>15684</v>
      </c>
      <c r="M2684" s="27">
        <v>0</v>
      </c>
      <c r="N2684" s="27">
        <v>0</v>
      </c>
      <c r="O2684" s="27">
        <v>0</v>
      </c>
      <c r="P2684" s="27">
        <v>0</v>
      </c>
      <c r="Q2684" s="31">
        <v>0</v>
      </c>
      <c r="R2684" s="32">
        <v>8.144247</v>
      </c>
      <c r="S2684" s="27" t="s">
        <v>551</v>
      </c>
      <c r="T2684" s="257">
        <f t="shared" si="89"/>
        <v>15684</v>
      </c>
      <c r="U2684" s="257">
        <f t="shared" si="90"/>
        <v>0</v>
      </c>
      <c r="V2684">
        <v>2</v>
      </c>
      <c r="W2684">
        <v>0</v>
      </c>
    </row>
    <row r="2685" spans="1:23" ht="34.200000000000003" x14ac:dyDescent="0.3">
      <c r="A2685" s="213">
        <v>42377</v>
      </c>
      <c r="B2685" s="213">
        <v>42379</v>
      </c>
      <c r="C2685" s="6">
        <v>1</v>
      </c>
      <c r="D2685" s="6">
        <v>3</v>
      </c>
      <c r="E2685" s="27">
        <v>2016</v>
      </c>
      <c r="F2685" s="15" t="s">
        <v>22</v>
      </c>
      <c r="G2685" s="28" t="s">
        <v>6255</v>
      </c>
      <c r="H2685" s="9" t="s">
        <v>34</v>
      </c>
      <c r="I2685" s="29" t="s">
        <v>4528</v>
      </c>
      <c r="J2685" s="30" t="s">
        <v>4527</v>
      </c>
      <c r="K2685" s="27">
        <v>0</v>
      </c>
      <c r="L2685" s="235">
        <v>12432</v>
      </c>
      <c r="M2685" s="27">
        <v>0</v>
      </c>
      <c r="N2685" s="27">
        <v>0</v>
      </c>
      <c r="O2685" s="27">
        <v>0</v>
      </c>
      <c r="P2685" s="27">
        <v>0</v>
      </c>
      <c r="Q2685" s="31">
        <v>0</v>
      </c>
      <c r="R2685" s="32">
        <v>5.2383459999999999</v>
      </c>
      <c r="S2685" s="27" t="s">
        <v>551</v>
      </c>
      <c r="T2685" s="257">
        <f t="shared" si="89"/>
        <v>12432</v>
      </c>
      <c r="U2685" s="257">
        <f t="shared" si="90"/>
        <v>0</v>
      </c>
      <c r="V2685">
        <v>2</v>
      </c>
      <c r="W2685">
        <v>0</v>
      </c>
    </row>
    <row r="2686" spans="1:23" ht="22.8" x14ac:dyDescent="0.3">
      <c r="A2686" s="213">
        <v>42384</v>
      </c>
      <c r="B2686" s="213">
        <v>42388</v>
      </c>
      <c r="C2686" s="6">
        <v>1</v>
      </c>
      <c r="D2686" s="6">
        <v>5</v>
      </c>
      <c r="E2686" s="27">
        <v>2016</v>
      </c>
      <c r="F2686" s="15" t="s">
        <v>22</v>
      </c>
      <c r="G2686" s="16" t="s">
        <v>6255</v>
      </c>
      <c r="H2686" s="9" t="s">
        <v>88</v>
      </c>
      <c r="I2686" s="29" t="s">
        <v>4529</v>
      </c>
      <c r="J2686" s="30" t="s">
        <v>4530</v>
      </c>
      <c r="K2686" s="27">
        <v>0</v>
      </c>
      <c r="L2686" s="235">
        <v>30500</v>
      </c>
      <c r="M2686" s="27">
        <v>0</v>
      </c>
      <c r="N2686" s="27">
        <v>0</v>
      </c>
      <c r="O2686" s="27">
        <v>0</v>
      </c>
      <c r="P2686" s="27">
        <v>0</v>
      </c>
      <c r="Q2686" s="31">
        <v>0</v>
      </c>
      <c r="R2686" s="32">
        <v>4.7039350000000004</v>
      </c>
      <c r="S2686" s="27" t="s">
        <v>551</v>
      </c>
      <c r="T2686" s="257">
        <f t="shared" si="89"/>
        <v>30500</v>
      </c>
      <c r="U2686" s="257">
        <f t="shared" si="90"/>
        <v>0</v>
      </c>
      <c r="V2686">
        <v>2</v>
      </c>
      <c r="W2686">
        <v>0</v>
      </c>
    </row>
    <row r="2687" spans="1:23" ht="45.6" x14ac:dyDescent="0.3">
      <c r="A2687" s="213">
        <v>42394</v>
      </c>
      <c r="B2687" s="213">
        <v>42397</v>
      </c>
      <c r="C2687" s="6">
        <v>1</v>
      </c>
      <c r="D2687" s="6">
        <v>4</v>
      </c>
      <c r="E2687" s="27">
        <v>2016</v>
      </c>
      <c r="F2687" s="15" t="s">
        <v>22</v>
      </c>
      <c r="G2687" s="16" t="s">
        <v>6255</v>
      </c>
      <c r="H2687" s="9" t="s">
        <v>24</v>
      </c>
      <c r="I2687" s="29" t="s">
        <v>4531</v>
      </c>
      <c r="J2687" s="30" t="s">
        <v>4530</v>
      </c>
      <c r="K2687" s="27">
        <v>0</v>
      </c>
      <c r="L2687" s="235">
        <v>1830</v>
      </c>
      <c r="M2687" s="27">
        <v>0</v>
      </c>
      <c r="N2687" s="27">
        <v>0</v>
      </c>
      <c r="O2687" s="27">
        <v>0</v>
      </c>
      <c r="P2687" s="27">
        <v>0</v>
      </c>
      <c r="Q2687" s="31">
        <v>0</v>
      </c>
      <c r="R2687" s="32">
        <v>0.62527699999999997</v>
      </c>
      <c r="S2687" s="27" t="s">
        <v>551</v>
      </c>
      <c r="T2687" s="257">
        <f t="shared" si="89"/>
        <v>1830</v>
      </c>
      <c r="U2687" s="257">
        <f t="shared" si="90"/>
        <v>0</v>
      </c>
      <c r="V2687">
        <v>1</v>
      </c>
      <c r="W2687">
        <v>0</v>
      </c>
    </row>
    <row r="2688" spans="1:23" ht="22.8" x14ac:dyDescent="0.3">
      <c r="A2688" s="213">
        <v>42394</v>
      </c>
      <c r="B2688" s="213">
        <v>42407</v>
      </c>
      <c r="C2688" s="6">
        <v>1</v>
      </c>
      <c r="D2688" s="6">
        <v>14</v>
      </c>
      <c r="E2688" s="27">
        <v>2016</v>
      </c>
      <c r="F2688" s="15" t="s">
        <v>22</v>
      </c>
      <c r="G2688" s="16" t="s">
        <v>6255</v>
      </c>
      <c r="H2688" s="9" t="s">
        <v>27</v>
      </c>
      <c r="I2688" s="29" t="s">
        <v>670</v>
      </c>
      <c r="J2688" s="30" t="s">
        <v>4530</v>
      </c>
      <c r="K2688" s="27">
        <v>0</v>
      </c>
      <c r="L2688" s="235">
        <v>10118</v>
      </c>
      <c r="M2688" s="27">
        <v>0</v>
      </c>
      <c r="N2688" s="27">
        <v>0</v>
      </c>
      <c r="O2688" s="27">
        <v>0</v>
      </c>
      <c r="P2688" s="27">
        <v>0</v>
      </c>
      <c r="Q2688" s="31">
        <v>0</v>
      </c>
      <c r="R2688" s="32">
        <v>3.4577010000000001</v>
      </c>
      <c r="S2688" s="27" t="s">
        <v>551</v>
      </c>
      <c r="T2688" s="257">
        <f t="shared" si="89"/>
        <v>10118</v>
      </c>
      <c r="U2688" s="257">
        <f t="shared" si="90"/>
        <v>0</v>
      </c>
      <c r="V2688">
        <v>2</v>
      </c>
      <c r="W2688">
        <v>0</v>
      </c>
    </row>
    <row r="2689" spans="1:23" ht="22.8" x14ac:dyDescent="0.3">
      <c r="A2689" s="213">
        <v>42394</v>
      </c>
      <c r="B2689" s="213">
        <v>42397</v>
      </c>
      <c r="C2689" s="6">
        <v>1</v>
      </c>
      <c r="D2689" s="6">
        <v>4</v>
      </c>
      <c r="E2689" s="27">
        <v>2016</v>
      </c>
      <c r="F2689" s="15" t="s">
        <v>22</v>
      </c>
      <c r="G2689" s="16" t="s">
        <v>6255</v>
      </c>
      <c r="H2689" s="9" t="s">
        <v>28</v>
      </c>
      <c r="I2689" s="29" t="s">
        <v>4532</v>
      </c>
      <c r="J2689" s="30" t="s">
        <v>4530</v>
      </c>
      <c r="K2689" s="27">
        <v>0</v>
      </c>
      <c r="L2689" s="235">
        <v>59114</v>
      </c>
      <c r="M2689" s="27">
        <v>0</v>
      </c>
      <c r="N2689" s="27">
        <v>0</v>
      </c>
      <c r="O2689" s="27">
        <v>0</v>
      </c>
      <c r="P2689" s="27">
        <v>0</v>
      </c>
      <c r="Q2689" s="31">
        <v>0</v>
      </c>
      <c r="R2689" s="32">
        <v>2.2567200000000001</v>
      </c>
      <c r="S2689" s="27" t="s">
        <v>551</v>
      </c>
      <c r="T2689" s="257">
        <f t="shared" si="89"/>
        <v>59114</v>
      </c>
      <c r="U2689" s="257">
        <f t="shared" si="90"/>
        <v>0</v>
      </c>
      <c r="V2689">
        <v>2</v>
      </c>
      <c r="W2689">
        <v>0</v>
      </c>
    </row>
    <row r="2690" spans="1:23" ht="45.6" x14ac:dyDescent="0.3">
      <c r="A2690" s="213">
        <v>42394</v>
      </c>
      <c r="B2690" s="213">
        <v>42397</v>
      </c>
      <c r="C2690" s="6">
        <v>1</v>
      </c>
      <c r="D2690" s="6">
        <v>4</v>
      </c>
      <c r="E2690" s="27">
        <v>2016</v>
      </c>
      <c r="F2690" s="15" t="s">
        <v>22</v>
      </c>
      <c r="G2690" s="16" t="s">
        <v>6255</v>
      </c>
      <c r="H2690" s="9" t="s">
        <v>31</v>
      </c>
      <c r="I2690" s="29" t="s">
        <v>4533</v>
      </c>
      <c r="J2690" s="30" t="s">
        <v>4530</v>
      </c>
      <c r="K2690" s="27">
        <v>0</v>
      </c>
      <c r="L2690" s="235">
        <v>18480</v>
      </c>
      <c r="M2690" s="27">
        <v>0</v>
      </c>
      <c r="N2690" s="27">
        <v>0</v>
      </c>
      <c r="O2690" s="27">
        <v>0</v>
      </c>
      <c r="P2690" s="27">
        <v>0</v>
      </c>
      <c r="Q2690" s="31">
        <v>0</v>
      </c>
      <c r="R2690" s="32">
        <v>6.3155400000000004</v>
      </c>
      <c r="S2690" s="27" t="s">
        <v>551</v>
      </c>
      <c r="T2690" s="257">
        <f t="shared" si="89"/>
        <v>18480</v>
      </c>
      <c r="U2690" s="257">
        <f t="shared" si="90"/>
        <v>0</v>
      </c>
      <c r="V2690">
        <v>2</v>
      </c>
      <c r="W2690">
        <v>0</v>
      </c>
    </row>
    <row r="2691" spans="1:23" ht="102.6" x14ac:dyDescent="0.3">
      <c r="A2691" s="213">
        <v>42394</v>
      </c>
      <c r="B2691" s="213">
        <v>42397</v>
      </c>
      <c r="C2691" s="6">
        <v>1</v>
      </c>
      <c r="D2691" s="6">
        <v>4</v>
      </c>
      <c r="E2691" s="27">
        <v>2016</v>
      </c>
      <c r="F2691" s="15" t="s">
        <v>22</v>
      </c>
      <c r="G2691" s="16" t="s">
        <v>6255</v>
      </c>
      <c r="H2691" s="9" t="s">
        <v>37</v>
      </c>
      <c r="I2691" s="29" t="s">
        <v>4534</v>
      </c>
      <c r="J2691" s="30" t="s">
        <v>4530</v>
      </c>
      <c r="K2691" s="27">
        <v>0</v>
      </c>
      <c r="L2691" s="235">
        <v>35462</v>
      </c>
      <c r="M2691" s="27">
        <v>0</v>
      </c>
      <c r="N2691" s="27">
        <v>0</v>
      </c>
      <c r="O2691" s="27">
        <v>0</v>
      </c>
      <c r="P2691" s="27">
        <v>0</v>
      </c>
      <c r="Q2691" s="31">
        <v>0</v>
      </c>
      <c r="R2691" s="32">
        <v>12.119013000000001</v>
      </c>
      <c r="S2691" s="27" t="s">
        <v>551</v>
      </c>
      <c r="T2691" s="257">
        <f t="shared" ref="T2691:T2754" si="91">SUM(K2691:L2691)</f>
        <v>35462</v>
      </c>
      <c r="U2691" s="257">
        <f t="shared" ref="U2691:U2754" si="92">SUM(M2691:P2691)</f>
        <v>0</v>
      </c>
      <c r="V2691">
        <v>2</v>
      </c>
      <c r="W2691">
        <v>0</v>
      </c>
    </row>
    <row r="2692" spans="1:23" ht="159.6" x14ac:dyDescent="0.3">
      <c r="A2692" s="213">
        <v>42394</v>
      </c>
      <c r="B2692" s="213">
        <v>42397</v>
      </c>
      <c r="C2692" s="6">
        <v>1</v>
      </c>
      <c r="D2692" s="6">
        <v>4</v>
      </c>
      <c r="E2692" s="27">
        <v>2016</v>
      </c>
      <c r="F2692" s="15" t="s">
        <v>22</v>
      </c>
      <c r="G2692" s="16" t="s">
        <v>6255</v>
      </c>
      <c r="H2692" s="9" t="s">
        <v>41</v>
      </c>
      <c r="I2692" s="29" t="s">
        <v>4535</v>
      </c>
      <c r="J2692" s="30" t="s">
        <v>4530</v>
      </c>
      <c r="K2692" s="27">
        <v>0</v>
      </c>
      <c r="L2692" s="235">
        <v>36039</v>
      </c>
      <c r="M2692" s="27">
        <v>0</v>
      </c>
      <c r="N2692" s="27">
        <v>0</v>
      </c>
      <c r="O2692" s="27">
        <v>0</v>
      </c>
      <c r="P2692" s="27">
        <v>0</v>
      </c>
      <c r="Q2692" s="31">
        <v>0</v>
      </c>
      <c r="R2692" s="32">
        <v>12.316140000000001</v>
      </c>
      <c r="S2692" s="27" t="s">
        <v>551</v>
      </c>
      <c r="T2692" s="257">
        <f t="shared" si="91"/>
        <v>36039</v>
      </c>
      <c r="U2692" s="257">
        <f t="shared" si="92"/>
        <v>0</v>
      </c>
      <c r="V2692">
        <v>2</v>
      </c>
      <c r="W2692">
        <v>0</v>
      </c>
    </row>
    <row r="2693" spans="1:23" ht="57" x14ac:dyDescent="0.3">
      <c r="A2693" s="213">
        <v>42394</v>
      </c>
      <c r="B2693" s="213">
        <v>42397</v>
      </c>
      <c r="C2693" s="6">
        <v>1</v>
      </c>
      <c r="D2693" s="6">
        <v>4</v>
      </c>
      <c r="E2693" s="27">
        <v>2016</v>
      </c>
      <c r="F2693" s="15" t="s">
        <v>22</v>
      </c>
      <c r="G2693" s="16" t="s">
        <v>6255</v>
      </c>
      <c r="H2693" s="9" t="s">
        <v>46</v>
      </c>
      <c r="I2693" s="138" t="s">
        <v>4536</v>
      </c>
      <c r="J2693" s="30" t="s">
        <v>4530</v>
      </c>
      <c r="K2693" s="27">
        <v>0</v>
      </c>
      <c r="L2693" s="235">
        <v>2738</v>
      </c>
      <c r="M2693" s="27">
        <v>0</v>
      </c>
      <c r="N2693" s="27">
        <v>0</v>
      </c>
      <c r="O2693" s="27">
        <v>0</v>
      </c>
      <c r="P2693" s="27">
        <v>0</v>
      </c>
      <c r="Q2693" s="31">
        <v>0</v>
      </c>
      <c r="R2693" s="32">
        <v>3.7428460000000001</v>
      </c>
      <c r="S2693" s="27" t="s">
        <v>551</v>
      </c>
      <c r="T2693" s="257">
        <f t="shared" si="91"/>
        <v>2738</v>
      </c>
      <c r="U2693" s="257">
        <f t="shared" si="92"/>
        <v>0</v>
      </c>
      <c r="V2693">
        <v>1</v>
      </c>
      <c r="W2693">
        <v>0</v>
      </c>
    </row>
    <row r="2694" spans="1:23" ht="216.6" x14ac:dyDescent="0.3">
      <c r="A2694" s="213">
        <v>42394</v>
      </c>
      <c r="B2694" s="213">
        <v>42397</v>
      </c>
      <c r="C2694" s="6">
        <v>1</v>
      </c>
      <c r="D2694" s="6">
        <v>4</v>
      </c>
      <c r="E2694" s="27">
        <v>2016</v>
      </c>
      <c r="F2694" s="15" t="s">
        <v>22</v>
      </c>
      <c r="G2694" s="16" t="s">
        <v>6255</v>
      </c>
      <c r="H2694" s="9" t="s">
        <v>121</v>
      </c>
      <c r="I2694" s="29" t="s">
        <v>4537</v>
      </c>
      <c r="J2694" s="27" t="s">
        <v>4530</v>
      </c>
      <c r="K2694" s="27">
        <v>0</v>
      </c>
      <c r="L2694" s="235">
        <v>15164</v>
      </c>
      <c r="M2694" s="27">
        <v>0</v>
      </c>
      <c r="N2694" s="27">
        <v>0</v>
      </c>
      <c r="O2694" s="27">
        <v>0</v>
      </c>
      <c r="P2694" s="27">
        <v>0</v>
      </c>
      <c r="Q2694" s="31">
        <v>0</v>
      </c>
      <c r="R2694" s="32">
        <v>5.1822970000000002</v>
      </c>
      <c r="S2694" s="27" t="s">
        <v>551</v>
      </c>
      <c r="T2694" s="257">
        <f t="shared" si="91"/>
        <v>15164</v>
      </c>
      <c r="U2694" s="257">
        <f t="shared" si="92"/>
        <v>0</v>
      </c>
      <c r="V2694">
        <v>2</v>
      </c>
      <c r="W2694">
        <v>0</v>
      </c>
    </row>
    <row r="2695" spans="1:23" ht="136.80000000000001" x14ac:dyDescent="0.3">
      <c r="A2695" s="213">
        <v>42394</v>
      </c>
      <c r="B2695" s="213">
        <v>42397</v>
      </c>
      <c r="C2695" s="6">
        <v>1</v>
      </c>
      <c r="D2695" s="6">
        <v>4</v>
      </c>
      <c r="E2695" s="27">
        <v>2016</v>
      </c>
      <c r="F2695" s="15" t="s">
        <v>22</v>
      </c>
      <c r="G2695" s="16" t="s">
        <v>6255</v>
      </c>
      <c r="H2695" s="9" t="s">
        <v>51</v>
      </c>
      <c r="I2695" s="29" t="s">
        <v>4538</v>
      </c>
      <c r="J2695" s="30" t="s">
        <v>4530</v>
      </c>
      <c r="K2695" s="27">
        <v>0</v>
      </c>
      <c r="L2695" s="235">
        <v>11939</v>
      </c>
      <c r="M2695" s="27">
        <v>0</v>
      </c>
      <c r="N2695" s="27">
        <v>0</v>
      </c>
      <c r="O2695" s="27">
        <v>0</v>
      </c>
      <c r="P2695" s="27">
        <v>0</v>
      </c>
      <c r="Q2695" s="31">
        <v>0</v>
      </c>
      <c r="R2695" s="32">
        <v>4.0799649999999996</v>
      </c>
      <c r="S2695" s="27" t="s">
        <v>551</v>
      </c>
      <c r="T2695" s="257">
        <f t="shared" si="91"/>
        <v>11939</v>
      </c>
      <c r="U2695" s="257">
        <f t="shared" si="92"/>
        <v>0</v>
      </c>
      <c r="V2695">
        <v>2</v>
      </c>
      <c r="W2695">
        <v>0</v>
      </c>
    </row>
    <row r="2696" spans="1:23" ht="125.4" x14ac:dyDescent="0.3">
      <c r="A2696" s="213">
        <v>42394</v>
      </c>
      <c r="B2696" s="213">
        <v>42397</v>
      </c>
      <c r="C2696" s="6">
        <v>1</v>
      </c>
      <c r="D2696" s="6">
        <v>4</v>
      </c>
      <c r="E2696" s="27">
        <v>2016</v>
      </c>
      <c r="F2696" s="15" t="s">
        <v>22</v>
      </c>
      <c r="G2696" s="16" t="s">
        <v>6255</v>
      </c>
      <c r="H2696" s="9" t="s">
        <v>43</v>
      </c>
      <c r="I2696" s="29" t="s">
        <v>4539</v>
      </c>
      <c r="J2696" s="30" t="s">
        <v>4530</v>
      </c>
      <c r="K2696" s="27">
        <v>0</v>
      </c>
      <c r="L2696" s="235">
        <v>96621</v>
      </c>
      <c r="M2696" s="27">
        <v>0</v>
      </c>
      <c r="N2696" s="27">
        <v>0</v>
      </c>
      <c r="O2696" s="27">
        <v>0</v>
      </c>
      <c r="P2696" s="27">
        <v>0</v>
      </c>
      <c r="Q2696" s="31">
        <v>0</v>
      </c>
      <c r="R2696" s="32">
        <v>33.020164000000001</v>
      </c>
      <c r="S2696" s="27" t="s">
        <v>551</v>
      </c>
      <c r="T2696" s="257">
        <f t="shared" si="91"/>
        <v>96621</v>
      </c>
      <c r="U2696" s="257">
        <f t="shared" si="92"/>
        <v>0</v>
      </c>
      <c r="V2696">
        <v>2</v>
      </c>
      <c r="W2696">
        <v>0</v>
      </c>
    </row>
    <row r="2697" spans="1:23" ht="22.8" x14ac:dyDescent="0.3">
      <c r="A2697" s="213">
        <v>42394</v>
      </c>
      <c r="B2697" s="213">
        <v>42397</v>
      </c>
      <c r="C2697" s="6">
        <v>1</v>
      </c>
      <c r="D2697" s="6">
        <v>4</v>
      </c>
      <c r="E2697" s="27">
        <v>2016</v>
      </c>
      <c r="F2697" s="15" t="s">
        <v>22</v>
      </c>
      <c r="G2697" s="16" t="s">
        <v>6255</v>
      </c>
      <c r="H2697" s="9" t="s">
        <v>52</v>
      </c>
      <c r="I2697" s="29" t="s">
        <v>4540</v>
      </c>
      <c r="J2697" s="30" t="s">
        <v>4530</v>
      </c>
      <c r="K2697" s="27">
        <v>0</v>
      </c>
      <c r="L2697" s="235">
        <v>12453</v>
      </c>
      <c r="M2697" s="27">
        <v>0</v>
      </c>
      <c r="N2697" s="27">
        <v>0</v>
      </c>
      <c r="O2697" s="27">
        <v>0</v>
      </c>
      <c r="P2697" s="27">
        <v>0</v>
      </c>
      <c r="Q2697" s="31">
        <v>0</v>
      </c>
      <c r="R2697" s="32">
        <v>4.2557499999999999</v>
      </c>
      <c r="S2697" s="27" t="s">
        <v>551</v>
      </c>
      <c r="T2697" s="257">
        <f t="shared" si="91"/>
        <v>12453</v>
      </c>
      <c r="U2697" s="257">
        <f t="shared" si="92"/>
        <v>0</v>
      </c>
      <c r="V2697">
        <v>2</v>
      </c>
      <c r="W2697">
        <v>0</v>
      </c>
    </row>
    <row r="2698" spans="1:23" ht="114" x14ac:dyDescent="0.3">
      <c r="A2698" s="213">
        <v>42394</v>
      </c>
      <c r="B2698" s="213">
        <v>42397</v>
      </c>
      <c r="C2698" s="6">
        <v>1</v>
      </c>
      <c r="D2698" s="6">
        <v>4</v>
      </c>
      <c r="E2698" s="27">
        <v>2016</v>
      </c>
      <c r="F2698" s="15" t="s">
        <v>22</v>
      </c>
      <c r="G2698" s="16" t="s">
        <v>6255</v>
      </c>
      <c r="H2698" s="9" t="s">
        <v>57</v>
      </c>
      <c r="I2698" s="29" t="s">
        <v>4541</v>
      </c>
      <c r="J2698" s="30" t="s">
        <v>4530</v>
      </c>
      <c r="K2698" s="27">
        <v>0</v>
      </c>
      <c r="L2698" s="235">
        <v>8439</v>
      </c>
      <c r="M2698" s="27">
        <v>0</v>
      </c>
      <c r="N2698" s="27">
        <v>0</v>
      </c>
      <c r="O2698" s="27">
        <v>0</v>
      </c>
      <c r="P2698" s="27">
        <v>0</v>
      </c>
      <c r="Q2698" s="31">
        <v>0</v>
      </c>
      <c r="R2698" s="32">
        <v>2.8843700000000001</v>
      </c>
      <c r="S2698" s="27" t="s">
        <v>551</v>
      </c>
      <c r="T2698" s="257">
        <f t="shared" si="91"/>
        <v>8439</v>
      </c>
      <c r="U2698" s="257">
        <f t="shared" si="92"/>
        <v>0</v>
      </c>
      <c r="V2698">
        <v>1</v>
      </c>
      <c r="W2698">
        <v>0</v>
      </c>
    </row>
    <row r="2699" spans="1:23" ht="136.80000000000001" x14ac:dyDescent="0.3">
      <c r="A2699" s="213">
        <v>42394</v>
      </c>
      <c r="B2699" s="213">
        <v>42397</v>
      </c>
      <c r="C2699" s="6">
        <v>1</v>
      </c>
      <c r="D2699" s="6">
        <v>4</v>
      </c>
      <c r="E2699" s="27">
        <v>2016</v>
      </c>
      <c r="F2699" s="15" t="s">
        <v>22</v>
      </c>
      <c r="G2699" s="16" t="s">
        <v>6255</v>
      </c>
      <c r="H2699" s="9" t="s">
        <v>61</v>
      </c>
      <c r="I2699" s="29" t="s">
        <v>4542</v>
      </c>
      <c r="J2699" s="30" t="s">
        <v>4530</v>
      </c>
      <c r="K2699" s="27">
        <v>0</v>
      </c>
      <c r="L2699" s="235">
        <v>2663</v>
      </c>
      <c r="M2699" s="27">
        <v>0</v>
      </c>
      <c r="N2699" s="27">
        <v>0</v>
      </c>
      <c r="O2699" s="27">
        <v>0</v>
      </c>
      <c r="P2699" s="27">
        <v>0</v>
      </c>
      <c r="Q2699" s="31">
        <v>0</v>
      </c>
      <c r="R2699" s="32">
        <v>0.52029700000000001</v>
      </c>
      <c r="S2699" s="27" t="s">
        <v>551</v>
      </c>
      <c r="T2699" s="257">
        <f t="shared" si="91"/>
        <v>2663</v>
      </c>
      <c r="U2699" s="257">
        <f t="shared" si="92"/>
        <v>0</v>
      </c>
      <c r="V2699">
        <v>1</v>
      </c>
      <c r="W2699">
        <v>0</v>
      </c>
    </row>
    <row r="2700" spans="1:23" ht="262.2" x14ac:dyDescent="0.3">
      <c r="A2700" s="213">
        <v>42394</v>
      </c>
      <c r="B2700" s="213">
        <v>42397</v>
      </c>
      <c r="C2700" s="6">
        <v>1</v>
      </c>
      <c r="D2700" s="6">
        <v>4</v>
      </c>
      <c r="E2700" s="27">
        <v>2016</v>
      </c>
      <c r="F2700" s="15" t="s">
        <v>22</v>
      </c>
      <c r="G2700" s="16" t="s">
        <v>6255</v>
      </c>
      <c r="H2700" s="9" t="s">
        <v>64</v>
      </c>
      <c r="I2700" s="29" t="s">
        <v>4543</v>
      </c>
      <c r="J2700" s="30" t="s">
        <v>4530</v>
      </c>
      <c r="K2700" s="27">
        <v>0</v>
      </c>
      <c r="L2700" s="235">
        <v>52112</v>
      </c>
      <c r="M2700" s="27">
        <v>0</v>
      </c>
      <c r="N2700" s="27">
        <v>0</v>
      </c>
      <c r="O2700" s="27">
        <v>0</v>
      </c>
      <c r="P2700" s="27">
        <v>0</v>
      </c>
      <c r="Q2700" s="31">
        <v>0</v>
      </c>
      <c r="R2700" s="32">
        <v>17.809276000000001</v>
      </c>
      <c r="S2700" s="27" t="s">
        <v>551</v>
      </c>
      <c r="T2700" s="257">
        <f t="shared" si="91"/>
        <v>52112</v>
      </c>
      <c r="U2700" s="257">
        <f t="shared" si="92"/>
        <v>0</v>
      </c>
      <c r="V2700">
        <v>2</v>
      </c>
      <c r="W2700">
        <v>0</v>
      </c>
    </row>
    <row r="2701" spans="1:23" ht="34.200000000000003" x14ac:dyDescent="0.3">
      <c r="A2701" s="213">
        <v>42394</v>
      </c>
      <c r="B2701" s="213">
        <v>42397</v>
      </c>
      <c r="C2701" s="6">
        <v>1</v>
      </c>
      <c r="D2701" s="6">
        <v>4</v>
      </c>
      <c r="E2701" s="27">
        <v>2016</v>
      </c>
      <c r="F2701" s="15" t="s">
        <v>22</v>
      </c>
      <c r="G2701" s="16" t="s">
        <v>6255</v>
      </c>
      <c r="H2701" s="9" t="s">
        <v>66</v>
      </c>
      <c r="I2701" s="29" t="s">
        <v>4544</v>
      </c>
      <c r="J2701" s="30" t="s">
        <v>4530</v>
      </c>
      <c r="K2701" s="27">
        <v>0</v>
      </c>
      <c r="L2701" s="235">
        <v>3719</v>
      </c>
      <c r="M2701" s="27">
        <v>0</v>
      </c>
      <c r="N2701" s="27">
        <v>0</v>
      </c>
      <c r="O2701" s="27">
        <v>0</v>
      </c>
      <c r="P2701" s="27">
        <v>0</v>
      </c>
      <c r="Q2701" s="31">
        <v>0</v>
      </c>
      <c r="R2701" s="32">
        <v>1.27078</v>
      </c>
      <c r="S2701" s="27" t="s">
        <v>551</v>
      </c>
      <c r="T2701" s="257">
        <f t="shared" si="91"/>
        <v>3719</v>
      </c>
      <c r="U2701" s="257">
        <f t="shared" si="92"/>
        <v>0</v>
      </c>
      <c r="V2701">
        <v>1</v>
      </c>
      <c r="W2701">
        <v>0</v>
      </c>
    </row>
    <row r="2702" spans="1:23" ht="79.8" x14ac:dyDescent="0.3">
      <c r="A2702" s="213">
        <v>42394</v>
      </c>
      <c r="B2702" s="213">
        <v>42397</v>
      </c>
      <c r="C2702" s="6">
        <v>1</v>
      </c>
      <c r="D2702" s="6">
        <v>4</v>
      </c>
      <c r="E2702" s="27">
        <v>2016</v>
      </c>
      <c r="F2702" s="15" t="s">
        <v>22</v>
      </c>
      <c r="G2702" s="16" t="s">
        <v>6255</v>
      </c>
      <c r="H2702" s="9" t="s">
        <v>70</v>
      </c>
      <c r="I2702" s="29" t="s">
        <v>4545</v>
      </c>
      <c r="J2702" s="30" t="s">
        <v>4530</v>
      </c>
      <c r="K2702" s="27">
        <v>0</v>
      </c>
      <c r="L2702" s="235">
        <v>4963</v>
      </c>
      <c r="M2702" s="27">
        <v>0</v>
      </c>
      <c r="N2702" s="27">
        <v>0</v>
      </c>
      <c r="O2702" s="27">
        <v>0</v>
      </c>
      <c r="P2702" s="27">
        <v>0</v>
      </c>
      <c r="Q2702" s="31">
        <v>0</v>
      </c>
      <c r="R2702" s="32">
        <v>1.6037699999999999</v>
      </c>
      <c r="S2702" s="27" t="s">
        <v>551</v>
      </c>
      <c r="T2702" s="257">
        <f t="shared" si="91"/>
        <v>4963</v>
      </c>
      <c r="U2702" s="257">
        <f t="shared" si="92"/>
        <v>0</v>
      </c>
      <c r="V2702">
        <v>1</v>
      </c>
      <c r="W2702">
        <v>0</v>
      </c>
    </row>
    <row r="2703" spans="1:23" ht="22.8" x14ac:dyDescent="0.3">
      <c r="A2703" s="213">
        <v>42394</v>
      </c>
      <c r="B2703" s="213">
        <v>42397</v>
      </c>
      <c r="C2703" s="6">
        <v>1</v>
      </c>
      <c r="D2703" s="6">
        <v>4</v>
      </c>
      <c r="E2703" s="27">
        <v>2016</v>
      </c>
      <c r="F2703" s="15" t="s">
        <v>22</v>
      </c>
      <c r="G2703" s="16" t="s">
        <v>6255</v>
      </c>
      <c r="H2703" s="9" t="s">
        <v>72</v>
      </c>
      <c r="I2703" s="29" t="s">
        <v>4546</v>
      </c>
      <c r="J2703" s="30" t="s">
        <v>4530</v>
      </c>
      <c r="K2703" s="27">
        <v>0</v>
      </c>
      <c r="L2703" s="235">
        <v>11191</v>
      </c>
      <c r="M2703" s="27">
        <v>0</v>
      </c>
      <c r="N2703" s="27">
        <v>0</v>
      </c>
      <c r="O2703" s="27">
        <v>0</v>
      </c>
      <c r="P2703" s="27">
        <v>0</v>
      </c>
      <c r="Q2703" s="31">
        <v>0</v>
      </c>
      <c r="R2703" s="32">
        <v>5.2284300000000004</v>
      </c>
      <c r="S2703" s="27" t="s">
        <v>551</v>
      </c>
      <c r="T2703" s="257">
        <f t="shared" si="91"/>
        <v>11191</v>
      </c>
      <c r="U2703" s="257">
        <f t="shared" si="92"/>
        <v>0</v>
      </c>
      <c r="V2703">
        <v>2</v>
      </c>
      <c r="W2703">
        <v>0</v>
      </c>
    </row>
    <row r="2704" spans="1:23" ht="125.4" x14ac:dyDescent="0.3">
      <c r="A2704" s="213">
        <v>42394</v>
      </c>
      <c r="B2704" s="213">
        <v>42397</v>
      </c>
      <c r="C2704" s="6">
        <v>1</v>
      </c>
      <c r="D2704" s="6">
        <v>4</v>
      </c>
      <c r="E2704" s="27">
        <v>2016</v>
      </c>
      <c r="F2704" s="15" t="s">
        <v>22</v>
      </c>
      <c r="G2704" s="16" t="s">
        <v>6255</v>
      </c>
      <c r="H2704" s="9" t="s">
        <v>74</v>
      </c>
      <c r="I2704" s="29" t="s">
        <v>4547</v>
      </c>
      <c r="J2704" s="30" t="s">
        <v>4530</v>
      </c>
      <c r="K2704" s="27">
        <v>0</v>
      </c>
      <c r="L2704" s="235">
        <v>15421</v>
      </c>
      <c r="M2704" s="27">
        <v>0</v>
      </c>
      <c r="N2704" s="27">
        <v>0</v>
      </c>
      <c r="O2704" s="27">
        <v>0</v>
      </c>
      <c r="P2704" s="27">
        <v>0</v>
      </c>
      <c r="Q2704" s="31">
        <v>0</v>
      </c>
      <c r="R2704" s="32">
        <v>5.2700639999999996</v>
      </c>
      <c r="S2704" s="27" t="s">
        <v>551</v>
      </c>
      <c r="T2704" s="257">
        <f t="shared" si="91"/>
        <v>15421</v>
      </c>
      <c r="U2704" s="257">
        <f t="shared" si="92"/>
        <v>0</v>
      </c>
      <c r="V2704">
        <v>2</v>
      </c>
      <c r="W2704">
        <v>0</v>
      </c>
    </row>
    <row r="2705" spans="1:23" ht="68.400000000000006" x14ac:dyDescent="0.3">
      <c r="A2705" s="213">
        <v>42394</v>
      </c>
      <c r="B2705" s="213">
        <v>42397</v>
      </c>
      <c r="C2705" s="6">
        <v>1</v>
      </c>
      <c r="D2705" s="6">
        <v>4</v>
      </c>
      <c r="E2705" s="27">
        <v>2016</v>
      </c>
      <c r="F2705" s="15" t="s">
        <v>22</v>
      </c>
      <c r="G2705" s="16" t="s">
        <v>6255</v>
      </c>
      <c r="H2705" s="9" t="s">
        <v>78</v>
      </c>
      <c r="I2705" s="29" t="s">
        <v>4548</v>
      </c>
      <c r="J2705" s="30" t="s">
        <v>4530</v>
      </c>
      <c r="K2705" s="27">
        <v>0</v>
      </c>
      <c r="L2705" s="235">
        <v>19249</v>
      </c>
      <c r="M2705" s="27">
        <v>0</v>
      </c>
      <c r="N2705" s="27">
        <v>0</v>
      </c>
      <c r="O2705" s="27">
        <v>0</v>
      </c>
      <c r="P2705" s="27">
        <v>0</v>
      </c>
      <c r="Q2705" s="31">
        <v>0</v>
      </c>
      <c r="R2705" s="32">
        <v>6.5782829999999999</v>
      </c>
      <c r="S2705" s="27" t="s">
        <v>551</v>
      </c>
      <c r="T2705" s="257">
        <f t="shared" si="91"/>
        <v>19249</v>
      </c>
      <c r="U2705" s="257">
        <f t="shared" si="92"/>
        <v>0</v>
      </c>
      <c r="V2705">
        <v>2</v>
      </c>
      <c r="W2705">
        <v>0</v>
      </c>
    </row>
    <row r="2706" spans="1:23" ht="136.80000000000001" x14ac:dyDescent="0.3">
      <c r="A2706" s="213">
        <v>42394</v>
      </c>
      <c r="B2706" s="213">
        <v>42397</v>
      </c>
      <c r="C2706" s="6">
        <v>1</v>
      </c>
      <c r="D2706" s="6">
        <v>4</v>
      </c>
      <c r="E2706" s="27">
        <v>2016</v>
      </c>
      <c r="F2706" s="15" t="s">
        <v>22</v>
      </c>
      <c r="G2706" s="16" t="s">
        <v>6255</v>
      </c>
      <c r="H2706" s="9" t="s">
        <v>84</v>
      </c>
      <c r="I2706" s="29" t="s">
        <v>4549</v>
      </c>
      <c r="J2706" s="30" t="s">
        <v>4530</v>
      </c>
      <c r="K2706" s="27">
        <v>0</v>
      </c>
      <c r="L2706" s="235">
        <v>8751</v>
      </c>
      <c r="M2706" s="27">
        <v>0</v>
      </c>
      <c r="N2706" s="27">
        <v>0</v>
      </c>
      <c r="O2706" s="27">
        <v>0</v>
      </c>
      <c r="P2706" s="27">
        <v>0</v>
      </c>
      <c r="Q2706" s="31">
        <v>0</v>
      </c>
      <c r="R2706" s="32">
        <v>2.9904660000000001</v>
      </c>
      <c r="S2706" s="27" t="s">
        <v>551</v>
      </c>
      <c r="T2706" s="257">
        <f t="shared" si="91"/>
        <v>8751</v>
      </c>
      <c r="U2706" s="257">
        <f t="shared" si="92"/>
        <v>0</v>
      </c>
      <c r="V2706">
        <v>1</v>
      </c>
      <c r="W2706">
        <v>0</v>
      </c>
    </row>
    <row r="2707" spans="1:23" ht="45.6" x14ac:dyDescent="0.3">
      <c r="A2707" s="213">
        <v>42394</v>
      </c>
      <c r="B2707" s="213">
        <v>42397</v>
      </c>
      <c r="C2707" s="6">
        <v>1</v>
      </c>
      <c r="D2707" s="6">
        <v>4</v>
      </c>
      <c r="E2707" s="27">
        <v>2016</v>
      </c>
      <c r="F2707" s="15" t="s">
        <v>22</v>
      </c>
      <c r="G2707" s="16" t="s">
        <v>6255</v>
      </c>
      <c r="H2707" s="9" t="s">
        <v>174</v>
      </c>
      <c r="I2707" s="29" t="s">
        <v>4550</v>
      </c>
      <c r="J2707" s="30" t="s">
        <v>4530</v>
      </c>
      <c r="K2707" s="27">
        <v>0</v>
      </c>
      <c r="L2707" s="235">
        <v>9958</v>
      </c>
      <c r="M2707" s="27">
        <v>0</v>
      </c>
      <c r="N2707" s="27">
        <v>0</v>
      </c>
      <c r="O2707" s="27">
        <v>0</v>
      </c>
      <c r="P2707" s="27">
        <v>0</v>
      </c>
      <c r="Q2707" s="31">
        <v>0</v>
      </c>
      <c r="R2707" s="32">
        <v>3.4030209999999999</v>
      </c>
      <c r="S2707" s="27" t="s">
        <v>551</v>
      </c>
      <c r="T2707" s="257">
        <f t="shared" si="91"/>
        <v>9958</v>
      </c>
      <c r="U2707" s="257">
        <f t="shared" si="92"/>
        <v>0</v>
      </c>
      <c r="V2707">
        <v>1</v>
      </c>
      <c r="W2707">
        <v>0</v>
      </c>
    </row>
    <row r="2708" spans="1:23" ht="193.8" x14ac:dyDescent="0.3">
      <c r="A2708" s="213">
        <v>42394</v>
      </c>
      <c r="B2708" s="213">
        <v>42397</v>
      </c>
      <c r="C2708" s="6">
        <v>1</v>
      </c>
      <c r="D2708" s="6">
        <v>4</v>
      </c>
      <c r="E2708" s="27">
        <v>2016</v>
      </c>
      <c r="F2708" s="15" t="s">
        <v>22</v>
      </c>
      <c r="G2708" s="16" t="s">
        <v>6255</v>
      </c>
      <c r="H2708" s="9" t="s">
        <v>88</v>
      </c>
      <c r="I2708" s="29" t="s">
        <v>4551</v>
      </c>
      <c r="J2708" s="30" t="s">
        <v>4530</v>
      </c>
      <c r="K2708" s="27">
        <v>0</v>
      </c>
      <c r="L2708" s="235">
        <v>10986</v>
      </c>
      <c r="M2708" s="27">
        <v>0</v>
      </c>
      <c r="N2708" s="27">
        <v>0</v>
      </c>
      <c r="O2708" s="27">
        <v>0</v>
      </c>
      <c r="P2708" s="27">
        <v>0</v>
      </c>
      <c r="Q2708" s="31">
        <v>0</v>
      </c>
      <c r="R2708" s="32">
        <v>3.75434</v>
      </c>
      <c r="S2708" s="27" t="s">
        <v>551</v>
      </c>
      <c r="T2708" s="257">
        <f t="shared" si="91"/>
        <v>10986</v>
      </c>
      <c r="U2708" s="257">
        <f t="shared" si="92"/>
        <v>0</v>
      </c>
      <c r="V2708">
        <v>2</v>
      </c>
      <c r="W2708">
        <v>0</v>
      </c>
    </row>
    <row r="2709" spans="1:23" ht="330.6" x14ac:dyDescent="0.3">
      <c r="A2709" s="213">
        <v>42394</v>
      </c>
      <c r="B2709" s="213">
        <v>42397</v>
      </c>
      <c r="C2709" s="6">
        <v>1</v>
      </c>
      <c r="D2709" s="6">
        <v>4</v>
      </c>
      <c r="E2709" s="27">
        <v>2016</v>
      </c>
      <c r="F2709" s="15" t="s">
        <v>22</v>
      </c>
      <c r="G2709" s="28" t="s">
        <v>6255</v>
      </c>
      <c r="H2709" s="9" t="s">
        <v>34</v>
      </c>
      <c r="I2709" s="29" t="s">
        <v>4552</v>
      </c>
      <c r="J2709" s="30" t="s">
        <v>4527</v>
      </c>
      <c r="K2709" s="27">
        <v>0</v>
      </c>
      <c r="L2709" s="235">
        <v>393648</v>
      </c>
      <c r="M2709" s="27">
        <v>0</v>
      </c>
      <c r="N2709" s="27">
        <v>0</v>
      </c>
      <c r="O2709" s="27">
        <v>0</v>
      </c>
      <c r="P2709" s="27">
        <v>0</v>
      </c>
      <c r="Q2709" s="31">
        <v>0</v>
      </c>
      <c r="R2709" s="32">
        <v>61.310676000000001</v>
      </c>
      <c r="S2709" s="27" t="s">
        <v>551</v>
      </c>
      <c r="T2709" s="257">
        <f t="shared" si="91"/>
        <v>393648</v>
      </c>
      <c r="U2709" s="257">
        <f t="shared" si="92"/>
        <v>0</v>
      </c>
      <c r="V2709">
        <v>3</v>
      </c>
      <c r="W2709">
        <v>0</v>
      </c>
    </row>
    <row r="2710" spans="1:23" ht="34.200000000000003" x14ac:dyDescent="0.3">
      <c r="A2710" s="213">
        <v>42407</v>
      </c>
      <c r="B2710" s="213">
        <v>42412</v>
      </c>
      <c r="C2710" s="6">
        <v>2</v>
      </c>
      <c r="D2710" s="6">
        <v>6</v>
      </c>
      <c r="E2710" s="27">
        <v>2016</v>
      </c>
      <c r="F2710" s="15" t="s">
        <v>22</v>
      </c>
      <c r="G2710" s="16" t="s">
        <v>6255</v>
      </c>
      <c r="H2710" s="9" t="s">
        <v>61</v>
      </c>
      <c r="I2710" s="29" t="s">
        <v>4553</v>
      </c>
      <c r="J2710" s="30" t="s">
        <v>4530</v>
      </c>
      <c r="K2710" s="27">
        <v>0</v>
      </c>
      <c r="L2710" s="235" t="s">
        <v>95</v>
      </c>
      <c r="M2710" s="27">
        <v>0</v>
      </c>
      <c r="N2710" s="27">
        <v>0</v>
      </c>
      <c r="O2710" s="27">
        <v>0</v>
      </c>
      <c r="P2710" s="27">
        <v>0</v>
      </c>
      <c r="Q2710" s="31">
        <v>0</v>
      </c>
      <c r="R2710" s="32">
        <v>0</v>
      </c>
      <c r="S2710" s="27" t="s">
        <v>551</v>
      </c>
      <c r="T2710" s="257">
        <f t="shared" si="91"/>
        <v>0</v>
      </c>
      <c r="U2710" s="257">
        <f t="shared" si="92"/>
        <v>0</v>
      </c>
      <c r="V2710">
        <v>0</v>
      </c>
      <c r="W2710">
        <v>0</v>
      </c>
    </row>
    <row r="2711" spans="1:23" ht="125.4" x14ac:dyDescent="0.3">
      <c r="A2711" s="213">
        <v>42436</v>
      </c>
      <c r="B2711" s="213">
        <v>42439</v>
      </c>
      <c r="C2711" s="6">
        <v>3</v>
      </c>
      <c r="D2711" s="6">
        <v>4</v>
      </c>
      <c r="E2711" s="27">
        <v>2016</v>
      </c>
      <c r="F2711" s="15" t="s">
        <v>22</v>
      </c>
      <c r="G2711" s="9" t="s">
        <v>6257</v>
      </c>
      <c r="H2711" s="9" t="s">
        <v>174</v>
      </c>
      <c r="I2711" s="29" t="s">
        <v>4554</v>
      </c>
      <c r="J2711" s="30" t="s">
        <v>4555</v>
      </c>
      <c r="K2711" s="27">
        <v>0</v>
      </c>
      <c r="L2711" s="235">
        <v>212604</v>
      </c>
      <c r="M2711" s="27">
        <v>0</v>
      </c>
      <c r="N2711" s="27">
        <v>0</v>
      </c>
      <c r="O2711" s="27">
        <v>0</v>
      </c>
      <c r="P2711" s="27">
        <v>0</v>
      </c>
      <c r="Q2711" s="31">
        <v>0</v>
      </c>
      <c r="R2711" s="32">
        <v>48.203612999999997</v>
      </c>
      <c r="S2711" s="27" t="s">
        <v>551</v>
      </c>
      <c r="T2711" s="257">
        <f t="shared" si="91"/>
        <v>212604</v>
      </c>
      <c r="U2711" s="257">
        <f t="shared" si="92"/>
        <v>0</v>
      </c>
      <c r="V2711">
        <v>3</v>
      </c>
      <c r="W2711">
        <v>0</v>
      </c>
    </row>
    <row r="2712" spans="1:23" ht="22.8" x14ac:dyDescent="0.3">
      <c r="A2712" s="213">
        <v>42436</v>
      </c>
      <c r="B2712" s="213">
        <v>42440</v>
      </c>
      <c r="C2712" s="6">
        <v>3</v>
      </c>
      <c r="D2712" s="6">
        <v>5</v>
      </c>
      <c r="E2712" s="27">
        <v>2016</v>
      </c>
      <c r="F2712" s="15" t="s">
        <v>22</v>
      </c>
      <c r="G2712" s="9" t="s">
        <v>6257</v>
      </c>
      <c r="H2712" s="9" t="s">
        <v>174</v>
      </c>
      <c r="I2712" s="29" t="s">
        <v>4556</v>
      </c>
      <c r="J2712" s="30" t="s">
        <v>4555</v>
      </c>
      <c r="K2712" s="27">
        <v>0</v>
      </c>
      <c r="L2712" s="235">
        <v>25832</v>
      </c>
      <c r="M2712" s="27">
        <v>0</v>
      </c>
      <c r="N2712" s="27">
        <v>0</v>
      </c>
      <c r="O2712" s="27">
        <v>0</v>
      </c>
      <c r="P2712" s="27">
        <v>0</v>
      </c>
      <c r="Q2712" s="31">
        <v>0</v>
      </c>
      <c r="R2712" s="32">
        <v>11.038543000000001</v>
      </c>
      <c r="S2712" s="27" t="s">
        <v>551</v>
      </c>
      <c r="T2712" s="257">
        <f t="shared" si="91"/>
        <v>25832</v>
      </c>
      <c r="U2712" s="257">
        <f t="shared" si="92"/>
        <v>0</v>
      </c>
      <c r="V2712">
        <v>2</v>
      </c>
      <c r="W2712">
        <v>0</v>
      </c>
    </row>
    <row r="2713" spans="1:23" ht="22.8" x14ac:dyDescent="0.3">
      <c r="A2713" s="213">
        <v>42437</v>
      </c>
      <c r="B2713" s="213">
        <v>42439</v>
      </c>
      <c r="C2713" s="6">
        <v>3</v>
      </c>
      <c r="D2713" s="6">
        <v>3</v>
      </c>
      <c r="E2713" s="27">
        <v>2016</v>
      </c>
      <c r="F2713" s="15" t="s">
        <v>22</v>
      </c>
      <c r="G2713" s="9" t="s">
        <v>6257</v>
      </c>
      <c r="H2713" s="9" t="s">
        <v>41</v>
      </c>
      <c r="I2713" s="29" t="s">
        <v>41</v>
      </c>
      <c r="J2713" s="30" t="s">
        <v>4557</v>
      </c>
      <c r="K2713" s="27">
        <v>0</v>
      </c>
      <c r="L2713" s="235">
        <v>214003</v>
      </c>
      <c r="M2713" s="27">
        <v>0</v>
      </c>
      <c r="N2713" s="27">
        <v>0</v>
      </c>
      <c r="O2713" s="27">
        <v>0</v>
      </c>
      <c r="P2713" s="27">
        <v>0</v>
      </c>
      <c r="Q2713" s="31">
        <v>0</v>
      </c>
      <c r="R2713" s="32">
        <v>10.547083000000001</v>
      </c>
      <c r="S2713" s="27" t="s">
        <v>551</v>
      </c>
      <c r="T2713" s="257">
        <f t="shared" si="91"/>
        <v>214003</v>
      </c>
      <c r="U2713" s="257">
        <f t="shared" si="92"/>
        <v>0</v>
      </c>
      <c r="V2713">
        <v>3</v>
      </c>
      <c r="W2713">
        <v>0</v>
      </c>
    </row>
    <row r="2714" spans="1:23" ht="102.6" x14ac:dyDescent="0.3">
      <c r="A2714" s="213">
        <v>42437</v>
      </c>
      <c r="B2714" s="213">
        <v>42439</v>
      </c>
      <c r="C2714" s="6">
        <v>3</v>
      </c>
      <c r="D2714" s="6">
        <v>3</v>
      </c>
      <c r="E2714" s="27">
        <v>2016</v>
      </c>
      <c r="F2714" s="15" t="s">
        <v>22</v>
      </c>
      <c r="G2714" s="28" t="s">
        <v>6255</v>
      </c>
      <c r="H2714" s="9" t="s">
        <v>41</v>
      </c>
      <c r="I2714" s="29" t="s">
        <v>4558</v>
      </c>
      <c r="J2714" s="30" t="s">
        <v>4527</v>
      </c>
      <c r="K2714" s="27">
        <v>0</v>
      </c>
      <c r="L2714" s="235">
        <v>186216</v>
      </c>
      <c r="M2714" s="27">
        <v>0</v>
      </c>
      <c r="N2714" s="27">
        <v>0</v>
      </c>
      <c r="O2714" s="27">
        <v>0</v>
      </c>
      <c r="P2714" s="27">
        <v>0</v>
      </c>
      <c r="Q2714" s="31">
        <v>0</v>
      </c>
      <c r="R2714" s="32">
        <v>29.548141000000001</v>
      </c>
      <c r="S2714" s="27" t="s">
        <v>551</v>
      </c>
      <c r="T2714" s="257">
        <f t="shared" si="91"/>
        <v>186216</v>
      </c>
      <c r="U2714" s="257">
        <f t="shared" si="92"/>
        <v>0</v>
      </c>
      <c r="V2714">
        <v>3</v>
      </c>
      <c r="W2714">
        <v>0</v>
      </c>
    </row>
    <row r="2715" spans="1:23" ht="34.200000000000003" x14ac:dyDescent="0.3">
      <c r="A2715" s="213">
        <v>42615</v>
      </c>
      <c r="B2715" s="213">
        <v>42615</v>
      </c>
      <c r="C2715" s="6">
        <v>9</v>
      </c>
      <c r="D2715" s="6">
        <v>1</v>
      </c>
      <c r="E2715" s="27">
        <v>2016</v>
      </c>
      <c r="F2715" s="15" t="s">
        <v>22</v>
      </c>
      <c r="G2715" s="28" t="s">
        <v>6256</v>
      </c>
      <c r="H2715" s="9" t="s">
        <v>31</v>
      </c>
      <c r="I2715" s="29" t="s">
        <v>1900</v>
      </c>
      <c r="J2715" s="29" t="s">
        <v>4559</v>
      </c>
      <c r="K2715" s="27">
        <v>0</v>
      </c>
      <c r="L2715" s="235">
        <v>0</v>
      </c>
      <c r="M2715" s="27">
        <v>0</v>
      </c>
      <c r="N2715" s="27">
        <v>0</v>
      </c>
      <c r="O2715" s="27">
        <v>0</v>
      </c>
      <c r="P2715" s="27">
        <v>0</v>
      </c>
      <c r="Q2715" s="31"/>
      <c r="R2715" s="135">
        <v>337.11799999999999</v>
      </c>
      <c r="S2715" s="27" t="s">
        <v>149</v>
      </c>
      <c r="T2715" s="257">
        <f t="shared" si="91"/>
        <v>0</v>
      </c>
      <c r="U2715" s="257">
        <f t="shared" si="92"/>
        <v>0</v>
      </c>
      <c r="V2715">
        <v>0</v>
      </c>
      <c r="W2715">
        <v>0</v>
      </c>
    </row>
    <row r="2716" spans="1:23" ht="22.8" x14ac:dyDescent="0.3">
      <c r="A2716" s="213">
        <v>42437</v>
      </c>
      <c r="B2716" s="213">
        <v>42440</v>
      </c>
      <c r="C2716" s="6">
        <v>3</v>
      </c>
      <c r="D2716" s="6">
        <v>4</v>
      </c>
      <c r="E2716" s="27">
        <v>2016</v>
      </c>
      <c r="F2716" s="15" t="s">
        <v>22</v>
      </c>
      <c r="G2716" s="16" t="s">
        <v>6255</v>
      </c>
      <c r="H2716" s="9" t="s">
        <v>72</v>
      </c>
      <c r="I2716" s="29" t="s">
        <v>4146</v>
      </c>
      <c r="J2716" s="30" t="s">
        <v>4530</v>
      </c>
      <c r="K2716" s="27">
        <v>0</v>
      </c>
      <c r="L2716" s="235">
        <v>5900</v>
      </c>
      <c r="M2716" s="27">
        <v>0</v>
      </c>
      <c r="N2716" s="27">
        <v>0</v>
      </c>
      <c r="O2716" s="27">
        <v>0</v>
      </c>
      <c r="P2716" s="27">
        <v>0</v>
      </c>
      <c r="Q2716" s="31">
        <v>0</v>
      </c>
      <c r="R2716" s="32">
        <v>1.287738</v>
      </c>
      <c r="S2716" s="27" t="s">
        <v>551</v>
      </c>
      <c r="T2716" s="257">
        <f t="shared" si="91"/>
        <v>5900</v>
      </c>
      <c r="U2716" s="257">
        <f t="shared" si="92"/>
        <v>0</v>
      </c>
      <c r="V2716">
        <v>1</v>
      </c>
      <c r="W2716">
        <v>0</v>
      </c>
    </row>
    <row r="2717" spans="1:23" ht="136.80000000000001" x14ac:dyDescent="0.3">
      <c r="A2717" s="213">
        <v>42437</v>
      </c>
      <c r="B2717" s="213">
        <v>42438</v>
      </c>
      <c r="C2717" s="6">
        <v>3</v>
      </c>
      <c r="D2717" s="6">
        <v>2</v>
      </c>
      <c r="E2717" s="27">
        <v>2016</v>
      </c>
      <c r="F2717" s="15" t="s">
        <v>22</v>
      </c>
      <c r="G2717" s="28" t="s">
        <v>6255</v>
      </c>
      <c r="H2717" s="9" t="s">
        <v>34</v>
      </c>
      <c r="I2717" s="29" t="s">
        <v>4560</v>
      </c>
      <c r="J2717" s="30" t="s">
        <v>4527</v>
      </c>
      <c r="K2717" s="27">
        <v>0</v>
      </c>
      <c r="L2717" s="235">
        <v>49048</v>
      </c>
      <c r="M2717" s="27">
        <v>0</v>
      </c>
      <c r="N2717" s="27">
        <v>0</v>
      </c>
      <c r="O2717" s="27">
        <v>0</v>
      </c>
      <c r="P2717" s="27">
        <v>0</v>
      </c>
      <c r="Q2717" s="31">
        <v>0</v>
      </c>
      <c r="R2717" s="32">
        <v>19.813078000000001</v>
      </c>
      <c r="S2717" s="27" t="s">
        <v>551</v>
      </c>
      <c r="T2717" s="257">
        <f t="shared" si="91"/>
        <v>49048</v>
      </c>
      <c r="U2717" s="257">
        <f t="shared" si="92"/>
        <v>0</v>
      </c>
      <c r="V2717">
        <v>2</v>
      </c>
      <c r="W2717">
        <v>0</v>
      </c>
    </row>
    <row r="2718" spans="1:23" ht="57" x14ac:dyDescent="0.3">
      <c r="A2718" s="213">
        <v>42640</v>
      </c>
      <c r="B2718" s="213">
        <v>42641</v>
      </c>
      <c r="C2718" s="6">
        <v>9</v>
      </c>
      <c r="D2718" s="6">
        <v>2</v>
      </c>
      <c r="E2718" s="27">
        <v>2016</v>
      </c>
      <c r="F2718" s="15" t="s">
        <v>22</v>
      </c>
      <c r="G2718" s="28" t="s">
        <v>6256</v>
      </c>
      <c r="H2718" s="9" t="s">
        <v>174</v>
      </c>
      <c r="I2718" s="29" t="s">
        <v>4561</v>
      </c>
      <c r="J2718" s="29" t="s">
        <v>4562</v>
      </c>
      <c r="K2718" s="27">
        <v>0</v>
      </c>
      <c r="L2718" s="235">
        <v>0</v>
      </c>
      <c r="M2718" s="27">
        <v>0</v>
      </c>
      <c r="N2718" s="27">
        <v>0</v>
      </c>
      <c r="O2718" s="27">
        <v>0</v>
      </c>
      <c r="P2718" s="27">
        <v>0</v>
      </c>
      <c r="Q2718" s="31">
        <v>0</v>
      </c>
      <c r="R2718" s="135">
        <v>269.42399999999998</v>
      </c>
      <c r="S2718" s="27" t="s">
        <v>149</v>
      </c>
      <c r="T2718" s="257">
        <f t="shared" si="91"/>
        <v>0</v>
      </c>
      <c r="U2718" s="257">
        <f t="shared" si="92"/>
        <v>0</v>
      </c>
      <c r="V2718">
        <v>0</v>
      </c>
      <c r="W2718">
        <v>0</v>
      </c>
    </row>
    <row r="2719" spans="1:23" ht="239.4" x14ac:dyDescent="0.3">
      <c r="A2719" s="213">
        <v>42438</v>
      </c>
      <c r="B2719" s="213">
        <v>42439</v>
      </c>
      <c r="C2719" s="6">
        <v>3</v>
      </c>
      <c r="D2719" s="6">
        <v>2</v>
      </c>
      <c r="E2719" s="27">
        <v>2016</v>
      </c>
      <c r="F2719" s="15" t="s">
        <v>22</v>
      </c>
      <c r="G2719" s="28" t="s">
        <v>6255</v>
      </c>
      <c r="H2719" s="9" t="s">
        <v>88</v>
      </c>
      <c r="I2719" s="29" t="s">
        <v>4563</v>
      </c>
      <c r="J2719" s="30" t="s">
        <v>4527</v>
      </c>
      <c r="K2719" s="27">
        <v>0</v>
      </c>
      <c r="L2719" s="235">
        <v>54337</v>
      </c>
      <c r="M2719" s="27">
        <v>0</v>
      </c>
      <c r="N2719" s="27">
        <v>0</v>
      </c>
      <c r="O2719" s="27">
        <v>0</v>
      </c>
      <c r="P2719" s="27">
        <v>0</v>
      </c>
      <c r="Q2719" s="31">
        <v>0</v>
      </c>
      <c r="R2719" s="32">
        <v>17.392530000000001</v>
      </c>
      <c r="S2719" s="27" t="s">
        <v>551</v>
      </c>
      <c r="T2719" s="257">
        <f t="shared" si="91"/>
        <v>54337</v>
      </c>
      <c r="U2719" s="257">
        <f t="shared" si="92"/>
        <v>0</v>
      </c>
      <c r="V2719">
        <v>2</v>
      </c>
      <c r="W2719">
        <v>0</v>
      </c>
    </row>
    <row r="2720" spans="1:23" ht="34.200000000000003" x14ac:dyDescent="0.3">
      <c r="A2720" s="213">
        <v>42458</v>
      </c>
      <c r="B2720" s="213">
        <v>42460</v>
      </c>
      <c r="C2720" s="6">
        <v>3</v>
      </c>
      <c r="D2720" s="6">
        <v>3</v>
      </c>
      <c r="E2720" s="27">
        <v>2016</v>
      </c>
      <c r="F2720" s="15" t="s">
        <v>22</v>
      </c>
      <c r="G2720" s="9" t="s">
        <v>6257</v>
      </c>
      <c r="H2720" s="9" t="s">
        <v>34</v>
      </c>
      <c r="I2720" s="29" t="s">
        <v>4564</v>
      </c>
      <c r="J2720" s="30" t="s">
        <v>4555</v>
      </c>
      <c r="K2720" s="27">
        <v>0</v>
      </c>
      <c r="L2720" s="235">
        <v>21025</v>
      </c>
      <c r="M2720" s="27">
        <v>0</v>
      </c>
      <c r="N2720" s="27">
        <v>0</v>
      </c>
      <c r="O2720" s="27">
        <v>0</v>
      </c>
      <c r="P2720" s="27">
        <v>0</v>
      </c>
      <c r="Q2720" s="31">
        <v>0</v>
      </c>
      <c r="R2720" s="32">
        <v>8.8161810000000003</v>
      </c>
      <c r="S2720" s="27" t="s">
        <v>551</v>
      </c>
      <c r="T2720" s="257">
        <f t="shared" si="91"/>
        <v>21025</v>
      </c>
      <c r="U2720" s="257">
        <f t="shared" si="92"/>
        <v>0</v>
      </c>
      <c r="V2720">
        <v>2</v>
      </c>
      <c r="W2720">
        <v>0</v>
      </c>
    </row>
    <row r="2721" spans="1:23" ht="376.2" x14ac:dyDescent="0.3">
      <c r="A2721" s="213">
        <v>42587</v>
      </c>
      <c r="B2721" s="213">
        <v>42589</v>
      </c>
      <c r="C2721" s="6">
        <v>8</v>
      </c>
      <c r="D2721" s="6">
        <v>3</v>
      </c>
      <c r="E2721" s="27">
        <v>2016</v>
      </c>
      <c r="F2721" s="15" t="s">
        <v>22</v>
      </c>
      <c r="G2721" s="28" t="s">
        <v>6256</v>
      </c>
      <c r="H2721" s="9" t="s">
        <v>174</v>
      </c>
      <c r="I2721" s="29" t="s">
        <v>4565</v>
      </c>
      <c r="J2721" s="27" t="s">
        <v>4566</v>
      </c>
      <c r="K2721" s="27">
        <v>13</v>
      </c>
      <c r="L2721" s="235">
        <v>618137</v>
      </c>
      <c r="M2721" s="27">
        <v>6900</v>
      </c>
      <c r="N2721" s="27">
        <v>10</v>
      </c>
      <c r="O2721" s="27">
        <v>0</v>
      </c>
      <c r="P2721" s="27">
        <v>0</v>
      </c>
      <c r="Q2721" s="31">
        <v>0</v>
      </c>
      <c r="R2721" s="32">
        <f>59.266598+70.89</f>
        <v>130.156598</v>
      </c>
      <c r="S2721" s="27" t="s">
        <v>4567</v>
      </c>
      <c r="T2721" s="257">
        <f t="shared" si="91"/>
        <v>618150</v>
      </c>
      <c r="U2721" s="257">
        <f t="shared" si="92"/>
        <v>6910</v>
      </c>
      <c r="V2721">
        <v>4</v>
      </c>
      <c r="W2721">
        <v>2</v>
      </c>
    </row>
    <row r="2722" spans="1:23" ht="22.8" x14ac:dyDescent="0.3">
      <c r="A2722" s="213">
        <v>42493</v>
      </c>
      <c r="B2722" s="213">
        <v>42494</v>
      </c>
      <c r="C2722" s="6">
        <v>5</v>
      </c>
      <c r="D2722" s="6">
        <v>2</v>
      </c>
      <c r="E2722" s="27">
        <v>2016</v>
      </c>
      <c r="F2722" s="15" t="s">
        <v>22</v>
      </c>
      <c r="G2722" s="9" t="s">
        <v>6257</v>
      </c>
      <c r="H2722" s="9" t="s">
        <v>69</v>
      </c>
      <c r="I2722" s="29" t="s">
        <v>4568</v>
      </c>
      <c r="J2722" s="30" t="s">
        <v>4557</v>
      </c>
      <c r="K2722" s="27">
        <v>0</v>
      </c>
      <c r="L2722" s="235">
        <v>37187</v>
      </c>
      <c r="M2722" s="27">
        <v>0</v>
      </c>
      <c r="N2722" s="27">
        <v>0</v>
      </c>
      <c r="O2722" s="27">
        <v>0</v>
      </c>
      <c r="P2722" s="27">
        <v>0</v>
      </c>
      <c r="Q2722" s="31">
        <v>0</v>
      </c>
      <c r="R2722" s="32">
        <v>67.782522</v>
      </c>
      <c r="S2722" s="27" t="s">
        <v>551</v>
      </c>
      <c r="T2722" s="257">
        <f t="shared" si="91"/>
        <v>37187</v>
      </c>
      <c r="U2722" s="257">
        <f t="shared" si="92"/>
        <v>0</v>
      </c>
      <c r="V2722">
        <v>2</v>
      </c>
      <c r="W2722">
        <v>0</v>
      </c>
    </row>
    <row r="2723" spans="1:23" ht="34.200000000000003" x14ac:dyDescent="0.3">
      <c r="A2723" s="213">
        <v>42677</v>
      </c>
      <c r="B2723" s="213">
        <v>42678</v>
      </c>
      <c r="C2723" s="6">
        <v>11</v>
      </c>
      <c r="D2723" s="6">
        <v>2</v>
      </c>
      <c r="E2723" s="27">
        <v>2016</v>
      </c>
      <c r="F2723" s="15" t="s">
        <v>22</v>
      </c>
      <c r="G2723" s="16" t="s">
        <v>6256</v>
      </c>
      <c r="H2723" s="9" t="s">
        <v>34</v>
      </c>
      <c r="I2723" s="29" t="s">
        <v>4569</v>
      </c>
      <c r="J2723" s="29" t="s">
        <v>4570</v>
      </c>
      <c r="K2723" s="27">
        <v>0</v>
      </c>
      <c r="L2723" s="235">
        <v>0</v>
      </c>
      <c r="M2723" s="27">
        <v>0</v>
      </c>
      <c r="N2723" s="27">
        <v>0</v>
      </c>
      <c r="O2723" s="27">
        <v>0</v>
      </c>
      <c r="P2723" s="27">
        <v>0</v>
      </c>
      <c r="Q2723" s="31">
        <v>0</v>
      </c>
      <c r="R2723" s="135">
        <v>116.16539999999999</v>
      </c>
      <c r="S2723" s="27" t="s">
        <v>149</v>
      </c>
      <c r="T2723" s="257">
        <f t="shared" si="91"/>
        <v>0</v>
      </c>
      <c r="U2723" s="257">
        <f t="shared" si="92"/>
        <v>0</v>
      </c>
      <c r="V2723">
        <v>0</v>
      </c>
      <c r="W2723">
        <v>0</v>
      </c>
    </row>
    <row r="2724" spans="1:23" ht="22.8" x14ac:dyDescent="0.3">
      <c r="A2724" s="213">
        <v>42504</v>
      </c>
      <c r="B2724" s="213">
        <v>42505</v>
      </c>
      <c r="C2724" s="6">
        <v>5</v>
      </c>
      <c r="D2724" s="6">
        <v>2</v>
      </c>
      <c r="E2724" s="27">
        <v>2016</v>
      </c>
      <c r="F2724" s="15" t="s">
        <v>22</v>
      </c>
      <c r="G2724" s="9" t="s">
        <v>6257</v>
      </c>
      <c r="H2724" s="9" t="s">
        <v>34</v>
      </c>
      <c r="I2724" s="29" t="s">
        <v>4571</v>
      </c>
      <c r="J2724" s="30" t="s">
        <v>4555</v>
      </c>
      <c r="K2724" s="27">
        <v>0</v>
      </c>
      <c r="L2724" s="235">
        <v>4015</v>
      </c>
      <c r="M2724" s="27">
        <v>0</v>
      </c>
      <c r="N2724" s="27">
        <v>0</v>
      </c>
      <c r="O2724" s="27">
        <v>0</v>
      </c>
      <c r="P2724" s="27">
        <v>0</v>
      </c>
      <c r="Q2724" s="31">
        <v>0</v>
      </c>
      <c r="R2724" s="32">
        <v>1.2942279999999999</v>
      </c>
      <c r="S2724" s="27" t="s">
        <v>551</v>
      </c>
      <c r="T2724" s="257">
        <f t="shared" si="91"/>
        <v>4015</v>
      </c>
      <c r="U2724" s="257">
        <f t="shared" si="92"/>
        <v>0</v>
      </c>
      <c r="V2724">
        <v>1</v>
      </c>
      <c r="W2724">
        <v>0</v>
      </c>
    </row>
    <row r="2725" spans="1:23" ht="22.8" x14ac:dyDescent="0.3">
      <c r="A2725" s="213">
        <v>42505</v>
      </c>
      <c r="B2725" s="213">
        <v>42505</v>
      </c>
      <c r="C2725" s="6">
        <v>5</v>
      </c>
      <c r="D2725" s="6">
        <v>1</v>
      </c>
      <c r="E2725" s="27">
        <v>2016</v>
      </c>
      <c r="F2725" s="15" t="s">
        <v>22</v>
      </c>
      <c r="G2725" s="82" t="s">
        <v>6256</v>
      </c>
      <c r="H2725" s="9" t="s">
        <v>34</v>
      </c>
      <c r="I2725" s="29" t="s">
        <v>34</v>
      </c>
      <c r="J2725" s="30" t="s">
        <v>4572</v>
      </c>
      <c r="K2725" s="27">
        <v>0</v>
      </c>
      <c r="L2725" s="235">
        <v>17258</v>
      </c>
      <c r="M2725" s="27">
        <v>0</v>
      </c>
      <c r="N2725" s="27">
        <v>0</v>
      </c>
      <c r="O2725" s="27">
        <v>0</v>
      </c>
      <c r="P2725" s="27">
        <v>0</v>
      </c>
      <c r="Q2725" s="31">
        <v>0</v>
      </c>
      <c r="R2725" s="32">
        <v>4.205978</v>
      </c>
      <c r="S2725" s="27" t="s">
        <v>551</v>
      </c>
      <c r="T2725" s="257">
        <f t="shared" si="91"/>
        <v>17258</v>
      </c>
      <c r="U2725" s="257">
        <f t="shared" si="92"/>
        <v>0</v>
      </c>
      <c r="V2725">
        <v>2</v>
      </c>
      <c r="W2725">
        <v>0</v>
      </c>
    </row>
    <row r="2726" spans="1:23" ht="57" x14ac:dyDescent="0.3">
      <c r="A2726" s="213">
        <v>42507</v>
      </c>
      <c r="B2726" s="213">
        <v>42507</v>
      </c>
      <c r="C2726" s="6">
        <v>5</v>
      </c>
      <c r="D2726" s="6">
        <v>1</v>
      </c>
      <c r="E2726" s="27">
        <v>2016</v>
      </c>
      <c r="F2726" s="15" t="s">
        <v>22</v>
      </c>
      <c r="G2726" s="9" t="s">
        <v>6257</v>
      </c>
      <c r="H2726" s="9" t="s">
        <v>31</v>
      </c>
      <c r="I2726" s="29" t="s">
        <v>312</v>
      </c>
      <c r="J2726" s="29" t="s">
        <v>4573</v>
      </c>
      <c r="K2726" s="27">
        <v>0</v>
      </c>
      <c r="L2726" s="235">
        <v>165</v>
      </c>
      <c r="M2726" s="27">
        <v>60</v>
      </c>
      <c r="N2726" s="27">
        <v>0</v>
      </c>
      <c r="O2726" s="27">
        <v>0</v>
      </c>
      <c r="P2726" s="27">
        <v>0</v>
      </c>
      <c r="Q2726" s="31"/>
      <c r="R2726" s="135">
        <f>(60*5500)/1000000</f>
        <v>0.33</v>
      </c>
      <c r="S2726" s="27" t="s">
        <v>115</v>
      </c>
      <c r="T2726" s="257">
        <f t="shared" si="91"/>
        <v>165</v>
      </c>
      <c r="U2726" s="257">
        <f t="shared" si="92"/>
        <v>60</v>
      </c>
      <c r="V2726">
        <v>1</v>
      </c>
      <c r="W2726">
        <v>1</v>
      </c>
    </row>
    <row r="2727" spans="1:23" ht="34.200000000000003" x14ac:dyDescent="0.3">
      <c r="A2727" s="213">
        <v>42608</v>
      </c>
      <c r="B2727" s="213">
        <v>42608</v>
      </c>
      <c r="C2727" s="6">
        <v>8</v>
      </c>
      <c r="D2727" s="6">
        <v>1</v>
      </c>
      <c r="E2727" s="27">
        <v>2016</v>
      </c>
      <c r="F2727" s="15" t="s">
        <v>22</v>
      </c>
      <c r="G2727" s="28" t="s">
        <v>6256</v>
      </c>
      <c r="H2727" s="9" t="s">
        <v>37</v>
      </c>
      <c r="I2727" s="29" t="s">
        <v>4266</v>
      </c>
      <c r="J2727" s="29" t="s">
        <v>4574</v>
      </c>
      <c r="K2727" s="27">
        <v>0</v>
      </c>
      <c r="L2727" s="235">
        <v>0</v>
      </c>
      <c r="M2727" s="27">
        <v>0</v>
      </c>
      <c r="N2727" s="27">
        <v>0</v>
      </c>
      <c r="O2727" s="27">
        <v>0</v>
      </c>
      <c r="P2727" s="27">
        <v>0</v>
      </c>
      <c r="Q2727" s="31">
        <v>0</v>
      </c>
      <c r="R2727" s="135">
        <v>112.133</v>
      </c>
      <c r="S2727" s="27" t="s">
        <v>149</v>
      </c>
      <c r="T2727" s="257">
        <f t="shared" si="91"/>
        <v>0</v>
      </c>
      <c r="U2727" s="257">
        <f t="shared" si="92"/>
        <v>0</v>
      </c>
      <c r="V2727">
        <v>0</v>
      </c>
      <c r="W2727">
        <v>0</v>
      </c>
    </row>
    <row r="2728" spans="1:23" ht="102.6" x14ac:dyDescent="0.3">
      <c r="A2728" s="213">
        <v>42677</v>
      </c>
      <c r="B2728" s="213">
        <v>42677</v>
      </c>
      <c r="C2728" s="6">
        <v>11</v>
      </c>
      <c r="D2728" s="6">
        <v>1</v>
      </c>
      <c r="E2728" s="27">
        <v>2016</v>
      </c>
      <c r="F2728" s="15" t="s">
        <v>22</v>
      </c>
      <c r="G2728" s="28" t="s">
        <v>6256</v>
      </c>
      <c r="H2728" s="9" t="s">
        <v>78</v>
      </c>
      <c r="I2728" s="29" t="s">
        <v>4575</v>
      </c>
      <c r="J2728" s="29" t="s">
        <v>4576</v>
      </c>
      <c r="K2728" s="27">
        <v>0</v>
      </c>
      <c r="L2728" s="235">
        <v>104</v>
      </c>
      <c r="M2728" s="27">
        <v>8000</v>
      </c>
      <c r="N2728" s="27">
        <v>0</v>
      </c>
      <c r="O2728" s="27">
        <v>0</v>
      </c>
      <c r="P2728" s="27">
        <v>0</v>
      </c>
      <c r="Q2728" s="31">
        <v>0</v>
      </c>
      <c r="R2728" s="135">
        <v>103.67700000000001</v>
      </c>
      <c r="S2728" s="27" t="s">
        <v>4577</v>
      </c>
      <c r="T2728" s="257">
        <f t="shared" si="91"/>
        <v>104</v>
      </c>
      <c r="U2728" s="257">
        <f t="shared" si="92"/>
        <v>8000</v>
      </c>
      <c r="V2728">
        <v>1</v>
      </c>
      <c r="W2728">
        <v>2</v>
      </c>
    </row>
    <row r="2729" spans="1:23" ht="45.6" x14ac:dyDescent="0.3">
      <c r="A2729" s="129">
        <v>38913</v>
      </c>
      <c r="B2729" s="129">
        <v>38913</v>
      </c>
      <c r="C2729" s="6">
        <v>7</v>
      </c>
      <c r="D2729" s="6">
        <v>1</v>
      </c>
      <c r="E2729" s="103">
        <v>2006</v>
      </c>
      <c r="F2729" s="15" t="s">
        <v>22</v>
      </c>
      <c r="G2729" s="18" t="s">
        <v>6256</v>
      </c>
      <c r="H2729" s="9" t="s">
        <v>48</v>
      </c>
      <c r="I2729" s="59" t="s">
        <v>3086</v>
      </c>
      <c r="J2729" s="59" t="s">
        <v>4578</v>
      </c>
      <c r="K2729" s="19">
        <v>2</v>
      </c>
      <c r="L2729" s="234">
        <v>2</v>
      </c>
      <c r="M2729" s="19">
        <v>0</v>
      </c>
      <c r="N2729" s="19">
        <v>0</v>
      </c>
      <c r="O2729" s="19">
        <v>0</v>
      </c>
      <c r="P2729" s="19">
        <v>0</v>
      </c>
      <c r="Q2729" s="105">
        <v>0</v>
      </c>
      <c r="R2729" s="93">
        <v>0</v>
      </c>
      <c r="S2729" s="7" t="s">
        <v>115</v>
      </c>
      <c r="T2729" s="257">
        <f t="shared" si="91"/>
        <v>4</v>
      </c>
      <c r="U2729" s="257">
        <f t="shared" si="92"/>
        <v>0</v>
      </c>
      <c r="V2729">
        <v>1</v>
      </c>
      <c r="W2729">
        <v>0</v>
      </c>
    </row>
    <row r="2730" spans="1:23" ht="34.200000000000003" x14ac:dyDescent="0.3">
      <c r="A2730" s="213">
        <v>42605</v>
      </c>
      <c r="B2730" s="213">
        <v>42605</v>
      </c>
      <c r="C2730" s="6">
        <v>8</v>
      </c>
      <c r="D2730" s="6">
        <v>1</v>
      </c>
      <c r="E2730" s="27">
        <v>2016</v>
      </c>
      <c r="F2730" s="15" t="s">
        <v>22</v>
      </c>
      <c r="G2730" s="16" t="s">
        <v>6256</v>
      </c>
      <c r="H2730" s="9" t="s">
        <v>46</v>
      </c>
      <c r="I2730" s="29" t="s">
        <v>1364</v>
      </c>
      <c r="J2730" s="29" t="s">
        <v>4559</v>
      </c>
      <c r="K2730" s="27">
        <v>0</v>
      </c>
      <c r="L2730" s="235">
        <v>0</v>
      </c>
      <c r="M2730" s="27">
        <v>0</v>
      </c>
      <c r="N2730" s="27">
        <v>0</v>
      </c>
      <c r="O2730" s="27">
        <v>0</v>
      </c>
      <c r="P2730" s="27">
        <v>0</v>
      </c>
      <c r="Q2730" s="31">
        <v>0</v>
      </c>
      <c r="R2730" s="135">
        <v>29.010099999999998</v>
      </c>
      <c r="S2730" s="27" t="s">
        <v>149</v>
      </c>
      <c r="T2730" s="257">
        <f t="shared" si="91"/>
        <v>0</v>
      </c>
      <c r="U2730" s="257">
        <f t="shared" si="92"/>
        <v>0</v>
      </c>
      <c r="V2730">
        <v>0</v>
      </c>
      <c r="W2730">
        <v>0</v>
      </c>
    </row>
    <row r="2731" spans="1:23" ht="91.2" x14ac:dyDescent="0.3">
      <c r="A2731" s="129">
        <v>38919</v>
      </c>
      <c r="B2731" s="129">
        <v>38919</v>
      </c>
      <c r="C2731" s="6">
        <v>7</v>
      </c>
      <c r="D2731" s="6">
        <v>1</v>
      </c>
      <c r="E2731" s="103">
        <v>2006</v>
      </c>
      <c r="F2731" s="15" t="s">
        <v>22</v>
      </c>
      <c r="G2731" s="18" t="s">
        <v>6256</v>
      </c>
      <c r="H2731" s="9" t="s">
        <v>48</v>
      </c>
      <c r="I2731" s="17" t="s">
        <v>4579</v>
      </c>
      <c r="J2731" s="111" t="s">
        <v>4580</v>
      </c>
      <c r="K2731" s="23">
        <v>2</v>
      </c>
      <c r="L2731" s="234">
        <v>2</v>
      </c>
      <c r="M2731" s="23">
        <v>0</v>
      </c>
      <c r="N2731" s="23">
        <v>0</v>
      </c>
      <c r="O2731" s="19">
        <v>0</v>
      </c>
      <c r="P2731" s="19">
        <v>0</v>
      </c>
      <c r="Q2731" s="23">
        <v>0</v>
      </c>
      <c r="R2731" s="93">
        <v>0</v>
      </c>
      <c r="S2731" s="7" t="s">
        <v>115</v>
      </c>
      <c r="T2731" s="257">
        <f t="shared" si="91"/>
        <v>4</v>
      </c>
      <c r="U2731" s="257">
        <f t="shared" si="92"/>
        <v>0</v>
      </c>
      <c r="V2731">
        <v>1</v>
      </c>
      <c r="W2731">
        <v>0</v>
      </c>
    </row>
    <row r="2732" spans="1:23" ht="57" x14ac:dyDescent="0.3">
      <c r="A2732" s="213">
        <v>42570</v>
      </c>
      <c r="B2732" s="213">
        <v>42573</v>
      </c>
      <c r="C2732" s="6">
        <v>7</v>
      </c>
      <c r="D2732" s="6">
        <v>4</v>
      </c>
      <c r="E2732" s="27">
        <v>2016</v>
      </c>
      <c r="F2732" s="15" t="s">
        <v>22</v>
      </c>
      <c r="G2732" s="28" t="s">
        <v>6256</v>
      </c>
      <c r="H2732" s="9" t="s">
        <v>174</v>
      </c>
      <c r="I2732" s="29" t="s">
        <v>4581</v>
      </c>
      <c r="J2732" s="30" t="s">
        <v>550</v>
      </c>
      <c r="K2732" s="27">
        <v>0</v>
      </c>
      <c r="L2732" s="235">
        <v>131684</v>
      </c>
      <c r="M2732" s="27">
        <v>0</v>
      </c>
      <c r="N2732" s="27">
        <v>0</v>
      </c>
      <c r="O2732" s="27">
        <v>0</v>
      </c>
      <c r="P2732" s="27">
        <v>0</v>
      </c>
      <c r="Q2732" s="31">
        <v>0</v>
      </c>
      <c r="R2732" s="32">
        <v>20.855391999999998</v>
      </c>
      <c r="S2732" s="27" t="s">
        <v>551</v>
      </c>
      <c r="T2732" s="257">
        <f t="shared" si="91"/>
        <v>131684</v>
      </c>
      <c r="U2732" s="257">
        <f t="shared" si="92"/>
        <v>0</v>
      </c>
      <c r="V2732">
        <v>3</v>
      </c>
      <c r="W2732">
        <v>0</v>
      </c>
    </row>
    <row r="2733" spans="1:23" ht="22.8" x14ac:dyDescent="0.3">
      <c r="A2733" s="213">
        <v>42589</v>
      </c>
      <c r="B2733" s="213">
        <v>42590</v>
      </c>
      <c r="C2733" s="6">
        <v>8</v>
      </c>
      <c r="D2733" s="6">
        <v>2</v>
      </c>
      <c r="E2733" s="27">
        <v>2016</v>
      </c>
      <c r="F2733" s="15" t="s">
        <v>22</v>
      </c>
      <c r="G2733" s="28" t="s">
        <v>6256</v>
      </c>
      <c r="H2733" s="9" t="s">
        <v>28</v>
      </c>
      <c r="I2733" s="29" t="s">
        <v>29</v>
      </c>
      <c r="J2733" s="30" t="s">
        <v>550</v>
      </c>
      <c r="K2733" s="27">
        <v>0</v>
      </c>
      <c r="L2733" s="235">
        <v>490358</v>
      </c>
      <c r="M2733" s="27">
        <v>0</v>
      </c>
      <c r="N2733" s="27">
        <v>0</v>
      </c>
      <c r="O2733" s="27">
        <v>0</v>
      </c>
      <c r="P2733" s="27">
        <v>0</v>
      </c>
      <c r="Q2733" s="31">
        <v>0</v>
      </c>
      <c r="R2733" s="32">
        <v>10.088996</v>
      </c>
      <c r="S2733" s="27" t="s">
        <v>115</v>
      </c>
      <c r="T2733" s="257">
        <f t="shared" si="91"/>
        <v>490358</v>
      </c>
      <c r="U2733" s="257">
        <f t="shared" si="92"/>
        <v>0</v>
      </c>
      <c r="V2733">
        <v>3</v>
      </c>
      <c r="W2733">
        <v>0</v>
      </c>
    </row>
    <row r="2734" spans="1:23" ht="91.2" x14ac:dyDescent="0.3">
      <c r="A2734" s="213">
        <v>42599</v>
      </c>
      <c r="B2734" s="213">
        <v>42600</v>
      </c>
      <c r="C2734" s="6">
        <v>8</v>
      </c>
      <c r="D2734" s="6">
        <v>2</v>
      </c>
      <c r="E2734" s="27">
        <v>2016</v>
      </c>
      <c r="F2734" s="15" t="s">
        <v>22</v>
      </c>
      <c r="G2734" s="28" t="s">
        <v>6256</v>
      </c>
      <c r="H2734" s="9" t="s">
        <v>72</v>
      </c>
      <c r="I2734" s="29" t="s">
        <v>4582</v>
      </c>
      <c r="J2734" s="30" t="s">
        <v>4583</v>
      </c>
      <c r="K2734" s="27">
        <v>1</v>
      </c>
      <c r="L2734" s="235">
        <v>11300</v>
      </c>
      <c r="M2734" s="27">
        <v>600</v>
      </c>
      <c r="N2734" s="27">
        <v>0</v>
      </c>
      <c r="O2734" s="27">
        <v>0</v>
      </c>
      <c r="P2734" s="27">
        <v>0</v>
      </c>
      <c r="Q2734" s="31">
        <v>0</v>
      </c>
      <c r="R2734" s="32">
        <f>5.446827+3.3</f>
        <v>8.7468269999999997</v>
      </c>
      <c r="S2734" s="27" t="s">
        <v>115</v>
      </c>
      <c r="T2734" s="257">
        <f t="shared" si="91"/>
        <v>11301</v>
      </c>
      <c r="U2734" s="257">
        <f t="shared" si="92"/>
        <v>600</v>
      </c>
      <c r="V2734">
        <v>2</v>
      </c>
      <c r="W2734">
        <v>1</v>
      </c>
    </row>
    <row r="2735" spans="1:23" ht="125.4" x14ac:dyDescent="0.3">
      <c r="A2735" s="213">
        <v>42437</v>
      </c>
      <c r="B2735" s="213">
        <v>42439</v>
      </c>
      <c r="C2735" s="6">
        <v>3</v>
      </c>
      <c r="D2735" s="6">
        <v>3</v>
      </c>
      <c r="E2735" s="27">
        <v>2016</v>
      </c>
      <c r="F2735" s="15" t="s">
        <v>22</v>
      </c>
      <c r="G2735" s="28" t="s">
        <v>6256</v>
      </c>
      <c r="H2735" s="9" t="s">
        <v>51</v>
      </c>
      <c r="I2735" s="29" t="s">
        <v>4584</v>
      </c>
      <c r="J2735" s="29" t="s">
        <v>4585</v>
      </c>
      <c r="K2735" s="27">
        <v>0</v>
      </c>
      <c r="L2735" s="235">
        <v>27400</v>
      </c>
      <c r="M2735" s="27">
        <v>0</v>
      </c>
      <c r="N2735" s="27">
        <v>0</v>
      </c>
      <c r="O2735" s="27">
        <v>0</v>
      </c>
      <c r="P2735" s="27">
        <v>0</v>
      </c>
      <c r="Q2735" s="31">
        <v>0</v>
      </c>
      <c r="R2735" s="32">
        <v>7.0406599999999999</v>
      </c>
      <c r="S2735" s="27" t="s">
        <v>115</v>
      </c>
      <c r="T2735" s="257">
        <f t="shared" si="91"/>
        <v>27400</v>
      </c>
      <c r="U2735" s="257">
        <f t="shared" si="92"/>
        <v>0</v>
      </c>
      <c r="V2735">
        <v>2</v>
      </c>
      <c r="W2735">
        <v>0</v>
      </c>
    </row>
    <row r="2736" spans="1:23" ht="22.8" x14ac:dyDescent="0.3">
      <c r="A2736" s="213">
        <v>42538</v>
      </c>
      <c r="B2736" s="213">
        <v>42539</v>
      </c>
      <c r="C2736" s="6">
        <v>6</v>
      </c>
      <c r="D2736" s="6">
        <v>2</v>
      </c>
      <c r="E2736" s="27">
        <v>2016</v>
      </c>
      <c r="F2736" s="15" t="s">
        <v>22</v>
      </c>
      <c r="G2736" s="28" t="s">
        <v>6256</v>
      </c>
      <c r="H2736" s="9" t="s">
        <v>69</v>
      </c>
      <c r="I2736" s="29" t="s">
        <v>4419</v>
      </c>
      <c r="J2736" s="30" t="s">
        <v>550</v>
      </c>
      <c r="K2736" s="27">
        <v>0</v>
      </c>
      <c r="L2736" s="235">
        <v>14931</v>
      </c>
      <c r="M2736" s="27">
        <v>0</v>
      </c>
      <c r="N2736" s="27">
        <v>0</v>
      </c>
      <c r="O2736" s="27">
        <v>0</v>
      </c>
      <c r="P2736" s="27">
        <v>0</v>
      </c>
      <c r="Q2736" s="31">
        <v>0</v>
      </c>
      <c r="R2736" s="32">
        <v>6.9687159999999997</v>
      </c>
      <c r="S2736" s="27" t="s">
        <v>115</v>
      </c>
      <c r="T2736" s="257">
        <f t="shared" si="91"/>
        <v>14931</v>
      </c>
      <c r="U2736" s="257">
        <f t="shared" si="92"/>
        <v>0</v>
      </c>
      <c r="V2736">
        <v>2</v>
      </c>
      <c r="W2736">
        <v>0</v>
      </c>
    </row>
    <row r="2737" spans="1:23" ht="68.400000000000006" x14ac:dyDescent="0.3">
      <c r="A2737" s="213">
        <v>42573</v>
      </c>
      <c r="B2737" s="213">
        <v>42573</v>
      </c>
      <c r="C2737" s="6">
        <v>7</v>
      </c>
      <c r="D2737" s="6">
        <v>1</v>
      </c>
      <c r="E2737" s="137">
        <v>2016</v>
      </c>
      <c r="F2737" s="15" t="s">
        <v>22</v>
      </c>
      <c r="G2737" s="28" t="s">
        <v>6256</v>
      </c>
      <c r="H2737" s="9" t="s">
        <v>174</v>
      </c>
      <c r="I2737" s="29" t="s">
        <v>4586</v>
      </c>
      <c r="J2737" s="29" t="s">
        <v>4587</v>
      </c>
      <c r="K2737" s="27">
        <v>0</v>
      </c>
      <c r="L2737" s="235">
        <v>3998</v>
      </c>
      <c r="M2737" s="27">
        <v>999</v>
      </c>
      <c r="N2737" s="27">
        <v>4</v>
      </c>
      <c r="O2737" s="27">
        <v>0</v>
      </c>
      <c r="P2737" s="27">
        <v>23</v>
      </c>
      <c r="Q2737" s="31">
        <v>0</v>
      </c>
      <c r="R2737" s="135">
        <f>((999*5500)+(23*10000))/1000000</f>
        <v>5.7244999999999999</v>
      </c>
      <c r="S2737" s="27" t="s">
        <v>115</v>
      </c>
      <c r="T2737" s="257">
        <f t="shared" si="91"/>
        <v>3998</v>
      </c>
      <c r="U2737" s="257">
        <f t="shared" si="92"/>
        <v>1026</v>
      </c>
      <c r="V2737">
        <v>1</v>
      </c>
      <c r="W2737">
        <v>2</v>
      </c>
    </row>
    <row r="2738" spans="1:23" ht="68.400000000000006" x14ac:dyDescent="0.3">
      <c r="A2738" s="212">
        <v>39342</v>
      </c>
      <c r="B2738" s="212">
        <v>39345</v>
      </c>
      <c r="C2738" s="6">
        <v>9</v>
      </c>
      <c r="D2738" s="6">
        <v>4</v>
      </c>
      <c r="E2738" s="6">
        <v>2007</v>
      </c>
      <c r="F2738" s="15" t="s">
        <v>22</v>
      </c>
      <c r="G2738" s="18" t="s">
        <v>6256</v>
      </c>
      <c r="H2738" s="9" t="s">
        <v>48</v>
      </c>
      <c r="I2738" s="17" t="s">
        <v>4588</v>
      </c>
      <c r="J2738" s="17" t="s">
        <v>4589</v>
      </c>
      <c r="K2738" s="13">
        <v>0</v>
      </c>
      <c r="L2738" s="233">
        <v>240</v>
      </c>
      <c r="M2738" s="13">
        <v>0</v>
      </c>
      <c r="N2738" s="13">
        <v>0</v>
      </c>
      <c r="O2738" s="13">
        <v>0</v>
      </c>
      <c r="P2738" s="13">
        <v>0</v>
      </c>
      <c r="Q2738" s="60">
        <v>0</v>
      </c>
      <c r="R2738" s="61">
        <v>0</v>
      </c>
      <c r="S2738" s="7" t="s">
        <v>115</v>
      </c>
      <c r="T2738" s="257">
        <f t="shared" si="91"/>
        <v>240</v>
      </c>
      <c r="U2738" s="257">
        <f t="shared" si="92"/>
        <v>0</v>
      </c>
      <c r="V2738">
        <v>1</v>
      </c>
      <c r="W2738">
        <v>0</v>
      </c>
    </row>
    <row r="2739" spans="1:23" ht="216.6" x14ac:dyDescent="0.3">
      <c r="A2739" s="213">
        <v>42521</v>
      </c>
      <c r="B2739" s="213">
        <v>42522</v>
      </c>
      <c r="C2739" s="6">
        <v>5</v>
      </c>
      <c r="D2739" s="6">
        <v>2</v>
      </c>
      <c r="E2739" s="27">
        <v>2016</v>
      </c>
      <c r="F2739" s="15" t="s">
        <v>22</v>
      </c>
      <c r="G2739" s="28" t="s">
        <v>6256</v>
      </c>
      <c r="H2739" s="9" t="s">
        <v>78</v>
      </c>
      <c r="I2739" s="29" t="s">
        <v>1262</v>
      </c>
      <c r="J2739" s="30" t="s">
        <v>4590</v>
      </c>
      <c r="K2739" s="27">
        <v>0</v>
      </c>
      <c r="L2739" s="235">
        <v>9455</v>
      </c>
      <c r="M2739" s="27">
        <v>0</v>
      </c>
      <c r="N2739" s="27">
        <v>0</v>
      </c>
      <c r="O2739" s="27">
        <v>0</v>
      </c>
      <c r="P2739" s="27">
        <v>0</v>
      </c>
      <c r="Q2739" s="31">
        <v>0</v>
      </c>
      <c r="R2739" s="32">
        <v>5.5168460000000001</v>
      </c>
      <c r="S2739" s="27" t="s">
        <v>115</v>
      </c>
      <c r="T2739" s="257">
        <f t="shared" si="91"/>
        <v>9455</v>
      </c>
      <c r="U2739" s="257">
        <f t="shared" si="92"/>
        <v>0</v>
      </c>
      <c r="V2739">
        <v>1</v>
      </c>
      <c r="W2739">
        <v>0</v>
      </c>
    </row>
    <row r="2740" spans="1:23" ht="171" x14ac:dyDescent="0.3">
      <c r="A2740" s="213">
        <v>42602</v>
      </c>
      <c r="B2740" s="213">
        <v>42605</v>
      </c>
      <c r="C2740" s="6">
        <v>8</v>
      </c>
      <c r="D2740" s="6">
        <v>4</v>
      </c>
      <c r="E2740" s="27">
        <v>2016</v>
      </c>
      <c r="F2740" s="15" t="s">
        <v>22</v>
      </c>
      <c r="G2740" s="28" t="s">
        <v>6256</v>
      </c>
      <c r="H2740" s="9" t="s">
        <v>72</v>
      </c>
      <c r="I2740" s="29" t="s">
        <v>4591</v>
      </c>
      <c r="J2740" s="30" t="s">
        <v>4592</v>
      </c>
      <c r="K2740" s="27">
        <v>0</v>
      </c>
      <c r="L2740" s="235">
        <v>31400</v>
      </c>
      <c r="M2740" s="27">
        <v>600</v>
      </c>
      <c r="N2740" s="27">
        <v>0</v>
      </c>
      <c r="O2740" s="27">
        <v>0</v>
      </c>
      <c r="P2740" s="27">
        <v>0</v>
      </c>
      <c r="Q2740" s="31">
        <v>0</v>
      </c>
      <c r="R2740" s="32">
        <v>5.0694429999999997</v>
      </c>
      <c r="S2740" s="27" t="s">
        <v>115</v>
      </c>
      <c r="T2740" s="257">
        <f t="shared" si="91"/>
        <v>31400</v>
      </c>
      <c r="U2740" s="257">
        <f t="shared" si="92"/>
        <v>600</v>
      </c>
      <c r="V2740">
        <v>2</v>
      </c>
      <c r="W2740">
        <v>1</v>
      </c>
    </row>
    <row r="2741" spans="1:23" ht="22.8" x14ac:dyDescent="0.3">
      <c r="A2741" s="213">
        <v>42584</v>
      </c>
      <c r="B2741" s="213">
        <v>42587</v>
      </c>
      <c r="C2741" s="6">
        <v>8</v>
      </c>
      <c r="D2741" s="6">
        <v>4</v>
      </c>
      <c r="E2741" s="27">
        <v>2016</v>
      </c>
      <c r="F2741" s="15" t="s">
        <v>22</v>
      </c>
      <c r="G2741" s="28" t="s">
        <v>6256</v>
      </c>
      <c r="H2741" s="9" t="s">
        <v>69</v>
      </c>
      <c r="I2741" s="29" t="s">
        <v>4593</v>
      </c>
      <c r="J2741" s="30" t="s">
        <v>550</v>
      </c>
      <c r="K2741" s="27">
        <v>0</v>
      </c>
      <c r="L2741" s="235">
        <v>22215</v>
      </c>
      <c r="M2741" s="27">
        <v>0</v>
      </c>
      <c r="N2741" s="27">
        <v>0</v>
      </c>
      <c r="O2741" s="27">
        <v>0</v>
      </c>
      <c r="P2741" s="27">
        <v>0</v>
      </c>
      <c r="Q2741" s="31">
        <v>0</v>
      </c>
      <c r="R2741" s="32">
        <v>4.9749999999999996</v>
      </c>
      <c r="S2741" s="27" t="s">
        <v>551</v>
      </c>
      <c r="T2741" s="257">
        <f t="shared" si="91"/>
        <v>22215</v>
      </c>
      <c r="U2741" s="257">
        <f t="shared" si="92"/>
        <v>0</v>
      </c>
      <c r="V2741">
        <v>2</v>
      </c>
      <c r="W2741">
        <v>0</v>
      </c>
    </row>
    <row r="2742" spans="1:23" ht="273.60000000000002" x14ac:dyDescent="0.3">
      <c r="A2742" s="213">
        <v>42522</v>
      </c>
      <c r="B2742" s="213">
        <v>42522</v>
      </c>
      <c r="C2742" s="6">
        <v>6</v>
      </c>
      <c r="D2742" s="6">
        <v>1</v>
      </c>
      <c r="E2742" s="27">
        <v>2016</v>
      </c>
      <c r="F2742" s="15" t="s">
        <v>22</v>
      </c>
      <c r="G2742" s="16" t="s">
        <v>6256</v>
      </c>
      <c r="H2742" s="9" t="s">
        <v>118</v>
      </c>
      <c r="I2742" s="29" t="s">
        <v>170</v>
      </c>
      <c r="J2742" s="29" t="s">
        <v>4594</v>
      </c>
      <c r="K2742" s="27">
        <v>0</v>
      </c>
      <c r="L2742" s="235" t="s">
        <v>95</v>
      </c>
      <c r="M2742" s="27">
        <v>880</v>
      </c>
      <c r="N2742" s="27">
        <v>0</v>
      </c>
      <c r="O2742" s="27">
        <v>0</v>
      </c>
      <c r="P2742" s="27">
        <v>0</v>
      </c>
      <c r="Q2742" s="31">
        <v>0</v>
      </c>
      <c r="R2742" s="135">
        <f>(M2742*5500)/1000000</f>
        <v>4.84</v>
      </c>
      <c r="S2742" s="27" t="s">
        <v>115</v>
      </c>
      <c r="T2742" s="257">
        <f t="shared" si="91"/>
        <v>0</v>
      </c>
      <c r="U2742" s="257">
        <f t="shared" si="92"/>
        <v>880</v>
      </c>
      <c r="V2742">
        <v>0</v>
      </c>
      <c r="W2742">
        <v>1</v>
      </c>
    </row>
    <row r="2743" spans="1:23" ht="45.6" x14ac:dyDescent="0.3">
      <c r="A2743" s="213">
        <v>42602</v>
      </c>
      <c r="B2743" s="213">
        <v>42614</v>
      </c>
      <c r="C2743" s="6">
        <v>8</v>
      </c>
      <c r="D2743" s="6">
        <v>13</v>
      </c>
      <c r="E2743" s="27">
        <v>2016</v>
      </c>
      <c r="F2743" s="15" t="s">
        <v>22</v>
      </c>
      <c r="G2743" s="28" t="s">
        <v>6256</v>
      </c>
      <c r="H2743" s="9" t="s">
        <v>34</v>
      </c>
      <c r="I2743" s="29" t="s">
        <v>4595</v>
      </c>
      <c r="J2743" s="30" t="s">
        <v>550</v>
      </c>
      <c r="K2743" s="27">
        <v>0</v>
      </c>
      <c r="L2743" s="235">
        <v>22590</v>
      </c>
      <c r="M2743" s="27">
        <v>0</v>
      </c>
      <c r="N2743" s="27">
        <v>0</v>
      </c>
      <c r="O2743" s="27">
        <v>0</v>
      </c>
      <c r="P2743" s="27">
        <v>0</v>
      </c>
      <c r="Q2743" s="31">
        <v>0</v>
      </c>
      <c r="R2743" s="32">
        <v>4.138395</v>
      </c>
      <c r="S2743" s="27" t="s">
        <v>551</v>
      </c>
      <c r="T2743" s="257">
        <f t="shared" si="91"/>
        <v>22590</v>
      </c>
      <c r="U2743" s="257">
        <f t="shared" si="92"/>
        <v>0</v>
      </c>
      <c r="V2743">
        <v>2</v>
      </c>
      <c r="W2743">
        <v>0</v>
      </c>
    </row>
    <row r="2744" spans="1:23" ht="91.2" x14ac:dyDescent="0.3">
      <c r="A2744" s="213">
        <v>42576</v>
      </c>
      <c r="B2744" s="213">
        <v>42576</v>
      </c>
      <c r="C2744" s="6">
        <v>7</v>
      </c>
      <c r="D2744" s="6">
        <v>1</v>
      </c>
      <c r="E2744" s="137">
        <v>2016</v>
      </c>
      <c r="F2744" s="15" t="s">
        <v>22</v>
      </c>
      <c r="G2744" s="28" t="s">
        <v>6256</v>
      </c>
      <c r="H2744" s="9" t="s">
        <v>43</v>
      </c>
      <c r="I2744" s="29" t="s">
        <v>2594</v>
      </c>
      <c r="J2744" s="29" t="s">
        <v>4596</v>
      </c>
      <c r="K2744" s="27">
        <v>0</v>
      </c>
      <c r="L2744" s="235">
        <v>0</v>
      </c>
      <c r="M2744" s="27">
        <v>700</v>
      </c>
      <c r="N2744" s="27">
        <v>0</v>
      </c>
      <c r="O2744" s="27">
        <v>0</v>
      </c>
      <c r="P2744" s="27">
        <v>0</v>
      </c>
      <c r="Q2744" s="31">
        <v>0</v>
      </c>
      <c r="R2744" s="135">
        <f>(M2744*5500)/1000000</f>
        <v>3.85</v>
      </c>
      <c r="S2744" s="27" t="s">
        <v>115</v>
      </c>
      <c r="T2744" s="257">
        <f t="shared" si="91"/>
        <v>0</v>
      </c>
      <c r="U2744" s="257">
        <f t="shared" si="92"/>
        <v>700</v>
      </c>
      <c r="V2744">
        <v>0</v>
      </c>
      <c r="W2744">
        <v>1</v>
      </c>
    </row>
    <row r="2745" spans="1:23" ht="34.200000000000003" x14ac:dyDescent="0.3">
      <c r="A2745" s="213">
        <v>42541</v>
      </c>
      <c r="B2745" s="213">
        <v>42543</v>
      </c>
      <c r="C2745" s="6">
        <v>6</v>
      </c>
      <c r="D2745" s="6">
        <v>3</v>
      </c>
      <c r="E2745" s="27">
        <v>2016</v>
      </c>
      <c r="F2745" s="15" t="s">
        <v>22</v>
      </c>
      <c r="G2745" s="28" t="s">
        <v>6256</v>
      </c>
      <c r="H2745" s="9" t="s">
        <v>174</v>
      </c>
      <c r="I2745" s="29" t="s">
        <v>4597</v>
      </c>
      <c r="J2745" s="30" t="s">
        <v>550</v>
      </c>
      <c r="K2745" s="27">
        <v>0</v>
      </c>
      <c r="L2745" s="235">
        <v>32202</v>
      </c>
      <c r="M2745" s="27">
        <v>0</v>
      </c>
      <c r="N2745" s="27">
        <v>0</v>
      </c>
      <c r="O2745" s="27">
        <v>0</v>
      </c>
      <c r="P2745" s="27">
        <v>0</v>
      </c>
      <c r="Q2745" s="31">
        <v>0</v>
      </c>
      <c r="R2745" s="32">
        <v>3.6389740000000002</v>
      </c>
      <c r="S2745" s="27" t="s">
        <v>551</v>
      </c>
      <c r="T2745" s="257">
        <f t="shared" si="91"/>
        <v>32202</v>
      </c>
      <c r="U2745" s="257">
        <f t="shared" si="92"/>
        <v>0</v>
      </c>
      <c r="V2745">
        <v>2</v>
      </c>
      <c r="W2745">
        <v>0</v>
      </c>
    </row>
    <row r="2746" spans="1:23" ht="22.8" x14ac:dyDescent="0.3">
      <c r="A2746" s="213">
        <v>42585</v>
      </c>
      <c r="B2746" s="213">
        <v>42587</v>
      </c>
      <c r="C2746" s="6">
        <v>8</v>
      </c>
      <c r="D2746" s="6">
        <v>3</v>
      </c>
      <c r="E2746" s="27">
        <v>2016</v>
      </c>
      <c r="F2746" s="15" t="s">
        <v>22</v>
      </c>
      <c r="G2746" s="28" t="s">
        <v>6256</v>
      </c>
      <c r="H2746" s="9" t="s">
        <v>31</v>
      </c>
      <c r="I2746" s="29" t="s">
        <v>4598</v>
      </c>
      <c r="J2746" s="30" t="s">
        <v>550</v>
      </c>
      <c r="K2746" s="27">
        <v>0</v>
      </c>
      <c r="L2746" s="235">
        <v>7599</v>
      </c>
      <c r="M2746" s="27">
        <v>0</v>
      </c>
      <c r="N2746" s="27">
        <v>0</v>
      </c>
      <c r="O2746" s="27">
        <v>0</v>
      </c>
      <c r="P2746" s="27">
        <v>0</v>
      </c>
      <c r="Q2746" s="31">
        <v>0</v>
      </c>
      <c r="R2746" s="32">
        <v>3.6002399999999999</v>
      </c>
      <c r="S2746" s="27" t="s">
        <v>551</v>
      </c>
      <c r="T2746" s="257">
        <f t="shared" si="91"/>
        <v>7599</v>
      </c>
      <c r="U2746" s="257">
        <f t="shared" si="92"/>
        <v>0</v>
      </c>
      <c r="V2746">
        <v>1</v>
      </c>
      <c r="W2746">
        <v>0</v>
      </c>
    </row>
    <row r="2747" spans="1:23" ht="307.8" x14ac:dyDescent="0.3">
      <c r="A2747" s="213">
        <v>42638</v>
      </c>
      <c r="B2747" s="213">
        <v>42638</v>
      </c>
      <c r="C2747" s="6">
        <v>9</v>
      </c>
      <c r="D2747" s="6">
        <v>1</v>
      </c>
      <c r="E2747" s="27">
        <v>2016</v>
      </c>
      <c r="F2747" s="15" t="s">
        <v>22</v>
      </c>
      <c r="G2747" s="28" t="s">
        <v>6256</v>
      </c>
      <c r="H2747" s="9" t="s">
        <v>118</v>
      </c>
      <c r="I2747" s="29" t="s">
        <v>302</v>
      </c>
      <c r="J2747" s="29" t="s">
        <v>4599</v>
      </c>
      <c r="K2747" s="27">
        <v>0</v>
      </c>
      <c r="L2747" s="235">
        <v>3000</v>
      </c>
      <c r="M2747" s="27">
        <v>600</v>
      </c>
      <c r="N2747" s="27">
        <v>6</v>
      </c>
      <c r="O2747" s="27">
        <v>0</v>
      </c>
      <c r="P2747" s="27">
        <v>0</v>
      </c>
      <c r="Q2747" s="31">
        <v>27.8</v>
      </c>
      <c r="R2747" s="135">
        <f>(M2747*5500)/1000000</f>
        <v>3.3</v>
      </c>
      <c r="S2747" s="27" t="s">
        <v>115</v>
      </c>
      <c r="T2747" s="257">
        <f t="shared" si="91"/>
        <v>3000</v>
      </c>
      <c r="U2747" s="257">
        <f t="shared" si="92"/>
        <v>606</v>
      </c>
      <c r="V2747">
        <v>1</v>
      </c>
      <c r="W2747">
        <v>1</v>
      </c>
    </row>
    <row r="2748" spans="1:23" ht="114" x14ac:dyDescent="0.3">
      <c r="A2748" s="213">
        <v>42686</v>
      </c>
      <c r="B2748" s="213">
        <v>42686</v>
      </c>
      <c r="C2748" s="6">
        <v>11</v>
      </c>
      <c r="D2748" s="6">
        <v>1</v>
      </c>
      <c r="E2748" s="27">
        <v>2016</v>
      </c>
      <c r="F2748" s="15" t="s">
        <v>22</v>
      </c>
      <c r="G2748" s="28" t="s">
        <v>6256</v>
      </c>
      <c r="H2748" s="17" t="s">
        <v>565</v>
      </c>
      <c r="I2748" s="29" t="s">
        <v>4600</v>
      </c>
      <c r="J2748" s="29" t="s">
        <v>4601</v>
      </c>
      <c r="K2748" s="27">
        <v>0</v>
      </c>
      <c r="L2748" s="235">
        <v>1856</v>
      </c>
      <c r="M2748" s="27">
        <v>464</v>
      </c>
      <c r="N2748" s="27">
        <v>0</v>
      </c>
      <c r="O2748" s="27">
        <v>0</v>
      </c>
      <c r="P2748" s="27">
        <v>0</v>
      </c>
      <c r="Q2748" s="31">
        <v>0</v>
      </c>
      <c r="R2748" s="135">
        <f>(M2748*5500)/1000000</f>
        <v>2.552</v>
      </c>
      <c r="S2748" s="27" t="s">
        <v>115</v>
      </c>
      <c r="T2748" s="257">
        <f t="shared" si="91"/>
        <v>1856</v>
      </c>
      <c r="U2748" s="257">
        <f t="shared" si="92"/>
        <v>464</v>
      </c>
      <c r="V2748">
        <v>1</v>
      </c>
      <c r="W2748">
        <v>1</v>
      </c>
    </row>
    <row r="2749" spans="1:23" ht="207" x14ac:dyDescent="0.3">
      <c r="A2749" s="213">
        <v>42627</v>
      </c>
      <c r="B2749" s="213">
        <v>42627</v>
      </c>
      <c r="C2749" s="6">
        <v>9</v>
      </c>
      <c r="D2749" s="6">
        <v>1</v>
      </c>
      <c r="E2749" s="27">
        <v>2016</v>
      </c>
      <c r="F2749" s="15" t="s">
        <v>22</v>
      </c>
      <c r="G2749" s="28" t="s">
        <v>6256</v>
      </c>
      <c r="H2749" s="9" t="s">
        <v>31</v>
      </c>
      <c r="I2749" s="29" t="s">
        <v>4602</v>
      </c>
      <c r="J2749" s="29" t="s">
        <v>4603</v>
      </c>
      <c r="K2749" s="27">
        <v>2</v>
      </c>
      <c r="L2749" s="235">
        <v>8</v>
      </c>
      <c r="M2749" s="27">
        <v>244</v>
      </c>
      <c r="N2749" s="27">
        <v>0</v>
      </c>
      <c r="O2749" s="27">
        <v>0</v>
      </c>
      <c r="P2749" s="27">
        <v>0</v>
      </c>
      <c r="Q2749" s="31">
        <v>0</v>
      </c>
      <c r="R2749" s="135">
        <f>(M2749*5500)/1000000</f>
        <v>1.3420000000000001</v>
      </c>
      <c r="S2749" s="27" t="s">
        <v>115</v>
      </c>
      <c r="T2749" s="257">
        <f t="shared" si="91"/>
        <v>10</v>
      </c>
      <c r="U2749" s="257">
        <f t="shared" si="92"/>
        <v>244</v>
      </c>
      <c r="V2749">
        <v>1</v>
      </c>
      <c r="W2749">
        <v>1</v>
      </c>
    </row>
    <row r="2750" spans="1:23" ht="79.8" x14ac:dyDescent="0.3">
      <c r="A2750" s="213">
        <v>42587</v>
      </c>
      <c r="B2750" s="213">
        <v>42589</v>
      </c>
      <c r="C2750" s="6">
        <v>8</v>
      </c>
      <c r="D2750" s="6">
        <v>3</v>
      </c>
      <c r="E2750" s="27">
        <v>2016</v>
      </c>
      <c r="F2750" s="15" t="s">
        <v>22</v>
      </c>
      <c r="G2750" s="28" t="s">
        <v>6256</v>
      </c>
      <c r="H2750" s="9" t="s">
        <v>121</v>
      </c>
      <c r="I2750" s="29" t="s">
        <v>4604</v>
      </c>
      <c r="J2750" s="30" t="s">
        <v>4605</v>
      </c>
      <c r="K2750" s="27">
        <v>1</v>
      </c>
      <c r="L2750" s="235">
        <v>41</v>
      </c>
      <c r="M2750" s="27">
        <v>8</v>
      </c>
      <c r="N2750" s="27">
        <v>0</v>
      </c>
      <c r="O2750" s="27">
        <v>0</v>
      </c>
      <c r="P2750" s="27">
        <v>0</v>
      </c>
      <c r="Q2750" s="31">
        <v>0</v>
      </c>
      <c r="R2750" s="32">
        <v>0.96</v>
      </c>
      <c r="S2750" s="27" t="s">
        <v>4606</v>
      </c>
      <c r="T2750" s="257">
        <f t="shared" si="91"/>
        <v>42</v>
      </c>
      <c r="U2750" s="257">
        <f t="shared" si="92"/>
        <v>8</v>
      </c>
      <c r="V2750">
        <v>1</v>
      </c>
      <c r="W2750">
        <v>1</v>
      </c>
    </row>
    <row r="2751" spans="1:23" ht="57" x14ac:dyDescent="0.3">
      <c r="A2751" s="213">
        <v>42651</v>
      </c>
      <c r="B2751" s="213">
        <v>42651</v>
      </c>
      <c r="C2751" s="6">
        <v>10</v>
      </c>
      <c r="D2751" s="6">
        <v>1</v>
      </c>
      <c r="E2751" s="27">
        <v>2016</v>
      </c>
      <c r="F2751" s="15" t="s">
        <v>22</v>
      </c>
      <c r="G2751" s="28" t="s">
        <v>6256</v>
      </c>
      <c r="H2751" s="9" t="s">
        <v>174</v>
      </c>
      <c r="I2751" s="29" t="s">
        <v>4607</v>
      </c>
      <c r="J2751" s="29" t="s">
        <v>4608</v>
      </c>
      <c r="K2751" s="27">
        <v>0</v>
      </c>
      <c r="L2751" s="235">
        <v>150</v>
      </c>
      <c r="M2751" s="27">
        <v>146</v>
      </c>
      <c r="N2751" s="27">
        <v>0</v>
      </c>
      <c r="O2751" s="27">
        <v>0</v>
      </c>
      <c r="P2751" s="27">
        <v>0</v>
      </c>
      <c r="Q2751" s="31">
        <v>0</v>
      </c>
      <c r="R2751" s="135">
        <f>(M2751*5500)/1000000</f>
        <v>0.80300000000000005</v>
      </c>
      <c r="S2751" s="27" t="s">
        <v>115</v>
      </c>
      <c r="T2751" s="257">
        <f t="shared" si="91"/>
        <v>150</v>
      </c>
      <c r="U2751" s="257">
        <f t="shared" si="92"/>
        <v>146</v>
      </c>
      <c r="V2751">
        <v>1</v>
      </c>
      <c r="W2751">
        <v>1</v>
      </c>
    </row>
    <row r="2752" spans="1:23" ht="136.80000000000001" x14ac:dyDescent="0.3">
      <c r="A2752" s="213">
        <v>42572</v>
      </c>
      <c r="B2752" s="213">
        <v>42572</v>
      </c>
      <c r="C2752" s="6">
        <v>7</v>
      </c>
      <c r="D2752" s="6">
        <v>1</v>
      </c>
      <c r="E2752" s="137">
        <v>2016</v>
      </c>
      <c r="F2752" s="15" t="s">
        <v>22</v>
      </c>
      <c r="G2752" s="28" t="s">
        <v>6256</v>
      </c>
      <c r="H2752" s="9" t="s">
        <v>56</v>
      </c>
      <c r="I2752" s="29" t="s">
        <v>1385</v>
      </c>
      <c r="J2752" s="29" t="s">
        <v>4609</v>
      </c>
      <c r="K2752" s="27">
        <v>0</v>
      </c>
      <c r="L2752" s="235">
        <v>100</v>
      </c>
      <c r="M2752" s="27">
        <v>120</v>
      </c>
      <c r="N2752" s="27">
        <v>0</v>
      </c>
      <c r="O2752" s="27">
        <v>0</v>
      </c>
      <c r="P2752" s="27">
        <v>0</v>
      </c>
      <c r="Q2752" s="31">
        <v>0</v>
      </c>
      <c r="R2752" s="135">
        <f>(M2752*5500)/1000000</f>
        <v>0.66</v>
      </c>
      <c r="S2752" s="27" t="s">
        <v>115</v>
      </c>
      <c r="T2752" s="257">
        <f t="shared" si="91"/>
        <v>100</v>
      </c>
      <c r="U2752" s="257">
        <f t="shared" si="92"/>
        <v>120</v>
      </c>
      <c r="V2752">
        <v>1</v>
      </c>
      <c r="W2752">
        <v>1</v>
      </c>
    </row>
    <row r="2753" spans="1:23" ht="114" x14ac:dyDescent="0.3">
      <c r="A2753" s="213">
        <v>42666</v>
      </c>
      <c r="B2753" s="213">
        <v>42666</v>
      </c>
      <c r="C2753" s="6">
        <v>10</v>
      </c>
      <c r="D2753" s="6">
        <v>1</v>
      </c>
      <c r="E2753" s="27">
        <v>2016</v>
      </c>
      <c r="F2753" s="15" t="s">
        <v>22</v>
      </c>
      <c r="G2753" s="28" t="s">
        <v>6256</v>
      </c>
      <c r="H2753" s="9" t="s">
        <v>88</v>
      </c>
      <c r="I2753" s="29" t="s">
        <v>4610</v>
      </c>
      <c r="J2753" s="29" t="s">
        <v>4611</v>
      </c>
      <c r="K2753" s="27">
        <v>0</v>
      </c>
      <c r="L2753" s="235">
        <v>0</v>
      </c>
      <c r="M2753" s="27">
        <v>527</v>
      </c>
      <c r="N2753" s="27">
        <v>0</v>
      </c>
      <c r="O2753" s="27">
        <v>0</v>
      </c>
      <c r="P2753" s="27">
        <v>0</v>
      </c>
      <c r="Q2753" s="31">
        <v>0</v>
      </c>
      <c r="R2753" s="135">
        <f>(M2753*1050)/1000000</f>
        <v>0.55335000000000001</v>
      </c>
      <c r="S2753" s="27" t="s">
        <v>115</v>
      </c>
      <c r="T2753" s="257">
        <f t="shared" si="91"/>
        <v>0</v>
      </c>
      <c r="U2753" s="257">
        <f t="shared" si="92"/>
        <v>527</v>
      </c>
      <c r="V2753">
        <v>0</v>
      </c>
      <c r="W2753">
        <v>1</v>
      </c>
    </row>
    <row r="2754" spans="1:23" ht="57" x14ac:dyDescent="0.3">
      <c r="A2754" s="213">
        <v>42618</v>
      </c>
      <c r="B2754" s="213">
        <v>42619</v>
      </c>
      <c r="C2754" s="6">
        <v>9</v>
      </c>
      <c r="D2754" s="6">
        <v>2</v>
      </c>
      <c r="E2754" s="27">
        <v>2016</v>
      </c>
      <c r="F2754" s="15" t="s">
        <v>22</v>
      </c>
      <c r="G2754" s="16" t="s">
        <v>6254</v>
      </c>
      <c r="H2754" s="9" t="s">
        <v>28</v>
      </c>
      <c r="I2754" s="29" t="s">
        <v>4612</v>
      </c>
      <c r="J2754" s="30" t="s">
        <v>4613</v>
      </c>
      <c r="K2754" s="27">
        <v>0</v>
      </c>
      <c r="L2754" s="235">
        <v>637026</v>
      </c>
      <c r="M2754" s="27">
        <v>0</v>
      </c>
      <c r="N2754" s="27">
        <v>0</v>
      </c>
      <c r="O2754" s="27">
        <v>0</v>
      </c>
      <c r="P2754" s="27">
        <v>0</v>
      </c>
      <c r="Q2754" s="31">
        <v>0</v>
      </c>
      <c r="R2754" s="32">
        <f>30.959398+1398.8</f>
        <v>1429.7593979999999</v>
      </c>
      <c r="S2754" s="27" t="s">
        <v>96</v>
      </c>
      <c r="T2754" s="257">
        <f t="shared" si="91"/>
        <v>637026</v>
      </c>
      <c r="U2754" s="257">
        <f t="shared" si="92"/>
        <v>0</v>
      </c>
      <c r="V2754">
        <v>4</v>
      </c>
      <c r="W2754">
        <v>0</v>
      </c>
    </row>
    <row r="2755" spans="1:23" ht="159.6" x14ac:dyDescent="0.3">
      <c r="A2755" s="213">
        <v>42618</v>
      </c>
      <c r="B2755" s="213">
        <v>42620</v>
      </c>
      <c r="C2755" s="6">
        <v>9</v>
      </c>
      <c r="D2755" s="6">
        <v>3</v>
      </c>
      <c r="E2755" s="27">
        <v>2016</v>
      </c>
      <c r="F2755" s="15" t="s">
        <v>22</v>
      </c>
      <c r="G2755" s="16" t="s">
        <v>6254</v>
      </c>
      <c r="H2755" s="9" t="s">
        <v>72</v>
      </c>
      <c r="I2755" s="29" t="s">
        <v>4614</v>
      </c>
      <c r="J2755" s="30" t="s">
        <v>4615</v>
      </c>
      <c r="K2755" s="27">
        <v>0</v>
      </c>
      <c r="L2755" s="235">
        <v>19137</v>
      </c>
      <c r="M2755" s="27">
        <v>0</v>
      </c>
      <c r="N2755" s="27">
        <v>0</v>
      </c>
      <c r="O2755" s="27">
        <v>0</v>
      </c>
      <c r="P2755" s="27">
        <v>0</v>
      </c>
      <c r="Q2755" s="31">
        <v>0</v>
      </c>
      <c r="R2755" s="32">
        <f>11.265155+1332.463+1.4</f>
        <v>1345.1281550000001</v>
      </c>
      <c r="S2755" s="27" t="s">
        <v>4616</v>
      </c>
      <c r="T2755" s="257">
        <f t="shared" ref="T2755:T2818" si="93">SUM(K2755:L2755)</f>
        <v>19137</v>
      </c>
      <c r="U2755" s="257">
        <f t="shared" ref="U2755:U2818" si="94">SUM(M2755:P2755)</f>
        <v>0</v>
      </c>
      <c r="V2755">
        <v>2</v>
      </c>
      <c r="W2755">
        <v>0</v>
      </c>
    </row>
    <row r="2756" spans="1:23" ht="159.6" x14ac:dyDescent="0.3">
      <c r="A2756" s="213">
        <v>42619</v>
      </c>
      <c r="B2756" s="213">
        <v>42620</v>
      </c>
      <c r="C2756" s="6">
        <v>9</v>
      </c>
      <c r="D2756" s="6">
        <v>2</v>
      </c>
      <c r="E2756" s="27">
        <v>2016</v>
      </c>
      <c r="F2756" s="15" t="s">
        <v>22</v>
      </c>
      <c r="G2756" s="16" t="s">
        <v>6254</v>
      </c>
      <c r="H2756" s="9" t="s">
        <v>74</v>
      </c>
      <c r="I2756" s="29" t="s">
        <v>4617</v>
      </c>
      <c r="J2756" s="30" t="s">
        <v>4618</v>
      </c>
      <c r="K2756" s="27">
        <v>0</v>
      </c>
      <c r="L2756" s="235">
        <v>10000</v>
      </c>
      <c r="M2756" s="27">
        <v>0</v>
      </c>
      <c r="N2756" s="27">
        <v>0</v>
      </c>
      <c r="O2756" s="27">
        <v>0</v>
      </c>
      <c r="P2756" s="27">
        <v>0</v>
      </c>
      <c r="Q2756" s="31">
        <v>0</v>
      </c>
      <c r="R2756" s="32">
        <f>18.838357+5.65+138.847</f>
        <v>163.33535700000002</v>
      </c>
      <c r="S2756" s="27" t="s">
        <v>96</v>
      </c>
      <c r="T2756" s="257">
        <f t="shared" si="93"/>
        <v>10000</v>
      </c>
      <c r="U2756" s="257">
        <f t="shared" si="94"/>
        <v>0</v>
      </c>
      <c r="V2756">
        <v>1</v>
      </c>
      <c r="W2756">
        <v>0</v>
      </c>
    </row>
    <row r="2757" spans="1:23" ht="91.2" x14ac:dyDescent="0.3">
      <c r="A2757" s="213">
        <v>42625</v>
      </c>
      <c r="B2757" s="213">
        <v>42625</v>
      </c>
      <c r="C2757" s="6">
        <v>9</v>
      </c>
      <c r="D2757" s="6">
        <v>1</v>
      </c>
      <c r="E2757" s="27">
        <v>2016</v>
      </c>
      <c r="F2757" s="15" t="s">
        <v>22</v>
      </c>
      <c r="G2757" s="28" t="s">
        <v>6256</v>
      </c>
      <c r="H2757" s="9" t="s">
        <v>55</v>
      </c>
      <c r="I2757" s="29" t="s">
        <v>1382</v>
      </c>
      <c r="J2757" s="29" t="s">
        <v>4619</v>
      </c>
      <c r="K2757" s="27">
        <v>0</v>
      </c>
      <c r="L2757" s="235">
        <v>400</v>
      </c>
      <c r="M2757" s="27">
        <v>100</v>
      </c>
      <c r="N2757" s="27">
        <v>0</v>
      </c>
      <c r="O2757" s="27">
        <v>0</v>
      </c>
      <c r="P2757" s="27">
        <v>0</v>
      </c>
      <c r="Q2757" s="31">
        <v>0</v>
      </c>
      <c r="R2757" s="135">
        <f>(M2757*5500)/1000000</f>
        <v>0.55000000000000004</v>
      </c>
      <c r="S2757" s="27" t="s">
        <v>115</v>
      </c>
      <c r="T2757" s="257">
        <f t="shared" si="93"/>
        <v>400</v>
      </c>
      <c r="U2757" s="257">
        <f t="shared" si="94"/>
        <v>100</v>
      </c>
      <c r="V2757">
        <v>1</v>
      </c>
      <c r="W2757">
        <v>1</v>
      </c>
    </row>
    <row r="2758" spans="1:23" ht="193.8" x14ac:dyDescent="0.3">
      <c r="A2758" s="213">
        <v>42602</v>
      </c>
      <c r="B2758" s="213">
        <v>42602</v>
      </c>
      <c r="C2758" s="6">
        <v>8</v>
      </c>
      <c r="D2758" s="6">
        <v>1</v>
      </c>
      <c r="E2758" s="27">
        <v>2016</v>
      </c>
      <c r="F2758" s="15" t="s">
        <v>22</v>
      </c>
      <c r="G2758" s="28" t="s">
        <v>6256</v>
      </c>
      <c r="H2758" s="9" t="s">
        <v>46</v>
      </c>
      <c r="I2758" s="29" t="s">
        <v>4620</v>
      </c>
      <c r="J2758" s="29" t="s">
        <v>4621</v>
      </c>
      <c r="K2758" s="27">
        <v>0</v>
      </c>
      <c r="L2758" s="235">
        <v>656</v>
      </c>
      <c r="M2758" s="27">
        <v>95</v>
      </c>
      <c r="N2758" s="27">
        <v>0</v>
      </c>
      <c r="O2758" s="27">
        <v>0</v>
      </c>
      <c r="P2758" s="27">
        <v>0</v>
      </c>
      <c r="Q2758" s="31">
        <v>0</v>
      </c>
      <c r="R2758" s="135">
        <f>(M2758*5500)/1000000</f>
        <v>0.52249999999999996</v>
      </c>
      <c r="S2758" s="27" t="s">
        <v>115</v>
      </c>
      <c r="T2758" s="257">
        <f t="shared" si="93"/>
        <v>656</v>
      </c>
      <c r="U2758" s="257">
        <f t="shared" si="94"/>
        <v>95</v>
      </c>
      <c r="V2758">
        <v>1</v>
      </c>
      <c r="W2758">
        <v>1</v>
      </c>
    </row>
    <row r="2759" spans="1:23" ht="79.8" x14ac:dyDescent="0.3">
      <c r="A2759" s="213">
        <v>42614</v>
      </c>
      <c r="B2759" s="213">
        <v>42616</v>
      </c>
      <c r="C2759" s="6">
        <v>9</v>
      </c>
      <c r="D2759" s="6">
        <v>3</v>
      </c>
      <c r="E2759" s="27">
        <v>2016</v>
      </c>
      <c r="F2759" s="15" t="s">
        <v>22</v>
      </c>
      <c r="G2759" s="28" t="s">
        <v>6256</v>
      </c>
      <c r="H2759" s="9" t="s">
        <v>52</v>
      </c>
      <c r="I2759" s="29" t="s">
        <v>663</v>
      </c>
      <c r="J2759" s="29" t="s">
        <v>4622</v>
      </c>
      <c r="K2759" s="27">
        <v>0</v>
      </c>
      <c r="L2759" s="235">
        <v>138</v>
      </c>
      <c r="M2759" s="27">
        <v>86</v>
      </c>
      <c r="N2759" s="27">
        <v>0</v>
      </c>
      <c r="O2759" s="27">
        <v>0</v>
      </c>
      <c r="P2759" s="27">
        <v>0</v>
      </c>
      <c r="Q2759" s="31">
        <v>0</v>
      </c>
      <c r="R2759" s="135">
        <f>(M2759*5500)/1000000</f>
        <v>0.47299999999999998</v>
      </c>
      <c r="S2759" s="27" t="s">
        <v>115</v>
      </c>
      <c r="T2759" s="257">
        <f t="shared" si="93"/>
        <v>138</v>
      </c>
      <c r="U2759" s="257">
        <f t="shared" si="94"/>
        <v>86</v>
      </c>
      <c r="V2759">
        <v>1</v>
      </c>
      <c r="W2759">
        <v>1</v>
      </c>
    </row>
    <row r="2760" spans="1:23" ht="114" x14ac:dyDescent="0.3">
      <c r="A2760" s="213">
        <v>42640</v>
      </c>
      <c r="B2760" s="213">
        <v>42640</v>
      </c>
      <c r="C2760" s="6">
        <v>9</v>
      </c>
      <c r="D2760" s="6">
        <v>1</v>
      </c>
      <c r="E2760" s="27">
        <v>2016</v>
      </c>
      <c r="F2760" s="7" t="s">
        <v>17</v>
      </c>
      <c r="G2760" s="28" t="s">
        <v>6261</v>
      </c>
      <c r="H2760" s="9" t="s">
        <v>121</v>
      </c>
      <c r="I2760" s="29" t="s">
        <v>2277</v>
      </c>
      <c r="J2760" s="29" t="s">
        <v>4623</v>
      </c>
      <c r="K2760" s="27">
        <v>0</v>
      </c>
      <c r="L2760" s="236">
        <v>4</v>
      </c>
      <c r="M2760" s="27">
        <v>0</v>
      </c>
      <c r="N2760" s="27">
        <v>0</v>
      </c>
      <c r="O2760" s="27">
        <v>0</v>
      </c>
      <c r="P2760" s="27">
        <v>0</v>
      </c>
      <c r="Q2760" s="31">
        <v>0</v>
      </c>
      <c r="R2760" s="135">
        <v>0</v>
      </c>
      <c r="S2760" s="27" t="s">
        <v>115</v>
      </c>
      <c r="T2760" s="257">
        <f t="shared" si="93"/>
        <v>4</v>
      </c>
      <c r="U2760" s="257">
        <f t="shared" si="94"/>
        <v>0</v>
      </c>
      <c r="V2760">
        <v>1</v>
      </c>
      <c r="W2760">
        <v>0</v>
      </c>
    </row>
    <row r="2761" spans="1:23" ht="91.2" x14ac:dyDescent="0.3">
      <c r="A2761" s="213">
        <v>42574</v>
      </c>
      <c r="B2761" s="213">
        <v>42574</v>
      </c>
      <c r="C2761" s="6">
        <v>7</v>
      </c>
      <c r="D2761" s="6">
        <v>1</v>
      </c>
      <c r="E2761" s="137">
        <v>2016</v>
      </c>
      <c r="F2761" s="15" t="s">
        <v>22</v>
      </c>
      <c r="G2761" s="28" t="s">
        <v>6256</v>
      </c>
      <c r="H2761" s="9" t="s">
        <v>46</v>
      </c>
      <c r="I2761" s="29" t="s">
        <v>300</v>
      </c>
      <c r="J2761" s="29" t="s">
        <v>4624</v>
      </c>
      <c r="K2761" s="27">
        <v>0</v>
      </c>
      <c r="L2761" s="235" t="s">
        <v>95</v>
      </c>
      <c r="M2761" s="27">
        <v>67</v>
      </c>
      <c r="N2761" s="27">
        <v>0</v>
      </c>
      <c r="O2761" s="27">
        <v>1</v>
      </c>
      <c r="P2761" s="27">
        <v>4</v>
      </c>
      <c r="Q2761" s="31">
        <v>0</v>
      </c>
      <c r="R2761" s="135">
        <f>((67*5500)+(4*10000))/1000000</f>
        <v>0.40849999999999997</v>
      </c>
      <c r="S2761" s="27" t="s">
        <v>115</v>
      </c>
      <c r="T2761" s="257">
        <f t="shared" si="93"/>
        <v>0</v>
      </c>
      <c r="U2761" s="257">
        <f t="shared" si="94"/>
        <v>72</v>
      </c>
      <c r="V2761">
        <v>0</v>
      </c>
      <c r="W2761">
        <v>1</v>
      </c>
    </row>
    <row r="2762" spans="1:23" ht="68.400000000000006" x14ac:dyDescent="0.3">
      <c r="A2762" s="212">
        <v>39360</v>
      </c>
      <c r="B2762" s="212">
        <v>39360</v>
      </c>
      <c r="C2762" s="6">
        <v>10</v>
      </c>
      <c r="D2762" s="6">
        <v>1</v>
      </c>
      <c r="E2762" s="6">
        <v>2007</v>
      </c>
      <c r="F2762" s="7" t="s">
        <v>17</v>
      </c>
      <c r="G2762" s="28" t="s">
        <v>6261</v>
      </c>
      <c r="H2762" s="9" t="s">
        <v>48</v>
      </c>
      <c r="I2762" s="17" t="s">
        <v>3172</v>
      </c>
      <c r="J2762" s="17" t="s">
        <v>4625</v>
      </c>
      <c r="K2762" s="13">
        <v>1</v>
      </c>
      <c r="L2762" s="233">
        <v>8</v>
      </c>
      <c r="M2762" s="13">
        <v>0</v>
      </c>
      <c r="N2762" s="13">
        <v>0</v>
      </c>
      <c r="O2762" s="13">
        <v>0</v>
      </c>
      <c r="P2762" s="13">
        <v>0</v>
      </c>
      <c r="Q2762" s="60">
        <v>0</v>
      </c>
      <c r="R2762" s="61">
        <v>0</v>
      </c>
      <c r="S2762" s="7" t="s">
        <v>115</v>
      </c>
      <c r="T2762" s="257">
        <f t="shared" si="93"/>
        <v>9</v>
      </c>
      <c r="U2762" s="257">
        <f t="shared" si="94"/>
        <v>0</v>
      </c>
      <c r="V2762">
        <v>1</v>
      </c>
      <c r="W2762">
        <v>0</v>
      </c>
    </row>
    <row r="2763" spans="1:23" ht="22.8" x14ac:dyDescent="0.3">
      <c r="A2763" s="129">
        <v>39679</v>
      </c>
      <c r="B2763" s="129">
        <v>39679</v>
      </c>
      <c r="C2763" s="6">
        <v>8</v>
      </c>
      <c r="D2763" s="6">
        <v>1</v>
      </c>
      <c r="E2763" s="19">
        <v>2008</v>
      </c>
      <c r="F2763" s="15" t="s">
        <v>22</v>
      </c>
      <c r="G2763" s="16" t="s">
        <v>6256</v>
      </c>
      <c r="H2763" s="9" t="s">
        <v>48</v>
      </c>
      <c r="I2763" s="17" t="s">
        <v>4626</v>
      </c>
      <c r="J2763" s="17" t="s">
        <v>4627</v>
      </c>
      <c r="K2763" s="23">
        <v>1</v>
      </c>
      <c r="L2763" s="234">
        <v>5</v>
      </c>
      <c r="M2763" s="23">
        <v>0</v>
      </c>
      <c r="N2763" s="23">
        <v>0</v>
      </c>
      <c r="O2763" s="23">
        <v>0</v>
      </c>
      <c r="P2763" s="23">
        <v>0</v>
      </c>
      <c r="Q2763" s="92">
        <v>0</v>
      </c>
      <c r="R2763" s="93">
        <v>0</v>
      </c>
      <c r="S2763" s="19" t="s">
        <v>115</v>
      </c>
      <c r="T2763" s="257">
        <f t="shared" si="93"/>
        <v>6</v>
      </c>
      <c r="U2763" s="257">
        <f t="shared" si="94"/>
        <v>0</v>
      </c>
      <c r="V2763">
        <v>1</v>
      </c>
      <c r="W2763">
        <v>0</v>
      </c>
    </row>
    <row r="2764" spans="1:23" ht="91.2" x14ac:dyDescent="0.3">
      <c r="A2764" s="213">
        <v>42674</v>
      </c>
      <c r="B2764" s="213">
        <v>42674</v>
      </c>
      <c r="C2764" s="6">
        <v>10</v>
      </c>
      <c r="D2764" s="6">
        <v>1</v>
      </c>
      <c r="E2764" s="27">
        <v>2016</v>
      </c>
      <c r="F2764" s="15" t="s">
        <v>22</v>
      </c>
      <c r="G2764" s="16" t="s">
        <v>6256</v>
      </c>
      <c r="H2764" s="9" t="s">
        <v>46</v>
      </c>
      <c r="I2764" s="29" t="s">
        <v>2292</v>
      </c>
      <c r="J2764" s="29" t="s">
        <v>4485</v>
      </c>
      <c r="K2764" s="27">
        <v>0</v>
      </c>
      <c r="L2764" s="235">
        <v>17</v>
      </c>
      <c r="M2764" s="27">
        <v>11</v>
      </c>
      <c r="N2764" s="27">
        <v>0</v>
      </c>
      <c r="O2764" s="27">
        <v>0</v>
      </c>
      <c r="P2764" s="27">
        <v>0</v>
      </c>
      <c r="Q2764" s="31">
        <v>0</v>
      </c>
      <c r="R2764" s="135">
        <v>7.4999999999999997E-2</v>
      </c>
      <c r="S2764" s="27" t="s">
        <v>115</v>
      </c>
      <c r="T2764" s="257">
        <f t="shared" si="93"/>
        <v>17</v>
      </c>
      <c r="U2764" s="257">
        <f t="shared" si="94"/>
        <v>11</v>
      </c>
      <c r="V2764">
        <v>1</v>
      </c>
      <c r="W2764">
        <v>1</v>
      </c>
    </row>
    <row r="2765" spans="1:23" ht="34.200000000000003" x14ac:dyDescent="0.3">
      <c r="A2765" s="129">
        <v>39703</v>
      </c>
      <c r="B2765" s="129">
        <v>39703</v>
      </c>
      <c r="C2765" s="6">
        <v>9</v>
      </c>
      <c r="D2765" s="6">
        <v>1</v>
      </c>
      <c r="E2765" s="19">
        <v>2008</v>
      </c>
      <c r="F2765" s="15" t="s">
        <v>22</v>
      </c>
      <c r="G2765" s="16" t="s">
        <v>6256</v>
      </c>
      <c r="H2765" s="9" t="s">
        <v>48</v>
      </c>
      <c r="I2765" s="17" t="s">
        <v>2513</v>
      </c>
      <c r="J2765" s="17" t="s">
        <v>4628</v>
      </c>
      <c r="K2765" s="23">
        <v>0</v>
      </c>
      <c r="L2765" s="234">
        <v>80</v>
      </c>
      <c r="M2765" s="23">
        <v>0</v>
      </c>
      <c r="N2765" s="23">
        <v>0</v>
      </c>
      <c r="O2765" s="23">
        <v>0</v>
      </c>
      <c r="P2765" s="23">
        <v>0</v>
      </c>
      <c r="Q2765" s="92">
        <v>0</v>
      </c>
      <c r="R2765" s="93">
        <v>0</v>
      </c>
      <c r="S2765" s="19" t="s">
        <v>115</v>
      </c>
      <c r="T2765" s="257">
        <f t="shared" si="93"/>
        <v>80</v>
      </c>
      <c r="U2765" s="257">
        <f t="shared" si="94"/>
        <v>0</v>
      </c>
      <c r="V2765">
        <v>1</v>
      </c>
      <c r="W2765">
        <v>0</v>
      </c>
    </row>
    <row r="2766" spans="1:23" ht="57" x14ac:dyDescent="0.3">
      <c r="A2766" s="213">
        <v>42634</v>
      </c>
      <c r="B2766" s="213">
        <v>42634</v>
      </c>
      <c r="C2766" s="6">
        <v>9</v>
      </c>
      <c r="D2766" s="6">
        <v>1</v>
      </c>
      <c r="E2766" s="27">
        <v>2016</v>
      </c>
      <c r="F2766" s="15" t="s">
        <v>22</v>
      </c>
      <c r="G2766" s="28" t="s">
        <v>6256</v>
      </c>
      <c r="H2766" s="9" t="s">
        <v>52</v>
      </c>
      <c r="I2766" s="29" t="s">
        <v>4629</v>
      </c>
      <c r="J2766" s="29" t="s">
        <v>4630</v>
      </c>
      <c r="K2766" s="27">
        <v>0</v>
      </c>
      <c r="L2766" s="235">
        <v>50</v>
      </c>
      <c r="M2766" s="27">
        <v>10</v>
      </c>
      <c r="N2766" s="27">
        <v>0</v>
      </c>
      <c r="O2766" s="27">
        <v>0</v>
      </c>
      <c r="P2766" s="27">
        <v>0</v>
      </c>
      <c r="Q2766" s="31">
        <v>0</v>
      </c>
      <c r="R2766" s="135">
        <f>(M2766*1050)/1000000</f>
        <v>1.0500000000000001E-2</v>
      </c>
      <c r="S2766" s="27" t="s">
        <v>115</v>
      </c>
      <c r="T2766" s="257">
        <f t="shared" si="93"/>
        <v>50</v>
      </c>
      <c r="U2766" s="257">
        <f t="shared" si="94"/>
        <v>10</v>
      </c>
      <c r="V2766">
        <v>1</v>
      </c>
      <c r="W2766">
        <v>1</v>
      </c>
    </row>
    <row r="2767" spans="1:23" ht="34.200000000000003" x14ac:dyDescent="0.3">
      <c r="A2767" s="213">
        <v>42478</v>
      </c>
      <c r="B2767" s="213">
        <v>42482</v>
      </c>
      <c r="C2767" s="6">
        <v>4</v>
      </c>
      <c r="D2767" s="6">
        <v>5</v>
      </c>
      <c r="E2767" s="27">
        <v>2016</v>
      </c>
      <c r="F2767" s="15" t="s">
        <v>22</v>
      </c>
      <c r="G2767" s="28" t="s">
        <v>6256</v>
      </c>
      <c r="H2767" s="9" t="s">
        <v>174</v>
      </c>
      <c r="I2767" s="29" t="s">
        <v>4631</v>
      </c>
      <c r="J2767" s="30" t="s">
        <v>4632</v>
      </c>
      <c r="K2767" s="27">
        <v>0</v>
      </c>
      <c r="L2767" s="235" t="s">
        <v>95</v>
      </c>
      <c r="M2767" s="27">
        <v>0</v>
      </c>
      <c r="N2767" s="27">
        <v>0</v>
      </c>
      <c r="O2767" s="27">
        <v>0</v>
      </c>
      <c r="P2767" s="27">
        <v>0</v>
      </c>
      <c r="Q2767" s="31">
        <v>0</v>
      </c>
      <c r="R2767" s="32">
        <v>0</v>
      </c>
      <c r="S2767" s="27" t="s">
        <v>551</v>
      </c>
      <c r="T2767" s="257">
        <f t="shared" si="93"/>
        <v>0</v>
      </c>
      <c r="U2767" s="257">
        <f t="shared" si="94"/>
        <v>0</v>
      </c>
      <c r="V2767">
        <v>0</v>
      </c>
      <c r="W2767">
        <v>0</v>
      </c>
    </row>
    <row r="2768" spans="1:23" ht="125.4" x14ac:dyDescent="0.3">
      <c r="A2768" s="213">
        <v>42722</v>
      </c>
      <c r="B2768" s="213">
        <v>42722</v>
      </c>
      <c r="C2768" s="6">
        <v>12</v>
      </c>
      <c r="D2768" s="6">
        <v>1</v>
      </c>
      <c r="E2768" s="27">
        <v>2016</v>
      </c>
      <c r="F2768" s="15" t="s">
        <v>22</v>
      </c>
      <c r="G2768" s="9" t="s">
        <v>6257</v>
      </c>
      <c r="H2768" s="9" t="s">
        <v>174</v>
      </c>
      <c r="I2768" s="29" t="s">
        <v>4633</v>
      </c>
      <c r="J2768" s="29" t="s">
        <v>4634</v>
      </c>
      <c r="K2768" s="27">
        <v>0</v>
      </c>
      <c r="L2768" s="235">
        <v>8</v>
      </c>
      <c r="M2768" s="27">
        <v>5</v>
      </c>
      <c r="N2768" s="27">
        <v>2</v>
      </c>
      <c r="O2768" s="27">
        <v>0</v>
      </c>
      <c r="P2768" s="27">
        <v>0</v>
      </c>
      <c r="Q2768" s="31">
        <v>0</v>
      </c>
      <c r="R2768" s="135">
        <f>(M2768*1050)/1000000</f>
        <v>5.2500000000000003E-3</v>
      </c>
      <c r="S2768" s="27" t="s">
        <v>115</v>
      </c>
      <c r="T2768" s="257">
        <f t="shared" si="93"/>
        <v>8</v>
      </c>
      <c r="U2768" s="257">
        <f t="shared" si="94"/>
        <v>7</v>
      </c>
      <c r="V2768">
        <v>1</v>
      </c>
      <c r="W2768">
        <v>1</v>
      </c>
    </row>
    <row r="2769" spans="1:23" ht="22.8" x14ac:dyDescent="0.3">
      <c r="A2769" s="214">
        <v>42916</v>
      </c>
      <c r="B2769" s="214">
        <v>42916</v>
      </c>
      <c r="C2769" s="6">
        <v>6</v>
      </c>
      <c r="D2769" s="6">
        <v>1</v>
      </c>
      <c r="E2769" s="33">
        <v>2017</v>
      </c>
      <c r="F2769" s="7" t="s">
        <v>17</v>
      </c>
      <c r="G2769" s="28" t="s">
        <v>6261</v>
      </c>
      <c r="H2769" s="9" t="s">
        <v>31</v>
      </c>
      <c r="I2769" s="34" t="s">
        <v>4635</v>
      </c>
      <c r="J2769" s="34" t="s">
        <v>4636</v>
      </c>
      <c r="K2769" s="33">
        <v>0</v>
      </c>
      <c r="L2769" s="236">
        <v>0</v>
      </c>
      <c r="M2769" s="35">
        <v>0</v>
      </c>
      <c r="N2769" s="35">
        <v>0</v>
      </c>
      <c r="O2769" s="35">
        <v>0</v>
      </c>
      <c r="P2769" s="35">
        <v>0</v>
      </c>
      <c r="Q2769" s="35">
        <v>0</v>
      </c>
      <c r="R2769" s="36">
        <v>81.620199999999997</v>
      </c>
      <c r="S2769" s="7" t="s">
        <v>115</v>
      </c>
      <c r="T2769" s="257">
        <f t="shared" si="93"/>
        <v>0</v>
      </c>
      <c r="U2769" s="257">
        <f t="shared" si="94"/>
        <v>0</v>
      </c>
      <c r="V2769">
        <v>0</v>
      </c>
      <c r="W2769">
        <v>0</v>
      </c>
    </row>
    <row r="2770" spans="1:23" ht="57" x14ac:dyDescent="0.3">
      <c r="A2770" s="214">
        <v>42985</v>
      </c>
      <c r="B2770" s="214">
        <v>42985</v>
      </c>
      <c r="C2770" s="6">
        <v>9</v>
      </c>
      <c r="D2770" s="6">
        <v>1</v>
      </c>
      <c r="E2770" s="33">
        <v>2017</v>
      </c>
      <c r="F2770" s="7" t="s">
        <v>17</v>
      </c>
      <c r="G2770" s="16" t="s">
        <v>6260</v>
      </c>
      <c r="H2770" s="9" t="s">
        <v>31</v>
      </c>
      <c r="I2770" s="34" t="s">
        <v>4637</v>
      </c>
      <c r="J2770" s="34" t="s">
        <v>4638</v>
      </c>
      <c r="K2770" s="33">
        <v>16</v>
      </c>
      <c r="L2770" s="236">
        <v>1579575</v>
      </c>
      <c r="M2770" s="35">
        <v>46773</v>
      </c>
      <c r="N2770" s="35">
        <v>2842</v>
      </c>
      <c r="O2770" s="35">
        <v>12</v>
      </c>
      <c r="P2770" s="35">
        <v>1867</v>
      </c>
      <c r="Q2770" s="35">
        <v>0</v>
      </c>
      <c r="R2770" s="36">
        <v>8860.8202999999994</v>
      </c>
      <c r="S2770" s="7" t="s">
        <v>111</v>
      </c>
      <c r="T2770" s="257">
        <f t="shared" si="93"/>
        <v>1579591</v>
      </c>
      <c r="U2770" s="257">
        <f t="shared" si="94"/>
        <v>51494</v>
      </c>
      <c r="V2770">
        <v>5</v>
      </c>
      <c r="W2770">
        <v>4</v>
      </c>
    </row>
    <row r="2771" spans="1:23" ht="114" x14ac:dyDescent="0.3">
      <c r="A2771" s="214">
        <v>42900</v>
      </c>
      <c r="B2771" s="214">
        <v>42900</v>
      </c>
      <c r="C2771" s="6">
        <v>6</v>
      </c>
      <c r="D2771" s="6">
        <v>1</v>
      </c>
      <c r="E2771" s="33">
        <v>2017</v>
      </c>
      <c r="F2771" s="7" t="s">
        <v>17</v>
      </c>
      <c r="G2771" s="16" t="s">
        <v>6260</v>
      </c>
      <c r="H2771" s="9" t="s">
        <v>31</v>
      </c>
      <c r="I2771" s="34" t="s">
        <v>4639</v>
      </c>
      <c r="J2771" s="34" t="s">
        <v>4640</v>
      </c>
      <c r="K2771" s="33">
        <v>0</v>
      </c>
      <c r="L2771" s="236">
        <v>830032</v>
      </c>
      <c r="M2771" s="35">
        <v>0</v>
      </c>
      <c r="N2771" s="35">
        <v>0</v>
      </c>
      <c r="O2771" s="35">
        <v>0</v>
      </c>
      <c r="P2771" s="35">
        <v>0</v>
      </c>
      <c r="Q2771" s="35">
        <v>0</v>
      </c>
      <c r="R2771" s="36">
        <v>260.60000000000002</v>
      </c>
      <c r="S2771" s="7" t="s">
        <v>111</v>
      </c>
      <c r="T2771" s="257">
        <f t="shared" si="93"/>
        <v>830032</v>
      </c>
      <c r="U2771" s="257">
        <f t="shared" si="94"/>
        <v>0</v>
      </c>
      <c r="V2771">
        <v>4</v>
      </c>
      <c r="W2771">
        <v>0</v>
      </c>
    </row>
    <row r="2772" spans="1:23" ht="136.80000000000001" x14ac:dyDescent="0.3">
      <c r="A2772" s="214">
        <v>42997</v>
      </c>
      <c r="B2772" s="214">
        <v>42997</v>
      </c>
      <c r="C2772" s="6">
        <v>9</v>
      </c>
      <c r="D2772" s="6">
        <v>1</v>
      </c>
      <c r="E2772" s="33">
        <v>2017</v>
      </c>
      <c r="F2772" s="7" t="s">
        <v>17</v>
      </c>
      <c r="G2772" s="16" t="s">
        <v>6260</v>
      </c>
      <c r="H2772" s="9" t="s">
        <v>118</v>
      </c>
      <c r="I2772" s="34" t="s">
        <v>4641</v>
      </c>
      <c r="J2772" s="34" t="s">
        <v>4642</v>
      </c>
      <c r="K2772" s="33">
        <v>228</v>
      </c>
      <c r="L2772" s="236">
        <v>1820000</v>
      </c>
      <c r="M2772" s="35">
        <v>14812</v>
      </c>
      <c r="N2772" s="35">
        <v>762</v>
      </c>
      <c r="O2772" s="35">
        <v>143</v>
      </c>
      <c r="P2772" s="35">
        <v>0</v>
      </c>
      <c r="Q2772" s="35">
        <v>0</v>
      </c>
      <c r="R2772" s="36">
        <v>43996.124400000001</v>
      </c>
      <c r="S2772" s="7" t="s">
        <v>111</v>
      </c>
      <c r="T2772" s="257">
        <f t="shared" si="93"/>
        <v>1820228</v>
      </c>
      <c r="U2772" s="257">
        <f t="shared" si="94"/>
        <v>15717</v>
      </c>
      <c r="V2772">
        <v>5</v>
      </c>
      <c r="W2772">
        <v>3</v>
      </c>
    </row>
    <row r="2773" spans="1:23" ht="22.8" x14ac:dyDescent="0.3">
      <c r="A2773" s="129">
        <v>39661</v>
      </c>
      <c r="B2773" s="129">
        <v>39661</v>
      </c>
      <c r="C2773" s="6">
        <v>8</v>
      </c>
      <c r="D2773" s="6">
        <v>1</v>
      </c>
      <c r="E2773" s="19">
        <v>2008</v>
      </c>
      <c r="F2773" s="15" t="s">
        <v>22</v>
      </c>
      <c r="G2773" s="16" t="s">
        <v>6256</v>
      </c>
      <c r="H2773" s="9" t="s">
        <v>48</v>
      </c>
      <c r="I2773" s="17" t="s">
        <v>685</v>
      </c>
      <c r="J2773" s="17" t="s">
        <v>4643</v>
      </c>
      <c r="K2773" s="23">
        <v>2</v>
      </c>
      <c r="L2773" s="234">
        <v>11</v>
      </c>
      <c r="M2773" s="23">
        <v>0</v>
      </c>
      <c r="N2773" s="23">
        <v>0</v>
      </c>
      <c r="O2773" s="23">
        <v>0</v>
      </c>
      <c r="P2773" s="23">
        <v>0</v>
      </c>
      <c r="Q2773" s="92">
        <v>0</v>
      </c>
      <c r="R2773" s="93">
        <v>0</v>
      </c>
      <c r="S2773" s="19" t="s">
        <v>115</v>
      </c>
      <c r="T2773" s="257">
        <f t="shared" si="93"/>
        <v>13</v>
      </c>
      <c r="U2773" s="257">
        <f t="shared" si="94"/>
        <v>0</v>
      </c>
      <c r="V2773">
        <v>1</v>
      </c>
      <c r="W2773">
        <v>0</v>
      </c>
    </row>
    <row r="2774" spans="1:23" ht="34.200000000000003" x14ac:dyDescent="0.3">
      <c r="A2774" s="129">
        <v>39635</v>
      </c>
      <c r="B2774" s="129">
        <v>39635</v>
      </c>
      <c r="C2774" s="6">
        <v>7</v>
      </c>
      <c r="D2774" s="6">
        <v>1</v>
      </c>
      <c r="E2774" s="19">
        <v>2008</v>
      </c>
      <c r="F2774" s="7" t="s">
        <v>17</v>
      </c>
      <c r="G2774" s="28" t="s">
        <v>6261</v>
      </c>
      <c r="H2774" s="9" t="s">
        <v>48</v>
      </c>
      <c r="I2774" s="17" t="s">
        <v>310</v>
      </c>
      <c r="J2774" s="17" t="s">
        <v>4644</v>
      </c>
      <c r="K2774" s="23">
        <v>1</v>
      </c>
      <c r="L2774" s="234">
        <v>4</v>
      </c>
      <c r="M2774" s="23">
        <v>0</v>
      </c>
      <c r="N2774" s="23">
        <v>0</v>
      </c>
      <c r="O2774" s="23">
        <v>0</v>
      </c>
      <c r="P2774" s="23">
        <v>0</v>
      </c>
      <c r="Q2774" s="92">
        <v>0</v>
      </c>
      <c r="R2774" s="93">
        <v>0</v>
      </c>
      <c r="S2774" s="19" t="s">
        <v>115</v>
      </c>
      <c r="T2774" s="257">
        <f t="shared" si="93"/>
        <v>5</v>
      </c>
      <c r="U2774" s="257">
        <f t="shared" si="94"/>
        <v>0</v>
      </c>
      <c r="V2774">
        <v>1</v>
      </c>
      <c r="W2774">
        <v>0</v>
      </c>
    </row>
    <row r="2775" spans="1:23" ht="136.80000000000001" x14ac:dyDescent="0.3">
      <c r="A2775" s="214">
        <v>42997</v>
      </c>
      <c r="B2775" s="214">
        <v>42997</v>
      </c>
      <c r="C2775" s="6">
        <v>9</v>
      </c>
      <c r="D2775" s="6">
        <v>1</v>
      </c>
      <c r="E2775" s="33">
        <v>2017</v>
      </c>
      <c r="F2775" s="7" t="s">
        <v>17</v>
      </c>
      <c r="G2775" s="16" t="s">
        <v>6260</v>
      </c>
      <c r="H2775" s="9" t="s">
        <v>43</v>
      </c>
      <c r="I2775" s="34" t="s">
        <v>4645</v>
      </c>
      <c r="J2775" s="34" t="s">
        <v>4642</v>
      </c>
      <c r="K2775" s="33">
        <v>15</v>
      </c>
      <c r="L2775" s="236">
        <v>1486691</v>
      </c>
      <c r="M2775" s="35">
        <v>6060</v>
      </c>
      <c r="N2775" s="35">
        <v>555</v>
      </c>
      <c r="O2775" s="35">
        <v>35</v>
      </c>
      <c r="P2775" s="35">
        <v>0</v>
      </c>
      <c r="Q2775" s="35">
        <v>0</v>
      </c>
      <c r="R2775" s="36">
        <v>3929.178261</v>
      </c>
      <c r="S2775" s="7" t="s">
        <v>111</v>
      </c>
      <c r="T2775" s="257">
        <f t="shared" si="93"/>
        <v>1486706</v>
      </c>
      <c r="U2775" s="257">
        <f t="shared" si="94"/>
        <v>6650</v>
      </c>
      <c r="V2775">
        <v>5</v>
      </c>
      <c r="W2775">
        <v>2</v>
      </c>
    </row>
    <row r="2776" spans="1:23" ht="34.200000000000003" x14ac:dyDescent="0.3">
      <c r="A2776" s="214">
        <v>42822</v>
      </c>
      <c r="B2776" s="214">
        <v>42822</v>
      </c>
      <c r="C2776" s="6">
        <v>3</v>
      </c>
      <c r="D2776" s="6">
        <v>1</v>
      </c>
      <c r="E2776" s="33">
        <v>2017</v>
      </c>
      <c r="F2776" s="7" t="s">
        <v>17</v>
      </c>
      <c r="G2776" s="28" t="s">
        <v>6261</v>
      </c>
      <c r="H2776" s="9" t="s">
        <v>43</v>
      </c>
      <c r="I2776" s="34" t="s">
        <v>1247</v>
      </c>
      <c r="J2776" s="34" t="s">
        <v>4646</v>
      </c>
      <c r="K2776" s="33">
        <v>3</v>
      </c>
      <c r="L2776" s="236">
        <v>4</v>
      </c>
      <c r="M2776" s="35">
        <v>0</v>
      </c>
      <c r="N2776" s="35">
        <v>0</v>
      </c>
      <c r="O2776" s="35">
        <v>0</v>
      </c>
      <c r="P2776" s="35">
        <v>0</v>
      </c>
      <c r="Q2776" s="35">
        <v>0</v>
      </c>
      <c r="R2776" s="36">
        <v>0</v>
      </c>
      <c r="S2776" s="7" t="s">
        <v>115</v>
      </c>
      <c r="T2776" s="257">
        <f t="shared" si="93"/>
        <v>7</v>
      </c>
      <c r="U2776" s="257">
        <f t="shared" si="94"/>
        <v>0</v>
      </c>
      <c r="V2776">
        <v>1</v>
      </c>
      <c r="W2776">
        <v>0</v>
      </c>
    </row>
    <row r="2777" spans="1:23" ht="102.6" x14ac:dyDescent="0.3">
      <c r="A2777" s="214">
        <v>42893</v>
      </c>
      <c r="B2777" s="214">
        <v>42893</v>
      </c>
      <c r="C2777" s="6">
        <v>6</v>
      </c>
      <c r="D2777" s="6">
        <v>1</v>
      </c>
      <c r="E2777" s="33">
        <v>2017</v>
      </c>
      <c r="F2777" s="7" t="s">
        <v>17</v>
      </c>
      <c r="G2777" s="28" t="s">
        <v>6261</v>
      </c>
      <c r="H2777" s="9" t="s">
        <v>43</v>
      </c>
      <c r="I2777" s="34" t="s">
        <v>2297</v>
      </c>
      <c r="J2777" s="34" t="s">
        <v>4647</v>
      </c>
      <c r="K2777" s="33">
        <v>0</v>
      </c>
      <c r="L2777" s="236">
        <v>144</v>
      </c>
      <c r="M2777" s="35">
        <v>6</v>
      </c>
      <c r="N2777" s="35">
        <v>0</v>
      </c>
      <c r="O2777" s="35">
        <v>0</v>
      </c>
      <c r="P2777" s="35">
        <v>0</v>
      </c>
      <c r="Q2777" s="35">
        <v>0</v>
      </c>
      <c r="R2777" s="36">
        <v>0</v>
      </c>
      <c r="S2777" s="7" t="s">
        <v>115</v>
      </c>
      <c r="T2777" s="257">
        <f t="shared" si="93"/>
        <v>144</v>
      </c>
      <c r="U2777" s="257">
        <f t="shared" si="94"/>
        <v>6</v>
      </c>
      <c r="V2777">
        <v>1</v>
      </c>
      <c r="W2777">
        <v>1</v>
      </c>
    </row>
    <row r="2778" spans="1:23" ht="91.2" x14ac:dyDescent="0.3">
      <c r="A2778" s="214">
        <v>42928</v>
      </c>
      <c r="B2778" s="214">
        <v>42928</v>
      </c>
      <c r="C2778" s="6">
        <v>7</v>
      </c>
      <c r="D2778" s="6">
        <v>1</v>
      </c>
      <c r="E2778" s="33">
        <v>2017</v>
      </c>
      <c r="F2778" s="7" t="s">
        <v>17</v>
      </c>
      <c r="G2778" s="28" t="s">
        <v>6261</v>
      </c>
      <c r="H2778" s="9" t="s">
        <v>55</v>
      </c>
      <c r="I2778" s="34" t="s">
        <v>1019</v>
      </c>
      <c r="J2778" s="34" t="s">
        <v>4648</v>
      </c>
      <c r="K2778" s="33">
        <v>2</v>
      </c>
      <c r="L2778" s="236">
        <v>2</v>
      </c>
      <c r="M2778" s="35">
        <v>0</v>
      </c>
      <c r="N2778" s="35">
        <v>0</v>
      </c>
      <c r="O2778" s="35">
        <v>0</v>
      </c>
      <c r="P2778" s="35">
        <v>0</v>
      </c>
      <c r="Q2778" s="35">
        <v>0</v>
      </c>
      <c r="R2778" s="36">
        <v>0</v>
      </c>
      <c r="S2778" s="7" t="s">
        <v>115</v>
      </c>
      <c r="T2778" s="257">
        <f t="shared" si="93"/>
        <v>4</v>
      </c>
      <c r="U2778" s="257">
        <f t="shared" si="94"/>
        <v>0</v>
      </c>
      <c r="V2778">
        <v>1</v>
      </c>
      <c r="W2778">
        <v>0</v>
      </c>
    </row>
    <row r="2779" spans="1:23" ht="136.80000000000001" x14ac:dyDescent="0.3">
      <c r="A2779" s="214">
        <v>42997</v>
      </c>
      <c r="B2779" s="214">
        <v>42997</v>
      </c>
      <c r="C2779" s="6">
        <v>9</v>
      </c>
      <c r="D2779" s="6">
        <v>1</v>
      </c>
      <c r="E2779" s="33">
        <v>2017</v>
      </c>
      <c r="F2779" s="7" t="s">
        <v>17</v>
      </c>
      <c r="G2779" s="16" t="s">
        <v>6260</v>
      </c>
      <c r="H2779" s="9" t="s">
        <v>55</v>
      </c>
      <c r="I2779" s="34" t="s">
        <v>4649</v>
      </c>
      <c r="J2779" s="34" t="s">
        <v>4642</v>
      </c>
      <c r="K2779" s="33">
        <v>74</v>
      </c>
      <c r="L2779" s="236">
        <v>1903811</v>
      </c>
      <c r="M2779" s="35">
        <v>15801</v>
      </c>
      <c r="N2779" s="35">
        <v>1194</v>
      </c>
      <c r="O2779" s="35">
        <v>9</v>
      </c>
      <c r="P2779" s="35">
        <v>5141</v>
      </c>
      <c r="Q2779" s="35">
        <v>0</v>
      </c>
      <c r="R2779" s="36">
        <v>7322.06</v>
      </c>
      <c r="S2779" s="7" t="s">
        <v>111</v>
      </c>
      <c r="T2779" s="257">
        <f t="shared" si="93"/>
        <v>1903885</v>
      </c>
      <c r="U2779" s="257">
        <f t="shared" si="94"/>
        <v>22145</v>
      </c>
      <c r="V2779">
        <v>5</v>
      </c>
      <c r="W2779">
        <v>3</v>
      </c>
    </row>
    <row r="2780" spans="1:23" ht="57" x14ac:dyDescent="0.3">
      <c r="A2780" s="214">
        <v>43061</v>
      </c>
      <c r="B2780" s="214">
        <v>43061</v>
      </c>
      <c r="C2780" s="6">
        <v>11</v>
      </c>
      <c r="D2780" s="6">
        <v>1</v>
      </c>
      <c r="E2780" s="33">
        <v>2017</v>
      </c>
      <c r="F2780" s="7" t="s">
        <v>17</v>
      </c>
      <c r="G2780" s="8" t="s">
        <v>6261</v>
      </c>
      <c r="H2780" s="9" t="s">
        <v>57</v>
      </c>
      <c r="I2780" s="34" t="s">
        <v>678</v>
      </c>
      <c r="J2780" s="34" t="s">
        <v>4650</v>
      </c>
      <c r="K2780" s="33">
        <v>1</v>
      </c>
      <c r="L2780" s="236">
        <v>16</v>
      </c>
      <c r="M2780" s="35">
        <v>4</v>
      </c>
      <c r="N2780" s="35">
        <v>0</v>
      </c>
      <c r="O2780" s="35">
        <v>0</v>
      </c>
      <c r="P2780" s="35">
        <v>0</v>
      </c>
      <c r="Q2780" s="35">
        <v>0</v>
      </c>
      <c r="R2780" s="36">
        <v>0</v>
      </c>
      <c r="S2780" s="7" t="s">
        <v>115</v>
      </c>
      <c r="T2780" s="257">
        <f t="shared" si="93"/>
        <v>17</v>
      </c>
      <c r="U2780" s="257">
        <f t="shared" si="94"/>
        <v>4</v>
      </c>
      <c r="V2780">
        <v>1</v>
      </c>
      <c r="W2780">
        <v>1</v>
      </c>
    </row>
    <row r="2781" spans="1:23" ht="79.8" x14ac:dyDescent="0.3">
      <c r="A2781" s="214">
        <v>42985</v>
      </c>
      <c r="B2781" s="214">
        <v>42985</v>
      </c>
      <c r="C2781" s="6">
        <v>9</v>
      </c>
      <c r="D2781" s="6">
        <v>1</v>
      </c>
      <c r="E2781" s="33">
        <v>2017</v>
      </c>
      <c r="F2781" s="7" t="s">
        <v>17</v>
      </c>
      <c r="G2781" s="28" t="s">
        <v>6261</v>
      </c>
      <c r="H2781" s="9" t="s">
        <v>61</v>
      </c>
      <c r="I2781" s="34" t="s">
        <v>4364</v>
      </c>
      <c r="J2781" s="34" t="s">
        <v>4651</v>
      </c>
      <c r="K2781" s="33">
        <v>3</v>
      </c>
      <c r="L2781" s="236">
        <v>3</v>
      </c>
      <c r="M2781" s="35">
        <v>1</v>
      </c>
      <c r="N2781" s="35">
        <v>0</v>
      </c>
      <c r="O2781" s="35">
        <v>0</v>
      </c>
      <c r="P2781" s="35">
        <v>0</v>
      </c>
      <c r="Q2781" s="35">
        <v>0</v>
      </c>
      <c r="R2781" s="36">
        <v>0</v>
      </c>
      <c r="S2781" s="7" t="s">
        <v>115</v>
      </c>
      <c r="T2781" s="257">
        <f t="shared" si="93"/>
        <v>6</v>
      </c>
      <c r="U2781" s="257">
        <f t="shared" si="94"/>
        <v>1</v>
      </c>
      <c r="V2781">
        <v>1</v>
      </c>
      <c r="W2781">
        <v>1</v>
      </c>
    </row>
    <row r="2782" spans="1:23" ht="45.6" x14ac:dyDescent="0.3">
      <c r="A2782" s="214">
        <v>42985</v>
      </c>
      <c r="B2782" s="214">
        <v>42985</v>
      </c>
      <c r="C2782" s="6">
        <v>9</v>
      </c>
      <c r="D2782" s="6">
        <v>1</v>
      </c>
      <c r="E2782" s="33">
        <v>2017</v>
      </c>
      <c r="F2782" s="7" t="s">
        <v>17</v>
      </c>
      <c r="G2782" s="16" t="s">
        <v>6260</v>
      </c>
      <c r="H2782" s="9" t="s">
        <v>61</v>
      </c>
      <c r="I2782" s="34" t="s">
        <v>4652</v>
      </c>
      <c r="J2782" s="34" t="s">
        <v>4653</v>
      </c>
      <c r="K2782" s="33">
        <v>79</v>
      </c>
      <c r="L2782" s="236">
        <v>1187585</v>
      </c>
      <c r="M2782" s="35">
        <v>65634</v>
      </c>
      <c r="N2782" s="35">
        <v>3307</v>
      </c>
      <c r="O2782" s="35">
        <v>39</v>
      </c>
      <c r="P2782" s="35">
        <v>5500</v>
      </c>
      <c r="Q2782" s="35">
        <v>0</v>
      </c>
      <c r="R2782" s="36">
        <v>10322.602000000001</v>
      </c>
      <c r="S2782" s="7" t="s">
        <v>111</v>
      </c>
      <c r="T2782" s="257">
        <f t="shared" si="93"/>
        <v>1187664</v>
      </c>
      <c r="U2782" s="257">
        <f t="shared" si="94"/>
        <v>74480</v>
      </c>
      <c r="V2782">
        <v>5</v>
      </c>
      <c r="W2782">
        <v>4</v>
      </c>
    </row>
    <row r="2783" spans="1:23" ht="68.400000000000006" x14ac:dyDescent="0.3">
      <c r="A2783" s="214">
        <v>42997</v>
      </c>
      <c r="B2783" s="214">
        <v>42997</v>
      </c>
      <c r="C2783" s="6">
        <v>9</v>
      </c>
      <c r="D2783" s="6">
        <v>1</v>
      </c>
      <c r="E2783" s="33">
        <v>2017</v>
      </c>
      <c r="F2783" s="7" t="s">
        <v>17</v>
      </c>
      <c r="G2783" s="16" t="s">
        <v>6260</v>
      </c>
      <c r="H2783" s="9" t="s">
        <v>61</v>
      </c>
      <c r="I2783" s="34" t="s">
        <v>4654</v>
      </c>
      <c r="J2783" s="34" t="s">
        <v>4655</v>
      </c>
      <c r="K2783" s="33">
        <v>1</v>
      </c>
      <c r="L2783" s="236">
        <v>240421</v>
      </c>
      <c r="M2783" s="35">
        <v>1410</v>
      </c>
      <c r="N2783" s="35">
        <v>0</v>
      </c>
      <c r="O2783" s="35">
        <v>0</v>
      </c>
      <c r="P2783" s="35">
        <v>0</v>
      </c>
      <c r="Q2783" s="35">
        <v>0</v>
      </c>
      <c r="R2783" s="36">
        <v>218.7</v>
      </c>
      <c r="S2783" s="7" t="s">
        <v>111</v>
      </c>
      <c r="T2783" s="257">
        <f t="shared" si="93"/>
        <v>240422</v>
      </c>
      <c r="U2783" s="257">
        <f t="shared" si="94"/>
        <v>1410</v>
      </c>
      <c r="V2783">
        <v>3</v>
      </c>
      <c r="W2783">
        <v>2</v>
      </c>
    </row>
    <row r="2784" spans="1:23" ht="34.200000000000003" x14ac:dyDescent="0.3">
      <c r="A2784" s="214">
        <v>43012</v>
      </c>
      <c r="B2784" s="214">
        <v>43012</v>
      </c>
      <c r="C2784" s="6">
        <v>10</v>
      </c>
      <c r="D2784" s="6">
        <v>1</v>
      </c>
      <c r="E2784" s="33">
        <v>2017</v>
      </c>
      <c r="F2784" s="7" t="s">
        <v>17</v>
      </c>
      <c r="G2784" s="28" t="s">
        <v>6261</v>
      </c>
      <c r="H2784" s="9" t="s">
        <v>61</v>
      </c>
      <c r="I2784" s="34" t="s">
        <v>4656</v>
      </c>
      <c r="J2784" s="34" t="s">
        <v>4657</v>
      </c>
      <c r="K2784" s="33">
        <v>2</v>
      </c>
      <c r="L2784" s="236">
        <v>4</v>
      </c>
      <c r="M2784" s="35">
        <v>1</v>
      </c>
      <c r="N2784" s="35">
        <v>0</v>
      </c>
      <c r="O2784" s="35">
        <v>0</v>
      </c>
      <c r="P2784" s="35">
        <v>0</v>
      </c>
      <c r="Q2784" s="35">
        <v>0</v>
      </c>
      <c r="R2784" s="36">
        <v>0</v>
      </c>
      <c r="S2784" s="7" t="s">
        <v>115</v>
      </c>
      <c r="T2784" s="257">
        <f t="shared" si="93"/>
        <v>6</v>
      </c>
      <c r="U2784" s="257">
        <f t="shared" si="94"/>
        <v>1</v>
      </c>
      <c r="V2784">
        <v>1</v>
      </c>
      <c r="W2784">
        <v>1</v>
      </c>
    </row>
    <row r="2785" spans="1:23" ht="91.2" x14ac:dyDescent="0.3">
      <c r="A2785" s="214">
        <v>42997</v>
      </c>
      <c r="B2785" s="214">
        <v>42997</v>
      </c>
      <c r="C2785" s="6">
        <v>9</v>
      </c>
      <c r="D2785" s="6">
        <v>1</v>
      </c>
      <c r="E2785" s="33">
        <v>2017</v>
      </c>
      <c r="F2785" s="7" t="s">
        <v>17</v>
      </c>
      <c r="G2785" s="16" t="s">
        <v>6260</v>
      </c>
      <c r="H2785" s="9" t="s">
        <v>64</v>
      </c>
      <c r="I2785" s="34" t="s">
        <v>4658</v>
      </c>
      <c r="J2785" s="34" t="s">
        <v>110</v>
      </c>
      <c r="K2785" s="33">
        <v>45</v>
      </c>
      <c r="L2785" s="236">
        <v>4050452</v>
      </c>
      <c r="M2785" s="35">
        <v>28345</v>
      </c>
      <c r="N2785" s="35">
        <v>1152</v>
      </c>
      <c r="O2785" s="35">
        <v>8</v>
      </c>
      <c r="P2785" s="35">
        <v>0</v>
      </c>
      <c r="Q2785" s="35">
        <v>0</v>
      </c>
      <c r="R2785" s="36">
        <v>4494.9287000000004</v>
      </c>
      <c r="S2785" s="7" t="s">
        <v>111</v>
      </c>
      <c r="T2785" s="257">
        <f t="shared" si="93"/>
        <v>4050497</v>
      </c>
      <c r="U2785" s="257">
        <f t="shared" si="94"/>
        <v>29505</v>
      </c>
      <c r="V2785">
        <v>5</v>
      </c>
      <c r="W2785">
        <v>3</v>
      </c>
    </row>
    <row r="2786" spans="1:23" ht="68.400000000000006" x14ac:dyDescent="0.3">
      <c r="A2786" s="214">
        <v>42997</v>
      </c>
      <c r="B2786" s="214">
        <v>42997</v>
      </c>
      <c r="C2786" s="6">
        <v>9</v>
      </c>
      <c r="D2786" s="6">
        <v>1</v>
      </c>
      <c r="E2786" s="33">
        <v>2017</v>
      </c>
      <c r="F2786" s="7" t="s">
        <v>17</v>
      </c>
      <c r="G2786" s="16" t="s">
        <v>6260</v>
      </c>
      <c r="H2786" s="9" t="s">
        <v>84</v>
      </c>
      <c r="I2786" s="34" t="s">
        <v>4659</v>
      </c>
      <c r="J2786" s="34" t="s">
        <v>4660</v>
      </c>
      <c r="K2786" s="33">
        <v>0</v>
      </c>
      <c r="L2786" s="236">
        <v>145</v>
      </c>
      <c r="M2786" s="35">
        <v>34</v>
      </c>
      <c r="N2786" s="35">
        <v>441</v>
      </c>
      <c r="O2786" s="35">
        <v>0</v>
      </c>
      <c r="P2786" s="35">
        <v>0</v>
      </c>
      <c r="Q2786" s="35">
        <v>0</v>
      </c>
      <c r="R2786" s="36">
        <v>298.60000000000002</v>
      </c>
      <c r="S2786" s="7" t="s">
        <v>111</v>
      </c>
      <c r="T2786" s="257">
        <f t="shared" si="93"/>
        <v>145</v>
      </c>
      <c r="U2786" s="257">
        <f t="shared" si="94"/>
        <v>475</v>
      </c>
      <c r="V2786">
        <v>1</v>
      </c>
      <c r="W2786">
        <v>1</v>
      </c>
    </row>
    <row r="2787" spans="1:23" x14ac:dyDescent="0.3">
      <c r="A2787" s="214">
        <v>42997</v>
      </c>
      <c r="B2787" s="214">
        <v>42997</v>
      </c>
      <c r="C2787" s="6">
        <v>9</v>
      </c>
      <c r="D2787" s="6">
        <v>1</v>
      </c>
      <c r="E2787" s="33">
        <v>2017</v>
      </c>
      <c r="F2787" s="7" t="s">
        <v>17</v>
      </c>
      <c r="G2787" s="16" t="s">
        <v>6260</v>
      </c>
      <c r="H2787" s="17" t="s">
        <v>565</v>
      </c>
      <c r="I2787" s="34" t="s">
        <v>95</v>
      </c>
      <c r="J2787" s="34" t="s">
        <v>95</v>
      </c>
      <c r="K2787" s="33">
        <v>4</v>
      </c>
      <c r="L2787" s="236">
        <v>4</v>
      </c>
      <c r="M2787" s="35">
        <v>0</v>
      </c>
      <c r="N2787" s="35">
        <v>0</v>
      </c>
      <c r="O2787" s="35">
        <v>0</v>
      </c>
      <c r="P2787" s="35">
        <v>0</v>
      </c>
      <c r="Q2787" s="35">
        <v>0</v>
      </c>
      <c r="R2787" s="36">
        <v>0</v>
      </c>
      <c r="S2787" s="7" t="s">
        <v>111</v>
      </c>
      <c r="T2787" s="257">
        <f t="shared" si="93"/>
        <v>8</v>
      </c>
      <c r="U2787" s="257">
        <f t="shared" si="94"/>
        <v>0</v>
      </c>
      <c r="V2787">
        <v>1</v>
      </c>
      <c r="W2787">
        <v>0</v>
      </c>
    </row>
    <row r="2788" spans="1:23" ht="171" x14ac:dyDescent="0.3">
      <c r="A2788" s="214">
        <v>42985</v>
      </c>
      <c r="B2788" s="214">
        <v>42985</v>
      </c>
      <c r="C2788" s="6">
        <v>9</v>
      </c>
      <c r="D2788" s="6">
        <v>1</v>
      </c>
      <c r="E2788" s="33">
        <v>2017</v>
      </c>
      <c r="F2788" s="7" t="s">
        <v>17</v>
      </c>
      <c r="G2788" s="16" t="s">
        <v>6260</v>
      </c>
      <c r="H2788" s="9" t="s">
        <v>174</v>
      </c>
      <c r="I2788" s="34" t="s">
        <v>4661</v>
      </c>
      <c r="J2788" s="34" t="s">
        <v>4662</v>
      </c>
      <c r="K2788" s="33">
        <v>0</v>
      </c>
      <c r="L2788" s="236">
        <v>688225</v>
      </c>
      <c r="M2788" s="35">
        <v>0</v>
      </c>
      <c r="N2788" s="35">
        <v>0</v>
      </c>
      <c r="O2788" s="35">
        <v>0</v>
      </c>
      <c r="P2788" s="35">
        <v>0</v>
      </c>
      <c r="Q2788" s="35">
        <v>0</v>
      </c>
      <c r="R2788" s="36">
        <v>73.599999999999994</v>
      </c>
      <c r="S2788" s="7" t="s">
        <v>111</v>
      </c>
      <c r="T2788" s="257">
        <f t="shared" si="93"/>
        <v>688225</v>
      </c>
      <c r="U2788" s="257">
        <f t="shared" si="94"/>
        <v>0</v>
      </c>
      <c r="V2788">
        <v>4</v>
      </c>
      <c r="W2788">
        <v>0</v>
      </c>
    </row>
    <row r="2789" spans="1:23" x14ac:dyDescent="0.3">
      <c r="A2789" s="232">
        <v>42736</v>
      </c>
      <c r="B2789" s="232">
        <v>43100</v>
      </c>
      <c r="C2789" s="6">
        <v>1</v>
      </c>
      <c r="D2789" s="6">
        <v>365</v>
      </c>
      <c r="E2789" s="33">
        <v>2017</v>
      </c>
      <c r="F2789" s="15" t="s">
        <v>22</v>
      </c>
      <c r="G2789" s="9" t="s">
        <v>6258</v>
      </c>
      <c r="H2789" s="9" t="s">
        <v>24</v>
      </c>
      <c r="I2789" s="152" t="s">
        <v>25</v>
      </c>
      <c r="J2789" s="21" t="s">
        <v>4663</v>
      </c>
      <c r="K2789" s="33">
        <v>1</v>
      </c>
      <c r="L2789" s="234">
        <v>1</v>
      </c>
      <c r="M2789" s="171">
        <v>0</v>
      </c>
      <c r="N2789" s="171">
        <v>0</v>
      </c>
      <c r="O2789" s="171">
        <v>0</v>
      </c>
      <c r="P2789" s="171">
        <v>0</v>
      </c>
      <c r="Q2789" s="171">
        <v>0</v>
      </c>
      <c r="R2789" s="36">
        <v>0</v>
      </c>
      <c r="S2789" s="7" t="s">
        <v>4664</v>
      </c>
      <c r="T2789" s="257">
        <f t="shared" si="93"/>
        <v>2</v>
      </c>
      <c r="U2789" s="257">
        <f t="shared" si="94"/>
        <v>0</v>
      </c>
      <c r="V2789">
        <v>1</v>
      </c>
      <c r="W2789">
        <v>0</v>
      </c>
    </row>
    <row r="2790" spans="1:23" ht="45.6" x14ac:dyDescent="0.3">
      <c r="A2790" s="232">
        <v>42736</v>
      </c>
      <c r="B2790" s="232">
        <v>43100</v>
      </c>
      <c r="C2790" s="6">
        <v>1</v>
      </c>
      <c r="D2790" s="6">
        <v>365</v>
      </c>
      <c r="E2790" s="33">
        <v>2017</v>
      </c>
      <c r="F2790" s="15" t="s">
        <v>22</v>
      </c>
      <c r="G2790" s="9" t="s">
        <v>6258</v>
      </c>
      <c r="H2790" s="9" t="s">
        <v>74</v>
      </c>
      <c r="I2790" s="152" t="s">
        <v>25</v>
      </c>
      <c r="J2790" s="21" t="s">
        <v>4665</v>
      </c>
      <c r="K2790" s="33">
        <v>14</v>
      </c>
      <c r="L2790" s="236">
        <v>340</v>
      </c>
      <c r="M2790" s="171">
        <v>0</v>
      </c>
      <c r="N2790" s="171">
        <v>0</v>
      </c>
      <c r="O2790" s="171">
        <v>0</v>
      </c>
      <c r="P2790" s="171">
        <v>0</v>
      </c>
      <c r="Q2790" s="171">
        <v>0</v>
      </c>
      <c r="R2790" s="24">
        <v>0</v>
      </c>
      <c r="S2790" s="7" t="s">
        <v>4664</v>
      </c>
      <c r="T2790" s="257">
        <f t="shared" si="93"/>
        <v>354</v>
      </c>
      <c r="U2790" s="257">
        <f t="shared" si="94"/>
        <v>0</v>
      </c>
      <c r="V2790">
        <v>1</v>
      </c>
      <c r="W2790">
        <v>0</v>
      </c>
    </row>
    <row r="2791" spans="1:23" ht="79.8" x14ac:dyDescent="0.3">
      <c r="A2791" s="214">
        <v>42754</v>
      </c>
      <c r="B2791" s="214">
        <v>42754</v>
      </c>
      <c r="C2791" s="6">
        <v>1</v>
      </c>
      <c r="D2791" s="6">
        <v>1</v>
      </c>
      <c r="E2791" s="33">
        <v>2017</v>
      </c>
      <c r="F2791" s="15" t="s">
        <v>22</v>
      </c>
      <c r="G2791" s="18" t="s">
        <v>6256</v>
      </c>
      <c r="H2791" s="9" t="s">
        <v>27</v>
      </c>
      <c r="I2791" s="34" t="s">
        <v>4666</v>
      </c>
      <c r="J2791" s="34" t="s">
        <v>4667</v>
      </c>
      <c r="K2791" s="33">
        <v>3</v>
      </c>
      <c r="L2791" s="236">
        <v>98</v>
      </c>
      <c r="M2791" s="35">
        <v>19</v>
      </c>
      <c r="N2791" s="35">
        <v>0</v>
      </c>
      <c r="O2791" s="35">
        <v>0</v>
      </c>
      <c r="P2791" s="35">
        <v>0</v>
      </c>
      <c r="Q2791" s="35">
        <v>0</v>
      </c>
      <c r="R2791" s="36">
        <v>0</v>
      </c>
      <c r="S2791" s="7" t="s">
        <v>115</v>
      </c>
      <c r="T2791" s="257">
        <f t="shared" si="93"/>
        <v>101</v>
      </c>
      <c r="U2791" s="257">
        <f t="shared" si="94"/>
        <v>19</v>
      </c>
      <c r="V2791">
        <v>1</v>
      </c>
      <c r="W2791">
        <v>1</v>
      </c>
    </row>
    <row r="2792" spans="1:23" ht="34.200000000000003" x14ac:dyDescent="0.3">
      <c r="A2792" s="214">
        <v>42794</v>
      </c>
      <c r="B2792" s="214">
        <v>42794</v>
      </c>
      <c r="C2792" s="6">
        <v>2</v>
      </c>
      <c r="D2792" s="6">
        <v>1</v>
      </c>
      <c r="E2792" s="33">
        <v>2017</v>
      </c>
      <c r="F2792" s="15" t="s">
        <v>22</v>
      </c>
      <c r="G2792" s="18" t="s">
        <v>6256</v>
      </c>
      <c r="H2792" s="9" t="s">
        <v>27</v>
      </c>
      <c r="I2792" s="34" t="s">
        <v>4666</v>
      </c>
      <c r="J2792" s="34" t="s">
        <v>4668</v>
      </c>
      <c r="K2792" s="33">
        <v>0</v>
      </c>
      <c r="L2792" s="236">
        <v>36</v>
      </c>
      <c r="M2792" s="35">
        <v>0</v>
      </c>
      <c r="N2792" s="35">
        <v>0</v>
      </c>
      <c r="O2792" s="35">
        <v>0</v>
      </c>
      <c r="P2792" s="35">
        <v>0</v>
      </c>
      <c r="Q2792" s="35">
        <v>0</v>
      </c>
      <c r="R2792" s="36">
        <v>0</v>
      </c>
      <c r="S2792" s="7" t="s">
        <v>115</v>
      </c>
      <c r="T2792" s="257">
        <f t="shared" si="93"/>
        <v>36</v>
      </c>
      <c r="U2792" s="257">
        <f t="shared" si="94"/>
        <v>0</v>
      </c>
      <c r="V2792">
        <v>1</v>
      </c>
      <c r="W2792">
        <v>0</v>
      </c>
    </row>
    <row r="2793" spans="1:23" ht="22.8" x14ac:dyDescent="0.3">
      <c r="A2793" s="232">
        <v>42736</v>
      </c>
      <c r="B2793" s="232">
        <v>43100</v>
      </c>
      <c r="C2793" s="6">
        <v>1</v>
      </c>
      <c r="D2793" s="6">
        <v>365</v>
      </c>
      <c r="E2793" s="33">
        <v>2017</v>
      </c>
      <c r="F2793" s="15" t="s">
        <v>22</v>
      </c>
      <c r="G2793" s="18" t="s">
        <v>6255</v>
      </c>
      <c r="H2793" s="9" t="s">
        <v>27</v>
      </c>
      <c r="I2793" s="152" t="s">
        <v>25</v>
      </c>
      <c r="J2793" s="152" t="s">
        <v>4669</v>
      </c>
      <c r="K2793" s="172">
        <v>1</v>
      </c>
      <c r="L2793" s="236">
        <v>10</v>
      </c>
      <c r="M2793" s="171">
        <v>0</v>
      </c>
      <c r="N2793" s="171">
        <v>0</v>
      </c>
      <c r="O2793" s="171">
        <v>0</v>
      </c>
      <c r="P2793" s="171">
        <v>0</v>
      </c>
      <c r="Q2793" s="171">
        <v>0</v>
      </c>
      <c r="R2793" s="24">
        <v>0</v>
      </c>
      <c r="S2793" s="7" t="s">
        <v>4664</v>
      </c>
      <c r="T2793" s="257">
        <f t="shared" si="93"/>
        <v>11</v>
      </c>
      <c r="U2793" s="257">
        <f t="shared" si="94"/>
        <v>0</v>
      </c>
      <c r="V2793">
        <v>1</v>
      </c>
      <c r="W2793">
        <v>0</v>
      </c>
    </row>
    <row r="2794" spans="1:23" ht="22.8" x14ac:dyDescent="0.3">
      <c r="A2794" s="129">
        <v>40041</v>
      </c>
      <c r="B2794" s="129">
        <v>40041</v>
      </c>
      <c r="C2794" s="6">
        <v>8</v>
      </c>
      <c r="D2794" s="6">
        <v>1</v>
      </c>
      <c r="E2794" s="19">
        <v>2009</v>
      </c>
      <c r="F2794" s="15" t="s">
        <v>22</v>
      </c>
      <c r="G2794" s="16" t="s">
        <v>6256</v>
      </c>
      <c r="H2794" s="9" t="s">
        <v>48</v>
      </c>
      <c r="I2794" s="17" t="s">
        <v>3086</v>
      </c>
      <c r="J2794" s="17" t="s">
        <v>4670</v>
      </c>
      <c r="K2794" s="23">
        <v>0</v>
      </c>
      <c r="L2794" s="234">
        <v>2</v>
      </c>
      <c r="M2794" s="23">
        <v>0</v>
      </c>
      <c r="N2794" s="23">
        <v>0</v>
      </c>
      <c r="O2794" s="23">
        <v>0</v>
      </c>
      <c r="P2794" s="23">
        <v>0</v>
      </c>
      <c r="Q2794" s="92">
        <v>0</v>
      </c>
      <c r="R2794" s="93">
        <v>0</v>
      </c>
      <c r="S2794" s="19" t="s">
        <v>115</v>
      </c>
      <c r="T2794" s="257">
        <f t="shared" si="93"/>
        <v>2</v>
      </c>
      <c r="U2794" s="257">
        <f t="shared" si="94"/>
        <v>0</v>
      </c>
      <c r="V2794">
        <v>1</v>
      </c>
      <c r="W2794">
        <v>0</v>
      </c>
    </row>
    <row r="2795" spans="1:23" ht="45.6" x14ac:dyDescent="0.3">
      <c r="A2795" s="232">
        <v>42736</v>
      </c>
      <c r="B2795" s="232">
        <v>43100</v>
      </c>
      <c r="C2795" s="6">
        <v>1</v>
      </c>
      <c r="D2795" s="6">
        <v>365</v>
      </c>
      <c r="E2795" s="33">
        <v>2017</v>
      </c>
      <c r="F2795" s="15" t="s">
        <v>22</v>
      </c>
      <c r="G2795" s="9" t="s">
        <v>6258</v>
      </c>
      <c r="H2795" s="9" t="s">
        <v>27</v>
      </c>
      <c r="I2795" s="152" t="s">
        <v>25</v>
      </c>
      <c r="J2795" s="21" t="s">
        <v>4671</v>
      </c>
      <c r="K2795" s="33">
        <v>7</v>
      </c>
      <c r="L2795" s="236">
        <v>56</v>
      </c>
      <c r="M2795" s="171">
        <v>0</v>
      </c>
      <c r="N2795" s="171">
        <v>0</v>
      </c>
      <c r="O2795" s="171">
        <v>0</v>
      </c>
      <c r="P2795" s="171">
        <v>0</v>
      </c>
      <c r="Q2795" s="171">
        <v>0</v>
      </c>
      <c r="R2795" s="24">
        <v>0</v>
      </c>
      <c r="S2795" s="7" t="s">
        <v>4664</v>
      </c>
      <c r="T2795" s="257">
        <f t="shared" si="93"/>
        <v>63</v>
      </c>
      <c r="U2795" s="257">
        <f t="shared" si="94"/>
        <v>0</v>
      </c>
      <c r="V2795">
        <v>1</v>
      </c>
      <c r="W2795">
        <v>0</v>
      </c>
    </row>
    <row r="2796" spans="1:23" ht="91.2" x14ac:dyDescent="0.3">
      <c r="A2796" s="214">
        <v>42978</v>
      </c>
      <c r="B2796" s="214">
        <v>42978</v>
      </c>
      <c r="C2796" s="6">
        <v>8</v>
      </c>
      <c r="D2796" s="6">
        <v>1</v>
      </c>
      <c r="E2796" s="33">
        <v>2017</v>
      </c>
      <c r="F2796" s="15" t="s">
        <v>22</v>
      </c>
      <c r="G2796" s="16" t="s">
        <v>6254</v>
      </c>
      <c r="H2796" s="9" t="s">
        <v>28</v>
      </c>
      <c r="I2796" s="34" t="s">
        <v>4672</v>
      </c>
      <c r="J2796" s="34" t="s">
        <v>4673</v>
      </c>
      <c r="K2796" s="33">
        <v>6</v>
      </c>
      <c r="L2796" s="236">
        <v>1400</v>
      </c>
      <c r="M2796" s="35">
        <v>0</v>
      </c>
      <c r="N2796" s="35">
        <v>0</v>
      </c>
      <c r="O2796" s="35">
        <v>0</v>
      </c>
      <c r="P2796" s="35">
        <v>0</v>
      </c>
      <c r="Q2796" s="35">
        <v>0</v>
      </c>
      <c r="R2796" s="36">
        <v>313.10000000000002</v>
      </c>
      <c r="S2796" s="7" t="s">
        <v>4674</v>
      </c>
      <c r="T2796" s="257">
        <f t="shared" si="93"/>
        <v>1406</v>
      </c>
      <c r="U2796" s="257">
        <f t="shared" si="94"/>
        <v>0</v>
      </c>
      <c r="V2796">
        <v>1</v>
      </c>
      <c r="W2796">
        <v>0</v>
      </c>
    </row>
    <row r="2797" spans="1:23" ht="22.8" x14ac:dyDescent="0.3">
      <c r="A2797" s="232">
        <v>42736</v>
      </c>
      <c r="B2797" s="232">
        <v>43100</v>
      </c>
      <c r="C2797" s="6">
        <v>1</v>
      </c>
      <c r="D2797" s="6">
        <v>365</v>
      </c>
      <c r="E2797" s="33">
        <v>2017</v>
      </c>
      <c r="F2797" s="15" t="s">
        <v>22</v>
      </c>
      <c r="G2797" s="9" t="s">
        <v>6258</v>
      </c>
      <c r="H2797" s="9" t="s">
        <v>28</v>
      </c>
      <c r="I2797" s="152" t="s">
        <v>25</v>
      </c>
      <c r="J2797" s="21" t="s">
        <v>4675</v>
      </c>
      <c r="K2797" s="172">
        <v>0</v>
      </c>
      <c r="L2797" s="236">
        <v>13</v>
      </c>
      <c r="M2797" s="171">
        <v>0</v>
      </c>
      <c r="N2797" s="171">
        <v>0</v>
      </c>
      <c r="O2797" s="171">
        <v>0</v>
      </c>
      <c r="P2797" s="171">
        <v>0</v>
      </c>
      <c r="Q2797" s="171">
        <v>0</v>
      </c>
      <c r="R2797" s="24">
        <v>0</v>
      </c>
      <c r="S2797" s="7" t="s">
        <v>4664</v>
      </c>
      <c r="T2797" s="257">
        <f t="shared" si="93"/>
        <v>13</v>
      </c>
      <c r="U2797" s="257">
        <f t="shared" si="94"/>
        <v>0</v>
      </c>
      <c r="V2797">
        <v>1</v>
      </c>
      <c r="W2797">
        <v>0</v>
      </c>
    </row>
    <row r="2798" spans="1:23" ht="34.200000000000003" x14ac:dyDescent="0.3">
      <c r="A2798" s="232">
        <v>42736</v>
      </c>
      <c r="B2798" s="232">
        <v>43100</v>
      </c>
      <c r="C2798" s="6">
        <v>1</v>
      </c>
      <c r="D2798" s="6">
        <v>365</v>
      </c>
      <c r="E2798" s="33">
        <v>2017</v>
      </c>
      <c r="F2798" s="15" t="s">
        <v>22</v>
      </c>
      <c r="G2798" s="9" t="s">
        <v>6258</v>
      </c>
      <c r="H2798" s="9" t="s">
        <v>112</v>
      </c>
      <c r="I2798" s="152" t="s">
        <v>25</v>
      </c>
      <c r="J2798" s="21" t="s">
        <v>4676</v>
      </c>
      <c r="K2798" s="33">
        <v>1</v>
      </c>
      <c r="L2798" s="236">
        <v>2</v>
      </c>
      <c r="M2798" s="171">
        <v>0</v>
      </c>
      <c r="N2798" s="171">
        <v>0</v>
      </c>
      <c r="O2798" s="171">
        <v>0</v>
      </c>
      <c r="P2798" s="171">
        <v>0</v>
      </c>
      <c r="Q2798" s="171">
        <v>0</v>
      </c>
      <c r="R2798" s="24">
        <v>0</v>
      </c>
      <c r="S2798" s="7" t="s">
        <v>4664</v>
      </c>
      <c r="T2798" s="257">
        <f t="shared" si="93"/>
        <v>3</v>
      </c>
      <c r="U2798" s="257">
        <f t="shared" si="94"/>
        <v>0</v>
      </c>
      <c r="V2798">
        <v>1</v>
      </c>
      <c r="W2798">
        <v>0</v>
      </c>
    </row>
    <row r="2799" spans="1:23" ht="68.400000000000006" x14ac:dyDescent="0.3">
      <c r="A2799" s="214">
        <v>42860</v>
      </c>
      <c r="B2799" s="214">
        <v>42860</v>
      </c>
      <c r="C2799" s="6">
        <v>5</v>
      </c>
      <c r="D2799" s="6">
        <v>1</v>
      </c>
      <c r="E2799" s="33">
        <v>2017</v>
      </c>
      <c r="F2799" s="15" t="s">
        <v>22</v>
      </c>
      <c r="G2799" s="9" t="s">
        <v>6257</v>
      </c>
      <c r="H2799" s="9" t="s">
        <v>112</v>
      </c>
      <c r="I2799" s="34" t="s">
        <v>892</v>
      </c>
      <c r="J2799" s="34" t="s">
        <v>4677</v>
      </c>
      <c r="K2799" s="33">
        <v>1</v>
      </c>
      <c r="L2799" s="236">
        <v>1</v>
      </c>
      <c r="M2799" s="35">
        <v>0</v>
      </c>
      <c r="N2799" s="35">
        <v>0</v>
      </c>
      <c r="O2799" s="35">
        <v>0</v>
      </c>
      <c r="P2799" s="35">
        <v>0</v>
      </c>
      <c r="Q2799" s="35">
        <v>0</v>
      </c>
      <c r="R2799" s="36">
        <v>0</v>
      </c>
      <c r="S2799" s="7" t="s">
        <v>115</v>
      </c>
      <c r="T2799" s="257">
        <f t="shared" si="93"/>
        <v>2</v>
      </c>
      <c r="U2799" s="257">
        <f t="shared" si="94"/>
        <v>0</v>
      </c>
      <c r="V2799">
        <v>1</v>
      </c>
      <c r="W2799">
        <v>0</v>
      </c>
    </row>
    <row r="2800" spans="1:23" ht="34.200000000000003" x14ac:dyDescent="0.3">
      <c r="A2800" s="214">
        <v>43038</v>
      </c>
      <c r="B2800" s="214">
        <v>43038</v>
      </c>
      <c r="C2800" s="6">
        <v>10</v>
      </c>
      <c r="D2800" s="6">
        <v>1</v>
      </c>
      <c r="E2800" s="33">
        <v>2017</v>
      </c>
      <c r="F2800" s="15" t="s">
        <v>22</v>
      </c>
      <c r="G2800" s="18" t="s">
        <v>6256</v>
      </c>
      <c r="H2800" s="9" t="s">
        <v>31</v>
      </c>
      <c r="I2800" s="34" t="s">
        <v>3062</v>
      </c>
      <c r="J2800" s="34" t="s">
        <v>4678</v>
      </c>
      <c r="K2800" s="33">
        <v>0</v>
      </c>
      <c r="L2800" s="236">
        <v>160</v>
      </c>
      <c r="M2800" s="35">
        <v>40</v>
      </c>
      <c r="N2800" s="35">
        <v>0</v>
      </c>
      <c r="O2800" s="35">
        <v>0</v>
      </c>
      <c r="P2800" s="35">
        <v>0</v>
      </c>
      <c r="Q2800" s="35">
        <v>0</v>
      </c>
      <c r="R2800" s="36">
        <v>0</v>
      </c>
      <c r="S2800" s="7" t="s">
        <v>115</v>
      </c>
      <c r="T2800" s="257">
        <f t="shared" si="93"/>
        <v>160</v>
      </c>
      <c r="U2800" s="257">
        <f t="shared" si="94"/>
        <v>40</v>
      </c>
      <c r="V2800">
        <v>1</v>
      </c>
      <c r="W2800">
        <v>1</v>
      </c>
    </row>
    <row r="2801" spans="1:23" ht="136.80000000000001" x14ac:dyDescent="0.3">
      <c r="A2801" s="214">
        <v>42935</v>
      </c>
      <c r="B2801" s="214">
        <v>42935</v>
      </c>
      <c r="C2801" s="6">
        <v>7</v>
      </c>
      <c r="D2801" s="6">
        <v>1</v>
      </c>
      <c r="E2801" s="33">
        <v>2017</v>
      </c>
      <c r="F2801" s="15" t="s">
        <v>22</v>
      </c>
      <c r="G2801" s="18" t="s">
        <v>6256</v>
      </c>
      <c r="H2801" s="9" t="s">
        <v>31</v>
      </c>
      <c r="I2801" s="34" t="s">
        <v>1448</v>
      </c>
      <c r="J2801" s="34" t="s">
        <v>4679</v>
      </c>
      <c r="K2801" s="33">
        <v>0</v>
      </c>
      <c r="L2801" s="236">
        <v>0</v>
      </c>
      <c r="M2801" s="35">
        <v>54</v>
      </c>
      <c r="N2801" s="35">
        <v>0</v>
      </c>
      <c r="O2801" s="35">
        <v>1</v>
      </c>
      <c r="P2801" s="35">
        <v>21</v>
      </c>
      <c r="Q2801" s="35">
        <v>0</v>
      </c>
      <c r="R2801" s="36">
        <v>0</v>
      </c>
      <c r="S2801" s="7" t="s">
        <v>115</v>
      </c>
      <c r="T2801" s="257">
        <f t="shared" si="93"/>
        <v>0</v>
      </c>
      <c r="U2801" s="257">
        <f t="shared" si="94"/>
        <v>76</v>
      </c>
      <c r="V2801">
        <v>0</v>
      </c>
      <c r="W2801">
        <v>1</v>
      </c>
    </row>
    <row r="2802" spans="1:23" ht="205.2" x14ac:dyDescent="0.3">
      <c r="A2802" s="214">
        <v>42900</v>
      </c>
      <c r="B2802" s="214">
        <v>42900</v>
      </c>
      <c r="C2802" s="6">
        <v>6</v>
      </c>
      <c r="D2802" s="6">
        <v>1</v>
      </c>
      <c r="E2802" s="33">
        <v>2017</v>
      </c>
      <c r="F2802" s="15" t="s">
        <v>22</v>
      </c>
      <c r="G2802" s="16" t="s">
        <v>6254</v>
      </c>
      <c r="H2802" s="9" t="s">
        <v>61</v>
      </c>
      <c r="I2802" s="34" t="s">
        <v>4680</v>
      </c>
      <c r="J2802" s="34" t="s">
        <v>4681</v>
      </c>
      <c r="K2802" s="33">
        <v>5</v>
      </c>
      <c r="L2802" s="236">
        <v>141705</v>
      </c>
      <c r="M2802" s="35">
        <v>420</v>
      </c>
      <c r="N2802" s="35">
        <v>54</v>
      </c>
      <c r="O2802" s="35">
        <v>0</v>
      </c>
      <c r="P2802" s="35">
        <v>0</v>
      </c>
      <c r="Q2802" s="35">
        <v>9025.7000000000007</v>
      </c>
      <c r="R2802" s="36">
        <v>4242.8999999999996</v>
      </c>
      <c r="S2802" s="7" t="s">
        <v>21</v>
      </c>
      <c r="T2802" s="257">
        <f t="shared" si="93"/>
        <v>141710</v>
      </c>
      <c r="U2802" s="257">
        <f t="shared" si="94"/>
        <v>474</v>
      </c>
      <c r="V2802">
        <v>3</v>
      </c>
      <c r="W2802">
        <v>1</v>
      </c>
    </row>
    <row r="2803" spans="1:23" ht="57" x14ac:dyDescent="0.3">
      <c r="A2803" s="214">
        <v>43033</v>
      </c>
      <c r="B2803" s="214">
        <v>43033</v>
      </c>
      <c r="C2803" s="6">
        <v>10</v>
      </c>
      <c r="D2803" s="6">
        <v>1</v>
      </c>
      <c r="E2803" s="33">
        <v>2017</v>
      </c>
      <c r="F2803" s="15" t="s">
        <v>22</v>
      </c>
      <c r="G2803" s="18" t="s">
        <v>6256</v>
      </c>
      <c r="H2803" s="9" t="s">
        <v>31</v>
      </c>
      <c r="I2803" s="34" t="s">
        <v>4682</v>
      </c>
      <c r="J2803" s="34" t="s">
        <v>4683</v>
      </c>
      <c r="K2803" s="33">
        <v>5</v>
      </c>
      <c r="L2803" s="236">
        <v>7</v>
      </c>
      <c r="M2803" s="35">
        <v>1</v>
      </c>
      <c r="N2803" s="35">
        <v>0</v>
      </c>
      <c r="O2803" s="35">
        <v>0</v>
      </c>
      <c r="P2803" s="35">
        <v>0</v>
      </c>
      <c r="Q2803" s="35">
        <v>0</v>
      </c>
      <c r="R2803" s="36">
        <v>0</v>
      </c>
      <c r="S2803" s="7" t="s">
        <v>115</v>
      </c>
      <c r="T2803" s="257">
        <f t="shared" si="93"/>
        <v>12</v>
      </c>
      <c r="U2803" s="257">
        <f t="shared" si="94"/>
        <v>1</v>
      </c>
      <c r="V2803">
        <v>1</v>
      </c>
      <c r="W2803">
        <v>1</v>
      </c>
    </row>
    <row r="2804" spans="1:23" ht="34.200000000000003" x14ac:dyDescent="0.3">
      <c r="A2804" s="214">
        <v>43017</v>
      </c>
      <c r="B2804" s="214">
        <v>43017</v>
      </c>
      <c r="C2804" s="6">
        <v>10</v>
      </c>
      <c r="D2804" s="6">
        <v>1</v>
      </c>
      <c r="E2804" s="33">
        <v>2017</v>
      </c>
      <c r="F2804" s="15" t="s">
        <v>22</v>
      </c>
      <c r="G2804" s="18" t="s">
        <v>6256</v>
      </c>
      <c r="H2804" s="9" t="s">
        <v>31</v>
      </c>
      <c r="I2804" s="34" t="s">
        <v>1392</v>
      </c>
      <c r="J2804" s="34" t="s">
        <v>4684</v>
      </c>
      <c r="K2804" s="33">
        <v>0</v>
      </c>
      <c r="L2804" s="236">
        <v>160</v>
      </c>
      <c r="M2804" s="35">
        <v>40</v>
      </c>
      <c r="N2804" s="35">
        <v>0</v>
      </c>
      <c r="O2804" s="35">
        <v>0</v>
      </c>
      <c r="P2804" s="35">
        <v>0</v>
      </c>
      <c r="Q2804" s="35">
        <v>0</v>
      </c>
      <c r="R2804" s="36">
        <v>0</v>
      </c>
      <c r="S2804" s="7" t="s">
        <v>115</v>
      </c>
      <c r="T2804" s="257">
        <f t="shared" si="93"/>
        <v>160</v>
      </c>
      <c r="U2804" s="257">
        <f t="shared" si="94"/>
        <v>40</v>
      </c>
      <c r="V2804">
        <v>1</v>
      </c>
      <c r="W2804">
        <v>1</v>
      </c>
    </row>
    <row r="2805" spans="1:23" ht="34.200000000000003" x14ac:dyDescent="0.3">
      <c r="A2805" s="232">
        <v>42736</v>
      </c>
      <c r="B2805" s="232">
        <v>43100</v>
      </c>
      <c r="C2805" s="6">
        <v>1</v>
      </c>
      <c r="D2805" s="6">
        <v>365</v>
      </c>
      <c r="E2805" s="33">
        <v>2017</v>
      </c>
      <c r="F2805" s="15" t="s">
        <v>22</v>
      </c>
      <c r="G2805" s="18" t="s">
        <v>6255</v>
      </c>
      <c r="H2805" s="9" t="s">
        <v>41</v>
      </c>
      <c r="I2805" s="152" t="s">
        <v>25</v>
      </c>
      <c r="J2805" s="152" t="s">
        <v>4685</v>
      </c>
      <c r="K2805" s="33">
        <v>4</v>
      </c>
      <c r="L2805" s="236">
        <v>74</v>
      </c>
      <c r="M2805" s="171">
        <v>0</v>
      </c>
      <c r="N2805" s="171">
        <v>0</v>
      </c>
      <c r="O2805" s="171">
        <v>0</v>
      </c>
      <c r="P2805" s="171">
        <v>0</v>
      </c>
      <c r="Q2805" s="171">
        <v>0</v>
      </c>
      <c r="R2805" s="24">
        <v>0</v>
      </c>
      <c r="S2805" s="7" t="s">
        <v>4664</v>
      </c>
      <c r="T2805" s="257">
        <f t="shared" si="93"/>
        <v>78</v>
      </c>
      <c r="U2805" s="257">
        <f t="shared" si="94"/>
        <v>0</v>
      </c>
      <c r="V2805">
        <v>1</v>
      </c>
      <c r="W2805">
        <v>0</v>
      </c>
    </row>
    <row r="2806" spans="1:23" ht="22.8" x14ac:dyDescent="0.3">
      <c r="A2806" s="232">
        <v>42736</v>
      </c>
      <c r="B2806" s="232">
        <v>43100</v>
      </c>
      <c r="C2806" s="6">
        <v>1</v>
      </c>
      <c r="D2806" s="6">
        <v>365</v>
      </c>
      <c r="E2806" s="33">
        <v>2017</v>
      </c>
      <c r="F2806" s="15" t="s">
        <v>22</v>
      </c>
      <c r="G2806" s="18" t="s">
        <v>6255</v>
      </c>
      <c r="H2806" s="9" t="s">
        <v>46</v>
      </c>
      <c r="I2806" s="152" t="s">
        <v>25</v>
      </c>
      <c r="J2806" s="152" t="s">
        <v>4686</v>
      </c>
      <c r="K2806" s="172">
        <v>0</v>
      </c>
      <c r="L2806" s="236">
        <v>1</v>
      </c>
      <c r="M2806" s="171">
        <v>0</v>
      </c>
      <c r="N2806" s="171">
        <v>0</v>
      </c>
      <c r="O2806" s="171">
        <v>0</v>
      </c>
      <c r="P2806" s="171">
        <v>0</v>
      </c>
      <c r="Q2806" s="171">
        <v>0</v>
      </c>
      <c r="R2806" s="24">
        <v>0</v>
      </c>
      <c r="S2806" s="7" t="s">
        <v>4664</v>
      </c>
      <c r="T2806" s="257">
        <f t="shared" si="93"/>
        <v>1</v>
      </c>
      <c r="U2806" s="257">
        <f t="shared" si="94"/>
        <v>0</v>
      </c>
      <c r="V2806">
        <v>1</v>
      </c>
      <c r="W2806">
        <v>0</v>
      </c>
    </row>
    <row r="2807" spans="1:23" ht="34.200000000000003" x14ac:dyDescent="0.3">
      <c r="A2807" s="232">
        <v>42736</v>
      </c>
      <c r="B2807" s="232">
        <v>43100</v>
      </c>
      <c r="C2807" s="6">
        <v>1</v>
      </c>
      <c r="D2807" s="6">
        <v>365</v>
      </c>
      <c r="E2807" s="33">
        <v>2017</v>
      </c>
      <c r="F2807" s="15" t="s">
        <v>22</v>
      </c>
      <c r="G2807" s="18" t="s">
        <v>6255</v>
      </c>
      <c r="H2807" s="9" t="s">
        <v>121</v>
      </c>
      <c r="I2807" s="152" t="s">
        <v>25</v>
      </c>
      <c r="J2807" s="152" t="s">
        <v>4687</v>
      </c>
      <c r="K2807" s="33">
        <v>1</v>
      </c>
      <c r="L2807" s="236">
        <v>7</v>
      </c>
      <c r="M2807" s="171">
        <v>0</v>
      </c>
      <c r="N2807" s="171">
        <v>0</v>
      </c>
      <c r="O2807" s="171">
        <v>0</v>
      </c>
      <c r="P2807" s="171">
        <v>0</v>
      </c>
      <c r="Q2807" s="171">
        <v>0</v>
      </c>
      <c r="R2807" s="24">
        <v>0</v>
      </c>
      <c r="S2807" s="7" t="s">
        <v>4664</v>
      </c>
      <c r="T2807" s="257">
        <f t="shared" si="93"/>
        <v>8</v>
      </c>
      <c r="U2807" s="257">
        <f t="shared" si="94"/>
        <v>0</v>
      </c>
      <c r="V2807">
        <v>1</v>
      </c>
      <c r="W2807">
        <v>0</v>
      </c>
    </row>
    <row r="2808" spans="1:23" ht="148.19999999999999" x14ac:dyDescent="0.3">
      <c r="A2808" s="214">
        <v>43020</v>
      </c>
      <c r="B2808" s="214">
        <v>43020</v>
      </c>
      <c r="C2808" s="6">
        <v>10</v>
      </c>
      <c r="D2808" s="6">
        <v>1</v>
      </c>
      <c r="E2808" s="33">
        <v>2017</v>
      </c>
      <c r="F2808" s="15" t="s">
        <v>22</v>
      </c>
      <c r="G2808" s="18" t="s">
        <v>6256</v>
      </c>
      <c r="H2808" s="9" t="s">
        <v>31</v>
      </c>
      <c r="I2808" s="34" t="s">
        <v>274</v>
      </c>
      <c r="J2808" s="34" t="s">
        <v>4688</v>
      </c>
      <c r="K2808" s="33">
        <v>0</v>
      </c>
      <c r="L2808" s="236">
        <v>636</v>
      </c>
      <c r="M2808" s="35">
        <v>159</v>
      </c>
      <c r="N2808" s="35">
        <v>0</v>
      </c>
      <c r="O2808" s="35">
        <v>0</v>
      </c>
      <c r="P2808" s="35">
        <v>339</v>
      </c>
      <c r="Q2808" s="35">
        <v>0</v>
      </c>
      <c r="R2808" s="36">
        <v>0</v>
      </c>
      <c r="S2808" s="7" t="s">
        <v>115</v>
      </c>
      <c r="T2808" s="257">
        <f t="shared" si="93"/>
        <v>636</v>
      </c>
      <c r="U2808" s="257">
        <f t="shared" si="94"/>
        <v>498</v>
      </c>
      <c r="V2808">
        <v>1</v>
      </c>
      <c r="W2808">
        <v>1</v>
      </c>
    </row>
    <row r="2809" spans="1:23" ht="91.2" x14ac:dyDescent="0.3">
      <c r="A2809" s="214">
        <v>42992</v>
      </c>
      <c r="B2809" s="214">
        <v>42992</v>
      </c>
      <c r="C2809" s="6">
        <v>9</v>
      </c>
      <c r="D2809" s="6">
        <v>1</v>
      </c>
      <c r="E2809" s="33">
        <v>2017</v>
      </c>
      <c r="F2809" s="15" t="s">
        <v>22</v>
      </c>
      <c r="G2809" s="18" t="s">
        <v>6256</v>
      </c>
      <c r="H2809" s="9" t="s">
        <v>31</v>
      </c>
      <c r="I2809" s="34" t="s">
        <v>196</v>
      </c>
      <c r="J2809" s="34" t="s">
        <v>4689</v>
      </c>
      <c r="K2809" s="33">
        <v>3</v>
      </c>
      <c r="L2809" s="236">
        <v>47</v>
      </c>
      <c r="M2809" s="35">
        <v>2</v>
      </c>
      <c r="N2809" s="35">
        <v>0</v>
      </c>
      <c r="O2809" s="35">
        <v>0</v>
      </c>
      <c r="P2809" s="35">
        <v>0</v>
      </c>
      <c r="Q2809" s="35">
        <v>0</v>
      </c>
      <c r="R2809" s="36">
        <v>0</v>
      </c>
      <c r="S2809" s="7" t="s">
        <v>115</v>
      </c>
      <c r="T2809" s="257">
        <f t="shared" si="93"/>
        <v>50</v>
      </c>
      <c r="U2809" s="257">
        <f t="shared" si="94"/>
        <v>2</v>
      </c>
      <c r="V2809">
        <v>1</v>
      </c>
      <c r="W2809">
        <v>1</v>
      </c>
    </row>
    <row r="2810" spans="1:23" ht="57" x14ac:dyDescent="0.3">
      <c r="A2810" s="214">
        <v>42877</v>
      </c>
      <c r="B2810" s="214">
        <v>42877</v>
      </c>
      <c r="C2810" s="6">
        <v>5</v>
      </c>
      <c r="D2810" s="6">
        <v>1</v>
      </c>
      <c r="E2810" s="33">
        <v>2017</v>
      </c>
      <c r="F2810" s="15" t="s">
        <v>22</v>
      </c>
      <c r="G2810" s="9" t="s">
        <v>6257</v>
      </c>
      <c r="H2810" s="9" t="s">
        <v>31</v>
      </c>
      <c r="I2810" s="34" t="s">
        <v>1005</v>
      </c>
      <c r="J2810" s="34" t="s">
        <v>4690</v>
      </c>
      <c r="K2810" s="33">
        <v>0</v>
      </c>
      <c r="L2810" s="236">
        <v>40</v>
      </c>
      <c r="M2810" s="35">
        <v>10</v>
      </c>
      <c r="N2810" s="35">
        <v>0</v>
      </c>
      <c r="O2810" s="35">
        <v>0</v>
      </c>
      <c r="P2810" s="35">
        <v>0</v>
      </c>
      <c r="Q2810" s="35">
        <v>0</v>
      </c>
      <c r="R2810" s="36">
        <v>0</v>
      </c>
      <c r="S2810" s="7" t="s">
        <v>115</v>
      </c>
      <c r="T2810" s="257">
        <f t="shared" si="93"/>
        <v>40</v>
      </c>
      <c r="U2810" s="257">
        <f t="shared" si="94"/>
        <v>10</v>
      </c>
      <c r="V2810">
        <v>1</v>
      </c>
      <c r="W2810">
        <v>1</v>
      </c>
    </row>
    <row r="2811" spans="1:23" ht="45.6" x14ac:dyDescent="0.3">
      <c r="A2811" s="232">
        <v>42736</v>
      </c>
      <c r="B2811" s="232">
        <v>43100</v>
      </c>
      <c r="C2811" s="6">
        <v>1</v>
      </c>
      <c r="D2811" s="6">
        <v>365</v>
      </c>
      <c r="E2811" s="33">
        <v>2017</v>
      </c>
      <c r="F2811" s="15" t="s">
        <v>22</v>
      </c>
      <c r="G2811" s="9" t="s">
        <v>6258</v>
      </c>
      <c r="H2811" s="9" t="s">
        <v>52</v>
      </c>
      <c r="I2811" s="152" t="s">
        <v>25</v>
      </c>
      <c r="J2811" s="21" t="s">
        <v>4691</v>
      </c>
      <c r="K2811" s="33">
        <v>1</v>
      </c>
      <c r="L2811" s="236">
        <v>14</v>
      </c>
      <c r="M2811" s="171">
        <v>0</v>
      </c>
      <c r="N2811" s="171">
        <v>0</v>
      </c>
      <c r="O2811" s="171">
        <v>0</v>
      </c>
      <c r="P2811" s="171">
        <v>0</v>
      </c>
      <c r="Q2811" s="171">
        <v>0</v>
      </c>
      <c r="R2811" s="24">
        <v>0</v>
      </c>
      <c r="S2811" s="7" t="s">
        <v>4664</v>
      </c>
      <c r="T2811" s="257">
        <f t="shared" si="93"/>
        <v>15</v>
      </c>
      <c r="U2811" s="257">
        <f t="shared" si="94"/>
        <v>0</v>
      </c>
      <c r="V2811">
        <v>1</v>
      </c>
      <c r="W2811">
        <v>0</v>
      </c>
    </row>
    <row r="2812" spans="1:23" ht="34.200000000000003" x14ac:dyDescent="0.3">
      <c r="A2812" s="232">
        <v>42736</v>
      </c>
      <c r="B2812" s="232">
        <v>43100</v>
      </c>
      <c r="C2812" s="6">
        <v>1</v>
      </c>
      <c r="D2812" s="6">
        <v>365</v>
      </c>
      <c r="E2812" s="33">
        <v>2017</v>
      </c>
      <c r="F2812" s="15" t="s">
        <v>22</v>
      </c>
      <c r="G2812" s="9" t="s">
        <v>6258</v>
      </c>
      <c r="H2812" s="9" t="s">
        <v>69</v>
      </c>
      <c r="I2812" s="152" t="s">
        <v>25</v>
      </c>
      <c r="J2812" s="21" t="s">
        <v>4692</v>
      </c>
      <c r="K2812" s="33">
        <v>1</v>
      </c>
      <c r="L2812" s="236">
        <v>10</v>
      </c>
      <c r="M2812" s="171">
        <v>0</v>
      </c>
      <c r="N2812" s="171">
        <v>0</v>
      </c>
      <c r="O2812" s="171">
        <v>0</v>
      </c>
      <c r="P2812" s="171">
        <v>0</v>
      </c>
      <c r="Q2812" s="171">
        <v>0</v>
      </c>
      <c r="R2812" s="24">
        <v>0</v>
      </c>
      <c r="S2812" s="7" t="s">
        <v>4664</v>
      </c>
      <c r="T2812" s="257">
        <f t="shared" si="93"/>
        <v>11</v>
      </c>
      <c r="U2812" s="257">
        <f t="shared" si="94"/>
        <v>0</v>
      </c>
      <c r="V2812">
        <v>1</v>
      </c>
      <c r="W2812">
        <v>0</v>
      </c>
    </row>
    <row r="2813" spans="1:23" ht="34.200000000000003" x14ac:dyDescent="0.3">
      <c r="A2813" s="232">
        <v>42736</v>
      </c>
      <c r="B2813" s="232">
        <v>43100</v>
      </c>
      <c r="C2813" s="6">
        <v>1</v>
      </c>
      <c r="D2813" s="6">
        <v>365</v>
      </c>
      <c r="E2813" s="33">
        <v>2017</v>
      </c>
      <c r="F2813" s="15" t="s">
        <v>22</v>
      </c>
      <c r="G2813" s="9" t="s">
        <v>6258</v>
      </c>
      <c r="H2813" s="9" t="s">
        <v>72</v>
      </c>
      <c r="I2813" s="152" t="s">
        <v>25</v>
      </c>
      <c r="J2813" s="21" t="s">
        <v>4693</v>
      </c>
      <c r="K2813" s="33">
        <v>1</v>
      </c>
      <c r="L2813" s="236">
        <v>56</v>
      </c>
      <c r="M2813" s="171">
        <v>0</v>
      </c>
      <c r="N2813" s="171">
        <v>0</v>
      </c>
      <c r="O2813" s="171">
        <v>0</v>
      </c>
      <c r="P2813" s="171">
        <v>0</v>
      </c>
      <c r="Q2813" s="171">
        <v>0</v>
      </c>
      <c r="R2813" s="24">
        <v>0</v>
      </c>
      <c r="S2813" s="7" t="s">
        <v>4664</v>
      </c>
      <c r="T2813" s="257">
        <f t="shared" si="93"/>
        <v>57</v>
      </c>
      <c r="U2813" s="257">
        <f t="shared" si="94"/>
        <v>0</v>
      </c>
      <c r="V2813">
        <v>1</v>
      </c>
      <c r="W2813">
        <v>0</v>
      </c>
    </row>
    <row r="2814" spans="1:23" ht="34.200000000000003" x14ac:dyDescent="0.3">
      <c r="A2814" s="232">
        <v>42736</v>
      </c>
      <c r="B2814" s="232">
        <v>43100</v>
      </c>
      <c r="C2814" s="6">
        <v>1</v>
      </c>
      <c r="D2814" s="6">
        <v>365</v>
      </c>
      <c r="E2814" s="33">
        <v>2017</v>
      </c>
      <c r="F2814" s="15" t="s">
        <v>22</v>
      </c>
      <c r="G2814" s="9" t="s">
        <v>6258</v>
      </c>
      <c r="H2814" s="9" t="s">
        <v>174</v>
      </c>
      <c r="I2814" s="152" t="s">
        <v>25</v>
      </c>
      <c r="J2814" s="21" t="s">
        <v>4694</v>
      </c>
      <c r="K2814" s="33">
        <v>1</v>
      </c>
      <c r="L2814" s="236">
        <v>30</v>
      </c>
      <c r="M2814" s="171">
        <v>0</v>
      </c>
      <c r="N2814" s="171">
        <v>0</v>
      </c>
      <c r="O2814" s="171">
        <v>0</v>
      </c>
      <c r="P2814" s="171">
        <v>0</v>
      </c>
      <c r="Q2814" s="171">
        <v>0</v>
      </c>
      <c r="R2814" s="24">
        <v>0</v>
      </c>
      <c r="S2814" s="7" t="s">
        <v>4664</v>
      </c>
      <c r="T2814" s="257">
        <f t="shared" si="93"/>
        <v>31</v>
      </c>
      <c r="U2814" s="257">
        <f t="shared" si="94"/>
        <v>0</v>
      </c>
      <c r="V2814">
        <v>1</v>
      </c>
      <c r="W2814">
        <v>0</v>
      </c>
    </row>
    <row r="2815" spans="1:23" ht="34.200000000000003" x14ac:dyDescent="0.3">
      <c r="A2815" s="214">
        <v>42956</v>
      </c>
      <c r="B2815" s="214">
        <v>42956</v>
      </c>
      <c r="C2815" s="6">
        <v>8</v>
      </c>
      <c r="D2815" s="6">
        <v>1</v>
      </c>
      <c r="E2815" s="33">
        <v>2017</v>
      </c>
      <c r="F2815" s="15" t="s">
        <v>22</v>
      </c>
      <c r="G2815" s="16" t="s">
        <v>6254</v>
      </c>
      <c r="H2815" s="9" t="s">
        <v>64</v>
      </c>
      <c r="I2815" s="34" t="s">
        <v>4695</v>
      </c>
      <c r="J2815" s="34" t="s">
        <v>4696</v>
      </c>
      <c r="K2815" s="33">
        <v>0</v>
      </c>
      <c r="L2815" s="238">
        <v>999654</v>
      </c>
      <c r="M2815" s="35">
        <v>0</v>
      </c>
      <c r="N2815" s="35">
        <v>0</v>
      </c>
      <c r="O2815" s="35">
        <v>0</v>
      </c>
      <c r="P2815" s="35">
        <v>0</v>
      </c>
      <c r="Q2815" s="35">
        <v>0</v>
      </c>
      <c r="R2815" s="36">
        <v>43.1</v>
      </c>
      <c r="S2815" s="7" t="s">
        <v>149</v>
      </c>
      <c r="T2815" s="257">
        <f t="shared" si="93"/>
        <v>999654</v>
      </c>
      <c r="U2815" s="257">
        <f t="shared" si="94"/>
        <v>0</v>
      </c>
      <c r="V2815">
        <v>4</v>
      </c>
      <c r="W2815">
        <v>0</v>
      </c>
    </row>
    <row r="2816" spans="1:23" ht="68.400000000000006" x14ac:dyDescent="0.3">
      <c r="A2816" s="214">
        <v>42884</v>
      </c>
      <c r="B2816" s="214">
        <v>42884</v>
      </c>
      <c r="C2816" s="6">
        <v>5</v>
      </c>
      <c r="D2816" s="6">
        <v>1</v>
      </c>
      <c r="E2816" s="33">
        <v>2017</v>
      </c>
      <c r="F2816" s="15" t="s">
        <v>22</v>
      </c>
      <c r="G2816" s="9" t="s">
        <v>6257</v>
      </c>
      <c r="H2816" s="9" t="s">
        <v>31</v>
      </c>
      <c r="I2816" s="34" t="s">
        <v>274</v>
      </c>
      <c r="J2816" s="34" t="s">
        <v>4697</v>
      </c>
      <c r="K2816" s="33">
        <v>0</v>
      </c>
      <c r="L2816" s="236">
        <v>800</v>
      </c>
      <c r="M2816" s="35">
        <v>214</v>
      </c>
      <c r="N2816" s="35">
        <v>0</v>
      </c>
      <c r="O2816" s="35">
        <v>0</v>
      </c>
      <c r="P2816" s="35">
        <v>0</v>
      </c>
      <c r="Q2816" s="35">
        <v>0</v>
      </c>
      <c r="R2816" s="36">
        <v>7.0405999999999996E-2</v>
      </c>
      <c r="S2816" s="7" t="s">
        <v>115</v>
      </c>
      <c r="T2816" s="257">
        <f t="shared" si="93"/>
        <v>800</v>
      </c>
      <c r="U2816" s="257">
        <f t="shared" si="94"/>
        <v>214</v>
      </c>
      <c r="V2816">
        <v>1</v>
      </c>
      <c r="W2816">
        <v>1</v>
      </c>
    </row>
    <row r="2817" spans="1:23" ht="34.200000000000003" x14ac:dyDescent="0.3">
      <c r="A2817" s="214">
        <v>42909</v>
      </c>
      <c r="B2817" s="214">
        <v>42909</v>
      </c>
      <c r="C2817" s="6">
        <v>6</v>
      </c>
      <c r="D2817" s="6">
        <v>1</v>
      </c>
      <c r="E2817" s="33">
        <v>2017</v>
      </c>
      <c r="F2817" s="15" t="s">
        <v>22</v>
      </c>
      <c r="G2817" s="18" t="s">
        <v>6256</v>
      </c>
      <c r="H2817" s="9" t="s">
        <v>31</v>
      </c>
      <c r="I2817" s="34" t="s">
        <v>636</v>
      </c>
      <c r="J2817" s="34" t="s">
        <v>4698</v>
      </c>
      <c r="K2817" s="33">
        <v>0</v>
      </c>
      <c r="L2817" s="236">
        <v>0</v>
      </c>
      <c r="M2817" s="35">
        <v>0</v>
      </c>
      <c r="N2817" s="35">
        <v>0</v>
      </c>
      <c r="O2817" s="35">
        <v>0</v>
      </c>
      <c r="P2817" s="35">
        <v>0</v>
      </c>
      <c r="Q2817" s="35">
        <v>0</v>
      </c>
      <c r="R2817" s="36">
        <v>3.9729999999999999</v>
      </c>
      <c r="S2817" s="7" t="s">
        <v>661</v>
      </c>
      <c r="T2817" s="257">
        <f t="shared" si="93"/>
        <v>0</v>
      </c>
      <c r="U2817" s="257">
        <f t="shared" si="94"/>
        <v>0</v>
      </c>
      <c r="V2817">
        <v>0</v>
      </c>
      <c r="W2817">
        <v>0</v>
      </c>
    </row>
    <row r="2818" spans="1:23" ht="22.8" x14ac:dyDescent="0.3">
      <c r="A2818" s="232">
        <v>42736</v>
      </c>
      <c r="B2818" s="232">
        <v>43100</v>
      </c>
      <c r="C2818" s="6">
        <v>1</v>
      </c>
      <c r="D2818" s="6">
        <v>365</v>
      </c>
      <c r="E2818" s="33">
        <v>2017</v>
      </c>
      <c r="F2818" s="15" t="s">
        <v>22</v>
      </c>
      <c r="G2818" s="18" t="s">
        <v>6255</v>
      </c>
      <c r="H2818" s="9" t="s">
        <v>31</v>
      </c>
      <c r="I2818" s="152" t="s">
        <v>25</v>
      </c>
      <c r="J2818" s="152" t="s">
        <v>4699</v>
      </c>
      <c r="K2818" s="172">
        <v>0</v>
      </c>
      <c r="L2818" s="236">
        <v>3</v>
      </c>
      <c r="M2818" s="171">
        <v>0</v>
      </c>
      <c r="N2818" s="171">
        <v>0</v>
      </c>
      <c r="O2818" s="171">
        <v>0</v>
      </c>
      <c r="P2818" s="171">
        <v>0</v>
      </c>
      <c r="Q2818" s="171">
        <v>0</v>
      </c>
      <c r="R2818" s="24">
        <v>0</v>
      </c>
      <c r="S2818" s="7" t="s">
        <v>4664</v>
      </c>
      <c r="T2818" s="257">
        <f t="shared" si="93"/>
        <v>3</v>
      </c>
      <c r="U2818" s="257">
        <f t="shared" si="94"/>
        <v>0</v>
      </c>
      <c r="V2818">
        <v>1</v>
      </c>
      <c r="W2818">
        <v>0</v>
      </c>
    </row>
    <row r="2819" spans="1:23" ht="114" x14ac:dyDescent="0.3">
      <c r="A2819" s="214">
        <v>42970</v>
      </c>
      <c r="B2819" s="214">
        <v>42970</v>
      </c>
      <c r="C2819" s="6">
        <v>8</v>
      </c>
      <c r="D2819" s="6">
        <v>1</v>
      </c>
      <c r="E2819" s="33">
        <v>2017</v>
      </c>
      <c r="F2819" s="15" t="s">
        <v>22</v>
      </c>
      <c r="G2819" s="18" t="s">
        <v>6256</v>
      </c>
      <c r="H2819" s="9" t="s">
        <v>34</v>
      </c>
      <c r="I2819" s="34" t="s">
        <v>4700</v>
      </c>
      <c r="J2819" s="34" t="s">
        <v>4701</v>
      </c>
      <c r="K2819" s="33">
        <v>2</v>
      </c>
      <c r="L2819" s="236">
        <v>53</v>
      </c>
      <c r="M2819" s="35">
        <v>0</v>
      </c>
      <c r="N2819" s="35">
        <v>0</v>
      </c>
      <c r="O2819" s="35">
        <v>0</v>
      </c>
      <c r="P2819" s="35">
        <v>33</v>
      </c>
      <c r="Q2819" s="35">
        <v>0</v>
      </c>
      <c r="R2819" s="36">
        <v>0</v>
      </c>
      <c r="S2819" s="7" t="s">
        <v>115</v>
      </c>
      <c r="T2819" s="257">
        <f t="shared" ref="T2819:T2882" si="95">SUM(K2819:L2819)</f>
        <v>55</v>
      </c>
      <c r="U2819" s="257">
        <f t="shared" ref="U2819:U2882" si="96">SUM(M2819:P2819)</f>
        <v>33</v>
      </c>
      <c r="V2819">
        <v>1</v>
      </c>
      <c r="W2819">
        <v>1</v>
      </c>
    </row>
    <row r="2820" spans="1:23" ht="22.8" x14ac:dyDescent="0.3">
      <c r="A2820" s="232">
        <v>42736</v>
      </c>
      <c r="B2820" s="232">
        <v>43100</v>
      </c>
      <c r="C2820" s="6">
        <v>1</v>
      </c>
      <c r="D2820" s="6">
        <v>365</v>
      </c>
      <c r="E2820" s="33">
        <v>2017</v>
      </c>
      <c r="F2820" s="15" t="s">
        <v>22</v>
      </c>
      <c r="G2820" s="18" t="s">
        <v>6255</v>
      </c>
      <c r="H2820" s="9" t="s">
        <v>51</v>
      </c>
      <c r="I2820" s="152" t="s">
        <v>25</v>
      </c>
      <c r="J2820" s="152" t="s">
        <v>4702</v>
      </c>
      <c r="K2820" s="172">
        <v>0</v>
      </c>
      <c r="L2820" s="236">
        <v>1</v>
      </c>
      <c r="M2820" s="171">
        <v>0</v>
      </c>
      <c r="N2820" s="171">
        <v>0</v>
      </c>
      <c r="O2820" s="171">
        <v>0</v>
      </c>
      <c r="P2820" s="171">
        <v>0</v>
      </c>
      <c r="Q2820" s="171">
        <v>0</v>
      </c>
      <c r="R2820" s="24">
        <v>0</v>
      </c>
      <c r="S2820" s="7" t="s">
        <v>4664</v>
      </c>
      <c r="T2820" s="257">
        <f t="shared" si="95"/>
        <v>1</v>
      </c>
      <c r="U2820" s="257">
        <f t="shared" si="96"/>
        <v>0</v>
      </c>
      <c r="V2820">
        <v>1</v>
      </c>
      <c r="W2820">
        <v>0</v>
      </c>
    </row>
    <row r="2821" spans="1:23" ht="34.200000000000003" x14ac:dyDescent="0.3">
      <c r="A2821" s="232">
        <v>42736</v>
      </c>
      <c r="B2821" s="232">
        <v>43100</v>
      </c>
      <c r="C2821" s="6">
        <v>1</v>
      </c>
      <c r="D2821" s="6">
        <v>365</v>
      </c>
      <c r="E2821" s="33">
        <v>2017</v>
      </c>
      <c r="F2821" s="15" t="s">
        <v>22</v>
      </c>
      <c r="G2821" s="18" t="s">
        <v>6255</v>
      </c>
      <c r="H2821" s="9" t="s">
        <v>55</v>
      </c>
      <c r="I2821" s="152" t="s">
        <v>25</v>
      </c>
      <c r="J2821" s="152" t="s">
        <v>4703</v>
      </c>
      <c r="K2821" s="33">
        <v>1</v>
      </c>
      <c r="L2821" s="234">
        <v>1</v>
      </c>
      <c r="M2821" s="171">
        <v>0</v>
      </c>
      <c r="N2821" s="171">
        <v>0</v>
      </c>
      <c r="O2821" s="171">
        <v>0</v>
      </c>
      <c r="P2821" s="171">
        <v>0</v>
      </c>
      <c r="Q2821" s="171">
        <v>0</v>
      </c>
      <c r="R2821" s="24">
        <v>0</v>
      </c>
      <c r="S2821" s="7" t="s">
        <v>4664</v>
      </c>
      <c r="T2821" s="257">
        <f t="shared" si="95"/>
        <v>2</v>
      </c>
      <c r="U2821" s="257">
        <f t="shared" si="96"/>
        <v>0</v>
      </c>
      <c r="V2821">
        <v>1</v>
      </c>
      <c r="W2821">
        <v>0</v>
      </c>
    </row>
    <row r="2822" spans="1:23" ht="22.8" x14ac:dyDescent="0.3">
      <c r="A2822" s="232">
        <v>42736</v>
      </c>
      <c r="B2822" s="232">
        <v>43100</v>
      </c>
      <c r="C2822" s="6">
        <v>1</v>
      </c>
      <c r="D2822" s="6">
        <v>365</v>
      </c>
      <c r="E2822" s="33">
        <v>2017</v>
      </c>
      <c r="F2822" s="15" t="s">
        <v>22</v>
      </c>
      <c r="G2822" s="18" t="s">
        <v>6255</v>
      </c>
      <c r="H2822" s="9" t="s">
        <v>57</v>
      </c>
      <c r="I2822" s="152" t="s">
        <v>25</v>
      </c>
      <c r="J2822" s="152" t="s">
        <v>4704</v>
      </c>
      <c r="K2822" s="172">
        <v>0</v>
      </c>
      <c r="L2822" s="236">
        <v>5</v>
      </c>
      <c r="M2822" s="171">
        <v>0</v>
      </c>
      <c r="N2822" s="171">
        <v>0</v>
      </c>
      <c r="O2822" s="171">
        <v>0</v>
      </c>
      <c r="P2822" s="171">
        <v>0</v>
      </c>
      <c r="Q2822" s="171">
        <v>0</v>
      </c>
      <c r="R2822" s="24">
        <v>0</v>
      </c>
      <c r="S2822" s="7" t="s">
        <v>4664</v>
      </c>
      <c r="T2822" s="257">
        <f t="shared" si="95"/>
        <v>5</v>
      </c>
      <c r="U2822" s="257">
        <f t="shared" si="96"/>
        <v>0</v>
      </c>
      <c r="V2822">
        <v>1</v>
      </c>
      <c r="W2822">
        <v>0</v>
      </c>
    </row>
    <row r="2823" spans="1:23" ht="34.200000000000003" x14ac:dyDescent="0.3">
      <c r="A2823" s="232">
        <v>42736</v>
      </c>
      <c r="B2823" s="232">
        <v>43100</v>
      </c>
      <c r="C2823" s="6">
        <v>1</v>
      </c>
      <c r="D2823" s="6">
        <v>365</v>
      </c>
      <c r="E2823" s="33">
        <v>2017</v>
      </c>
      <c r="F2823" s="15" t="s">
        <v>22</v>
      </c>
      <c r="G2823" s="18" t="s">
        <v>6255</v>
      </c>
      <c r="H2823" s="9" t="s">
        <v>64</v>
      </c>
      <c r="I2823" s="152" t="s">
        <v>25</v>
      </c>
      <c r="J2823" s="152" t="s">
        <v>4705</v>
      </c>
      <c r="K2823" s="33">
        <v>2</v>
      </c>
      <c r="L2823" s="236">
        <v>11</v>
      </c>
      <c r="M2823" s="171">
        <v>0</v>
      </c>
      <c r="N2823" s="171">
        <v>0</v>
      </c>
      <c r="O2823" s="171">
        <v>0</v>
      </c>
      <c r="P2823" s="171">
        <v>0</v>
      </c>
      <c r="Q2823" s="171">
        <v>0</v>
      </c>
      <c r="R2823" s="24">
        <v>0</v>
      </c>
      <c r="S2823" s="7" t="s">
        <v>4664</v>
      </c>
      <c r="T2823" s="257">
        <f t="shared" si="95"/>
        <v>13</v>
      </c>
      <c r="U2823" s="257">
        <f t="shared" si="96"/>
        <v>0</v>
      </c>
      <c r="V2823">
        <v>1</v>
      </c>
      <c r="W2823">
        <v>0</v>
      </c>
    </row>
    <row r="2824" spans="1:23" ht="22.8" x14ac:dyDescent="0.3">
      <c r="A2824" s="232">
        <v>42736</v>
      </c>
      <c r="B2824" s="232">
        <v>43100</v>
      </c>
      <c r="C2824" s="6">
        <v>1</v>
      </c>
      <c r="D2824" s="6">
        <v>365</v>
      </c>
      <c r="E2824" s="33">
        <v>2017</v>
      </c>
      <c r="F2824" s="15" t="s">
        <v>22</v>
      </c>
      <c r="G2824" s="18" t="s">
        <v>6255</v>
      </c>
      <c r="H2824" s="9" t="s">
        <v>70</v>
      </c>
      <c r="I2824" s="152" t="s">
        <v>25</v>
      </c>
      <c r="J2824" s="152" t="s">
        <v>4706</v>
      </c>
      <c r="K2824" s="172">
        <v>0</v>
      </c>
      <c r="L2824" s="236">
        <v>8</v>
      </c>
      <c r="M2824" s="171">
        <v>0</v>
      </c>
      <c r="N2824" s="171">
        <v>0</v>
      </c>
      <c r="O2824" s="171">
        <v>0</v>
      </c>
      <c r="P2824" s="171">
        <v>0</v>
      </c>
      <c r="Q2824" s="171">
        <v>0</v>
      </c>
      <c r="R2824" s="24">
        <v>0</v>
      </c>
      <c r="S2824" s="7" t="s">
        <v>4664</v>
      </c>
      <c r="T2824" s="257">
        <f t="shared" si="95"/>
        <v>8</v>
      </c>
      <c r="U2824" s="257">
        <f t="shared" si="96"/>
        <v>0</v>
      </c>
      <c r="V2824">
        <v>1</v>
      </c>
      <c r="W2824">
        <v>0</v>
      </c>
    </row>
    <row r="2825" spans="1:23" ht="34.200000000000003" x14ac:dyDescent="0.3">
      <c r="A2825" s="232">
        <v>42736</v>
      </c>
      <c r="B2825" s="232">
        <v>43100</v>
      </c>
      <c r="C2825" s="6">
        <v>1</v>
      </c>
      <c r="D2825" s="6">
        <v>365</v>
      </c>
      <c r="E2825" s="33">
        <v>2017</v>
      </c>
      <c r="F2825" s="15" t="s">
        <v>22</v>
      </c>
      <c r="G2825" s="18" t="s">
        <v>6255</v>
      </c>
      <c r="H2825" s="9" t="s">
        <v>74</v>
      </c>
      <c r="I2825" s="152" t="s">
        <v>25</v>
      </c>
      <c r="J2825" s="152" t="s">
        <v>4707</v>
      </c>
      <c r="K2825" s="33">
        <v>2</v>
      </c>
      <c r="L2825" s="236">
        <v>51</v>
      </c>
      <c r="M2825" s="171">
        <v>0</v>
      </c>
      <c r="N2825" s="171">
        <v>0</v>
      </c>
      <c r="O2825" s="171">
        <v>0</v>
      </c>
      <c r="P2825" s="171">
        <v>0</v>
      </c>
      <c r="Q2825" s="171">
        <v>0</v>
      </c>
      <c r="R2825" s="24">
        <v>0</v>
      </c>
      <c r="S2825" s="7" t="s">
        <v>4664</v>
      </c>
      <c r="T2825" s="257">
        <f t="shared" si="95"/>
        <v>53</v>
      </c>
      <c r="U2825" s="257">
        <f t="shared" si="96"/>
        <v>0</v>
      </c>
      <c r="V2825">
        <v>1</v>
      </c>
      <c r="W2825">
        <v>0</v>
      </c>
    </row>
    <row r="2826" spans="1:23" ht="22.8" x14ac:dyDescent="0.3">
      <c r="A2826" s="232">
        <v>42736</v>
      </c>
      <c r="B2826" s="232">
        <v>43100</v>
      </c>
      <c r="C2826" s="6">
        <v>1</v>
      </c>
      <c r="D2826" s="6">
        <v>365</v>
      </c>
      <c r="E2826" s="33">
        <v>2017</v>
      </c>
      <c r="F2826" s="15" t="s">
        <v>22</v>
      </c>
      <c r="G2826" s="18" t="s">
        <v>6255</v>
      </c>
      <c r="H2826" s="9" t="s">
        <v>78</v>
      </c>
      <c r="I2826" s="152" t="s">
        <v>25</v>
      </c>
      <c r="J2826" s="152" t="s">
        <v>4708</v>
      </c>
      <c r="K2826" s="172">
        <v>0</v>
      </c>
      <c r="L2826" s="236">
        <v>5</v>
      </c>
      <c r="M2826" s="171">
        <v>0</v>
      </c>
      <c r="N2826" s="171">
        <v>0</v>
      </c>
      <c r="O2826" s="171">
        <v>0</v>
      </c>
      <c r="P2826" s="171">
        <v>0</v>
      </c>
      <c r="Q2826" s="171">
        <v>0</v>
      </c>
      <c r="R2826" s="24">
        <v>0</v>
      </c>
      <c r="S2826" s="7" t="s">
        <v>4664</v>
      </c>
      <c r="T2826" s="257">
        <f t="shared" si="95"/>
        <v>5</v>
      </c>
      <c r="U2826" s="257">
        <f t="shared" si="96"/>
        <v>0</v>
      </c>
      <c r="V2826">
        <v>1</v>
      </c>
      <c r="W2826">
        <v>0</v>
      </c>
    </row>
    <row r="2827" spans="1:23" ht="22.8" x14ac:dyDescent="0.3">
      <c r="A2827" s="232">
        <v>42736</v>
      </c>
      <c r="B2827" s="232">
        <v>43100</v>
      </c>
      <c r="C2827" s="6">
        <v>1</v>
      </c>
      <c r="D2827" s="6">
        <v>365</v>
      </c>
      <c r="E2827" s="33">
        <v>2017</v>
      </c>
      <c r="F2827" s="15" t="s">
        <v>22</v>
      </c>
      <c r="G2827" s="18" t="s">
        <v>6255</v>
      </c>
      <c r="H2827" s="9" t="s">
        <v>84</v>
      </c>
      <c r="I2827" s="152" t="s">
        <v>25</v>
      </c>
      <c r="J2827" s="152" t="s">
        <v>4709</v>
      </c>
      <c r="K2827" s="172">
        <v>0</v>
      </c>
      <c r="L2827" s="236">
        <v>1</v>
      </c>
      <c r="M2827" s="171">
        <v>0</v>
      </c>
      <c r="N2827" s="171">
        <v>0</v>
      </c>
      <c r="O2827" s="171">
        <v>0</v>
      </c>
      <c r="P2827" s="171">
        <v>0</v>
      </c>
      <c r="Q2827" s="171">
        <v>0</v>
      </c>
      <c r="R2827" s="36">
        <v>0</v>
      </c>
      <c r="S2827" s="7" t="s">
        <v>4664</v>
      </c>
      <c r="T2827" s="257">
        <f t="shared" si="95"/>
        <v>1</v>
      </c>
      <c r="U2827" s="257">
        <f t="shared" si="96"/>
        <v>0</v>
      </c>
      <c r="V2827">
        <v>1</v>
      </c>
      <c r="W2827">
        <v>0</v>
      </c>
    </row>
    <row r="2828" spans="1:23" ht="22.8" x14ac:dyDescent="0.3">
      <c r="A2828" s="232">
        <v>42736</v>
      </c>
      <c r="B2828" s="232">
        <v>43100</v>
      </c>
      <c r="C2828" s="6">
        <v>1</v>
      </c>
      <c r="D2828" s="6">
        <v>365</v>
      </c>
      <c r="E2828" s="33">
        <v>2017</v>
      </c>
      <c r="F2828" s="15" t="s">
        <v>22</v>
      </c>
      <c r="G2828" s="18" t="s">
        <v>6255</v>
      </c>
      <c r="H2828" s="9" t="s">
        <v>174</v>
      </c>
      <c r="I2828" s="152" t="s">
        <v>25</v>
      </c>
      <c r="J2828" s="152" t="s">
        <v>4710</v>
      </c>
      <c r="K2828" s="172">
        <v>0</v>
      </c>
      <c r="L2828" s="236">
        <v>16</v>
      </c>
      <c r="M2828" s="171">
        <v>0</v>
      </c>
      <c r="N2828" s="171">
        <v>0</v>
      </c>
      <c r="O2828" s="171">
        <v>0</v>
      </c>
      <c r="P2828" s="171">
        <v>0</v>
      </c>
      <c r="Q2828" s="171">
        <v>0</v>
      </c>
      <c r="R2828" s="24">
        <v>0</v>
      </c>
      <c r="S2828" s="7" t="s">
        <v>4664</v>
      </c>
      <c r="T2828" s="257">
        <f t="shared" si="95"/>
        <v>16</v>
      </c>
      <c r="U2828" s="257">
        <f t="shared" si="96"/>
        <v>0</v>
      </c>
      <c r="V2828">
        <v>1</v>
      </c>
      <c r="W2828">
        <v>0</v>
      </c>
    </row>
    <row r="2829" spans="1:23" ht="45.6" x14ac:dyDescent="0.3">
      <c r="A2829" s="232">
        <v>42736</v>
      </c>
      <c r="B2829" s="232">
        <v>43100</v>
      </c>
      <c r="C2829" s="6">
        <v>1</v>
      </c>
      <c r="D2829" s="6">
        <v>365</v>
      </c>
      <c r="E2829" s="33">
        <v>2017</v>
      </c>
      <c r="F2829" s="15" t="s">
        <v>22</v>
      </c>
      <c r="G2829" s="18" t="s">
        <v>6255</v>
      </c>
      <c r="H2829" s="9" t="s">
        <v>34</v>
      </c>
      <c r="I2829" s="152" t="s">
        <v>25</v>
      </c>
      <c r="J2829" s="152" t="s">
        <v>4711</v>
      </c>
      <c r="K2829" s="33">
        <v>4</v>
      </c>
      <c r="L2829" s="236">
        <v>165</v>
      </c>
      <c r="M2829" s="171">
        <v>0</v>
      </c>
      <c r="N2829" s="171">
        <v>0</v>
      </c>
      <c r="O2829" s="171">
        <v>0</v>
      </c>
      <c r="P2829" s="171">
        <v>0</v>
      </c>
      <c r="Q2829" s="171">
        <v>0</v>
      </c>
      <c r="R2829" s="24">
        <v>0</v>
      </c>
      <c r="S2829" s="7" t="s">
        <v>4664</v>
      </c>
      <c r="T2829" s="257">
        <f t="shared" si="95"/>
        <v>169</v>
      </c>
      <c r="U2829" s="257">
        <f t="shared" si="96"/>
        <v>0</v>
      </c>
      <c r="V2829">
        <v>1</v>
      </c>
      <c r="W2829">
        <v>0</v>
      </c>
    </row>
    <row r="2830" spans="1:23" ht="22.8" x14ac:dyDescent="0.3">
      <c r="A2830" s="232">
        <v>42736</v>
      </c>
      <c r="B2830" s="232">
        <v>43100</v>
      </c>
      <c r="C2830" s="6">
        <v>1</v>
      </c>
      <c r="D2830" s="6">
        <v>365</v>
      </c>
      <c r="E2830" s="33">
        <v>2017</v>
      </c>
      <c r="F2830" s="15" t="s">
        <v>22</v>
      </c>
      <c r="G2830" s="9" t="s">
        <v>6258</v>
      </c>
      <c r="H2830" s="9" t="s">
        <v>57</v>
      </c>
      <c r="I2830" s="152" t="s">
        <v>25</v>
      </c>
      <c r="J2830" s="21" t="s">
        <v>4712</v>
      </c>
      <c r="K2830" s="33">
        <v>0</v>
      </c>
      <c r="L2830" s="236">
        <v>1</v>
      </c>
      <c r="M2830" s="171">
        <v>0</v>
      </c>
      <c r="N2830" s="171">
        <v>0</v>
      </c>
      <c r="O2830" s="171">
        <v>0</v>
      </c>
      <c r="P2830" s="171">
        <v>0</v>
      </c>
      <c r="Q2830" s="171">
        <v>0</v>
      </c>
      <c r="R2830" s="24">
        <v>0</v>
      </c>
      <c r="S2830" s="7" t="s">
        <v>4664</v>
      </c>
      <c r="T2830" s="257">
        <f t="shared" si="95"/>
        <v>1</v>
      </c>
      <c r="U2830" s="257">
        <f t="shared" si="96"/>
        <v>0</v>
      </c>
      <c r="V2830">
        <v>1</v>
      </c>
      <c r="W2830">
        <v>0</v>
      </c>
    </row>
    <row r="2831" spans="1:23" ht="22.8" x14ac:dyDescent="0.3">
      <c r="A2831" s="232">
        <v>42736</v>
      </c>
      <c r="B2831" s="232">
        <v>43100</v>
      </c>
      <c r="C2831" s="6">
        <v>1</v>
      </c>
      <c r="D2831" s="6">
        <v>365</v>
      </c>
      <c r="E2831" s="33">
        <v>2017</v>
      </c>
      <c r="F2831" s="15" t="s">
        <v>22</v>
      </c>
      <c r="G2831" s="9" t="s">
        <v>6258</v>
      </c>
      <c r="H2831" s="9" t="s">
        <v>78</v>
      </c>
      <c r="I2831" s="152" t="s">
        <v>25</v>
      </c>
      <c r="J2831" s="21" t="s">
        <v>4713</v>
      </c>
      <c r="K2831" s="33">
        <v>0</v>
      </c>
      <c r="L2831" s="236">
        <v>19</v>
      </c>
      <c r="M2831" s="171">
        <v>0</v>
      </c>
      <c r="N2831" s="171">
        <v>0</v>
      </c>
      <c r="O2831" s="171">
        <v>0</v>
      </c>
      <c r="P2831" s="171">
        <v>0</v>
      </c>
      <c r="Q2831" s="171">
        <v>0</v>
      </c>
      <c r="R2831" s="24">
        <v>0</v>
      </c>
      <c r="S2831" s="7" t="s">
        <v>4664</v>
      </c>
      <c r="T2831" s="257">
        <f t="shared" si="95"/>
        <v>19</v>
      </c>
      <c r="U2831" s="257">
        <f t="shared" si="96"/>
        <v>0</v>
      </c>
      <c r="V2831">
        <v>1</v>
      </c>
      <c r="W2831">
        <v>0</v>
      </c>
    </row>
    <row r="2832" spans="1:23" ht="34.200000000000003" x14ac:dyDescent="0.3">
      <c r="A2832" s="232">
        <v>42736</v>
      </c>
      <c r="B2832" s="232">
        <v>43100</v>
      </c>
      <c r="C2832" s="6">
        <v>1</v>
      </c>
      <c r="D2832" s="6">
        <v>365</v>
      </c>
      <c r="E2832" s="33">
        <v>2017</v>
      </c>
      <c r="F2832" s="15" t="s">
        <v>22</v>
      </c>
      <c r="G2832" s="9" t="s">
        <v>6258</v>
      </c>
      <c r="H2832" s="9" t="s">
        <v>34</v>
      </c>
      <c r="I2832" s="152" t="s">
        <v>25</v>
      </c>
      <c r="J2832" s="21" t="s">
        <v>4714</v>
      </c>
      <c r="K2832" s="33">
        <v>0</v>
      </c>
      <c r="L2832" s="236">
        <v>30</v>
      </c>
      <c r="M2832" s="171">
        <v>0</v>
      </c>
      <c r="N2832" s="171">
        <v>0</v>
      </c>
      <c r="O2832" s="171">
        <v>0</v>
      </c>
      <c r="P2832" s="171">
        <v>0</v>
      </c>
      <c r="Q2832" s="171">
        <v>0</v>
      </c>
      <c r="R2832" s="24">
        <v>0</v>
      </c>
      <c r="S2832" s="7" t="s">
        <v>4664</v>
      </c>
      <c r="T2832" s="257">
        <f t="shared" si="95"/>
        <v>30</v>
      </c>
      <c r="U2832" s="257">
        <f t="shared" si="96"/>
        <v>0</v>
      </c>
      <c r="V2832">
        <v>1</v>
      </c>
      <c r="W2832">
        <v>0</v>
      </c>
    </row>
    <row r="2833" spans="1:23" ht="22.8" x14ac:dyDescent="0.3">
      <c r="A2833" s="232">
        <v>42736</v>
      </c>
      <c r="B2833" s="232">
        <v>43100</v>
      </c>
      <c r="C2833" s="6">
        <v>1</v>
      </c>
      <c r="D2833" s="6">
        <v>365</v>
      </c>
      <c r="E2833" s="33">
        <v>2017</v>
      </c>
      <c r="F2833" s="15" t="s">
        <v>22</v>
      </c>
      <c r="G2833" s="9" t="s">
        <v>6258</v>
      </c>
      <c r="H2833" s="9" t="s">
        <v>46</v>
      </c>
      <c r="I2833" s="152" t="s">
        <v>25</v>
      </c>
      <c r="J2833" s="21" t="s">
        <v>4715</v>
      </c>
      <c r="K2833" s="172">
        <v>0</v>
      </c>
      <c r="L2833" s="236">
        <v>1</v>
      </c>
      <c r="M2833" s="171">
        <v>0</v>
      </c>
      <c r="N2833" s="171">
        <v>0</v>
      </c>
      <c r="O2833" s="171">
        <v>0</v>
      </c>
      <c r="P2833" s="171">
        <v>0</v>
      </c>
      <c r="Q2833" s="171">
        <v>0</v>
      </c>
      <c r="R2833" s="24">
        <v>0</v>
      </c>
      <c r="S2833" s="7" t="s">
        <v>4664</v>
      </c>
      <c r="T2833" s="257">
        <f t="shared" si="95"/>
        <v>1</v>
      </c>
      <c r="U2833" s="257">
        <f t="shared" si="96"/>
        <v>0</v>
      </c>
      <c r="V2833">
        <v>1</v>
      </c>
      <c r="W2833">
        <v>0</v>
      </c>
    </row>
    <row r="2834" spans="1:23" ht="22.8" x14ac:dyDescent="0.3">
      <c r="A2834" s="232">
        <v>42736</v>
      </c>
      <c r="B2834" s="232">
        <v>43100</v>
      </c>
      <c r="C2834" s="6">
        <v>1</v>
      </c>
      <c r="D2834" s="6">
        <v>365</v>
      </c>
      <c r="E2834" s="33">
        <v>2017</v>
      </c>
      <c r="F2834" s="15" t="s">
        <v>22</v>
      </c>
      <c r="G2834" s="9" t="s">
        <v>6258</v>
      </c>
      <c r="H2834" s="9" t="s">
        <v>51</v>
      </c>
      <c r="I2834" s="152" t="s">
        <v>25</v>
      </c>
      <c r="J2834" s="21" t="s">
        <v>4716</v>
      </c>
      <c r="K2834" s="172">
        <v>0</v>
      </c>
      <c r="L2834" s="236">
        <v>21</v>
      </c>
      <c r="M2834" s="171">
        <v>0</v>
      </c>
      <c r="N2834" s="171">
        <v>0</v>
      </c>
      <c r="O2834" s="171">
        <v>0</v>
      </c>
      <c r="P2834" s="171">
        <v>0</v>
      </c>
      <c r="Q2834" s="171">
        <v>0</v>
      </c>
      <c r="R2834" s="24">
        <v>0</v>
      </c>
      <c r="S2834" s="7" t="s">
        <v>4664</v>
      </c>
      <c r="T2834" s="257">
        <f t="shared" si="95"/>
        <v>21</v>
      </c>
      <c r="U2834" s="257">
        <f t="shared" si="96"/>
        <v>0</v>
      </c>
      <c r="V2834">
        <v>1</v>
      </c>
      <c r="W2834">
        <v>0</v>
      </c>
    </row>
    <row r="2835" spans="1:23" ht="22.8" x14ac:dyDescent="0.3">
      <c r="A2835" s="232">
        <v>42736</v>
      </c>
      <c r="B2835" s="232">
        <v>43100</v>
      </c>
      <c r="C2835" s="6">
        <v>1</v>
      </c>
      <c r="D2835" s="6">
        <v>365</v>
      </c>
      <c r="E2835" s="33">
        <v>2017</v>
      </c>
      <c r="F2835" s="15" t="s">
        <v>22</v>
      </c>
      <c r="G2835" s="9" t="s">
        <v>6258</v>
      </c>
      <c r="H2835" s="9" t="s">
        <v>55</v>
      </c>
      <c r="I2835" s="152" t="s">
        <v>25</v>
      </c>
      <c r="J2835" s="21" t="s">
        <v>4717</v>
      </c>
      <c r="K2835" s="172">
        <v>0</v>
      </c>
      <c r="L2835" s="236">
        <v>4</v>
      </c>
      <c r="M2835" s="171">
        <v>0</v>
      </c>
      <c r="N2835" s="171">
        <v>0</v>
      </c>
      <c r="O2835" s="171">
        <v>0</v>
      </c>
      <c r="P2835" s="171">
        <v>0</v>
      </c>
      <c r="Q2835" s="171">
        <v>0</v>
      </c>
      <c r="R2835" s="24">
        <v>0</v>
      </c>
      <c r="S2835" s="7" t="s">
        <v>4664</v>
      </c>
      <c r="T2835" s="257">
        <f t="shared" si="95"/>
        <v>4</v>
      </c>
      <c r="U2835" s="257">
        <f t="shared" si="96"/>
        <v>0</v>
      </c>
      <c r="V2835">
        <v>1</v>
      </c>
      <c r="W2835">
        <v>0</v>
      </c>
    </row>
    <row r="2836" spans="1:23" ht="22.8" x14ac:dyDescent="0.3">
      <c r="A2836" s="232">
        <v>42736</v>
      </c>
      <c r="B2836" s="232">
        <v>43100</v>
      </c>
      <c r="C2836" s="6">
        <v>1</v>
      </c>
      <c r="D2836" s="6">
        <v>365</v>
      </c>
      <c r="E2836" s="33">
        <v>2017</v>
      </c>
      <c r="F2836" s="15" t="s">
        <v>22</v>
      </c>
      <c r="G2836" s="9" t="s">
        <v>6258</v>
      </c>
      <c r="H2836" s="9" t="s">
        <v>56</v>
      </c>
      <c r="I2836" s="152" t="s">
        <v>25</v>
      </c>
      <c r="J2836" s="21" t="s">
        <v>4715</v>
      </c>
      <c r="K2836" s="172">
        <v>0</v>
      </c>
      <c r="L2836" s="236">
        <v>1</v>
      </c>
      <c r="M2836" s="171">
        <v>0</v>
      </c>
      <c r="N2836" s="171">
        <v>0</v>
      </c>
      <c r="O2836" s="171">
        <v>0</v>
      </c>
      <c r="P2836" s="171">
        <v>0</v>
      </c>
      <c r="Q2836" s="171">
        <v>0</v>
      </c>
      <c r="R2836" s="24">
        <v>0</v>
      </c>
      <c r="S2836" s="7" t="s">
        <v>4664</v>
      </c>
      <c r="T2836" s="257">
        <f t="shared" si="95"/>
        <v>1</v>
      </c>
      <c r="U2836" s="257">
        <f t="shared" si="96"/>
        <v>0</v>
      </c>
      <c r="V2836">
        <v>1</v>
      </c>
      <c r="W2836">
        <v>0</v>
      </c>
    </row>
    <row r="2837" spans="1:23" ht="22.8" x14ac:dyDescent="0.3">
      <c r="A2837" s="232">
        <v>42736</v>
      </c>
      <c r="B2837" s="232">
        <v>43100</v>
      </c>
      <c r="C2837" s="6">
        <v>1</v>
      </c>
      <c r="D2837" s="6">
        <v>365</v>
      </c>
      <c r="E2837" s="33">
        <v>2017</v>
      </c>
      <c r="F2837" s="15" t="s">
        <v>22</v>
      </c>
      <c r="G2837" s="9" t="s">
        <v>6258</v>
      </c>
      <c r="H2837" s="17" t="s">
        <v>565</v>
      </c>
      <c r="I2837" s="152" t="s">
        <v>25</v>
      </c>
      <c r="J2837" s="21" t="s">
        <v>4718</v>
      </c>
      <c r="K2837" s="172">
        <v>0</v>
      </c>
      <c r="L2837" s="236">
        <v>12</v>
      </c>
      <c r="M2837" s="35">
        <v>0</v>
      </c>
      <c r="N2837" s="35">
        <v>0</v>
      </c>
      <c r="O2837" s="35">
        <v>0</v>
      </c>
      <c r="P2837" s="35">
        <v>0</v>
      </c>
      <c r="Q2837" s="171">
        <v>0</v>
      </c>
      <c r="R2837" s="24">
        <v>0</v>
      </c>
      <c r="S2837" s="7" t="s">
        <v>4664</v>
      </c>
      <c r="T2837" s="257">
        <f t="shared" si="95"/>
        <v>12</v>
      </c>
      <c r="U2837" s="257">
        <f t="shared" si="96"/>
        <v>0</v>
      </c>
      <c r="V2837">
        <v>1</v>
      </c>
      <c r="W2837">
        <v>0</v>
      </c>
    </row>
    <row r="2838" spans="1:23" ht="171.6" x14ac:dyDescent="0.3">
      <c r="A2838" s="219">
        <v>40407</v>
      </c>
      <c r="B2838" s="219">
        <v>40407</v>
      </c>
      <c r="C2838" s="6">
        <v>8</v>
      </c>
      <c r="D2838" s="6">
        <v>1</v>
      </c>
      <c r="E2838" s="73">
        <v>2010</v>
      </c>
      <c r="F2838" s="15" t="s">
        <v>22</v>
      </c>
      <c r="G2838" s="18" t="s">
        <v>6256</v>
      </c>
      <c r="H2838" s="9" t="s">
        <v>48</v>
      </c>
      <c r="I2838" s="74" t="s">
        <v>4719</v>
      </c>
      <c r="J2838" s="74" t="s">
        <v>4720</v>
      </c>
      <c r="K2838" s="75">
        <v>2</v>
      </c>
      <c r="L2838" s="241">
        <v>2</v>
      </c>
      <c r="M2838" s="75">
        <v>0</v>
      </c>
      <c r="N2838" s="75">
        <v>0</v>
      </c>
      <c r="O2838" s="75">
        <v>0</v>
      </c>
      <c r="P2838" s="75">
        <v>0</v>
      </c>
      <c r="Q2838" s="75">
        <v>0</v>
      </c>
      <c r="R2838" s="61">
        <v>0</v>
      </c>
      <c r="S2838" s="73" t="s">
        <v>115</v>
      </c>
      <c r="T2838" s="257">
        <f t="shared" si="95"/>
        <v>4</v>
      </c>
      <c r="U2838" s="257">
        <f t="shared" si="96"/>
        <v>0</v>
      </c>
      <c r="V2838">
        <v>1</v>
      </c>
      <c r="W2838">
        <v>0</v>
      </c>
    </row>
    <row r="2839" spans="1:23" ht="66" x14ac:dyDescent="0.3">
      <c r="A2839" s="219">
        <v>40413</v>
      </c>
      <c r="B2839" s="219">
        <v>40413</v>
      </c>
      <c r="C2839" s="6">
        <v>8</v>
      </c>
      <c r="D2839" s="6">
        <v>1</v>
      </c>
      <c r="E2839" s="73">
        <v>2010</v>
      </c>
      <c r="F2839" s="15" t="s">
        <v>22</v>
      </c>
      <c r="G2839" s="18" t="s">
        <v>6256</v>
      </c>
      <c r="H2839" s="9" t="s">
        <v>48</v>
      </c>
      <c r="I2839" s="74" t="s">
        <v>685</v>
      </c>
      <c r="J2839" s="74" t="s">
        <v>4721</v>
      </c>
      <c r="K2839" s="75">
        <v>0</v>
      </c>
      <c r="L2839" s="241">
        <v>0</v>
      </c>
      <c r="M2839" s="75">
        <v>0</v>
      </c>
      <c r="N2839" s="75">
        <v>0</v>
      </c>
      <c r="O2839" s="75">
        <v>0</v>
      </c>
      <c r="P2839" s="75">
        <v>0</v>
      </c>
      <c r="Q2839" s="75">
        <v>0</v>
      </c>
      <c r="R2839" s="61">
        <v>0</v>
      </c>
      <c r="S2839" s="73" t="s">
        <v>115</v>
      </c>
      <c r="T2839" s="257">
        <f t="shared" si="95"/>
        <v>0</v>
      </c>
      <c r="U2839" s="257">
        <f t="shared" si="96"/>
        <v>0</v>
      </c>
      <c r="V2839">
        <v>0</v>
      </c>
      <c r="W2839">
        <v>0</v>
      </c>
    </row>
    <row r="2840" spans="1:23" ht="34.200000000000003" x14ac:dyDescent="0.3">
      <c r="A2840" s="214">
        <v>42987</v>
      </c>
      <c r="B2840" s="214">
        <v>42987</v>
      </c>
      <c r="C2840" s="6">
        <v>9</v>
      </c>
      <c r="D2840" s="6">
        <v>1</v>
      </c>
      <c r="E2840" s="33">
        <v>2017</v>
      </c>
      <c r="F2840" s="15" t="s">
        <v>22</v>
      </c>
      <c r="G2840" s="16" t="s">
        <v>6254</v>
      </c>
      <c r="H2840" s="9" t="s">
        <v>64</v>
      </c>
      <c r="I2840" s="34" t="s">
        <v>4722</v>
      </c>
      <c r="J2840" s="34" t="s">
        <v>4723</v>
      </c>
      <c r="K2840" s="33">
        <v>0</v>
      </c>
      <c r="L2840" s="236">
        <v>347814</v>
      </c>
      <c r="M2840" s="35">
        <v>0</v>
      </c>
      <c r="N2840" s="35">
        <v>0</v>
      </c>
      <c r="O2840" s="35">
        <v>0</v>
      </c>
      <c r="P2840" s="35">
        <v>0</v>
      </c>
      <c r="Q2840" s="35">
        <v>0</v>
      </c>
      <c r="R2840" s="36">
        <v>7.2</v>
      </c>
      <c r="S2840" s="7" t="s">
        <v>149</v>
      </c>
      <c r="T2840" s="257">
        <f t="shared" si="95"/>
        <v>347814</v>
      </c>
      <c r="U2840" s="257">
        <f t="shared" si="96"/>
        <v>0</v>
      </c>
      <c r="V2840">
        <v>3</v>
      </c>
      <c r="W2840">
        <v>0</v>
      </c>
    </row>
    <row r="2841" spans="1:23" ht="79.2" x14ac:dyDescent="0.3">
      <c r="A2841" s="219">
        <v>40421</v>
      </c>
      <c r="B2841" s="219">
        <v>40421</v>
      </c>
      <c r="C2841" s="6">
        <v>8</v>
      </c>
      <c r="D2841" s="6">
        <v>1</v>
      </c>
      <c r="E2841" s="73">
        <v>2010</v>
      </c>
      <c r="F2841" s="15" t="s">
        <v>22</v>
      </c>
      <c r="G2841" s="18" t="s">
        <v>6256</v>
      </c>
      <c r="H2841" s="9" t="s">
        <v>48</v>
      </c>
      <c r="I2841" s="74" t="s">
        <v>310</v>
      </c>
      <c r="J2841" s="74" t="s">
        <v>4724</v>
      </c>
      <c r="K2841" s="75">
        <v>0</v>
      </c>
      <c r="L2841" s="241">
        <v>0</v>
      </c>
      <c r="M2841" s="75">
        <v>0</v>
      </c>
      <c r="N2841" s="75">
        <v>0</v>
      </c>
      <c r="O2841" s="75">
        <v>0</v>
      </c>
      <c r="P2841" s="75">
        <v>0</v>
      </c>
      <c r="Q2841" s="75">
        <v>0</v>
      </c>
      <c r="R2841" s="61">
        <v>0</v>
      </c>
      <c r="S2841" s="73" t="s">
        <v>115</v>
      </c>
      <c r="T2841" s="257">
        <f t="shared" si="95"/>
        <v>0</v>
      </c>
      <c r="U2841" s="257">
        <f t="shared" si="96"/>
        <v>0</v>
      </c>
      <c r="V2841">
        <v>0</v>
      </c>
      <c r="W2841">
        <v>0</v>
      </c>
    </row>
    <row r="2842" spans="1:23" ht="45.6" x14ac:dyDescent="0.3">
      <c r="A2842" s="214">
        <v>42990</v>
      </c>
      <c r="B2842" s="214">
        <v>42990</v>
      </c>
      <c r="C2842" s="6">
        <v>9</v>
      </c>
      <c r="D2842" s="6">
        <v>1</v>
      </c>
      <c r="E2842" s="33">
        <v>2017</v>
      </c>
      <c r="F2842" s="15" t="s">
        <v>22</v>
      </c>
      <c r="G2842" s="16" t="s">
        <v>6254</v>
      </c>
      <c r="H2842" s="9" t="s">
        <v>174</v>
      </c>
      <c r="I2842" s="34" t="s">
        <v>4725</v>
      </c>
      <c r="J2842" s="34" t="s">
        <v>4726</v>
      </c>
      <c r="K2842" s="33">
        <v>2</v>
      </c>
      <c r="L2842" s="236">
        <v>2857928</v>
      </c>
      <c r="M2842" s="35">
        <v>0</v>
      </c>
      <c r="N2842" s="35">
        <v>0</v>
      </c>
      <c r="O2842" s="35">
        <v>0</v>
      </c>
      <c r="P2842" s="35">
        <v>0</v>
      </c>
      <c r="Q2842" s="35">
        <v>0</v>
      </c>
      <c r="R2842" s="36">
        <v>223.1</v>
      </c>
      <c r="S2842" s="7" t="s">
        <v>149</v>
      </c>
      <c r="T2842" s="257">
        <f t="shared" si="95"/>
        <v>2857930</v>
      </c>
      <c r="U2842" s="257">
        <f t="shared" si="96"/>
        <v>0</v>
      </c>
      <c r="V2842">
        <v>5</v>
      </c>
      <c r="W2842">
        <v>0</v>
      </c>
    </row>
    <row r="2843" spans="1:23" ht="68.400000000000006" x14ac:dyDescent="0.3">
      <c r="A2843" s="214">
        <v>42803</v>
      </c>
      <c r="B2843" s="214">
        <v>42803</v>
      </c>
      <c r="C2843" s="6">
        <v>3</v>
      </c>
      <c r="D2843" s="6">
        <v>1</v>
      </c>
      <c r="E2843" s="33">
        <v>2017</v>
      </c>
      <c r="F2843" s="15" t="s">
        <v>22</v>
      </c>
      <c r="G2843" s="18" t="s">
        <v>6256</v>
      </c>
      <c r="H2843" s="9" t="s">
        <v>43</v>
      </c>
      <c r="I2843" s="34" t="s">
        <v>1033</v>
      </c>
      <c r="J2843" s="34" t="s">
        <v>4727</v>
      </c>
      <c r="K2843" s="33">
        <v>0</v>
      </c>
      <c r="L2843" s="236">
        <v>3200</v>
      </c>
      <c r="M2843" s="35">
        <v>800</v>
      </c>
      <c r="N2843" s="35">
        <v>0</v>
      </c>
      <c r="O2843" s="35">
        <v>0</v>
      </c>
      <c r="P2843" s="35">
        <v>0</v>
      </c>
      <c r="Q2843" s="35">
        <v>0</v>
      </c>
      <c r="R2843" s="36">
        <v>0.26319999999999999</v>
      </c>
      <c r="S2843" s="7" t="s">
        <v>115</v>
      </c>
      <c r="T2843" s="257">
        <f t="shared" si="95"/>
        <v>3200</v>
      </c>
      <c r="U2843" s="257">
        <f t="shared" si="96"/>
        <v>800</v>
      </c>
      <c r="V2843">
        <v>1</v>
      </c>
      <c r="W2843">
        <v>1</v>
      </c>
    </row>
    <row r="2844" spans="1:23" ht="68.400000000000006" x14ac:dyDescent="0.3">
      <c r="A2844" s="214">
        <v>42942</v>
      </c>
      <c r="B2844" s="214">
        <v>42942</v>
      </c>
      <c r="C2844" s="6">
        <v>7</v>
      </c>
      <c r="D2844" s="6">
        <v>1</v>
      </c>
      <c r="E2844" s="33">
        <v>2017</v>
      </c>
      <c r="F2844" s="15" t="s">
        <v>22</v>
      </c>
      <c r="G2844" s="18" t="s">
        <v>6256</v>
      </c>
      <c r="H2844" s="9" t="s">
        <v>52</v>
      </c>
      <c r="I2844" s="34" t="s">
        <v>4728</v>
      </c>
      <c r="J2844" s="34" t="s">
        <v>4729</v>
      </c>
      <c r="K2844" s="33">
        <v>0</v>
      </c>
      <c r="L2844" s="236">
        <v>326</v>
      </c>
      <c r="M2844" s="35">
        <v>86</v>
      </c>
      <c r="N2844" s="35">
        <v>0</v>
      </c>
      <c r="O2844" s="35">
        <v>0</v>
      </c>
      <c r="P2844" s="35">
        <v>0</v>
      </c>
      <c r="Q2844" s="35">
        <v>0</v>
      </c>
      <c r="R2844" s="36">
        <v>0</v>
      </c>
      <c r="S2844" s="7" t="s">
        <v>115</v>
      </c>
      <c r="T2844" s="257">
        <f t="shared" si="95"/>
        <v>326</v>
      </c>
      <c r="U2844" s="257">
        <f t="shared" si="96"/>
        <v>86</v>
      </c>
      <c r="V2844">
        <v>1</v>
      </c>
      <c r="W2844">
        <v>1</v>
      </c>
    </row>
    <row r="2845" spans="1:23" ht="68.400000000000006" x14ac:dyDescent="0.3">
      <c r="A2845" s="214">
        <v>42975</v>
      </c>
      <c r="B2845" s="214">
        <v>42975</v>
      </c>
      <c r="C2845" s="6">
        <v>8</v>
      </c>
      <c r="D2845" s="6">
        <v>1</v>
      </c>
      <c r="E2845" s="33">
        <v>2017</v>
      </c>
      <c r="F2845" s="15" t="s">
        <v>22</v>
      </c>
      <c r="G2845" s="18" t="s">
        <v>6256</v>
      </c>
      <c r="H2845" s="9" t="s">
        <v>55</v>
      </c>
      <c r="I2845" s="34" t="s">
        <v>1283</v>
      </c>
      <c r="J2845" s="34" t="s">
        <v>4730</v>
      </c>
      <c r="K2845" s="33">
        <v>0</v>
      </c>
      <c r="L2845" s="236">
        <v>440</v>
      </c>
      <c r="M2845" s="35">
        <v>110</v>
      </c>
      <c r="N2845" s="35">
        <v>0</v>
      </c>
      <c r="O2845" s="35">
        <v>0</v>
      </c>
      <c r="P2845" s="35">
        <v>0</v>
      </c>
      <c r="Q2845" s="35">
        <v>0</v>
      </c>
      <c r="R2845" s="36">
        <v>0</v>
      </c>
      <c r="S2845" s="7" t="s">
        <v>115</v>
      </c>
      <c r="T2845" s="257">
        <f t="shared" si="95"/>
        <v>440</v>
      </c>
      <c r="U2845" s="257">
        <f t="shared" si="96"/>
        <v>110</v>
      </c>
      <c r="V2845">
        <v>1</v>
      </c>
      <c r="W2845">
        <v>1</v>
      </c>
    </row>
    <row r="2846" spans="1:23" ht="45.6" x14ac:dyDescent="0.3">
      <c r="A2846" s="214">
        <v>43037</v>
      </c>
      <c r="B2846" s="214">
        <v>43037</v>
      </c>
      <c r="C2846" s="6">
        <v>10</v>
      </c>
      <c r="D2846" s="6">
        <v>1</v>
      </c>
      <c r="E2846" s="33">
        <v>2017</v>
      </c>
      <c r="F2846" s="15" t="s">
        <v>22</v>
      </c>
      <c r="G2846" s="18" t="s">
        <v>6256</v>
      </c>
      <c r="H2846" s="9" t="s">
        <v>57</v>
      </c>
      <c r="I2846" s="34" t="s">
        <v>1073</v>
      </c>
      <c r="J2846" s="34" t="s">
        <v>4731</v>
      </c>
      <c r="K2846" s="33">
        <v>1</v>
      </c>
      <c r="L2846" s="236">
        <v>1</v>
      </c>
      <c r="M2846" s="35">
        <v>0</v>
      </c>
      <c r="N2846" s="35">
        <v>0</v>
      </c>
      <c r="O2846" s="35">
        <v>0</v>
      </c>
      <c r="P2846" s="35">
        <v>0</v>
      </c>
      <c r="Q2846" s="35">
        <v>0</v>
      </c>
      <c r="R2846" s="36">
        <v>0</v>
      </c>
      <c r="S2846" s="7" t="s">
        <v>115</v>
      </c>
      <c r="T2846" s="257">
        <f t="shared" si="95"/>
        <v>2</v>
      </c>
      <c r="U2846" s="257">
        <f t="shared" si="96"/>
        <v>0</v>
      </c>
      <c r="V2846">
        <v>1</v>
      </c>
      <c r="W2846">
        <v>0</v>
      </c>
    </row>
    <row r="2847" spans="1:23" ht="91.2" x14ac:dyDescent="0.3">
      <c r="A2847" s="214">
        <v>42844</v>
      </c>
      <c r="B2847" s="214">
        <v>42844</v>
      </c>
      <c r="C2847" s="6">
        <v>4</v>
      </c>
      <c r="D2847" s="6">
        <v>1</v>
      </c>
      <c r="E2847" s="33">
        <v>2017</v>
      </c>
      <c r="F2847" s="15" t="s">
        <v>22</v>
      </c>
      <c r="G2847" s="9" t="s">
        <v>6257</v>
      </c>
      <c r="H2847" s="9" t="s">
        <v>70</v>
      </c>
      <c r="I2847" s="34" t="s">
        <v>4732</v>
      </c>
      <c r="J2847" s="34" t="s">
        <v>4733</v>
      </c>
      <c r="K2847" s="33">
        <v>0</v>
      </c>
      <c r="L2847" s="236">
        <v>740</v>
      </c>
      <c r="M2847" s="35">
        <v>185</v>
      </c>
      <c r="N2847" s="35">
        <v>0</v>
      </c>
      <c r="O2847" s="35">
        <v>0</v>
      </c>
      <c r="P2847" s="35">
        <v>0</v>
      </c>
      <c r="Q2847" s="35">
        <v>0</v>
      </c>
      <c r="R2847" s="36">
        <v>6.0865000000000002E-2</v>
      </c>
      <c r="S2847" s="7" t="s">
        <v>115</v>
      </c>
      <c r="T2847" s="257">
        <f t="shared" si="95"/>
        <v>740</v>
      </c>
      <c r="U2847" s="257">
        <f t="shared" si="96"/>
        <v>185</v>
      </c>
      <c r="V2847">
        <v>1</v>
      </c>
      <c r="W2847">
        <v>1</v>
      </c>
    </row>
    <row r="2848" spans="1:23" ht="68.400000000000006" x14ac:dyDescent="0.3">
      <c r="A2848" s="214">
        <v>42886</v>
      </c>
      <c r="B2848" s="214">
        <v>42886</v>
      </c>
      <c r="C2848" s="6">
        <v>5</v>
      </c>
      <c r="D2848" s="6">
        <v>1</v>
      </c>
      <c r="E2848" s="33">
        <v>2017</v>
      </c>
      <c r="F2848" s="15" t="s">
        <v>22</v>
      </c>
      <c r="G2848" s="18" t="s">
        <v>6256</v>
      </c>
      <c r="H2848" s="9" t="s">
        <v>57</v>
      </c>
      <c r="I2848" s="34" t="s">
        <v>1373</v>
      </c>
      <c r="J2848" s="34" t="s">
        <v>4734</v>
      </c>
      <c r="K2848" s="33">
        <v>0</v>
      </c>
      <c r="L2848" s="236">
        <v>12</v>
      </c>
      <c r="M2848" s="35">
        <v>3</v>
      </c>
      <c r="N2848" s="35">
        <v>0</v>
      </c>
      <c r="O2848" s="35">
        <v>0</v>
      </c>
      <c r="P2848" s="35">
        <v>0</v>
      </c>
      <c r="Q2848" s="35">
        <v>0</v>
      </c>
      <c r="R2848" s="36">
        <v>0</v>
      </c>
      <c r="S2848" s="7" t="s">
        <v>115</v>
      </c>
      <c r="T2848" s="257">
        <f t="shared" si="95"/>
        <v>12</v>
      </c>
      <c r="U2848" s="257">
        <f t="shared" si="96"/>
        <v>3</v>
      </c>
      <c r="V2848">
        <v>1</v>
      </c>
      <c r="W2848">
        <v>1</v>
      </c>
    </row>
    <row r="2849" spans="1:23" ht="68.400000000000006" x14ac:dyDescent="0.3">
      <c r="A2849" s="214">
        <v>42827</v>
      </c>
      <c r="B2849" s="214">
        <v>42827</v>
      </c>
      <c r="C2849" s="6">
        <v>4</v>
      </c>
      <c r="D2849" s="6">
        <v>1</v>
      </c>
      <c r="E2849" s="33">
        <v>2017</v>
      </c>
      <c r="F2849" s="15" t="s">
        <v>22</v>
      </c>
      <c r="G2849" s="18" t="s">
        <v>6256</v>
      </c>
      <c r="H2849" s="9" t="s">
        <v>37</v>
      </c>
      <c r="I2849" s="34" t="s">
        <v>1630</v>
      </c>
      <c r="J2849" s="34" t="s">
        <v>4735</v>
      </c>
      <c r="K2849" s="33">
        <v>0</v>
      </c>
      <c r="L2849" s="236">
        <v>0</v>
      </c>
      <c r="M2849" s="35">
        <v>0</v>
      </c>
      <c r="N2849" s="35">
        <v>0</v>
      </c>
      <c r="O2849" s="35">
        <v>0</v>
      </c>
      <c r="P2849" s="35">
        <v>0</v>
      </c>
      <c r="Q2849" s="35">
        <v>0</v>
      </c>
      <c r="R2849" s="36">
        <v>0</v>
      </c>
      <c r="S2849" s="7" t="s">
        <v>115</v>
      </c>
      <c r="T2849" s="257">
        <f t="shared" si="95"/>
        <v>0</v>
      </c>
      <c r="U2849" s="257">
        <f t="shared" si="96"/>
        <v>0</v>
      </c>
      <c r="V2849">
        <v>0</v>
      </c>
      <c r="W2849">
        <v>0</v>
      </c>
    </row>
    <row r="2850" spans="1:23" ht="34.200000000000003" x14ac:dyDescent="0.3">
      <c r="A2850" s="214">
        <v>43009</v>
      </c>
      <c r="B2850" s="214">
        <v>43009</v>
      </c>
      <c r="C2850" s="6">
        <v>10</v>
      </c>
      <c r="D2850" s="6">
        <v>1</v>
      </c>
      <c r="E2850" s="33">
        <v>2017</v>
      </c>
      <c r="F2850" s="15" t="s">
        <v>22</v>
      </c>
      <c r="G2850" s="18" t="s">
        <v>6256</v>
      </c>
      <c r="H2850" s="9" t="s">
        <v>61</v>
      </c>
      <c r="I2850" s="34" t="s">
        <v>4736</v>
      </c>
      <c r="J2850" s="34" t="s">
        <v>4737</v>
      </c>
      <c r="K2850" s="33">
        <v>0</v>
      </c>
      <c r="L2850" s="238">
        <v>631602</v>
      </c>
      <c r="M2850" s="35" t="s">
        <v>95</v>
      </c>
      <c r="N2850" s="35" t="s">
        <v>95</v>
      </c>
      <c r="O2850" s="35" t="s">
        <v>95</v>
      </c>
      <c r="P2850" s="35" t="s">
        <v>95</v>
      </c>
      <c r="Q2850" s="35">
        <v>0</v>
      </c>
      <c r="R2850" s="36">
        <v>325.42</v>
      </c>
      <c r="S2850" s="33" t="s">
        <v>149</v>
      </c>
      <c r="T2850" s="257">
        <f t="shared" si="95"/>
        <v>631602</v>
      </c>
      <c r="U2850" s="257">
        <f t="shared" si="96"/>
        <v>0</v>
      </c>
      <c r="V2850">
        <v>4</v>
      </c>
      <c r="W2850">
        <v>0</v>
      </c>
    </row>
    <row r="2851" spans="1:23" ht="34.200000000000003" x14ac:dyDescent="0.3">
      <c r="A2851" s="232">
        <v>42736</v>
      </c>
      <c r="B2851" s="232">
        <v>43100</v>
      </c>
      <c r="C2851" s="6">
        <v>1</v>
      </c>
      <c r="D2851" s="6">
        <v>365</v>
      </c>
      <c r="E2851" s="33">
        <v>2017</v>
      </c>
      <c r="F2851" s="15" t="s">
        <v>22</v>
      </c>
      <c r="G2851" s="18" t="s">
        <v>6255</v>
      </c>
      <c r="H2851" s="9" t="s">
        <v>37</v>
      </c>
      <c r="I2851" s="152" t="s">
        <v>25</v>
      </c>
      <c r="J2851" s="152" t="s">
        <v>4738</v>
      </c>
      <c r="K2851" s="33">
        <v>3</v>
      </c>
      <c r="L2851" s="236">
        <v>4</v>
      </c>
      <c r="M2851" s="171">
        <v>0</v>
      </c>
      <c r="N2851" s="171">
        <v>0</v>
      </c>
      <c r="O2851" s="171">
        <v>0</v>
      </c>
      <c r="P2851" s="171">
        <v>0</v>
      </c>
      <c r="Q2851" s="171">
        <v>0</v>
      </c>
      <c r="R2851" s="24">
        <v>0</v>
      </c>
      <c r="S2851" s="7" t="s">
        <v>4664</v>
      </c>
      <c r="T2851" s="257">
        <f t="shared" si="95"/>
        <v>7</v>
      </c>
      <c r="U2851" s="257">
        <f t="shared" si="96"/>
        <v>0</v>
      </c>
      <c r="V2851">
        <v>1</v>
      </c>
      <c r="W2851">
        <v>0</v>
      </c>
    </row>
    <row r="2852" spans="1:23" ht="68.400000000000006" x14ac:dyDescent="0.3">
      <c r="A2852" s="214">
        <v>42985</v>
      </c>
      <c r="B2852" s="214">
        <v>42985</v>
      </c>
      <c r="C2852" s="6">
        <v>9</v>
      </c>
      <c r="D2852" s="6">
        <v>1</v>
      </c>
      <c r="E2852" s="33">
        <v>2017</v>
      </c>
      <c r="F2852" s="15" t="s">
        <v>22</v>
      </c>
      <c r="G2852" s="18" t="s">
        <v>6256</v>
      </c>
      <c r="H2852" s="9" t="s">
        <v>61</v>
      </c>
      <c r="I2852" s="34" t="s">
        <v>4739</v>
      </c>
      <c r="J2852" s="34" t="s">
        <v>4740</v>
      </c>
      <c r="K2852" s="33">
        <v>0</v>
      </c>
      <c r="L2852" s="238">
        <v>552305</v>
      </c>
      <c r="M2852" s="35" t="s">
        <v>95</v>
      </c>
      <c r="N2852" s="35" t="s">
        <v>95</v>
      </c>
      <c r="O2852" s="35" t="s">
        <v>95</v>
      </c>
      <c r="P2852" s="35" t="s">
        <v>95</v>
      </c>
      <c r="Q2852" s="35">
        <v>0</v>
      </c>
      <c r="R2852" s="36">
        <v>140.80000000000001</v>
      </c>
      <c r="S2852" s="33" t="s">
        <v>149</v>
      </c>
      <c r="T2852" s="257">
        <f t="shared" si="95"/>
        <v>552305</v>
      </c>
      <c r="U2852" s="257">
        <f t="shared" si="96"/>
        <v>0</v>
      </c>
      <c r="V2852">
        <v>4</v>
      </c>
      <c r="W2852">
        <v>0</v>
      </c>
    </row>
    <row r="2853" spans="1:23" ht="45.6" x14ac:dyDescent="0.3">
      <c r="A2853" s="214">
        <v>43037</v>
      </c>
      <c r="B2853" s="214">
        <v>43037</v>
      </c>
      <c r="C2853" s="6">
        <v>10</v>
      </c>
      <c r="D2853" s="6">
        <v>1</v>
      </c>
      <c r="E2853" s="33">
        <v>2017</v>
      </c>
      <c r="F2853" s="15" t="s">
        <v>22</v>
      </c>
      <c r="G2853" s="18" t="s">
        <v>6256</v>
      </c>
      <c r="H2853" s="9" t="s">
        <v>61</v>
      </c>
      <c r="I2853" s="34" t="s">
        <v>4741</v>
      </c>
      <c r="J2853" s="34" t="s">
        <v>4742</v>
      </c>
      <c r="K2853" s="33">
        <v>0</v>
      </c>
      <c r="L2853" s="236">
        <v>56</v>
      </c>
      <c r="M2853" s="35">
        <v>14</v>
      </c>
      <c r="N2853" s="35">
        <v>0</v>
      </c>
      <c r="O2853" s="35">
        <v>0</v>
      </c>
      <c r="P2853" s="35">
        <v>0</v>
      </c>
      <c r="Q2853" s="35">
        <v>0</v>
      </c>
      <c r="R2853" s="36">
        <v>0</v>
      </c>
      <c r="S2853" s="7" t="s">
        <v>115</v>
      </c>
      <c r="T2853" s="257">
        <f t="shared" si="95"/>
        <v>56</v>
      </c>
      <c r="U2853" s="257">
        <f t="shared" si="96"/>
        <v>14</v>
      </c>
      <c r="V2853">
        <v>1</v>
      </c>
      <c r="W2853">
        <v>1</v>
      </c>
    </row>
    <row r="2854" spans="1:23" ht="57" x14ac:dyDescent="0.3">
      <c r="A2854" s="214">
        <v>42892</v>
      </c>
      <c r="B2854" s="214">
        <v>42892</v>
      </c>
      <c r="C2854" s="6">
        <v>6</v>
      </c>
      <c r="D2854" s="6">
        <v>1</v>
      </c>
      <c r="E2854" s="33">
        <v>2017</v>
      </c>
      <c r="F2854" s="15" t="s">
        <v>22</v>
      </c>
      <c r="G2854" s="9" t="s">
        <v>6257</v>
      </c>
      <c r="H2854" s="9" t="s">
        <v>174</v>
      </c>
      <c r="I2854" s="34" t="s">
        <v>4743</v>
      </c>
      <c r="J2854" s="34" t="s">
        <v>4744</v>
      </c>
      <c r="K2854" s="33">
        <v>0</v>
      </c>
      <c r="L2854" s="236">
        <v>12</v>
      </c>
      <c r="M2854" s="35">
        <v>3</v>
      </c>
      <c r="N2854" s="35">
        <v>0</v>
      </c>
      <c r="O2854" s="35">
        <v>0</v>
      </c>
      <c r="P2854" s="35">
        <v>0</v>
      </c>
      <c r="Q2854" s="35">
        <v>0</v>
      </c>
      <c r="R2854" s="36">
        <v>0.98699999999999999</v>
      </c>
      <c r="S2854" s="7" t="s">
        <v>115</v>
      </c>
      <c r="T2854" s="257">
        <f t="shared" si="95"/>
        <v>12</v>
      </c>
      <c r="U2854" s="257">
        <f t="shared" si="96"/>
        <v>3</v>
      </c>
      <c r="V2854">
        <v>1</v>
      </c>
      <c r="W2854">
        <v>1</v>
      </c>
    </row>
    <row r="2855" spans="1:23" ht="91.2" x14ac:dyDescent="0.3">
      <c r="A2855" s="214">
        <v>42843</v>
      </c>
      <c r="B2855" s="214">
        <v>42843</v>
      </c>
      <c r="C2855" s="6">
        <v>4</v>
      </c>
      <c r="D2855" s="6">
        <v>1</v>
      </c>
      <c r="E2855" s="33">
        <v>2017</v>
      </c>
      <c r="F2855" s="15" t="s">
        <v>22</v>
      </c>
      <c r="G2855" s="18" t="s">
        <v>6256</v>
      </c>
      <c r="H2855" s="9" t="s">
        <v>61</v>
      </c>
      <c r="I2855" s="34" t="s">
        <v>4745</v>
      </c>
      <c r="J2855" s="34" t="s">
        <v>4746</v>
      </c>
      <c r="K2855" s="33">
        <v>1</v>
      </c>
      <c r="L2855" s="236">
        <v>4700</v>
      </c>
      <c r="M2855" s="35">
        <v>101</v>
      </c>
      <c r="N2855" s="35">
        <v>0</v>
      </c>
      <c r="O2855" s="35">
        <v>0</v>
      </c>
      <c r="P2855" s="35">
        <v>0</v>
      </c>
      <c r="Q2855" s="35">
        <v>0</v>
      </c>
      <c r="R2855" s="36">
        <v>0</v>
      </c>
      <c r="S2855" s="7" t="s">
        <v>115</v>
      </c>
      <c r="T2855" s="257">
        <f t="shared" si="95"/>
        <v>4701</v>
      </c>
      <c r="U2855" s="257">
        <f t="shared" si="96"/>
        <v>101</v>
      </c>
      <c r="V2855">
        <v>1</v>
      </c>
      <c r="W2855">
        <v>1</v>
      </c>
    </row>
    <row r="2856" spans="1:23" ht="68.400000000000006" x14ac:dyDescent="0.3">
      <c r="A2856" s="214">
        <v>42881</v>
      </c>
      <c r="B2856" s="214">
        <v>42881</v>
      </c>
      <c r="C2856" s="6">
        <v>5</v>
      </c>
      <c r="D2856" s="6">
        <v>1</v>
      </c>
      <c r="E2856" s="33">
        <v>2017</v>
      </c>
      <c r="F2856" s="15" t="s">
        <v>22</v>
      </c>
      <c r="G2856" s="18" t="s">
        <v>6256</v>
      </c>
      <c r="H2856" s="9" t="s">
        <v>64</v>
      </c>
      <c r="I2856" s="34" t="s">
        <v>233</v>
      </c>
      <c r="J2856" s="34" t="s">
        <v>4747</v>
      </c>
      <c r="K2856" s="33">
        <v>0</v>
      </c>
      <c r="L2856" s="236">
        <v>180</v>
      </c>
      <c r="M2856" s="35">
        <v>35</v>
      </c>
      <c r="N2856" s="35">
        <v>0</v>
      </c>
      <c r="O2856" s="35">
        <v>0</v>
      </c>
      <c r="P2856" s="35">
        <v>0</v>
      </c>
      <c r="Q2856" s="35">
        <v>0</v>
      </c>
      <c r="R2856" s="36">
        <v>0</v>
      </c>
      <c r="S2856" s="7" t="s">
        <v>115</v>
      </c>
      <c r="T2856" s="257">
        <f t="shared" si="95"/>
        <v>180</v>
      </c>
      <c r="U2856" s="257">
        <f t="shared" si="96"/>
        <v>35</v>
      </c>
      <c r="V2856">
        <v>1</v>
      </c>
      <c r="W2856">
        <v>1</v>
      </c>
    </row>
    <row r="2857" spans="1:23" ht="91.2" x14ac:dyDescent="0.3">
      <c r="A2857" s="214">
        <v>43034</v>
      </c>
      <c r="B2857" s="214">
        <v>43034</v>
      </c>
      <c r="C2857" s="6">
        <v>10</v>
      </c>
      <c r="D2857" s="6">
        <v>1</v>
      </c>
      <c r="E2857" s="33">
        <v>2017</v>
      </c>
      <c r="F2857" s="15" t="s">
        <v>22</v>
      </c>
      <c r="G2857" s="18" t="s">
        <v>6256</v>
      </c>
      <c r="H2857" s="9" t="s">
        <v>66</v>
      </c>
      <c r="I2857" s="34" t="s">
        <v>464</v>
      </c>
      <c r="J2857" s="34" t="s">
        <v>4748</v>
      </c>
      <c r="K2857" s="33">
        <v>1</v>
      </c>
      <c r="L2857" s="236">
        <v>3</v>
      </c>
      <c r="M2857" s="35">
        <v>0</v>
      </c>
      <c r="N2857" s="35">
        <v>0</v>
      </c>
      <c r="O2857" s="35">
        <v>0</v>
      </c>
      <c r="P2857" s="35">
        <v>0</v>
      </c>
      <c r="Q2857" s="35">
        <v>0</v>
      </c>
      <c r="R2857" s="36">
        <v>0</v>
      </c>
      <c r="S2857" s="7" t="s">
        <v>115</v>
      </c>
      <c r="T2857" s="257">
        <f t="shared" si="95"/>
        <v>4</v>
      </c>
      <c r="U2857" s="257">
        <f t="shared" si="96"/>
        <v>0</v>
      </c>
      <c r="V2857">
        <v>1</v>
      </c>
      <c r="W2857">
        <v>0</v>
      </c>
    </row>
    <row r="2858" spans="1:23" ht="79.8" x14ac:dyDescent="0.3">
      <c r="A2858" s="214">
        <v>42842</v>
      </c>
      <c r="B2858" s="214">
        <v>42842</v>
      </c>
      <c r="C2858" s="6">
        <v>4</v>
      </c>
      <c r="D2858" s="6">
        <v>1</v>
      </c>
      <c r="E2858" s="33">
        <v>2017</v>
      </c>
      <c r="F2858" s="15" t="s">
        <v>22</v>
      </c>
      <c r="G2858" s="18" t="s">
        <v>6256</v>
      </c>
      <c r="H2858" s="9" t="s">
        <v>70</v>
      </c>
      <c r="I2858" s="34" t="s">
        <v>4749</v>
      </c>
      <c r="J2858" s="34" t="s">
        <v>4750</v>
      </c>
      <c r="K2858" s="33">
        <v>4</v>
      </c>
      <c r="L2858" s="236">
        <v>160</v>
      </c>
      <c r="M2858" s="35">
        <v>0</v>
      </c>
      <c r="N2858" s="35">
        <v>0</v>
      </c>
      <c r="O2858" s="35">
        <v>0</v>
      </c>
      <c r="P2858" s="35">
        <v>0</v>
      </c>
      <c r="Q2858" s="35">
        <v>0</v>
      </c>
      <c r="R2858" s="36">
        <v>0</v>
      </c>
      <c r="S2858" s="7" t="s">
        <v>115</v>
      </c>
      <c r="T2858" s="257">
        <f t="shared" si="95"/>
        <v>164</v>
      </c>
      <c r="U2858" s="257">
        <f t="shared" si="96"/>
        <v>0</v>
      </c>
      <c r="V2858">
        <v>1</v>
      </c>
      <c r="W2858">
        <v>0</v>
      </c>
    </row>
    <row r="2859" spans="1:23" ht="193.8" x14ac:dyDescent="0.3">
      <c r="A2859" s="214">
        <v>43019</v>
      </c>
      <c r="B2859" s="214">
        <v>43019</v>
      </c>
      <c r="C2859" s="6">
        <v>10</v>
      </c>
      <c r="D2859" s="6">
        <v>1</v>
      </c>
      <c r="E2859" s="33">
        <v>2017</v>
      </c>
      <c r="F2859" s="15" t="s">
        <v>22</v>
      </c>
      <c r="G2859" s="18" t="s">
        <v>6256</v>
      </c>
      <c r="H2859" s="9" t="s">
        <v>70</v>
      </c>
      <c r="I2859" s="34" t="s">
        <v>4751</v>
      </c>
      <c r="J2859" s="34" t="s">
        <v>4752</v>
      </c>
      <c r="K2859" s="33">
        <v>0</v>
      </c>
      <c r="L2859" s="236">
        <v>500</v>
      </c>
      <c r="M2859" s="35">
        <v>20</v>
      </c>
      <c r="N2859" s="35">
        <v>0</v>
      </c>
      <c r="O2859" s="35">
        <v>0</v>
      </c>
      <c r="P2859" s="35">
        <v>0</v>
      </c>
      <c r="Q2859" s="35">
        <v>0</v>
      </c>
      <c r="R2859" s="36">
        <v>0</v>
      </c>
      <c r="S2859" s="7" t="s">
        <v>115</v>
      </c>
      <c r="T2859" s="257">
        <f t="shared" si="95"/>
        <v>500</v>
      </c>
      <c r="U2859" s="257">
        <f t="shared" si="96"/>
        <v>20</v>
      </c>
      <c r="V2859">
        <v>1</v>
      </c>
      <c r="W2859">
        <v>1</v>
      </c>
    </row>
    <row r="2860" spans="1:23" ht="102.6" x14ac:dyDescent="0.3">
      <c r="A2860" s="214">
        <v>42832</v>
      </c>
      <c r="B2860" s="214">
        <v>42832</v>
      </c>
      <c r="C2860" s="6">
        <v>4</v>
      </c>
      <c r="D2860" s="6">
        <v>1</v>
      </c>
      <c r="E2860" s="33">
        <v>2017</v>
      </c>
      <c r="F2860" s="15" t="s">
        <v>22</v>
      </c>
      <c r="G2860" s="18" t="s">
        <v>6256</v>
      </c>
      <c r="H2860" s="17" t="s">
        <v>565</v>
      </c>
      <c r="I2860" s="34" t="s">
        <v>1281</v>
      </c>
      <c r="J2860" s="34" t="s">
        <v>4753</v>
      </c>
      <c r="K2860" s="33">
        <v>0</v>
      </c>
      <c r="L2860" s="236">
        <v>20</v>
      </c>
      <c r="M2860" s="35">
        <v>3</v>
      </c>
      <c r="N2860" s="35">
        <v>0</v>
      </c>
      <c r="O2860" s="35">
        <v>0</v>
      </c>
      <c r="P2860" s="35">
        <v>0</v>
      </c>
      <c r="Q2860" s="35">
        <v>0</v>
      </c>
      <c r="R2860" s="36">
        <v>41.3</v>
      </c>
      <c r="S2860" s="7" t="s">
        <v>131</v>
      </c>
      <c r="T2860" s="257">
        <f t="shared" si="95"/>
        <v>20</v>
      </c>
      <c r="U2860" s="257">
        <f t="shared" si="96"/>
        <v>3</v>
      </c>
      <c r="V2860">
        <v>1</v>
      </c>
      <c r="W2860">
        <v>1</v>
      </c>
    </row>
    <row r="2861" spans="1:23" ht="91.2" x14ac:dyDescent="0.3">
      <c r="A2861" s="214">
        <v>42877</v>
      </c>
      <c r="B2861" s="214">
        <v>42877</v>
      </c>
      <c r="C2861" s="6">
        <v>5</v>
      </c>
      <c r="D2861" s="6">
        <v>1</v>
      </c>
      <c r="E2861" s="33">
        <v>2017</v>
      </c>
      <c r="F2861" s="15" t="s">
        <v>22</v>
      </c>
      <c r="G2861" s="18" t="s">
        <v>6256</v>
      </c>
      <c r="H2861" s="9" t="s">
        <v>78</v>
      </c>
      <c r="I2861" s="34" t="s">
        <v>4754</v>
      </c>
      <c r="J2861" s="34" t="s">
        <v>4755</v>
      </c>
      <c r="K2861" s="33">
        <v>0</v>
      </c>
      <c r="L2861" s="236">
        <v>0</v>
      </c>
      <c r="M2861" s="35">
        <v>0</v>
      </c>
      <c r="N2861" s="35">
        <v>0</v>
      </c>
      <c r="O2861" s="35">
        <v>0</v>
      </c>
      <c r="P2861" s="35">
        <v>0</v>
      </c>
      <c r="Q2861" s="35">
        <v>0</v>
      </c>
      <c r="R2861" s="36">
        <v>0</v>
      </c>
      <c r="S2861" s="7" t="s">
        <v>115</v>
      </c>
      <c r="T2861" s="257">
        <f t="shared" si="95"/>
        <v>0</v>
      </c>
      <c r="U2861" s="257">
        <f t="shared" si="96"/>
        <v>0</v>
      </c>
      <c r="V2861">
        <v>0</v>
      </c>
      <c r="W2861">
        <v>0</v>
      </c>
    </row>
    <row r="2862" spans="1:23" ht="91.2" x14ac:dyDescent="0.3">
      <c r="A2862" s="214">
        <v>43008</v>
      </c>
      <c r="B2862" s="214">
        <v>43008</v>
      </c>
      <c r="C2862" s="6">
        <v>9</v>
      </c>
      <c r="D2862" s="6">
        <v>1</v>
      </c>
      <c r="E2862" s="33">
        <v>2017</v>
      </c>
      <c r="F2862" s="15" t="s">
        <v>22</v>
      </c>
      <c r="G2862" s="18" t="s">
        <v>6256</v>
      </c>
      <c r="H2862" s="9" t="s">
        <v>78</v>
      </c>
      <c r="I2862" s="34" t="s">
        <v>4756</v>
      </c>
      <c r="J2862" s="34" t="s">
        <v>4757</v>
      </c>
      <c r="K2862" s="33">
        <v>0</v>
      </c>
      <c r="L2862" s="236">
        <v>15000</v>
      </c>
      <c r="M2862" s="35">
        <v>5000</v>
      </c>
      <c r="N2862" s="35">
        <v>0</v>
      </c>
      <c r="O2862" s="35">
        <v>0</v>
      </c>
      <c r="P2862" s="35">
        <v>0</v>
      </c>
      <c r="Q2862" s="35">
        <v>0</v>
      </c>
      <c r="R2862" s="36">
        <v>0</v>
      </c>
      <c r="S2862" s="7" t="s">
        <v>115</v>
      </c>
      <c r="T2862" s="257">
        <f t="shared" si="95"/>
        <v>15000</v>
      </c>
      <c r="U2862" s="257">
        <f t="shared" si="96"/>
        <v>5000</v>
      </c>
      <c r="V2862">
        <v>2</v>
      </c>
      <c r="W2862">
        <v>2</v>
      </c>
    </row>
    <row r="2863" spans="1:23" ht="102.6" x14ac:dyDescent="0.3">
      <c r="A2863" s="214">
        <v>43019</v>
      </c>
      <c r="B2863" s="214">
        <v>43019</v>
      </c>
      <c r="C2863" s="6">
        <v>10</v>
      </c>
      <c r="D2863" s="6">
        <v>1</v>
      </c>
      <c r="E2863" s="33">
        <v>2017</v>
      </c>
      <c r="F2863" s="15" t="s">
        <v>22</v>
      </c>
      <c r="G2863" s="18" t="s">
        <v>6256</v>
      </c>
      <c r="H2863" s="9" t="s">
        <v>174</v>
      </c>
      <c r="I2863" s="34" t="s">
        <v>4758</v>
      </c>
      <c r="J2863" s="34" t="s">
        <v>4759</v>
      </c>
      <c r="K2863" s="33">
        <v>0</v>
      </c>
      <c r="L2863" s="236">
        <v>350</v>
      </c>
      <c r="M2863" s="35">
        <v>85</v>
      </c>
      <c r="N2863" s="35">
        <v>0</v>
      </c>
      <c r="O2863" s="35">
        <v>0</v>
      </c>
      <c r="P2863" s="35">
        <v>0</v>
      </c>
      <c r="Q2863" s="35">
        <v>0</v>
      </c>
      <c r="R2863" s="36">
        <v>0</v>
      </c>
      <c r="S2863" s="7" t="s">
        <v>115</v>
      </c>
      <c r="T2863" s="257">
        <f t="shared" si="95"/>
        <v>350</v>
      </c>
      <c r="U2863" s="257">
        <f t="shared" si="96"/>
        <v>85</v>
      </c>
      <c r="V2863">
        <v>1</v>
      </c>
      <c r="W2863">
        <v>1</v>
      </c>
    </row>
    <row r="2864" spans="1:23" ht="34.200000000000003" x14ac:dyDescent="0.3">
      <c r="A2864" s="232">
        <v>42736</v>
      </c>
      <c r="B2864" s="232">
        <v>43100</v>
      </c>
      <c r="C2864" s="6">
        <v>1</v>
      </c>
      <c r="D2864" s="6">
        <v>365</v>
      </c>
      <c r="E2864" s="33">
        <v>2017</v>
      </c>
      <c r="F2864" s="15" t="s">
        <v>22</v>
      </c>
      <c r="G2864" s="9" t="s">
        <v>6258</v>
      </c>
      <c r="H2864" s="9" t="s">
        <v>37</v>
      </c>
      <c r="I2864" s="152" t="s">
        <v>25</v>
      </c>
      <c r="J2864" s="21" t="s">
        <v>4760</v>
      </c>
      <c r="K2864" s="33">
        <v>1</v>
      </c>
      <c r="L2864" s="236">
        <v>11</v>
      </c>
      <c r="M2864" s="171">
        <v>0</v>
      </c>
      <c r="N2864" s="171">
        <v>0</v>
      </c>
      <c r="O2864" s="171">
        <v>0</v>
      </c>
      <c r="P2864" s="171">
        <v>0</v>
      </c>
      <c r="Q2864" s="171">
        <v>0</v>
      </c>
      <c r="R2864" s="24">
        <v>0</v>
      </c>
      <c r="S2864" s="7" t="s">
        <v>4664</v>
      </c>
      <c r="T2864" s="257">
        <f t="shared" si="95"/>
        <v>12</v>
      </c>
      <c r="U2864" s="257">
        <f t="shared" si="96"/>
        <v>0</v>
      </c>
      <c r="V2864">
        <v>1</v>
      </c>
      <c r="W2864">
        <v>0</v>
      </c>
    </row>
    <row r="2865" spans="1:23" x14ac:dyDescent="0.3">
      <c r="A2865" s="232">
        <v>42736</v>
      </c>
      <c r="B2865" s="232">
        <v>43100</v>
      </c>
      <c r="C2865" s="6">
        <v>1</v>
      </c>
      <c r="D2865" s="6">
        <v>365</v>
      </c>
      <c r="E2865" s="33">
        <v>2017</v>
      </c>
      <c r="F2865" s="15" t="s">
        <v>22</v>
      </c>
      <c r="G2865" s="18" t="s">
        <v>6255</v>
      </c>
      <c r="H2865" s="9" t="s">
        <v>61</v>
      </c>
      <c r="I2865" s="152" t="s">
        <v>25</v>
      </c>
      <c r="J2865" s="34" t="s">
        <v>4761</v>
      </c>
      <c r="K2865" s="172">
        <v>2</v>
      </c>
      <c r="L2865" s="236">
        <v>2</v>
      </c>
      <c r="M2865" s="171">
        <v>0</v>
      </c>
      <c r="N2865" s="171">
        <v>0</v>
      </c>
      <c r="O2865" s="171">
        <v>0</v>
      </c>
      <c r="P2865" s="171">
        <v>0</v>
      </c>
      <c r="Q2865" s="171">
        <v>0</v>
      </c>
      <c r="R2865" s="36">
        <v>0</v>
      </c>
      <c r="S2865" s="7" t="s">
        <v>4664</v>
      </c>
      <c r="T2865" s="257">
        <f t="shared" si="95"/>
        <v>4</v>
      </c>
      <c r="U2865" s="257">
        <f t="shared" si="96"/>
        <v>0</v>
      </c>
      <c r="V2865">
        <v>1</v>
      </c>
      <c r="W2865">
        <v>0</v>
      </c>
    </row>
    <row r="2866" spans="1:23" ht="96" x14ac:dyDescent="0.3">
      <c r="A2866" s="224">
        <v>43119</v>
      </c>
      <c r="B2866" s="224">
        <v>43119</v>
      </c>
      <c r="C2866" s="6">
        <v>1</v>
      </c>
      <c r="D2866" s="6">
        <v>1</v>
      </c>
      <c r="E2866" s="84">
        <v>2018</v>
      </c>
      <c r="F2866" s="7" t="s">
        <v>17</v>
      </c>
      <c r="G2866" s="8" t="s">
        <v>6261</v>
      </c>
      <c r="H2866" s="9" t="s">
        <v>27</v>
      </c>
      <c r="I2866" s="86" t="s">
        <v>4763</v>
      </c>
      <c r="J2866" s="130" t="s">
        <v>4764</v>
      </c>
      <c r="K2866" s="88">
        <v>0</v>
      </c>
      <c r="L2866" s="173">
        <v>400</v>
      </c>
      <c r="M2866" s="88">
        <v>100</v>
      </c>
      <c r="N2866" s="88">
        <v>0</v>
      </c>
      <c r="O2866" s="88">
        <v>0</v>
      </c>
      <c r="P2866" s="88">
        <v>0</v>
      </c>
      <c r="Q2866" s="88">
        <v>0</v>
      </c>
      <c r="R2866" s="38">
        <v>12</v>
      </c>
      <c r="S2866" s="89" t="s">
        <v>115</v>
      </c>
      <c r="T2866" s="257">
        <f t="shared" si="95"/>
        <v>400</v>
      </c>
      <c r="U2866" s="257">
        <f t="shared" si="96"/>
        <v>100</v>
      </c>
      <c r="V2866">
        <v>1</v>
      </c>
      <c r="W2866">
        <v>1</v>
      </c>
    </row>
    <row r="2867" spans="1:23" ht="108" x14ac:dyDescent="0.3">
      <c r="A2867" s="224">
        <v>43147</v>
      </c>
      <c r="B2867" s="224">
        <v>43147</v>
      </c>
      <c r="C2867" s="6">
        <v>2</v>
      </c>
      <c r="D2867" s="6">
        <v>1</v>
      </c>
      <c r="E2867" s="84">
        <v>2018</v>
      </c>
      <c r="F2867" s="7" t="s">
        <v>17</v>
      </c>
      <c r="G2867" s="85" t="s">
        <v>6260</v>
      </c>
      <c r="H2867" s="9" t="s">
        <v>61</v>
      </c>
      <c r="I2867" s="86"/>
      <c r="J2867" s="130" t="s">
        <v>4765</v>
      </c>
      <c r="K2867" s="88">
        <v>0</v>
      </c>
      <c r="L2867" s="173">
        <v>60168</v>
      </c>
      <c r="M2867" s="88">
        <v>0</v>
      </c>
      <c r="N2867" s="88">
        <v>0</v>
      </c>
      <c r="O2867" s="88">
        <v>0</v>
      </c>
      <c r="P2867" s="88">
        <v>0</v>
      </c>
      <c r="Q2867" s="88">
        <v>0</v>
      </c>
      <c r="R2867" s="38">
        <v>1425.210591885</v>
      </c>
      <c r="S2867" s="89" t="s">
        <v>131</v>
      </c>
      <c r="T2867" s="257">
        <f t="shared" si="95"/>
        <v>60168</v>
      </c>
      <c r="U2867" s="257">
        <f t="shared" si="96"/>
        <v>0</v>
      </c>
      <c r="V2867">
        <v>2</v>
      </c>
      <c r="W2867">
        <v>0</v>
      </c>
    </row>
    <row r="2868" spans="1:23" ht="108" x14ac:dyDescent="0.3">
      <c r="A2868" s="224">
        <v>43288</v>
      </c>
      <c r="B2868" s="224">
        <v>43288</v>
      </c>
      <c r="C2868" s="6">
        <v>7</v>
      </c>
      <c r="D2868" s="6">
        <v>1</v>
      </c>
      <c r="E2868" s="84">
        <v>2018</v>
      </c>
      <c r="F2868" s="7" t="s">
        <v>17</v>
      </c>
      <c r="G2868" s="8" t="s">
        <v>6261</v>
      </c>
      <c r="H2868" s="9" t="s">
        <v>174</v>
      </c>
      <c r="I2868" s="86" t="s">
        <v>1285</v>
      </c>
      <c r="J2868" s="130" t="s">
        <v>4766</v>
      </c>
      <c r="K2868" s="88">
        <v>3</v>
      </c>
      <c r="L2868" s="173">
        <v>12</v>
      </c>
      <c r="M2868" s="88">
        <v>0</v>
      </c>
      <c r="N2868" s="88">
        <v>0</v>
      </c>
      <c r="O2868" s="88">
        <v>0</v>
      </c>
      <c r="P2868" s="88">
        <v>0</v>
      </c>
      <c r="Q2868" s="88">
        <v>0</v>
      </c>
      <c r="R2868" s="38">
        <v>0.6573</v>
      </c>
      <c r="S2868" s="89" t="s">
        <v>115</v>
      </c>
      <c r="T2868" s="257">
        <f t="shared" si="95"/>
        <v>15</v>
      </c>
      <c r="U2868" s="257">
        <f t="shared" si="96"/>
        <v>0</v>
      </c>
      <c r="V2868">
        <v>1</v>
      </c>
      <c r="W2868">
        <v>0</v>
      </c>
    </row>
    <row r="2869" spans="1:23" ht="72" x14ac:dyDescent="0.3">
      <c r="A2869" s="224">
        <v>43295</v>
      </c>
      <c r="B2869" s="224">
        <v>43295</v>
      </c>
      <c r="C2869" s="6">
        <v>7</v>
      </c>
      <c r="D2869" s="6">
        <v>1</v>
      </c>
      <c r="E2869" s="84">
        <v>2018</v>
      </c>
      <c r="F2869" s="7" t="s">
        <v>17</v>
      </c>
      <c r="G2869" s="8" t="s">
        <v>6261</v>
      </c>
      <c r="H2869" s="9" t="s">
        <v>27</v>
      </c>
      <c r="I2869" s="86" t="s">
        <v>4763</v>
      </c>
      <c r="J2869" s="130" t="s">
        <v>4767</v>
      </c>
      <c r="K2869" s="88">
        <v>0</v>
      </c>
      <c r="L2869" s="173">
        <v>96</v>
      </c>
      <c r="M2869" s="88">
        <v>24</v>
      </c>
      <c r="N2869" s="88">
        <v>0</v>
      </c>
      <c r="O2869" s="88">
        <v>0</v>
      </c>
      <c r="P2869" s="88">
        <v>0</v>
      </c>
      <c r="Q2869" s="88">
        <v>0</v>
      </c>
      <c r="R2869" s="38">
        <v>2.88</v>
      </c>
      <c r="S2869" s="89" t="s">
        <v>115</v>
      </c>
      <c r="T2869" s="257">
        <f t="shared" si="95"/>
        <v>96</v>
      </c>
      <c r="U2869" s="257">
        <f t="shared" si="96"/>
        <v>24</v>
      </c>
      <c r="V2869">
        <v>1</v>
      </c>
      <c r="W2869">
        <v>1</v>
      </c>
    </row>
    <row r="2870" spans="1:23" ht="105.6" x14ac:dyDescent="0.3">
      <c r="A2870" s="219">
        <v>40428</v>
      </c>
      <c r="B2870" s="219">
        <v>40428</v>
      </c>
      <c r="C2870" s="6">
        <v>9</v>
      </c>
      <c r="D2870" s="6">
        <v>1</v>
      </c>
      <c r="E2870" s="73">
        <v>2010</v>
      </c>
      <c r="F2870" s="15" t="s">
        <v>22</v>
      </c>
      <c r="G2870" s="18" t="s">
        <v>6256</v>
      </c>
      <c r="H2870" s="9" t="s">
        <v>48</v>
      </c>
      <c r="I2870" s="74" t="s">
        <v>310</v>
      </c>
      <c r="J2870" s="74" t="s">
        <v>4768</v>
      </c>
      <c r="K2870" s="75">
        <v>0</v>
      </c>
      <c r="L2870" s="241">
        <v>0</v>
      </c>
      <c r="M2870" s="75">
        <v>0</v>
      </c>
      <c r="N2870" s="75">
        <v>0</v>
      </c>
      <c r="O2870" s="75">
        <v>0</v>
      </c>
      <c r="P2870" s="75">
        <v>0</v>
      </c>
      <c r="Q2870" s="75">
        <v>0</v>
      </c>
      <c r="R2870" s="61">
        <v>0</v>
      </c>
      <c r="S2870" s="73" t="s">
        <v>115</v>
      </c>
      <c r="T2870" s="257">
        <f t="shared" si="95"/>
        <v>0</v>
      </c>
      <c r="U2870" s="257">
        <f t="shared" si="96"/>
        <v>0</v>
      </c>
      <c r="V2870">
        <v>0</v>
      </c>
      <c r="W2870">
        <v>0</v>
      </c>
    </row>
    <row r="2871" spans="1:23" ht="120" x14ac:dyDescent="0.3">
      <c r="A2871" s="224">
        <v>43314</v>
      </c>
      <c r="B2871" s="224">
        <v>43314</v>
      </c>
      <c r="C2871" s="6">
        <v>8</v>
      </c>
      <c r="D2871" s="6">
        <v>1</v>
      </c>
      <c r="E2871" s="84">
        <v>2018</v>
      </c>
      <c r="F2871" s="7" t="s">
        <v>17</v>
      </c>
      <c r="G2871" s="8" t="s">
        <v>6261</v>
      </c>
      <c r="H2871" s="9" t="s">
        <v>121</v>
      </c>
      <c r="I2871" s="86" t="s">
        <v>1375</v>
      </c>
      <c r="J2871" s="130" t="s">
        <v>4769</v>
      </c>
      <c r="K2871" s="88">
        <v>5</v>
      </c>
      <c r="L2871" s="173">
        <v>5</v>
      </c>
      <c r="M2871" s="88">
        <v>0</v>
      </c>
      <c r="N2871" s="88">
        <v>0</v>
      </c>
      <c r="O2871" s="88">
        <v>0</v>
      </c>
      <c r="P2871" s="88">
        <v>1</v>
      </c>
      <c r="Q2871" s="88">
        <v>0</v>
      </c>
      <c r="R2871" s="38">
        <v>0.01</v>
      </c>
      <c r="S2871" s="89" t="s">
        <v>115</v>
      </c>
      <c r="T2871" s="257">
        <f t="shared" si="95"/>
        <v>10</v>
      </c>
      <c r="U2871" s="257">
        <f t="shared" si="96"/>
        <v>1</v>
      </c>
      <c r="V2871">
        <v>1</v>
      </c>
      <c r="W2871">
        <v>1</v>
      </c>
    </row>
    <row r="2872" spans="1:23" ht="132" x14ac:dyDescent="0.3">
      <c r="A2872" s="219">
        <v>40431</v>
      </c>
      <c r="B2872" s="219">
        <v>40431</v>
      </c>
      <c r="C2872" s="6">
        <v>9</v>
      </c>
      <c r="D2872" s="6">
        <v>1</v>
      </c>
      <c r="E2872" s="73">
        <v>2010</v>
      </c>
      <c r="F2872" s="15" t="s">
        <v>22</v>
      </c>
      <c r="G2872" s="18" t="s">
        <v>6256</v>
      </c>
      <c r="H2872" s="9" t="s">
        <v>48</v>
      </c>
      <c r="I2872" s="74" t="s">
        <v>4770</v>
      </c>
      <c r="J2872" s="74" t="s">
        <v>4771</v>
      </c>
      <c r="K2872" s="75">
        <v>6</v>
      </c>
      <c r="L2872" s="241">
        <v>6</v>
      </c>
      <c r="M2872" s="75">
        <v>2</v>
      </c>
      <c r="N2872" s="75">
        <v>0</v>
      </c>
      <c r="O2872" s="75">
        <v>0</v>
      </c>
      <c r="P2872" s="75">
        <v>0</v>
      </c>
      <c r="Q2872" s="75">
        <v>0</v>
      </c>
      <c r="R2872" s="61">
        <v>0</v>
      </c>
      <c r="S2872" s="73" t="s">
        <v>115</v>
      </c>
      <c r="T2872" s="257">
        <f t="shared" si="95"/>
        <v>12</v>
      </c>
      <c r="U2872" s="257">
        <f t="shared" si="96"/>
        <v>2</v>
      </c>
      <c r="V2872">
        <v>1</v>
      </c>
      <c r="W2872">
        <v>1</v>
      </c>
    </row>
    <row r="2873" spans="1:23" ht="180" x14ac:dyDescent="0.3">
      <c r="A2873" s="224">
        <v>43340</v>
      </c>
      <c r="B2873" s="224">
        <v>43340</v>
      </c>
      <c r="C2873" s="6">
        <v>8</v>
      </c>
      <c r="D2873" s="6">
        <v>1</v>
      </c>
      <c r="E2873" s="84">
        <v>2018</v>
      </c>
      <c r="F2873" s="7" t="s">
        <v>17</v>
      </c>
      <c r="G2873" s="8" t="s">
        <v>6261</v>
      </c>
      <c r="H2873" s="9" t="s">
        <v>118</v>
      </c>
      <c r="I2873" s="86" t="s">
        <v>684</v>
      </c>
      <c r="J2873" s="130" t="s">
        <v>4772</v>
      </c>
      <c r="K2873" s="88">
        <v>0</v>
      </c>
      <c r="L2873" s="173">
        <v>0</v>
      </c>
      <c r="M2873" s="88">
        <v>1</v>
      </c>
      <c r="N2873" s="88">
        <v>0</v>
      </c>
      <c r="O2873" s="88">
        <v>0</v>
      </c>
      <c r="P2873" s="88">
        <v>0</v>
      </c>
      <c r="Q2873" s="88">
        <v>0</v>
      </c>
      <c r="R2873" s="38">
        <v>0.12457</v>
      </c>
      <c r="S2873" s="89" t="s">
        <v>115</v>
      </c>
      <c r="T2873" s="257">
        <f t="shared" si="95"/>
        <v>0</v>
      </c>
      <c r="U2873" s="257">
        <f t="shared" si="96"/>
        <v>1</v>
      </c>
      <c r="V2873">
        <v>0</v>
      </c>
      <c r="W2873">
        <v>1</v>
      </c>
    </row>
    <row r="2874" spans="1:23" ht="84" x14ac:dyDescent="0.3">
      <c r="A2874" s="224">
        <v>43341</v>
      </c>
      <c r="B2874" s="224">
        <v>43341</v>
      </c>
      <c r="C2874" s="6">
        <v>8</v>
      </c>
      <c r="D2874" s="6">
        <v>1</v>
      </c>
      <c r="E2874" s="84">
        <v>2018</v>
      </c>
      <c r="F2874" s="7" t="s">
        <v>17</v>
      </c>
      <c r="G2874" s="8" t="s">
        <v>6261</v>
      </c>
      <c r="H2874" s="9" t="s">
        <v>43</v>
      </c>
      <c r="I2874" s="86" t="s">
        <v>4456</v>
      </c>
      <c r="J2874" s="130" t="s">
        <v>4773</v>
      </c>
      <c r="K2874" s="88">
        <v>0</v>
      </c>
      <c r="L2874" s="173">
        <v>8</v>
      </c>
      <c r="M2874" s="88">
        <v>2</v>
      </c>
      <c r="N2874" s="88">
        <v>0</v>
      </c>
      <c r="O2874" s="88">
        <v>0</v>
      </c>
      <c r="P2874" s="88">
        <v>0</v>
      </c>
      <c r="Q2874" s="88">
        <v>0</v>
      </c>
      <c r="R2874" s="38">
        <v>0.20945</v>
      </c>
      <c r="S2874" s="89" t="s">
        <v>115</v>
      </c>
      <c r="T2874" s="257">
        <f t="shared" si="95"/>
        <v>8</v>
      </c>
      <c r="U2874" s="257">
        <f t="shared" si="96"/>
        <v>2</v>
      </c>
      <c r="V2874">
        <v>1</v>
      </c>
      <c r="W2874">
        <v>1</v>
      </c>
    </row>
    <row r="2875" spans="1:23" ht="171.6" x14ac:dyDescent="0.3">
      <c r="A2875" s="224">
        <v>43356</v>
      </c>
      <c r="B2875" s="224">
        <v>43356</v>
      </c>
      <c r="C2875" s="6">
        <v>9</v>
      </c>
      <c r="D2875" s="6">
        <v>1</v>
      </c>
      <c r="E2875" s="84">
        <v>2018</v>
      </c>
      <c r="F2875" s="7" t="s">
        <v>17</v>
      </c>
      <c r="G2875" s="8" t="s">
        <v>6261</v>
      </c>
      <c r="H2875" s="9" t="s">
        <v>34</v>
      </c>
      <c r="I2875" s="86" t="s">
        <v>1032</v>
      </c>
      <c r="J2875" s="86" t="s">
        <v>4774</v>
      </c>
      <c r="K2875" s="88">
        <v>2</v>
      </c>
      <c r="L2875" s="173">
        <v>2</v>
      </c>
      <c r="M2875" s="88">
        <v>0</v>
      </c>
      <c r="N2875" s="88">
        <v>0</v>
      </c>
      <c r="O2875" s="88">
        <v>0</v>
      </c>
      <c r="P2875" s="88">
        <v>0</v>
      </c>
      <c r="Q2875" s="88">
        <v>0</v>
      </c>
      <c r="R2875" s="38">
        <v>0</v>
      </c>
      <c r="S2875" s="89" t="s">
        <v>115</v>
      </c>
      <c r="T2875" s="257">
        <f t="shared" si="95"/>
        <v>4</v>
      </c>
      <c r="U2875" s="257">
        <f t="shared" si="96"/>
        <v>0</v>
      </c>
      <c r="V2875">
        <v>1</v>
      </c>
      <c r="W2875">
        <v>0</v>
      </c>
    </row>
    <row r="2876" spans="1:23" ht="114" x14ac:dyDescent="0.3">
      <c r="A2876" s="224">
        <v>43380</v>
      </c>
      <c r="B2876" s="224">
        <v>43380</v>
      </c>
      <c r="C2876" s="6">
        <v>10</v>
      </c>
      <c r="D2876" s="6">
        <v>1</v>
      </c>
      <c r="E2876" s="84">
        <v>2018</v>
      </c>
      <c r="F2876" s="7" t="s">
        <v>17</v>
      </c>
      <c r="G2876" s="8" t="s">
        <v>6261</v>
      </c>
      <c r="H2876" s="9" t="s">
        <v>52</v>
      </c>
      <c r="I2876" s="86" t="s">
        <v>4775</v>
      </c>
      <c r="J2876" s="34" t="s">
        <v>4776</v>
      </c>
      <c r="K2876" s="88">
        <v>1</v>
      </c>
      <c r="L2876" s="173">
        <v>4</v>
      </c>
      <c r="M2876" s="88">
        <v>0</v>
      </c>
      <c r="N2876" s="88">
        <v>0</v>
      </c>
      <c r="O2876" s="88">
        <v>0</v>
      </c>
      <c r="P2876" s="88">
        <v>0</v>
      </c>
      <c r="Q2876" s="88">
        <v>0</v>
      </c>
      <c r="R2876" s="38">
        <v>1.8536133488372093</v>
      </c>
      <c r="S2876" s="89" t="s">
        <v>115</v>
      </c>
      <c r="T2876" s="257">
        <f t="shared" si="95"/>
        <v>5</v>
      </c>
      <c r="U2876" s="257">
        <f t="shared" si="96"/>
        <v>0</v>
      </c>
      <c r="V2876">
        <v>1</v>
      </c>
      <c r="W2876">
        <v>0</v>
      </c>
    </row>
    <row r="2877" spans="1:23" ht="79.8" x14ac:dyDescent="0.3">
      <c r="A2877" s="224">
        <v>43390</v>
      </c>
      <c r="B2877" s="224">
        <v>43390</v>
      </c>
      <c r="C2877" s="6">
        <v>10</v>
      </c>
      <c r="D2877" s="6">
        <v>1</v>
      </c>
      <c r="E2877" s="84">
        <v>2018</v>
      </c>
      <c r="F2877" s="7" t="s">
        <v>17</v>
      </c>
      <c r="G2877" s="8" t="s">
        <v>6261</v>
      </c>
      <c r="H2877" s="9" t="s">
        <v>61</v>
      </c>
      <c r="I2877" s="86" t="s">
        <v>4777</v>
      </c>
      <c r="J2877" s="34" t="s">
        <v>4778</v>
      </c>
      <c r="K2877" s="88">
        <v>6</v>
      </c>
      <c r="L2877" s="173">
        <v>6</v>
      </c>
      <c r="M2877" s="88">
        <v>0</v>
      </c>
      <c r="N2877" s="88">
        <v>0</v>
      </c>
      <c r="O2877" s="88">
        <v>0</v>
      </c>
      <c r="P2877" s="88">
        <v>0</v>
      </c>
      <c r="Q2877" s="88">
        <v>0</v>
      </c>
      <c r="R2877" s="38">
        <v>0</v>
      </c>
      <c r="S2877" s="89" t="s">
        <v>115</v>
      </c>
      <c r="T2877" s="257">
        <f t="shared" si="95"/>
        <v>12</v>
      </c>
      <c r="U2877" s="257">
        <f t="shared" si="96"/>
        <v>0</v>
      </c>
      <c r="V2877">
        <v>1</v>
      </c>
      <c r="W2877">
        <v>0</v>
      </c>
    </row>
    <row r="2878" spans="1:23" ht="182.4" x14ac:dyDescent="0.3">
      <c r="A2878" s="224">
        <v>43392</v>
      </c>
      <c r="B2878" s="224">
        <v>43392</v>
      </c>
      <c r="C2878" s="6">
        <v>10</v>
      </c>
      <c r="D2878" s="6">
        <v>1</v>
      </c>
      <c r="E2878" s="84">
        <v>2018</v>
      </c>
      <c r="F2878" s="7" t="s">
        <v>17</v>
      </c>
      <c r="G2878" s="8" t="s">
        <v>6261</v>
      </c>
      <c r="H2878" s="9" t="s">
        <v>31</v>
      </c>
      <c r="I2878" s="86" t="s">
        <v>4779</v>
      </c>
      <c r="J2878" s="34" t="s">
        <v>4780</v>
      </c>
      <c r="K2878" s="88">
        <v>0</v>
      </c>
      <c r="L2878" s="173">
        <v>215</v>
      </c>
      <c r="M2878" s="88">
        <v>58</v>
      </c>
      <c r="N2878" s="88">
        <v>0</v>
      </c>
      <c r="O2878" s="88">
        <v>0</v>
      </c>
      <c r="P2878" s="88">
        <v>0</v>
      </c>
      <c r="Q2878" s="88">
        <v>0</v>
      </c>
      <c r="R2878" s="38">
        <v>3.3911241790000002</v>
      </c>
      <c r="S2878" s="89" t="s">
        <v>115</v>
      </c>
      <c r="T2878" s="257">
        <f t="shared" si="95"/>
        <v>215</v>
      </c>
      <c r="U2878" s="257">
        <f t="shared" si="96"/>
        <v>58</v>
      </c>
      <c r="V2878">
        <v>1</v>
      </c>
      <c r="W2878">
        <v>1</v>
      </c>
    </row>
    <row r="2879" spans="1:23" ht="114" x14ac:dyDescent="0.3">
      <c r="A2879" s="224">
        <v>43447</v>
      </c>
      <c r="B2879" s="224">
        <v>43447</v>
      </c>
      <c r="C2879" s="6">
        <v>12</v>
      </c>
      <c r="D2879" s="6">
        <v>1</v>
      </c>
      <c r="E2879" s="84">
        <v>2018</v>
      </c>
      <c r="F2879" s="7" t="s">
        <v>17</v>
      </c>
      <c r="G2879" s="8" t="s">
        <v>6261</v>
      </c>
      <c r="H2879" s="9" t="s">
        <v>74</v>
      </c>
      <c r="I2879" s="86" t="s">
        <v>451</v>
      </c>
      <c r="J2879" s="34" t="s">
        <v>4781</v>
      </c>
      <c r="K2879" s="88">
        <v>2</v>
      </c>
      <c r="L2879" s="173">
        <v>7</v>
      </c>
      <c r="M2879" s="88">
        <v>0</v>
      </c>
      <c r="N2879" s="88">
        <v>0</v>
      </c>
      <c r="O2879" s="88">
        <v>0</v>
      </c>
      <c r="P2879" s="88">
        <v>1</v>
      </c>
      <c r="Q2879" s="88">
        <v>0</v>
      </c>
      <c r="R2879" s="38">
        <v>0.01</v>
      </c>
      <c r="S2879" s="89" t="s">
        <v>115</v>
      </c>
      <c r="T2879" s="257">
        <f t="shared" si="95"/>
        <v>9</v>
      </c>
      <c r="U2879" s="257">
        <f t="shared" si="96"/>
        <v>1</v>
      </c>
      <c r="V2879">
        <v>1</v>
      </c>
      <c r="W2879">
        <v>1</v>
      </c>
    </row>
    <row r="2880" spans="1:23" ht="228" x14ac:dyDescent="0.3">
      <c r="A2880" s="224">
        <v>43124</v>
      </c>
      <c r="B2880" s="224">
        <v>43124</v>
      </c>
      <c r="C2880" s="6">
        <v>1</v>
      </c>
      <c r="D2880" s="6">
        <v>1</v>
      </c>
      <c r="E2880" s="84">
        <v>2018</v>
      </c>
      <c r="F2880" s="15" t="s">
        <v>22</v>
      </c>
      <c r="G2880" s="82" t="s">
        <v>6256</v>
      </c>
      <c r="H2880" s="9" t="s">
        <v>43</v>
      </c>
      <c r="I2880" s="86" t="s">
        <v>4782</v>
      </c>
      <c r="J2880" s="34" t="s">
        <v>4783</v>
      </c>
      <c r="K2880" s="84">
        <v>1</v>
      </c>
      <c r="L2880" s="173">
        <v>80</v>
      </c>
      <c r="M2880" s="84">
        <v>20</v>
      </c>
      <c r="N2880" s="84">
        <v>0</v>
      </c>
      <c r="O2880" s="84">
        <v>0</v>
      </c>
      <c r="P2880" s="84">
        <v>0</v>
      </c>
      <c r="Q2880" s="88">
        <v>0</v>
      </c>
      <c r="R2880" s="126">
        <v>1.4E-2</v>
      </c>
      <c r="S2880" s="89" t="s">
        <v>115</v>
      </c>
      <c r="T2880" s="257">
        <f t="shared" si="95"/>
        <v>81</v>
      </c>
      <c r="U2880" s="257">
        <f t="shared" si="96"/>
        <v>20</v>
      </c>
      <c r="V2880">
        <v>1</v>
      </c>
      <c r="W2880">
        <v>1</v>
      </c>
    </row>
    <row r="2881" spans="1:23" ht="182.4" x14ac:dyDescent="0.3">
      <c r="A2881" s="224">
        <v>43137</v>
      </c>
      <c r="B2881" s="224">
        <v>43137</v>
      </c>
      <c r="C2881" s="6">
        <v>2</v>
      </c>
      <c r="D2881" s="6">
        <v>1</v>
      </c>
      <c r="E2881" s="84">
        <v>2018</v>
      </c>
      <c r="F2881" s="15" t="s">
        <v>22</v>
      </c>
      <c r="G2881" s="82" t="s">
        <v>6256</v>
      </c>
      <c r="H2881" s="9" t="s">
        <v>43</v>
      </c>
      <c r="I2881" s="86" t="s">
        <v>4784</v>
      </c>
      <c r="J2881" s="34" t="s">
        <v>4785</v>
      </c>
      <c r="K2881" s="84">
        <v>0</v>
      </c>
      <c r="L2881" s="173">
        <v>180</v>
      </c>
      <c r="M2881" s="84">
        <v>45</v>
      </c>
      <c r="N2881" s="84">
        <v>0</v>
      </c>
      <c r="O2881" s="84">
        <v>0</v>
      </c>
      <c r="P2881" s="84">
        <v>0</v>
      </c>
      <c r="Q2881" s="88">
        <v>0</v>
      </c>
      <c r="R2881" s="126">
        <v>3.15E-2</v>
      </c>
      <c r="S2881" s="89" t="s">
        <v>115</v>
      </c>
      <c r="T2881" s="257">
        <f t="shared" si="95"/>
        <v>180</v>
      </c>
      <c r="U2881" s="257">
        <f t="shared" si="96"/>
        <v>45</v>
      </c>
      <c r="V2881">
        <v>1</v>
      </c>
      <c r="W2881">
        <v>1</v>
      </c>
    </row>
    <row r="2882" spans="1:23" ht="57" x14ac:dyDescent="0.3">
      <c r="A2882" s="224">
        <v>43175</v>
      </c>
      <c r="B2882" s="224">
        <v>43175</v>
      </c>
      <c r="C2882" s="6">
        <v>3</v>
      </c>
      <c r="D2882" s="6">
        <v>1</v>
      </c>
      <c r="E2882" s="84">
        <v>2018</v>
      </c>
      <c r="F2882" s="15" t="s">
        <v>22</v>
      </c>
      <c r="G2882" s="82" t="s">
        <v>6256</v>
      </c>
      <c r="H2882" s="9" t="s">
        <v>31</v>
      </c>
      <c r="I2882" s="86" t="s">
        <v>1005</v>
      </c>
      <c r="J2882" s="34" t="s">
        <v>4786</v>
      </c>
      <c r="K2882" s="84">
        <v>0</v>
      </c>
      <c r="L2882" s="173">
        <v>164</v>
      </c>
      <c r="M2882" s="84">
        <v>41</v>
      </c>
      <c r="N2882" s="84">
        <v>0</v>
      </c>
      <c r="O2882" s="84">
        <v>0</v>
      </c>
      <c r="P2882" s="84">
        <v>0</v>
      </c>
      <c r="Q2882" s="88">
        <v>0</v>
      </c>
      <c r="R2882" s="126">
        <v>2.87E-2</v>
      </c>
      <c r="S2882" s="89" t="s">
        <v>115</v>
      </c>
      <c r="T2882" s="257">
        <f t="shared" si="95"/>
        <v>164</v>
      </c>
      <c r="U2882" s="257">
        <f t="shared" si="96"/>
        <v>41</v>
      </c>
      <c r="V2882">
        <v>1</v>
      </c>
      <c r="W2882">
        <v>1</v>
      </c>
    </row>
    <row r="2883" spans="1:23" ht="114" x14ac:dyDescent="0.3">
      <c r="A2883" s="224">
        <v>43200</v>
      </c>
      <c r="B2883" s="224">
        <v>43200</v>
      </c>
      <c r="C2883" s="6">
        <v>4</v>
      </c>
      <c r="D2883" s="6">
        <v>1</v>
      </c>
      <c r="E2883" s="84">
        <v>2018</v>
      </c>
      <c r="F2883" s="15" t="s">
        <v>22</v>
      </c>
      <c r="G2883" s="82" t="s">
        <v>6256</v>
      </c>
      <c r="H2883" s="9" t="s">
        <v>70</v>
      </c>
      <c r="I2883" s="86" t="s">
        <v>4787</v>
      </c>
      <c r="J2883" s="34" t="s">
        <v>4788</v>
      </c>
      <c r="K2883" s="84">
        <v>0</v>
      </c>
      <c r="L2883" s="173">
        <v>1718</v>
      </c>
      <c r="M2883" s="84">
        <v>274</v>
      </c>
      <c r="N2883" s="84">
        <v>4</v>
      </c>
      <c r="O2883" s="84">
        <v>0</v>
      </c>
      <c r="P2883" s="84">
        <v>3</v>
      </c>
      <c r="Q2883" s="88">
        <v>0</v>
      </c>
      <c r="R2883" s="126">
        <v>0.2218</v>
      </c>
      <c r="S2883" s="89" t="s">
        <v>115</v>
      </c>
      <c r="T2883" s="257">
        <f t="shared" ref="T2883:T2946" si="97">SUM(K2883:L2883)</f>
        <v>1718</v>
      </c>
      <c r="U2883" s="257">
        <f t="shared" ref="U2883:U2946" si="98">SUM(M2883:P2883)</f>
        <v>281</v>
      </c>
      <c r="V2883">
        <v>1</v>
      </c>
      <c r="W2883">
        <v>1</v>
      </c>
    </row>
    <row r="2884" spans="1:23" ht="91.2" x14ac:dyDescent="0.3">
      <c r="A2884" s="224">
        <v>43229</v>
      </c>
      <c r="B2884" s="224">
        <v>43229</v>
      </c>
      <c r="C2884" s="6">
        <v>5</v>
      </c>
      <c r="D2884" s="6">
        <v>1</v>
      </c>
      <c r="E2884" s="84">
        <v>2018</v>
      </c>
      <c r="F2884" s="15" t="s">
        <v>22</v>
      </c>
      <c r="G2884" s="82" t="s">
        <v>6256</v>
      </c>
      <c r="H2884" s="9" t="s">
        <v>57</v>
      </c>
      <c r="I2884" s="86" t="s">
        <v>4789</v>
      </c>
      <c r="J2884" s="34" t="s">
        <v>4790</v>
      </c>
      <c r="K2884" s="84">
        <v>0</v>
      </c>
      <c r="L2884" s="173">
        <v>35</v>
      </c>
      <c r="M2884" s="84">
        <v>0</v>
      </c>
      <c r="N2884" s="84">
        <v>1</v>
      </c>
      <c r="O2884" s="84">
        <v>0</v>
      </c>
      <c r="P2884" s="84">
        <v>0</v>
      </c>
      <c r="Q2884" s="88">
        <v>0</v>
      </c>
      <c r="R2884" s="126">
        <v>4.4999999999999997E-3</v>
      </c>
      <c r="S2884" s="89" t="s">
        <v>115</v>
      </c>
      <c r="T2884" s="257">
        <f t="shared" si="97"/>
        <v>35</v>
      </c>
      <c r="U2884" s="257">
        <f t="shared" si="98"/>
        <v>1</v>
      </c>
      <c r="V2884">
        <v>1</v>
      </c>
      <c r="W2884">
        <v>1</v>
      </c>
    </row>
    <row r="2885" spans="1:23" ht="171" x14ac:dyDescent="0.3">
      <c r="A2885" s="224">
        <v>43261</v>
      </c>
      <c r="B2885" s="224">
        <v>43261</v>
      </c>
      <c r="C2885" s="6">
        <v>6</v>
      </c>
      <c r="D2885" s="6">
        <v>1</v>
      </c>
      <c r="E2885" s="84">
        <v>2018</v>
      </c>
      <c r="F2885" s="15" t="s">
        <v>22</v>
      </c>
      <c r="G2885" s="16" t="s">
        <v>6254</v>
      </c>
      <c r="H2885" s="9" t="s">
        <v>51</v>
      </c>
      <c r="I2885" s="86" t="s">
        <v>2377</v>
      </c>
      <c r="J2885" s="34" t="s">
        <v>4791</v>
      </c>
      <c r="K2885" s="84">
        <v>0</v>
      </c>
      <c r="L2885" s="173">
        <v>410</v>
      </c>
      <c r="M2885" s="84">
        <v>82</v>
      </c>
      <c r="N2885" s="84">
        <v>0</v>
      </c>
      <c r="O2885" s="84">
        <v>0</v>
      </c>
      <c r="P2885" s="84">
        <v>28</v>
      </c>
      <c r="Q2885" s="88">
        <v>0</v>
      </c>
      <c r="R2885" s="126">
        <v>9.0582100000000008</v>
      </c>
      <c r="S2885" s="89" t="s">
        <v>115</v>
      </c>
      <c r="T2885" s="257">
        <f t="shared" si="97"/>
        <v>410</v>
      </c>
      <c r="U2885" s="257">
        <f t="shared" si="98"/>
        <v>110</v>
      </c>
      <c r="V2885">
        <v>1</v>
      </c>
      <c r="W2885">
        <v>1</v>
      </c>
    </row>
    <row r="2886" spans="1:23" ht="93" x14ac:dyDescent="0.3">
      <c r="A2886" s="223">
        <v>40442</v>
      </c>
      <c r="B2886" s="223">
        <v>40442</v>
      </c>
      <c r="C2886" s="6">
        <v>9</v>
      </c>
      <c r="D2886" s="6">
        <v>1</v>
      </c>
      <c r="E2886" s="73">
        <v>2010</v>
      </c>
      <c r="F2886" s="7" t="s">
        <v>17</v>
      </c>
      <c r="G2886" s="28" t="s">
        <v>6261</v>
      </c>
      <c r="H2886" s="9" t="s">
        <v>48</v>
      </c>
      <c r="I2886" s="74" t="s">
        <v>2252</v>
      </c>
      <c r="J2886" s="132" t="s">
        <v>4792</v>
      </c>
      <c r="K2886" s="73">
        <v>0</v>
      </c>
      <c r="L2886" s="241">
        <v>0</v>
      </c>
      <c r="M2886" s="73">
        <v>0</v>
      </c>
      <c r="N2886" s="73">
        <v>0</v>
      </c>
      <c r="O2886" s="73">
        <v>0</v>
      </c>
      <c r="P2886" s="73">
        <v>0</v>
      </c>
      <c r="Q2886" s="73">
        <v>0</v>
      </c>
      <c r="R2886" s="61">
        <v>0</v>
      </c>
      <c r="S2886" s="73" t="s">
        <v>115</v>
      </c>
      <c r="T2886" s="257">
        <f t="shared" si="97"/>
        <v>0</v>
      </c>
      <c r="U2886" s="257">
        <f t="shared" si="98"/>
        <v>0</v>
      </c>
      <c r="V2886">
        <v>0</v>
      </c>
      <c r="W2886">
        <v>0</v>
      </c>
    </row>
    <row r="2887" spans="1:23" ht="66.599999999999994" x14ac:dyDescent="0.3">
      <c r="A2887" s="223">
        <v>40443</v>
      </c>
      <c r="B2887" s="223">
        <v>40443</v>
      </c>
      <c r="C2887" s="6">
        <v>9</v>
      </c>
      <c r="D2887" s="6">
        <v>1</v>
      </c>
      <c r="E2887" s="73">
        <v>2010</v>
      </c>
      <c r="F2887" s="7" t="s">
        <v>17</v>
      </c>
      <c r="G2887" s="8" t="s">
        <v>6261</v>
      </c>
      <c r="H2887" s="9" t="s">
        <v>48</v>
      </c>
      <c r="I2887" s="74" t="s">
        <v>2293</v>
      </c>
      <c r="J2887" s="132" t="s">
        <v>4793</v>
      </c>
      <c r="K2887" s="73">
        <v>0</v>
      </c>
      <c r="L2887" s="241">
        <v>0</v>
      </c>
      <c r="M2887" s="73">
        <v>0</v>
      </c>
      <c r="N2887" s="73">
        <v>0</v>
      </c>
      <c r="O2887" s="73">
        <v>0</v>
      </c>
      <c r="P2887" s="73">
        <v>0</v>
      </c>
      <c r="Q2887" s="73">
        <v>0</v>
      </c>
      <c r="R2887" s="61">
        <v>0</v>
      </c>
      <c r="S2887" s="73" t="s">
        <v>115</v>
      </c>
      <c r="T2887" s="257">
        <f t="shared" si="97"/>
        <v>0</v>
      </c>
      <c r="U2887" s="257">
        <f t="shared" si="98"/>
        <v>0</v>
      </c>
      <c r="V2887">
        <v>0</v>
      </c>
      <c r="W2887">
        <v>0</v>
      </c>
    </row>
    <row r="2888" spans="1:23" ht="184.8" x14ac:dyDescent="0.3">
      <c r="A2888" s="224">
        <v>43270</v>
      </c>
      <c r="B2888" s="224">
        <v>43270</v>
      </c>
      <c r="C2888" s="6">
        <v>6</v>
      </c>
      <c r="D2888" s="6">
        <v>1</v>
      </c>
      <c r="E2888" s="84">
        <v>2018</v>
      </c>
      <c r="F2888" s="15" t="s">
        <v>22</v>
      </c>
      <c r="G2888" s="16" t="s">
        <v>6256</v>
      </c>
      <c r="H2888" s="9" t="s">
        <v>24</v>
      </c>
      <c r="I2888" s="86" t="s">
        <v>24</v>
      </c>
      <c r="J2888" s="86" t="s">
        <v>4794</v>
      </c>
      <c r="K2888" s="84">
        <v>2</v>
      </c>
      <c r="L2888" s="173">
        <v>188</v>
      </c>
      <c r="M2888" s="84">
        <v>47</v>
      </c>
      <c r="N2888" s="84">
        <v>0</v>
      </c>
      <c r="O2888" s="84">
        <v>0</v>
      </c>
      <c r="P2888" s="84">
        <v>0</v>
      </c>
      <c r="Q2888" s="88">
        <v>0</v>
      </c>
      <c r="R2888" s="126">
        <v>4.9349999999999998E-2</v>
      </c>
      <c r="S2888" s="89" t="s">
        <v>115</v>
      </c>
      <c r="T2888" s="257">
        <f t="shared" si="97"/>
        <v>190</v>
      </c>
      <c r="U2888" s="257">
        <f t="shared" si="98"/>
        <v>47</v>
      </c>
      <c r="V2888">
        <v>1</v>
      </c>
      <c r="W2888">
        <v>1</v>
      </c>
    </row>
    <row r="2889" spans="1:23" ht="273.60000000000002" x14ac:dyDescent="0.3">
      <c r="A2889" s="224">
        <v>43271</v>
      </c>
      <c r="B2889" s="224">
        <v>43271</v>
      </c>
      <c r="C2889" s="6">
        <v>6</v>
      </c>
      <c r="D2889" s="6">
        <v>1</v>
      </c>
      <c r="E2889" s="84">
        <v>2018</v>
      </c>
      <c r="F2889" s="15" t="s">
        <v>22</v>
      </c>
      <c r="G2889" s="18" t="s">
        <v>6256</v>
      </c>
      <c r="H2889" s="9" t="s">
        <v>78</v>
      </c>
      <c r="I2889" s="86" t="s">
        <v>4795</v>
      </c>
      <c r="J2889" s="34" t="s">
        <v>4796</v>
      </c>
      <c r="K2889" s="84">
        <v>2</v>
      </c>
      <c r="L2889" s="173">
        <v>876</v>
      </c>
      <c r="M2889" s="84">
        <v>219</v>
      </c>
      <c r="N2889" s="84">
        <v>0</v>
      </c>
      <c r="O2889" s="84">
        <v>0</v>
      </c>
      <c r="P2889" s="84">
        <v>0</v>
      </c>
      <c r="Q2889" s="88">
        <v>0</v>
      </c>
      <c r="R2889" s="126">
        <v>12.646662434999998</v>
      </c>
      <c r="S2889" s="89" t="s">
        <v>131</v>
      </c>
      <c r="T2889" s="257">
        <f t="shared" si="97"/>
        <v>878</v>
      </c>
      <c r="U2889" s="257">
        <f t="shared" si="98"/>
        <v>219</v>
      </c>
      <c r="V2889">
        <v>1</v>
      </c>
      <c r="W2889">
        <v>1</v>
      </c>
    </row>
    <row r="2890" spans="1:23" ht="148.19999999999999" x14ac:dyDescent="0.3">
      <c r="A2890" s="224">
        <v>43272</v>
      </c>
      <c r="B2890" s="224">
        <v>43272</v>
      </c>
      <c r="C2890" s="6">
        <v>6</v>
      </c>
      <c r="D2890" s="6">
        <v>1</v>
      </c>
      <c r="E2890" s="84">
        <v>2018</v>
      </c>
      <c r="F2890" s="15" t="s">
        <v>22</v>
      </c>
      <c r="G2890" s="82" t="s">
        <v>6256</v>
      </c>
      <c r="H2890" s="9" t="s">
        <v>174</v>
      </c>
      <c r="I2890" s="86" t="s">
        <v>4797</v>
      </c>
      <c r="J2890" s="34" t="s">
        <v>4798</v>
      </c>
      <c r="K2890" s="84">
        <v>0</v>
      </c>
      <c r="L2890" s="173">
        <v>2</v>
      </c>
      <c r="M2890" s="84">
        <v>0</v>
      </c>
      <c r="N2890" s="84">
        <v>0</v>
      </c>
      <c r="O2890" s="84">
        <v>0</v>
      </c>
      <c r="P2890" s="84">
        <v>0</v>
      </c>
      <c r="Q2890" s="88">
        <v>0</v>
      </c>
      <c r="R2890" s="126">
        <v>7.9380000000000006E-2</v>
      </c>
      <c r="S2890" s="89" t="s">
        <v>115</v>
      </c>
      <c r="T2890" s="257">
        <f t="shared" si="97"/>
        <v>2</v>
      </c>
      <c r="U2890" s="257">
        <f t="shared" si="98"/>
        <v>0</v>
      </c>
      <c r="V2890">
        <v>1</v>
      </c>
      <c r="W2890">
        <v>0</v>
      </c>
    </row>
    <row r="2891" spans="1:23" ht="57" x14ac:dyDescent="0.3">
      <c r="A2891" s="224">
        <v>43289</v>
      </c>
      <c r="B2891" s="224">
        <v>43289</v>
      </c>
      <c r="C2891" s="6">
        <v>7</v>
      </c>
      <c r="D2891" s="6">
        <v>1</v>
      </c>
      <c r="E2891" s="84">
        <v>2018</v>
      </c>
      <c r="F2891" s="15" t="s">
        <v>22</v>
      </c>
      <c r="G2891" s="82" t="s">
        <v>6256</v>
      </c>
      <c r="H2891" s="9" t="s">
        <v>52</v>
      </c>
      <c r="I2891" s="86" t="s">
        <v>2852</v>
      </c>
      <c r="J2891" s="34" t="s">
        <v>4799</v>
      </c>
      <c r="K2891" s="84">
        <v>4</v>
      </c>
      <c r="L2891" s="173">
        <v>4</v>
      </c>
      <c r="M2891" s="84">
        <v>0</v>
      </c>
      <c r="N2891" s="84">
        <v>0</v>
      </c>
      <c r="O2891" s="84">
        <v>0</v>
      </c>
      <c r="P2891" s="84">
        <v>0</v>
      </c>
      <c r="Q2891" s="88">
        <v>0</v>
      </c>
      <c r="R2891" s="126">
        <v>0</v>
      </c>
      <c r="S2891" s="89" t="s">
        <v>115</v>
      </c>
      <c r="T2891" s="257">
        <f t="shared" si="97"/>
        <v>8</v>
      </c>
      <c r="U2891" s="257">
        <f t="shared" si="98"/>
        <v>0</v>
      </c>
      <c r="V2891">
        <v>1</v>
      </c>
      <c r="W2891">
        <v>0</v>
      </c>
    </row>
    <row r="2892" spans="1:23" ht="34.200000000000003" x14ac:dyDescent="0.3">
      <c r="A2892" s="224">
        <v>43289</v>
      </c>
      <c r="B2892" s="224">
        <v>43289</v>
      </c>
      <c r="C2892" s="6">
        <v>7</v>
      </c>
      <c r="D2892" s="6">
        <v>1</v>
      </c>
      <c r="E2892" s="84">
        <v>2018</v>
      </c>
      <c r="F2892" s="15" t="s">
        <v>22</v>
      </c>
      <c r="G2892" s="82" t="s">
        <v>6256</v>
      </c>
      <c r="H2892" s="9" t="s">
        <v>52</v>
      </c>
      <c r="I2892" s="86" t="s">
        <v>4800</v>
      </c>
      <c r="J2892" s="34" t="s">
        <v>4801</v>
      </c>
      <c r="K2892" s="84">
        <v>1</v>
      </c>
      <c r="L2892" s="173">
        <v>1</v>
      </c>
      <c r="M2892" s="84">
        <v>0</v>
      </c>
      <c r="N2892" s="84">
        <v>0</v>
      </c>
      <c r="O2892" s="84">
        <v>0</v>
      </c>
      <c r="P2892" s="84">
        <v>0</v>
      </c>
      <c r="Q2892" s="88">
        <v>0</v>
      </c>
      <c r="R2892" s="126">
        <v>0</v>
      </c>
      <c r="S2892" s="89" t="s">
        <v>115</v>
      </c>
      <c r="T2892" s="257">
        <f t="shared" si="97"/>
        <v>2</v>
      </c>
      <c r="U2892" s="257">
        <f t="shared" si="98"/>
        <v>0</v>
      </c>
      <c r="V2892">
        <v>1</v>
      </c>
      <c r="W2892">
        <v>0</v>
      </c>
    </row>
    <row r="2893" spans="1:23" ht="216.6" x14ac:dyDescent="0.3">
      <c r="A2893" s="224">
        <v>43290</v>
      </c>
      <c r="B2893" s="224">
        <v>43290</v>
      </c>
      <c r="C2893" s="6">
        <v>7</v>
      </c>
      <c r="D2893" s="6">
        <v>1</v>
      </c>
      <c r="E2893" s="84">
        <v>2018</v>
      </c>
      <c r="F2893" s="15" t="s">
        <v>22</v>
      </c>
      <c r="G2893" s="18" t="s">
        <v>6256</v>
      </c>
      <c r="H2893" s="9" t="s">
        <v>52</v>
      </c>
      <c r="I2893" s="86" t="s">
        <v>126</v>
      </c>
      <c r="J2893" s="34" t="s">
        <v>4802</v>
      </c>
      <c r="K2893" s="84">
        <v>0</v>
      </c>
      <c r="L2893" s="173">
        <v>344</v>
      </c>
      <c r="M2893" s="84">
        <v>0</v>
      </c>
      <c r="N2893" s="84">
        <v>0</v>
      </c>
      <c r="O2893" s="84">
        <v>0</v>
      </c>
      <c r="P2893" s="84">
        <v>0</v>
      </c>
      <c r="Q2893" s="88">
        <v>0</v>
      </c>
      <c r="R2893" s="126">
        <v>13.583500135</v>
      </c>
      <c r="S2893" s="89" t="s">
        <v>131</v>
      </c>
      <c r="T2893" s="257">
        <f t="shared" si="97"/>
        <v>344</v>
      </c>
      <c r="U2893" s="257">
        <f t="shared" si="98"/>
        <v>0</v>
      </c>
      <c r="V2893">
        <v>1</v>
      </c>
      <c r="W2893">
        <v>0</v>
      </c>
    </row>
    <row r="2894" spans="1:23" ht="125.4" x14ac:dyDescent="0.3">
      <c r="A2894" s="224">
        <v>43291</v>
      </c>
      <c r="B2894" s="224">
        <v>43291</v>
      </c>
      <c r="C2894" s="6">
        <v>7</v>
      </c>
      <c r="D2894" s="6">
        <v>1</v>
      </c>
      <c r="E2894" s="84">
        <v>2018</v>
      </c>
      <c r="F2894" s="15" t="s">
        <v>22</v>
      </c>
      <c r="G2894" s="18" t="s">
        <v>6256</v>
      </c>
      <c r="H2894" s="9" t="s">
        <v>46</v>
      </c>
      <c r="I2894" s="86" t="s">
        <v>680</v>
      </c>
      <c r="J2894" s="34" t="s">
        <v>4803</v>
      </c>
      <c r="K2894" s="84">
        <v>0</v>
      </c>
      <c r="L2894" s="173">
        <v>80</v>
      </c>
      <c r="M2894" s="84">
        <v>20</v>
      </c>
      <c r="N2894" s="84">
        <v>0</v>
      </c>
      <c r="O2894" s="84">
        <v>0</v>
      </c>
      <c r="P2894" s="84">
        <v>0</v>
      </c>
      <c r="Q2894" s="88">
        <v>0</v>
      </c>
      <c r="R2894" s="126">
        <v>2.1000000000000001E-2</v>
      </c>
      <c r="S2894" s="89" t="s">
        <v>115</v>
      </c>
      <c r="T2894" s="257">
        <f t="shared" si="97"/>
        <v>80</v>
      </c>
      <c r="U2894" s="257">
        <f t="shared" si="98"/>
        <v>20</v>
      </c>
      <c r="V2894">
        <v>1</v>
      </c>
      <c r="W2894">
        <v>1</v>
      </c>
    </row>
    <row r="2895" spans="1:23" ht="79.8" x14ac:dyDescent="0.3">
      <c r="A2895" s="224">
        <v>43293</v>
      </c>
      <c r="B2895" s="224">
        <v>43293</v>
      </c>
      <c r="C2895" s="6">
        <v>7</v>
      </c>
      <c r="D2895" s="6">
        <v>1</v>
      </c>
      <c r="E2895" s="84">
        <v>2018</v>
      </c>
      <c r="F2895" s="15" t="s">
        <v>22</v>
      </c>
      <c r="G2895" s="18" t="s">
        <v>6256</v>
      </c>
      <c r="H2895" s="9" t="s">
        <v>51</v>
      </c>
      <c r="I2895" s="86" t="s">
        <v>306</v>
      </c>
      <c r="J2895" s="34" t="s">
        <v>4804</v>
      </c>
      <c r="K2895" s="84">
        <v>0</v>
      </c>
      <c r="L2895" s="173">
        <v>20</v>
      </c>
      <c r="M2895" s="84">
        <v>25</v>
      </c>
      <c r="N2895" s="84">
        <v>0</v>
      </c>
      <c r="O2895" s="84">
        <v>0</v>
      </c>
      <c r="P2895" s="84">
        <v>0</v>
      </c>
      <c r="Q2895" s="88">
        <v>0</v>
      </c>
      <c r="R2895" s="126">
        <v>2.5388258720930232</v>
      </c>
      <c r="S2895" s="89" t="s">
        <v>115</v>
      </c>
      <c r="T2895" s="257">
        <f t="shared" si="97"/>
        <v>20</v>
      </c>
      <c r="U2895" s="257">
        <f t="shared" si="98"/>
        <v>25</v>
      </c>
      <c r="V2895">
        <v>1</v>
      </c>
      <c r="W2895">
        <v>1</v>
      </c>
    </row>
    <row r="2896" spans="1:23" ht="91.2" x14ac:dyDescent="0.3">
      <c r="A2896" s="224">
        <v>43294</v>
      </c>
      <c r="B2896" s="224">
        <v>43294</v>
      </c>
      <c r="C2896" s="6">
        <v>7</v>
      </c>
      <c r="D2896" s="6">
        <v>1</v>
      </c>
      <c r="E2896" s="84">
        <v>2018</v>
      </c>
      <c r="F2896" s="15" t="s">
        <v>22</v>
      </c>
      <c r="G2896" s="18" t="s">
        <v>6256</v>
      </c>
      <c r="H2896" s="9" t="s">
        <v>43</v>
      </c>
      <c r="I2896" s="86" t="s">
        <v>2917</v>
      </c>
      <c r="J2896" s="34" t="s">
        <v>4805</v>
      </c>
      <c r="K2896" s="84">
        <v>0</v>
      </c>
      <c r="L2896" s="173">
        <v>200</v>
      </c>
      <c r="M2896" s="84">
        <v>50</v>
      </c>
      <c r="N2896" s="84">
        <v>0</v>
      </c>
      <c r="O2896" s="84">
        <v>0</v>
      </c>
      <c r="P2896" s="84">
        <v>0</v>
      </c>
      <c r="Q2896" s="88">
        <v>0</v>
      </c>
      <c r="R2896" s="126">
        <v>5.2499999999999998E-2</v>
      </c>
      <c r="S2896" s="89" t="s">
        <v>115</v>
      </c>
      <c r="T2896" s="257">
        <f t="shared" si="97"/>
        <v>200</v>
      </c>
      <c r="U2896" s="257">
        <f t="shared" si="98"/>
        <v>50</v>
      </c>
      <c r="V2896">
        <v>1</v>
      </c>
      <c r="W2896">
        <v>1</v>
      </c>
    </row>
    <row r="2897" spans="1:23" ht="57" x14ac:dyDescent="0.3">
      <c r="A2897" s="224">
        <v>43298</v>
      </c>
      <c r="B2897" s="224">
        <v>43298</v>
      </c>
      <c r="C2897" s="6">
        <v>7</v>
      </c>
      <c r="D2897" s="6">
        <v>1</v>
      </c>
      <c r="E2897" s="84">
        <v>2018</v>
      </c>
      <c r="F2897" s="15" t="s">
        <v>22</v>
      </c>
      <c r="G2897" s="18" t="s">
        <v>6256</v>
      </c>
      <c r="H2897" s="9" t="s">
        <v>43</v>
      </c>
      <c r="I2897" s="86" t="s">
        <v>4456</v>
      </c>
      <c r="J2897" s="34" t="s">
        <v>4806</v>
      </c>
      <c r="K2897" s="84">
        <v>3</v>
      </c>
      <c r="L2897" s="173">
        <v>3</v>
      </c>
      <c r="M2897" s="84">
        <v>0</v>
      </c>
      <c r="N2897" s="84">
        <v>0</v>
      </c>
      <c r="O2897" s="84">
        <v>0</v>
      </c>
      <c r="P2897" s="84">
        <v>0</v>
      </c>
      <c r="Q2897" s="88">
        <v>0</v>
      </c>
      <c r="R2897" s="126">
        <v>3.9690000000000003E-2</v>
      </c>
      <c r="S2897" s="89" t="s">
        <v>115</v>
      </c>
      <c r="T2897" s="257">
        <f t="shared" si="97"/>
        <v>6</v>
      </c>
      <c r="U2897" s="257">
        <f t="shared" si="98"/>
        <v>0</v>
      </c>
      <c r="V2897">
        <v>1</v>
      </c>
      <c r="W2897">
        <v>0</v>
      </c>
    </row>
    <row r="2898" spans="1:23" ht="171" x14ac:dyDescent="0.3">
      <c r="A2898" s="224">
        <v>43309</v>
      </c>
      <c r="B2898" s="224">
        <v>43309</v>
      </c>
      <c r="C2898" s="6">
        <v>7</v>
      </c>
      <c r="D2898" s="6">
        <v>1</v>
      </c>
      <c r="E2898" s="84">
        <v>2018</v>
      </c>
      <c r="F2898" s="15" t="s">
        <v>22</v>
      </c>
      <c r="G2898" s="18" t="s">
        <v>6256</v>
      </c>
      <c r="H2898" s="9" t="s">
        <v>51</v>
      </c>
      <c r="I2898" s="86" t="s">
        <v>4807</v>
      </c>
      <c r="J2898" s="34" t="s">
        <v>4808</v>
      </c>
      <c r="K2898" s="84">
        <v>0</v>
      </c>
      <c r="L2898" s="173">
        <v>48</v>
      </c>
      <c r="M2898" s="84">
        <v>2</v>
      </c>
      <c r="N2898" s="84">
        <v>0</v>
      </c>
      <c r="O2898" s="84">
        <v>0</v>
      </c>
      <c r="P2898" s="84">
        <v>0</v>
      </c>
      <c r="Q2898" s="88">
        <v>0</v>
      </c>
      <c r="R2898" s="126">
        <v>0.12046999999999999</v>
      </c>
      <c r="S2898" s="89" t="s">
        <v>115</v>
      </c>
      <c r="T2898" s="257">
        <f t="shared" si="97"/>
        <v>48</v>
      </c>
      <c r="U2898" s="257">
        <f t="shared" si="98"/>
        <v>2</v>
      </c>
      <c r="V2898">
        <v>1</v>
      </c>
      <c r="W2898">
        <v>1</v>
      </c>
    </row>
    <row r="2899" spans="1:23" ht="79.8" x14ac:dyDescent="0.3">
      <c r="A2899" s="223">
        <v>40444</v>
      </c>
      <c r="B2899" s="223">
        <v>40444</v>
      </c>
      <c r="C2899" s="6">
        <v>9</v>
      </c>
      <c r="D2899" s="6">
        <v>1</v>
      </c>
      <c r="E2899" s="73">
        <v>2010</v>
      </c>
      <c r="F2899" s="7" t="s">
        <v>17</v>
      </c>
      <c r="G2899" s="8" t="s">
        <v>6261</v>
      </c>
      <c r="H2899" s="9" t="s">
        <v>48</v>
      </c>
      <c r="I2899" s="74" t="s">
        <v>2920</v>
      </c>
      <c r="J2899" s="132" t="s">
        <v>4809</v>
      </c>
      <c r="K2899" s="73">
        <v>0</v>
      </c>
      <c r="L2899" s="241">
        <v>0</v>
      </c>
      <c r="M2899" s="73">
        <v>0</v>
      </c>
      <c r="N2899" s="73">
        <v>0</v>
      </c>
      <c r="O2899" s="73">
        <v>0</v>
      </c>
      <c r="P2899" s="73">
        <v>0</v>
      </c>
      <c r="Q2899" s="73">
        <v>0</v>
      </c>
      <c r="R2899" s="61">
        <v>0</v>
      </c>
      <c r="S2899" s="73" t="s">
        <v>115</v>
      </c>
      <c r="T2899" s="257">
        <f t="shared" si="97"/>
        <v>0</v>
      </c>
      <c r="U2899" s="257">
        <f t="shared" si="98"/>
        <v>0</v>
      </c>
      <c r="V2899">
        <v>0</v>
      </c>
      <c r="W2899">
        <v>0</v>
      </c>
    </row>
    <row r="2900" spans="1:23" ht="102.6" x14ac:dyDescent="0.3">
      <c r="A2900" s="224">
        <v>43319</v>
      </c>
      <c r="B2900" s="224">
        <v>43319</v>
      </c>
      <c r="C2900" s="6">
        <v>8</v>
      </c>
      <c r="D2900" s="6">
        <v>1</v>
      </c>
      <c r="E2900" s="84">
        <v>2018</v>
      </c>
      <c r="F2900" s="15" t="s">
        <v>22</v>
      </c>
      <c r="G2900" s="16" t="s">
        <v>6254</v>
      </c>
      <c r="H2900" s="9" t="s">
        <v>56</v>
      </c>
      <c r="I2900" s="86" t="s">
        <v>4810</v>
      </c>
      <c r="J2900" s="34" t="s">
        <v>4811</v>
      </c>
      <c r="K2900" s="84">
        <v>0</v>
      </c>
      <c r="L2900" s="173">
        <v>250</v>
      </c>
      <c r="M2900" s="84">
        <v>0</v>
      </c>
      <c r="N2900" s="84">
        <v>0</v>
      </c>
      <c r="O2900" s="84">
        <v>0</v>
      </c>
      <c r="P2900" s="84">
        <v>0</v>
      </c>
      <c r="Q2900" s="88">
        <v>0</v>
      </c>
      <c r="R2900" s="126">
        <v>0</v>
      </c>
      <c r="S2900" s="89" t="s">
        <v>115</v>
      </c>
      <c r="T2900" s="257">
        <f t="shared" si="97"/>
        <v>250</v>
      </c>
      <c r="U2900" s="257">
        <f t="shared" si="98"/>
        <v>0</v>
      </c>
      <c r="V2900">
        <v>1</v>
      </c>
      <c r="W2900">
        <v>0</v>
      </c>
    </row>
    <row r="2901" spans="1:23" ht="171" x14ac:dyDescent="0.3">
      <c r="A2901" s="224">
        <v>43320</v>
      </c>
      <c r="B2901" s="224">
        <v>43320</v>
      </c>
      <c r="C2901" s="6">
        <v>8</v>
      </c>
      <c r="D2901" s="6">
        <v>1</v>
      </c>
      <c r="E2901" s="84">
        <v>2018</v>
      </c>
      <c r="F2901" s="15" t="s">
        <v>22</v>
      </c>
      <c r="G2901" s="16" t="s">
        <v>6254</v>
      </c>
      <c r="H2901" s="9" t="s">
        <v>74</v>
      </c>
      <c r="I2901" s="86" t="s">
        <v>960</v>
      </c>
      <c r="J2901" s="34" t="s">
        <v>4812</v>
      </c>
      <c r="K2901" s="84">
        <v>0</v>
      </c>
      <c r="L2901" s="173">
        <v>46200</v>
      </c>
      <c r="M2901" s="84">
        <v>500</v>
      </c>
      <c r="N2901" s="84">
        <v>0</v>
      </c>
      <c r="O2901" s="84">
        <v>0</v>
      </c>
      <c r="P2901" s="84">
        <v>0</v>
      </c>
      <c r="Q2901" s="88">
        <v>0</v>
      </c>
      <c r="R2901" s="126">
        <v>16.603227308333334</v>
      </c>
      <c r="S2901" s="89" t="s">
        <v>131</v>
      </c>
      <c r="T2901" s="257">
        <f t="shared" si="97"/>
        <v>46200</v>
      </c>
      <c r="U2901" s="257">
        <f t="shared" si="98"/>
        <v>500</v>
      </c>
      <c r="V2901">
        <v>2</v>
      </c>
      <c r="W2901">
        <v>1</v>
      </c>
    </row>
    <row r="2902" spans="1:23" ht="68.400000000000006" x14ac:dyDescent="0.3">
      <c r="A2902" s="224">
        <v>43324</v>
      </c>
      <c r="B2902" s="224">
        <v>43324</v>
      </c>
      <c r="C2902" s="6">
        <v>8</v>
      </c>
      <c r="D2902" s="6">
        <v>1</v>
      </c>
      <c r="E2902" s="84">
        <v>2018</v>
      </c>
      <c r="F2902" s="15" t="s">
        <v>22</v>
      </c>
      <c r="G2902" s="16" t="s">
        <v>6256</v>
      </c>
      <c r="H2902" s="9" t="s">
        <v>34</v>
      </c>
      <c r="I2902" s="86" t="s">
        <v>4286</v>
      </c>
      <c r="J2902" s="34" t="s">
        <v>4813</v>
      </c>
      <c r="K2902" s="84">
        <v>0</v>
      </c>
      <c r="L2902" s="173">
        <v>71</v>
      </c>
      <c r="M2902" s="84">
        <v>25</v>
      </c>
      <c r="N2902" s="84">
        <v>0</v>
      </c>
      <c r="O2902" s="84">
        <v>0</v>
      </c>
      <c r="P2902" s="84">
        <v>0</v>
      </c>
      <c r="Q2902" s="88">
        <v>0</v>
      </c>
      <c r="R2902" s="126">
        <v>2.6249999999999999E-2</v>
      </c>
      <c r="S2902" s="89" t="s">
        <v>115</v>
      </c>
      <c r="T2902" s="257">
        <f t="shared" si="97"/>
        <v>71</v>
      </c>
      <c r="U2902" s="257">
        <f t="shared" si="98"/>
        <v>25</v>
      </c>
      <c r="V2902">
        <v>1</v>
      </c>
      <c r="W2902">
        <v>1</v>
      </c>
    </row>
    <row r="2903" spans="1:23" ht="102.6" x14ac:dyDescent="0.3">
      <c r="A2903" s="224">
        <v>43328</v>
      </c>
      <c r="B2903" s="224">
        <v>43328</v>
      </c>
      <c r="C2903" s="6">
        <v>8</v>
      </c>
      <c r="D2903" s="6">
        <v>1</v>
      </c>
      <c r="E2903" s="84">
        <v>2018</v>
      </c>
      <c r="F2903" s="15" t="s">
        <v>22</v>
      </c>
      <c r="G2903" s="18" t="s">
        <v>6256</v>
      </c>
      <c r="H2903" s="9" t="s">
        <v>31</v>
      </c>
      <c r="I2903" s="86" t="s">
        <v>4814</v>
      </c>
      <c r="J2903" s="34" t="s">
        <v>4815</v>
      </c>
      <c r="K2903" s="84">
        <v>0</v>
      </c>
      <c r="L2903" s="173">
        <v>168</v>
      </c>
      <c r="M2903" s="84">
        <v>42</v>
      </c>
      <c r="N2903" s="84">
        <v>0</v>
      </c>
      <c r="O2903" s="84">
        <v>0</v>
      </c>
      <c r="P2903" s="84">
        <v>8</v>
      </c>
      <c r="Q2903" s="88">
        <v>0</v>
      </c>
      <c r="R2903" s="126">
        <v>225.34680970292857</v>
      </c>
      <c r="S2903" s="89" t="s">
        <v>131</v>
      </c>
      <c r="T2903" s="257">
        <f t="shared" si="97"/>
        <v>168</v>
      </c>
      <c r="U2903" s="257">
        <f t="shared" si="98"/>
        <v>50</v>
      </c>
      <c r="V2903">
        <v>1</v>
      </c>
      <c r="W2903">
        <v>1</v>
      </c>
    </row>
    <row r="2904" spans="1:23" ht="45.6" x14ac:dyDescent="0.3">
      <c r="A2904" s="224">
        <v>43329</v>
      </c>
      <c r="B2904" s="224">
        <v>43329</v>
      </c>
      <c r="C2904" s="6">
        <v>8</v>
      </c>
      <c r="D2904" s="6">
        <v>1</v>
      </c>
      <c r="E2904" s="84">
        <v>2018</v>
      </c>
      <c r="F2904" s="15" t="s">
        <v>22</v>
      </c>
      <c r="G2904" s="18" t="s">
        <v>6256</v>
      </c>
      <c r="H2904" s="9" t="s">
        <v>41</v>
      </c>
      <c r="I2904" s="86" t="s">
        <v>41</v>
      </c>
      <c r="J2904" s="34" t="s">
        <v>4816</v>
      </c>
      <c r="K2904" s="84">
        <v>0</v>
      </c>
      <c r="L2904" s="173">
        <v>140</v>
      </c>
      <c r="M2904" s="84">
        <v>34</v>
      </c>
      <c r="N2904" s="84">
        <v>0</v>
      </c>
      <c r="O2904" s="84">
        <v>0</v>
      </c>
      <c r="P2904" s="84">
        <v>0</v>
      </c>
      <c r="Q2904" s="88">
        <v>0</v>
      </c>
      <c r="R2904" s="126">
        <v>8.5115360100000004</v>
      </c>
      <c r="S2904" s="89" t="s">
        <v>131</v>
      </c>
      <c r="T2904" s="257">
        <f t="shared" si="97"/>
        <v>140</v>
      </c>
      <c r="U2904" s="257">
        <f t="shared" si="98"/>
        <v>34</v>
      </c>
      <c r="V2904">
        <v>1</v>
      </c>
      <c r="W2904">
        <v>1</v>
      </c>
    </row>
    <row r="2905" spans="1:23" ht="91.2" x14ac:dyDescent="0.3">
      <c r="A2905" s="224">
        <v>43334</v>
      </c>
      <c r="B2905" s="224">
        <v>43334</v>
      </c>
      <c r="C2905" s="6">
        <v>8</v>
      </c>
      <c r="D2905" s="6">
        <v>1</v>
      </c>
      <c r="E2905" s="84">
        <v>2018</v>
      </c>
      <c r="F2905" s="15" t="s">
        <v>22</v>
      </c>
      <c r="G2905" s="18" t="s">
        <v>6256</v>
      </c>
      <c r="H2905" s="9" t="s">
        <v>174</v>
      </c>
      <c r="I2905" s="86" t="s">
        <v>1370</v>
      </c>
      <c r="J2905" s="34" t="s">
        <v>4817</v>
      </c>
      <c r="K2905" s="84">
        <v>0</v>
      </c>
      <c r="L2905" s="173">
        <v>520</v>
      </c>
      <c r="M2905" s="84">
        <v>130</v>
      </c>
      <c r="N2905" s="84">
        <v>0</v>
      </c>
      <c r="O2905" s="84">
        <v>0</v>
      </c>
      <c r="P2905" s="84">
        <v>0</v>
      </c>
      <c r="Q2905" s="88">
        <v>0</v>
      </c>
      <c r="R2905" s="126">
        <v>0.13650000000000001</v>
      </c>
      <c r="S2905" s="89" t="s">
        <v>115</v>
      </c>
      <c r="T2905" s="257">
        <f t="shared" si="97"/>
        <v>520</v>
      </c>
      <c r="U2905" s="257">
        <f t="shared" si="98"/>
        <v>130</v>
      </c>
      <c r="V2905">
        <v>1</v>
      </c>
      <c r="W2905">
        <v>1</v>
      </c>
    </row>
    <row r="2906" spans="1:23" ht="57" x14ac:dyDescent="0.3">
      <c r="A2906" s="224">
        <v>43334</v>
      </c>
      <c r="B2906" s="224">
        <v>43334</v>
      </c>
      <c r="C2906" s="6">
        <v>8</v>
      </c>
      <c r="D2906" s="6">
        <v>1</v>
      </c>
      <c r="E2906" s="84">
        <v>2018</v>
      </c>
      <c r="F2906" s="15" t="s">
        <v>22</v>
      </c>
      <c r="G2906" s="18" t="s">
        <v>6256</v>
      </c>
      <c r="H2906" s="9" t="s">
        <v>174</v>
      </c>
      <c r="I2906" s="86" t="s">
        <v>4818</v>
      </c>
      <c r="J2906" s="34" t="s">
        <v>4819</v>
      </c>
      <c r="K2906" s="84">
        <v>1</v>
      </c>
      <c r="L2906" s="173">
        <v>3</v>
      </c>
      <c r="M2906" s="84">
        <v>1</v>
      </c>
      <c r="N2906" s="84">
        <v>0</v>
      </c>
      <c r="O2906" s="84">
        <v>0</v>
      </c>
      <c r="P2906" s="84">
        <v>0</v>
      </c>
      <c r="Q2906" s="88">
        <v>0</v>
      </c>
      <c r="R2906" s="126">
        <v>0.12180000000000001</v>
      </c>
      <c r="S2906" s="89" t="s">
        <v>115</v>
      </c>
      <c r="T2906" s="257">
        <f t="shared" si="97"/>
        <v>4</v>
      </c>
      <c r="U2906" s="257">
        <f t="shared" si="98"/>
        <v>1</v>
      </c>
      <c r="V2906">
        <v>1</v>
      </c>
      <c r="W2906">
        <v>1</v>
      </c>
    </row>
    <row r="2907" spans="1:23" ht="136.80000000000001" x14ac:dyDescent="0.3">
      <c r="A2907" s="224">
        <v>43335</v>
      </c>
      <c r="B2907" s="224">
        <v>43335</v>
      </c>
      <c r="C2907" s="6">
        <v>8</v>
      </c>
      <c r="D2907" s="6">
        <v>1</v>
      </c>
      <c r="E2907" s="84">
        <v>2018</v>
      </c>
      <c r="F2907" s="15" t="s">
        <v>22</v>
      </c>
      <c r="G2907" s="18" t="s">
        <v>6256</v>
      </c>
      <c r="H2907" s="9" t="s">
        <v>74</v>
      </c>
      <c r="I2907" s="86" t="s">
        <v>350</v>
      </c>
      <c r="J2907" s="34" t="s">
        <v>4820</v>
      </c>
      <c r="K2907" s="84">
        <v>0</v>
      </c>
      <c r="L2907" s="173">
        <v>24</v>
      </c>
      <c r="M2907" s="84">
        <v>6</v>
      </c>
      <c r="N2907" s="84">
        <v>0</v>
      </c>
      <c r="O2907" s="84">
        <v>0</v>
      </c>
      <c r="P2907" s="84">
        <v>0</v>
      </c>
      <c r="Q2907" s="88">
        <v>0</v>
      </c>
      <c r="R2907" s="126">
        <v>13.103262186666665</v>
      </c>
      <c r="S2907" s="89" t="s">
        <v>131</v>
      </c>
      <c r="T2907" s="257">
        <f t="shared" si="97"/>
        <v>24</v>
      </c>
      <c r="U2907" s="257">
        <f t="shared" si="98"/>
        <v>6</v>
      </c>
      <c r="V2907">
        <v>1</v>
      </c>
      <c r="W2907">
        <v>1</v>
      </c>
    </row>
    <row r="2908" spans="1:23" ht="102.6" x14ac:dyDescent="0.3">
      <c r="A2908" s="224">
        <v>43335</v>
      </c>
      <c r="B2908" s="224">
        <v>43335</v>
      </c>
      <c r="C2908" s="6">
        <v>8</v>
      </c>
      <c r="D2908" s="6">
        <v>1</v>
      </c>
      <c r="E2908" s="84">
        <v>2018</v>
      </c>
      <c r="F2908" s="15" t="s">
        <v>22</v>
      </c>
      <c r="G2908" s="9" t="s">
        <v>6257</v>
      </c>
      <c r="H2908" s="9" t="s">
        <v>31</v>
      </c>
      <c r="I2908" s="86" t="s">
        <v>4821</v>
      </c>
      <c r="J2908" s="34" t="s">
        <v>4822</v>
      </c>
      <c r="K2908" s="84">
        <v>0</v>
      </c>
      <c r="L2908" s="173">
        <v>400</v>
      </c>
      <c r="M2908" s="84">
        <v>200</v>
      </c>
      <c r="N2908" s="84">
        <v>0</v>
      </c>
      <c r="O2908" s="84">
        <v>0</v>
      </c>
      <c r="P2908" s="84">
        <v>0</v>
      </c>
      <c r="Q2908" s="88">
        <v>0</v>
      </c>
      <c r="R2908" s="126">
        <v>7.0000000000000007E-2</v>
      </c>
      <c r="S2908" s="89" t="s">
        <v>115</v>
      </c>
      <c r="T2908" s="257">
        <f t="shared" si="97"/>
        <v>400</v>
      </c>
      <c r="U2908" s="257">
        <f t="shared" si="98"/>
        <v>200</v>
      </c>
      <c r="V2908">
        <v>1</v>
      </c>
      <c r="W2908">
        <v>1</v>
      </c>
    </row>
    <row r="2909" spans="1:23" ht="93" x14ac:dyDescent="0.3">
      <c r="A2909" s="223">
        <v>40448</v>
      </c>
      <c r="B2909" s="223">
        <v>40448</v>
      </c>
      <c r="C2909" s="6">
        <v>9</v>
      </c>
      <c r="D2909" s="6">
        <v>1</v>
      </c>
      <c r="E2909" s="73">
        <v>2010</v>
      </c>
      <c r="F2909" s="7" t="s">
        <v>17</v>
      </c>
      <c r="G2909" s="8" t="s">
        <v>6261</v>
      </c>
      <c r="H2909" s="9" t="s">
        <v>48</v>
      </c>
      <c r="I2909" s="74" t="s">
        <v>4823</v>
      </c>
      <c r="J2909" s="132" t="s">
        <v>4824</v>
      </c>
      <c r="K2909" s="73">
        <v>0</v>
      </c>
      <c r="L2909" s="241">
        <v>0</v>
      </c>
      <c r="M2909" s="73">
        <v>0</v>
      </c>
      <c r="N2909" s="73">
        <v>0</v>
      </c>
      <c r="O2909" s="73">
        <v>0</v>
      </c>
      <c r="P2909" s="73">
        <v>0</v>
      </c>
      <c r="Q2909" s="73">
        <v>0</v>
      </c>
      <c r="R2909" s="61">
        <v>0</v>
      </c>
      <c r="S2909" s="73" t="s">
        <v>115</v>
      </c>
      <c r="T2909" s="257">
        <f t="shared" si="97"/>
        <v>0</v>
      </c>
      <c r="U2909" s="257">
        <f t="shared" si="98"/>
        <v>0</v>
      </c>
      <c r="V2909">
        <v>0</v>
      </c>
      <c r="W2909">
        <v>0</v>
      </c>
    </row>
    <row r="2910" spans="1:23" ht="91.2" x14ac:dyDescent="0.3">
      <c r="A2910" s="224">
        <v>43336</v>
      </c>
      <c r="B2910" s="224">
        <v>43336</v>
      </c>
      <c r="C2910" s="6">
        <v>8</v>
      </c>
      <c r="D2910" s="6">
        <v>1</v>
      </c>
      <c r="E2910" s="84">
        <v>2018</v>
      </c>
      <c r="F2910" s="15" t="s">
        <v>22</v>
      </c>
      <c r="G2910" s="9" t="s">
        <v>6257</v>
      </c>
      <c r="H2910" s="9" t="s">
        <v>31</v>
      </c>
      <c r="I2910" s="86" t="s">
        <v>196</v>
      </c>
      <c r="J2910" s="34" t="s">
        <v>4825</v>
      </c>
      <c r="K2910" s="84">
        <v>0</v>
      </c>
      <c r="L2910" s="173">
        <v>4</v>
      </c>
      <c r="M2910" s="84">
        <v>1</v>
      </c>
      <c r="N2910" s="84">
        <v>0</v>
      </c>
      <c r="O2910" s="84">
        <v>0</v>
      </c>
      <c r="P2910" s="84">
        <v>0</v>
      </c>
      <c r="Q2910" s="88">
        <v>0</v>
      </c>
      <c r="R2910" s="126">
        <v>1.16E-3</v>
      </c>
      <c r="S2910" s="89" t="s">
        <v>115</v>
      </c>
      <c r="T2910" s="257">
        <f t="shared" si="97"/>
        <v>4</v>
      </c>
      <c r="U2910" s="257">
        <f t="shared" si="98"/>
        <v>1</v>
      </c>
      <c r="V2910">
        <v>1</v>
      </c>
      <c r="W2910">
        <v>1</v>
      </c>
    </row>
    <row r="2911" spans="1:23" ht="136.80000000000001" x14ac:dyDescent="0.3">
      <c r="A2911" s="224">
        <v>43343</v>
      </c>
      <c r="B2911" s="224">
        <v>43343</v>
      </c>
      <c r="C2911" s="6">
        <v>8</v>
      </c>
      <c r="D2911" s="6">
        <v>1</v>
      </c>
      <c r="E2911" s="84">
        <v>2018</v>
      </c>
      <c r="F2911" s="15" t="s">
        <v>22</v>
      </c>
      <c r="G2911" s="18" t="s">
        <v>6256</v>
      </c>
      <c r="H2911" s="9" t="s">
        <v>43</v>
      </c>
      <c r="I2911" s="86" t="s">
        <v>1036</v>
      </c>
      <c r="J2911" s="34" t="s">
        <v>4826</v>
      </c>
      <c r="K2911" s="84">
        <v>2</v>
      </c>
      <c r="L2911" s="173">
        <v>6</v>
      </c>
      <c r="M2911" s="84">
        <v>0</v>
      </c>
      <c r="N2911" s="84">
        <v>0</v>
      </c>
      <c r="O2911" s="84">
        <v>0</v>
      </c>
      <c r="P2911" s="84">
        <v>0</v>
      </c>
      <c r="Q2911" s="88">
        <v>0</v>
      </c>
      <c r="R2911" s="126">
        <v>3.5999999999999999E-3</v>
      </c>
      <c r="S2911" s="89" t="s">
        <v>115</v>
      </c>
      <c r="T2911" s="257">
        <f t="shared" si="97"/>
        <v>8</v>
      </c>
      <c r="U2911" s="257">
        <f t="shared" si="98"/>
        <v>0</v>
      </c>
      <c r="V2911">
        <v>1</v>
      </c>
      <c r="W2911">
        <v>0</v>
      </c>
    </row>
    <row r="2912" spans="1:23" ht="399" x14ac:dyDescent="0.3">
      <c r="A2912" s="224">
        <v>43344</v>
      </c>
      <c r="B2912" s="224">
        <v>43344</v>
      </c>
      <c r="C2912" s="6">
        <v>9</v>
      </c>
      <c r="D2912" s="6">
        <v>1</v>
      </c>
      <c r="E2912" s="84">
        <v>2018</v>
      </c>
      <c r="F2912" s="15" t="s">
        <v>22</v>
      </c>
      <c r="G2912" s="18" t="s">
        <v>6256</v>
      </c>
      <c r="H2912" s="9" t="s">
        <v>43</v>
      </c>
      <c r="I2912" s="86" t="s">
        <v>471</v>
      </c>
      <c r="J2912" s="34" t="s">
        <v>4827</v>
      </c>
      <c r="K2912" s="84">
        <v>0</v>
      </c>
      <c r="L2912" s="173">
        <v>3800</v>
      </c>
      <c r="M2912" s="84">
        <v>30</v>
      </c>
      <c r="N2912" s="84">
        <v>0</v>
      </c>
      <c r="O2912" s="84">
        <v>0</v>
      </c>
      <c r="P2912" s="84">
        <v>0</v>
      </c>
      <c r="Q2912" s="88">
        <v>0</v>
      </c>
      <c r="R2912" s="126">
        <v>3.15E-2</v>
      </c>
      <c r="S2912" s="89" t="s">
        <v>115</v>
      </c>
      <c r="T2912" s="257">
        <f t="shared" si="97"/>
        <v>3800</v>
      </c>
      <c r="U2912" s="257">
        <f t="shared" si="98"/>
        <v>30</v>
      </c>
      <c r="V2912">
        <v>1</v>
      </c>
      <c r="W2912">
        <v>1</v>
      </c>
    </row>
    <row r="2913" spans="1:23" ht="171" x14ac:dyDescent="0.3">
      <c r="A2913" s="224">
        <v>43346</v>
      </c>
      <c r="B2913" s="224">
        <v>43346</v>
      </c>
      <c r="C2913" s="6">
        <v>9</v>
      </c>
      <c r="D2913" s="6">
        <v>1</v>
      </c>
      <c r="E2913" s="84">
        <v>2018</v>
      </c>
      <c r="F2913" s="15" t="s">
        <v>22</v>
      </c>
      <c r="G2913" s="18" t="s">
        <v>6256</v>
      </c>
      <c r="H2913" s="9" t="s">
        <v>57</v>
      </c>
      <c r="I2913" s="86" t="s">
        <v>1471</v>
      </c>
      <c r="J2913" s="34" t="s">
        <v>4828</v>
      </c>
      <c r="K2913" s="84">
        <v>1</v>
      </c>
      <c r="L2913" s="173">
        <v>3</v>
      </c>
      <c r="M2913" s="84">
        <v>50</v>
      </c>
      <c r="N2913" s="84">
        <v>0</v>
      </c>
      <c r="O2913" s="84">
        <v>0</v>
      </c>
      <c r="P2913" s="84">
        <v>0</v>
      </c>
      <c r="Q2913" s="88">
        <v>0</v>
      </c>
      <c r="R2913" s="126">
        <v>1.9889049999999999</v>
      </c>
      <c r="S2913" s="89" t="s">
        <v>115</v>
      </c>
      <c r="T2913" s="257">
        <f t="shared" si="97"/>
        <v>4</v>
      </c>
      <c r="U2913" s="257">
        <f t="shared" si="98"/>
        <v>50</v>
      </c>
      <c r="V2913">
        <v>1</v>
      </c>
      <c r="W2913">
        <v>1</v>
      </c>
    </row>
    <row r="2914" spans="1:23" ht="307.8" x14ac:dyDescent="0.3">
      <c r="A2914" s="224">
        <v>43346</v>
      </c>
      <c r="B2914" s="224">
        <v>43346</v>
      </c>
      <c r="C2914" s="6">
        <v>9</v>
      </c>
      <c r="D2914" s="6">
        <v>1</v>
      </c>
      <c r="E2914" s="84">
        <v>2018</v>
      </c>
      <c r="F2914" s="15" t="s">
        <v>22</v>
      </c>
      <c r="G2914" s="18" t="s">
        <v>6256</v>
      </c>
      <c r="H2914" s="9" t="s">
        <v>37</v>
      </c>
      <c r="I2914" s="86" t="s">
        <v>1467</v>
      </c>
      <c r="J2914" s="34" t="s">
        <v>4829</v>
      </c>
      <c r="K2914" s="84">
        <v>0</v>
      </c>
      <c r="L2914" s="173">
        <v>218</v>
      </c>
      <c r="M2914" s="84">
        <v>50</v>
      </c>
      <c r="N2914" s="84">
        <v>0</v>
      </c>
      <c r="O2914" s="84">
        <v>0</v>
      </c>
      <c r="P2914" s="84">
        <v>0</v>
      </c>
      <c r="Q2914" s="88">
        <v>0</v>
      </c>
      <c r="R2914" s="126">
        <v>3.6650000000000002E-2</v>
      </c>
      <c r="S2914" s="89" t="s">
        <v>115</v>
      </c>
      <c r="T2914" s="257">
        <f t="shared" si="97"/>
        <v>218</v>
      </c>
      <c r="U2914" s="257">
        <f t="shared" si="98"/>
        <v>50</v>
      </c>
      <c r="V2914">
        <v>1</v>
      </c>
      <c r="W2914">
        <v>1</v>
      </c>
    </row>
    <row r="2915" spans="1:23" ht="45.6" x14ac:dyDescent="0.3">
      <c r="A2915" s="224">
        <v>43347</v>
      </c>
      <c r="B2915" s="224">
        <v>43347</v>
      </c>
      <c r="C2915" s="6">
        <v>9</v>
      </c>
      <c r="D2915" s="6">
        <v>1</v>
      </c>
      <c r="E2915" s="84">
        <v>2018</v>
      </c>
      <c r="F2915" s="15" t="s">
        <v>22</v>
      </c>
      <c r="G2915" s="18" t="s">
        <v>6256</v>
      </c>
      <c r="H2915" s="9" t="s">
        <v>56</v>
      </c>
      <c r="I2915" s="86" t="s">
        <v>1269</v>
      </c>
      <c r="J2915" s="34" t="s">
        <v>4830</v>
      </c>
      <c r="K2915" s="84">
        <v>0</v>
      </c>
      <c r="L2915" s="173">
        <v>120</v>
      </c>
      <c r="M2915" s="84">
        <v>30</v>
      </c>
      <c r="N2915" s="84">
        <v>0</v>
      </c>
      <c r="O2915" s="84">
        <v>0</v>
      </c>
      <c r="P2915" s="84">
        <v>0</v>
      </c>
      <c r="Q2915" s="88">
        <v>0</v>
      </c>
      <c r="R2915" s="126">
        <v>2.1000000000000001E-2</v>
      </c>
      <c r="S2915" s="89" t="s">
        <v>115</v>
      </c>
      <c r="T2915" s="257">
        <f t="shared" si="97"/>
        <v>120</v>
      </c>
      <c r="U2915" s="257">
        <f t="shared" si="98"/>
        <v>30</v>
      </c>
      <c r="V2915">
        <v>1</v>
      </c>
      <c r="W2915">
        <v>1</v>
      </c>
    </row>
    <row r="2916" spans="1:23" ht="114" x14ac:dyDescent="0.3">
      <c r="A2916" s="224">
        <v>43347</v>
      </c>
      <c r="B2916" s="224">
        <v>43347</v>
      </c>
      <c r="C2916" s="6">
        <v>9</v>
      </c>
      <c r="D2916" s="6">
        <v>1</v>
      </c>
      <c r="E2916" s="84">
        <v>2018</v>
      </c>
      <c r="F2916" s="15" t="s">
        <v>22</v>
      </c>
      <c r="G2916" s="18" t="s">
        <v>6256</v>
      </c>
      <c r="H2916" s="9" t="s">
        <v>41</v>
      </c>
      <c r="I2916" s="86" t="s">
        <v>41</v>
      </c>
      <c r="J2916" s="34" t="s">
        <v>4831</v>
      </c>
      <c r="K2916" s="84">
        <v>0</v>
      </c>
      <c r="L2916" s="173">
        <v>8</v>
      </c>
      <c r="M2916" s="84">
        <v>2</v>
      </c>
      <c r="N2916" s="84">
        <v>0</v>
      </c>
      <c r="O2916" s="84">
        <v>0</v>
      </c>
      <c r="P2916" s="84">
        <v>0</v>
      </c>
      <c r="Q2916" s="88">
        <v>0</v>
      </c>
      <c r="R2916" s="126">
        <v>7.9012841099999997</v>
      </c>
      <c r="S2916" s="89" t="s">
        <v>131</v>
      </c>
      <c r="T2916" s="257">
        <f t="shared" si="97"/>
        <v>8</v>
      </c>
      <c r="U2916" s="257">
        <f t="shared" si="98"/>
        <v>2</v>
      </c>
      <c r="V2916">
        <v>1</v>
      </c>
      <c r="W2916">
        <v>1</v>
      </c>
    </row>
    <row r="2917" spans="1:23" ht="102.6" x14ac:dyDescent="0.3">
      <c r="A2917" s="224">
        <v>43349</v>
      </c>
      <c r="B2917" s="224">
        <v>43349</v>
      </c>
      <c r="C2917" s="6">
        <v>9</v>
      </c>
      <c r="D2917" s="6">
        <v>1</v>
      </c>
      <c r="E2917" s="84">
        <v>2018</v>
      </c>
      <c r="F2917" s="15" t="s">
        <v>22</v>
      </c>
      <c r="G2917" s="18" t="s">
        <v>6256</v>
      </c>
      <c r="H2917" s="9" t="s">
        <v>56</v>
      </c>
      <c r="I2917" s="86" t="s">
        <v>4832</v>
      </c>
      <c r="J2917" s="34" t="s">
        <v>4833</v>
      </c>
      <c r="K2917" s="84">
        <v>4</v>
      </c>
      <c r="L2917" s="173">
        <v>4</v>
      </c>
      <c r="M2917" s="84">
        <v>0</v>
      </c>
      <c r="N2917" s="84">
        <v>0</v>
      </c>
      <c r="O2917" s="84">
        <v>0</v>
      </c>
      <c r="P2917" s="84">
        <v>0</v>
      </c>
      <c r="Q2917" s="88">
        <v>0</v>
      </c>
      <c r="R2917" s="126">
        <v>3.9690000000000003E-2</v>
      </c>
      <c r="S2917" s="89" t="s">
        <v>115</v>
      </c>
      <c r="T2917" s="257">
        <f t="shared" si="97"/>
        <v>8</v>
      </c>
      <c r="U2917" s="257">
        <f t="shared" si="98"/>
        <v>0</v>
      </c>
      <c r="V2917">
        <v>1</v>
      </c>
      <c r="W2917">
        <v>0</v>
      </c>
    </row>
    <row r="2918" spans="1:23" ht="125.4" x14ac:dyDescent="0.3">
      <c r="A2918" s="224">
        <v>43349</v>
      </c>
      <c r="B2918" s="224">
        <v>43349</v>
      </c>
      <c r="C2918" s="6">
        <v>9</v>
      </c>
      <c r="D2918" s="6">
        <v>1</v>
      </c>
      <c r="E2918" s="84">
        <v>2018</v>
      </c>
      <c r="F2918" s="15" t="s">
        <v>22</v>
      </c>
      <c r="G2918" s="16" t="s">
        <v>6256</v>
      </c>
      <c r="H2918" s="9" t="s">
        <v>37</v>
      </c>
      <c r="I2918" s="86" t="s">
        <v>1374</v>
      </c>
      <c r="J2918" s="34" t="s">
        <v>4834</v>
      </c>
      <c r="K2918" s="84">
        <v>0</v>
      </c>
      <c r="L2918" s="254">
        <v>0</v>
      </c>
      <c r="M2918" s="84">
        <v>1</v>
      </c>
      <c r="N2918" s="84">
        <v>0</v>
      </c>
      <c r="O2918" s="84">
        <v>0</v>
      </c>
      <c r="P2918" s="84">
        <v>0</v>
      </c>
      <c r="Q2918" s="88">
        <v>0</v>
      </c>
      <c r="R2918" s="126">
        <v>0.12</v>
      </c>
      <c r="S2918" s="89" t="s">
        <v>115</v>
      </c>
      <c r="T2918" s="257">
        <f t="shared" si="97"/>
        <v>0</v>
      </c>
      <c r="U2918" s="257">
        <f t="shared" si="98"/>
        <v>1</v>
      </c>
      <c r="V2918">
        <v>0</v>
      </c>
      <c r="W2918">
        <v>1</v>
      </c>
    </row>
    <row r="2919" spans="1:23" ht="409.6" x14ac:dyDescent="0.3">
      <c r="A2919" s="224">
        <v>43349</v>
      </c>
      <c r="B2919" s="224">
        <v>43349</v>
      </c>
      <c r="C2919" s="6">
        <v>9</v>
      </c>
      <c r="D2919" s="6">
        <v>1</v>
      </c>
      <c r="E2919" s="84">
        <v>2018</v>
      </c>
      <c r="F2919" s="15" t="s">
        <v>22</v>
      </c>
      <c r="G2919" s="18" t="s">
        <v>6256</v>
      </c>
      <c r="H2919" s="9" t="s">
        <v>37</v>
      </c>
      <c r="I2919" s="86" t="s">
        <v>4835</v>
      </c>
      <c r="J2919" s="34" t="s">
        <v>4836</v>
      </c>
      <c r="K2919" s="84">
        <v>0</v>
      </c>
      <c r="L2919" s="173">
        <v>42</v>
      </c>
      <c r="M2919" s="84">
        <v>142</v>
      </c>
      <c r="N2919" s="84">
        <v>0</v>
      </c>
      <c r="O2919" s="84">
        <v>0</v>
      </c>
      <c r="P2919" s="84">
        <v>0</v>
      </c>
      <c r="Q2919" s="88">
        <v>0</v>
      </c>
      <c r="R2919" s="126">
        <v>9.5894830600000009</v>
      </c>
      <c r="S2919" s="89" t="s">
        <v>131</v>
      </c>
      <c r="T2919" s="257">
        <f t="shared" si="97"/>
        <v>42</v>
      </c>
      <c r="U2919" s="257">
        <f t="shared" si="98"/>
        <v>142</v>
      </c>
      <c r="V2919">
        <v>1</v>
      </c>
      <c r="W2919">
        <v>1</v>
      </c>
    </row>
    <row r="2920" spans="1:23" ht="148.19999999999999" x14ac:dyDescent="0.3">
      <c r="A2920" s="224">
        <v>43351</v>
      </c>
      <c r="B2920" s="224">
        <v>43351</v>
      </c>
      <c r="C2920" s="6">
        <v>9</v>
      </c>
      <c r="D2920" s="6">
        <v>1</v>
      </c>
      <c r="E2920" s="84">
        <v>2018</v>
      </c>
      <c r="F2920" s="15" t="s">
        <v>22</v>
      </c>
      <c r="G2920" s="18" t="s">
        <v>6256</v>
      </c>
      <c r="H2920" s="9" t="s">
        <v>34</v>
      </c>
      <c r="I2920" s="86" t="s">
        <v>3529</v>
      </c>
      <c r="J2920" s="34" t="s">
        <v>4837</v>
      </c>
      <c r="K2920" s="84">
        <v>0</v>
      </c>
      <c r="L2920" s="173">
        <v>50</v>
      </c>
      <c r="M2920" s="84">
        <v>20</v>
      </c>
      <c r="N2920" s="84">
        <v>0</v>
      </c>
      <c r="O2920" s="84">
        <v>0</v>
      </c>
      <c r="P2920" s="84">
        <v>0</v>
      </c>
      <c r="Q2920" s="88">
        <v>0</v>
      </c>
      <c r="R2920" s="126">
        <v>2.1000000000000001E-2</v>
      </c>
      <c r="S2920" s="89" t="s">
        <v>115</v>
      </c>
      <c r="T2920" s="257">
        <f t="shared" si="97"/>
        <v>50</v>
      </c>
      <c r="U2920" s="257">
        <f t="shared" si="98"/>
        <v>20</v>
      </c>
      <c r="V2920">
        <v>1</v>
      </c>
      <c r="W2920">
        <v>1</v>
      </c>
    </row>
    <row r="2921" spans="1:23" ht="148.19999999999999" x14ac:dyDescent="0.3">
      <c r="A2921" s="224">
        <v>43354</v>
      </c>
      <c r="B2921" s="224">
        <v>43354</v>
      </c>
      <c r="C2921" s="6">
        <v>9</v>
      </c>
      <c r="D2921" s="6">
        <v>1</v>
      </c>
      <c r="E2921" s="84">
        <v>2018</v>
      </c>
      <c r="F2921" s="15" t="s">
        <v>22</v>
      </c>
      <c r="G2921" s="18" t="s">
        <v>6256</v>
      </c>
      <c r="H2921" s="9" t="s">
        <v>52</v>
      </c>
      <c r="I2921" s="86" t="s">
        <v>1255</v>
      </c>
      <c r="J2921" s="34" t="s">
        <v>4838</v>
      </c>
      <c r="K2921" s="84">
        <v>0</v>
      </c>
      <c r="L2921" s="173">
        <v>80</v>
      </c>
      <c r="M2921" s="84">
        <v>62</v>
      </c>
      <c r="N2921" s="84">
        <v>0</v>
      </c>
      <c r="O2921" s="84">
        <v>0</v>
      </c>
      <c r="P2921" s="84">
        <v>0</v>
      </c>
      <c r="Q2921" s="88">
        <v>0</v>
      </c>
      <c r="R2921" s="126">
        <v>1.2545999999999999</v>
      </c>
      <c r="S2921" s="89" t="s">
        <v>115</v>
      </c>
      <c r="T2921" s="257">
        <f t="shared" si="97"/>
        <v>80</v>
      </c>
      <c r="U2921" s="257">
        <f t="shared" si="98"/>
        <v>62</v>
      </c>
      <c r="V2921">
        <v>1</v>
      </c>
      <c r="W2921">
        <v>1</v>
      </c>
    </row>
    <row r="2922" spans="1:23" ht="409.6" x14ac:dyDescent="0.3">
      <c r="A2922" s="224">
        <v>43355</v>
      </c>
      <c r="B2922" s="224">
        <v>43355</v>
      </c>
      <c r="C2922" s="6">
        <v>9</v>
      </c>
      <c r="D2922" s="6">
        <v>1</v>
      </c>
      <c r="E2922" s="84">
        <v>2018</v>
      </c>
      <c r="F2922" s="15" t="s">
        <v>22</v>
      </c>
      <c r="G2922" s="18" t="s">
        <v>6256</v>
      </c>
      <c r="H2922" s="9" t="s">
        <v>43</v>
      </c>
      <c r="I2922" s="86" t="s">
        <v>4839</v>
      </c>
      <c r="J2922" s="34" t="s">
        <v>4840</v>
      </c>
      <c r="K2922" s="84">
        <v>0</v>
      </c>
      <c r="L2922" s="173">
        <v>16</v>
      </c>
      <c r="M2922" s="84">
        <v>4</v>
      </c>
      <c r="N2922" s="84">
        <v>0</v>
      </c>
      <c r="O2922" s="84">
        <v>0</v>
      </c>
      <c r="P2922" s="84">
        <v>0</v>
      </c>
      <c r="Q2922" s="88">
        <v>0</v>
      </c>
      <c r="R2922" s="126">
        <v>4.1999999999999997E-3</v>
      </c>
      <c r="S2922" s="89" t="s">
        <v>115</v>
      </c>
      <c r="T2922" s="257">
        <f t="shared" si="97"/>
        <v>16</v>
      </c>
      <c r="U2922" s="257">
        <f t="shared" si="98"/>
        <v>4</v>
      </c>
      <c r="V2922">
        <v>1</v>
      </c>
      <c r="W2922">
        <v>1</v>
      </c>
    </row>
    <row r="2923" spans="1:23" ht="409.6" x14ac:dyDescent="0.3">
      <c r="A2923" s="224">
        <v>43355</v>
      </c>
      <c r="B2923" s="224">
        <v>43355</v>
      </c>
      <c r="C2923" s="6">
        <v>9</v>
      </c>
      <c r="D2923" s="6">
        <v>1</v>
      </c>
      <c r="E2923" s="84">
        <v>2018</v>
      </c>
      <c r="F2923" s="15" t="s">
        <v>22</v>
      </c>
      <c r="G2923" s="18" t="s">
        <v>6256</v>
      </c>
      <c r="H2923" s="9" t="s">
        <v>64</v>
      </c>
      <c r="I2923" s="86" t="s">
        <v>64</v>
      </c>
      <c r="J2923" s="34" t="s">
        <v>4841</v>
      </c>
      <c r="K2923" s="84">
        <v>0</v>
      </c>
      <c r="L2923" s="173">
        <v>308</v>
      </c>
      <c r="M2923" s="84">
        <v>67</v>
      </c>
      <c r="N2923" s="84">
        <v>0</v>
      </c>
      <c r="O2923" s="84">
        <v>0</v>
      </c>
      <c r="P2923" s="84">
        <v>0</v>
      </c>
      <c r="Q2923" s="88">
        <v>0</v>
      </c>
      <c r="R2923" s="126">
        <v>0</v>
      </c>
      <c r="S2923" s="89" t="s">
        <v>115</v>
      </c>
      <c r="T2923" s="257">
        <f t="shared" si="97"/>
        <v>308</v>
      </c>
      <c r="U2923" s="257">
        <f t="shared" si="98"/>
        <v>67</v>
      </c>
      <c r="V2923">
        <v>1</v>
      </c>
      <c r="W2923">
        <v>1</v>
      </c>
    </row>
    <row r="2924" spans="1:23" ht="114" x14ac:dyDescent="0.3">
      <c r="A2924" s="224">
        <v>43355</v>
      </c>
      <c r="B2924" s="224">
        <v>43355</v>
      </c>
      <c r="C2924" s="6">
        <v>9</v>
      </c>
      <c r="D2924" s="6">
        <v>1</v>
      </c>
      <c r="E2924" s="84">
        <v>2018</v>
      </c>
      <c r="F2924" s="15" t="s">
        <v>22</v>
      </c>
      <c r="G2924" s="18" t="s">
        <v>6256</v>
      </c>
      <c r="H2924" s="9" t="s">
        <v>61</v>
      </c>
      <c r="I2924" s="86" t="s">
        <v>3729</v>
      </c>
      <c r="J2924" s="34" t="s">
        <v>4842</v>
      </c>
      <c r="K2924" s="84">
        <v>0</v>
      </c>
      <c r="L2924" s="173">
        <v>100</v>
      </c>
      <c r="M2924" s="84">
        <v>25</v>
      </c>
      <c r="N2924" s="84">
        <v>0</v>
      </c>
      <c r="O2924" s="84">
        <v>0</v>
      </c>
      <c r="P2924" s="84">
        <v>0</v>
      </c>
      <c r="Q2924" s="88">
        <v>0</v>
      </c>
      <c r="R2924" s="126">
        <v>0</v>
      </c>
      <c r="S2924" s="89" t="s">
        <v>115</v>
      </c>
      <c r="T2924" s="257">
        <f t="shared" si="97"/>
        <v>100</v>
      </c>
      <c r="U2924" s="257">
        <f t="shared" si="98"/>
        <v>25</v>
      </c>
      <c r="V2924">
        <v>1</v>
      </c>
      <c r="W2924">
        <v>1</v>
      </c>
    </row>
    <row r="2925" spans="1:23" ht="91.2" x14ac:dyDescent="0.3">
      <c r="A2925" s="224">
        <v>43356</v>
      </c>
      <c r="B2925" s="224">
        <v>43356</v>
      </c>
      <c r="C2925" s="6">
        <v>9</v>
      </c>
      <c r="D2925" s="6">
        <v>1</v>
      </c>
      <c r="E2925" s="84">
        <v>2018</v>
      </c>
      <c r="F2925" s="15" t="s">
        <v>22</v>
      </c>
      <c r="G2925" s="16" t="s">
        <v>6256</v>
      </c>
      <c r="H2925" s="9" t="s">
        <v>64</v>
      </c>
      <c r="I2925" s="86" t="s">
        <v>4843</v>
      </c>
      <c r="J2925" s="34" t="s">
        <v>4844</v>
      </c>
      <c r="K2925" s="84">
        <v>0</v>
      </c>
      <c r="L2925" s="254">
        <v>0</v>
      </c>
      <c r="M2925" s="84">
        <v>30</v>
      </c>
      <c r="N2925" s="84">
        <v>0</v>
      </c>
      <c r="O2925" s="84">
        <v>0</v>
      </c>
      <c r="P2925" s="84">
        <v>0</v>
      </c>
      <c r="Q2925" s="88">
        <v>0</v>
      </c>
      <c r="R2925" s="126">
        <v>0</v>
      </c>
      <c r="S2925" s="89" t="s">
        <v>115</v>
      </c>
      <c r="T2925" s="257">
        <f t="shared" si="97"/>
        <v>0</v>
      </c>
      <c r="U2925" s="257">
        <f t="shared" si="98"/>
        <v>30</v>
      </c>
      <c r="V2925">
        <v>0</v>
      </c>
      <c r="W2925">
        <v>1</v>
      </c>
    </row>
    <row r="2926" spans="1:23" ht="125.4" x14ac:dyDescent="0.3">
      <c r="A2926" s="224">
        <v>43356</v>
      </c>
      <c r="B2926" s="224">
        <v>43356</v>
      </c>
      <c r="C2926" s="6">
        <v>9</v>
      </c>
      <c r="D2926" s="6">
        <v>1</v>
      </c>
      <c r="E2926" s="84">
        <v>2018</v>
      </c>
      <c r="F2926" s="15" t="s">
        <v>22</v>
      </c>
      <c r="G2926" s="18" t="s">
        <v>6256</v>
      </c>
      <c r="H2926" s="9" t="s">
        <v>61</v>
      </c>
      <c r="I2926" s="86" t="s">
        <v>4111</v>
      </c>
      <c r="J2926" s="34" t="s">
        <v>4845</v>
      </c>
      <c r="K2926" s="84">
        <v>0</v>
      </c>
      <c r="L2926" s="173">
        <v>2000</v>
      </c>
      <c r="M2926" s="84">
        <v>0</v>
      </c>
      <c r="N2926" s="84">
        <v>0</v>
      </c>
      <c r="O2926" s="84">
        <v>0</v>
      </c>
      <c r="P2926" s="84">
        <v>0</v>
      </c>
      <c r="Q2926" s="88">
        <v>0</v>
      </c>
      <c r="R2926" s="126">
        <v>3.4544999999999999</v>
      </c>
      <c r="S2926" s="89" t="s">
        <v>115</v>
      </c>
      <c r="T2926" s="257">
        <f t="shared" si="97"/>
        <v>2000</v>
      </c>
      <c r="U2926" s="257">
        <f t="shared" si="98"/>
        <v>0</v>
      </c>
      <c r="V2926">
        <v>1</v>
      </c>
      <c r="W2926">
        <v>0</v>
      </c>
    </row>
    <row r="2927" spans="1:23" ht="136.80000000000001" x14ac:dyDescent="0.3">
      <c r="A2927" s="224">
        <v>43359</v>
      </c>
      <c r="B2927" s="224">
        <v>43359</v>
      </c>
      <c r="C2927" s="6">
        <v>9</v>
      </c>
      <c r="D2927" s="6">
        <v>1</v>
      </c>
      <c r="E2927" s="84">
        <v>2018</v>
      </c>
      <c r="F2927" s="15" t="s">
        <v>22</v>
      </c>
      <c r="G2927" s="18" t="s">
        <v>6256</v>
      </c>
      <c r="H2927" s="9" t="s">
        <v>55</v>
      </c>
      <c r="I2927" s="86" t="s">
        <v>1382</v>
      </c>
      <c r="J2927" s="34" t="s">
        <v>4846</v>
      </c>
      <c r="K2927" s="84">
        <v>0</v>
      </c>
      <c r="L2927" s="173">
        <v>1400</v>
      </c>
      <c r="M2927" s="84">
        <v>350</v>
      </c>
      <c r="N2927" s="84">
        <v>0</v>
      </c>
      <c r="O2927" s="84">
        <v>0</v>
      </c>
      <c r="P2927" s="84">
        <v>0</v>
      </c>
      <c r="Q2927" s="88">
        <v>0</v>
      </c>
      <c r="R2927" s="126">
        <v>0.36749999999999999</v>
      </c>
      <c r="S2927" s="89" t="s">
        <v>115</v>
      </c>
      <c r="T2927" s="257">
        <f t="shared" si="97"/>
        <v>1400</v>
      </c>
      <c r="U2927" s="257">
        <f t="shared" si="98"/>
        <v>350</v>
      </c>
      <c r="V2927">
        <v>1</v>
      </c>
      <c r="W2927">
        <v>1</v>
      </c>
    </row>
    <row r="2928" spans="1:23" ht="216.6" x14ac:dyDescent="0.3">
      <c r="A2928" s="224">
        <v>43360</v>
      </c>
      <c r="B2928" s="224">
        <v>43360</v>
      </c>
      <c r="C2928" s="6">
        <v>9</v>
      </c>
      <c r="D2928" s="6">
        <v>1</v>
      </c>
      <c r="E2928" s="84">
        <v>2018</v>
      </c>
      <c r="F2928" s="15" t="s">
        <v>22</v>
      </c>
      <c r="G2928" s="18" t="s">
        <v>6256</v>
      </c>
      <c r="H2928" s="9" t="s">
        <v>51</v>
      </c>
      <c r="I2928" s="86" t="s">
        <v>1011</v>
      </c>
      <c r="J2928" s="34" t="s">
        <v>4847</v>
      </c>
      <c r="K2928" s="84">
        <v>0</v>
      </c>
      <c r="L2928" s="173">
        <v>70</v>
      </c>
      <c r="M2928" s="84">
        <v>4</v>
      </c>
      <c r="N2928" s="84">
        <v>0</v>
      </c>
      <c r="O2928" s="84">
        <v>0</v>
      </c>
      <c r="P2928" s="84">
        <v>0</v>
      </c>
      <c r="Q2928" s="88">
        <v>0</v>
      </c>
      <c r="R2928" s="126">
        <v>6.6654000000000005E-2</v>
      </c>
      <c r="S2928" s="89" t="s">
        <v>131</v>
      </c>
      <c r="T2928" s="257">
        <f t="shared" si="97"/>
        <v>70</v>
      </c>
      <c r="U2928" s="257">
        <f t="shared" si="98"/>
        <v>4</v>
      </c>
      <c r="V2928">
        <v>1</v>
      </c>
      <c r="W2928">
        <v>1</v>
      </c>
    </row>
    <row r="2929" spans="1:23" ht="307.8" x14ac:dyDescent="0.3">
      <c r="A2929" s="224">
        <v>43362</v>
      </c>
      <c r="B2929" s="224">
        <v>43362</v>
      </c>
      <c r="C2929" s="6">
        <v>9</v>
      </c>
      <c r="D2929" s="6">
        <v>1</v>
      </c>
      <c r="E2929" s="84">
        <v>2018</v>
      </c>
      <c r="F2929" s="15" t="s">
        <v>22</v>
      </c>
      <c r="G2929" s="18" t="s">
        <v>6256</v>
      </c>
      <c r="H2929" s="9" t="s">
        <v>34</v>
      </c>
      <c r="I2929" s="86" t="s">
        <v>4848</v>
      </c>
      <c r="J2929" s="34" t="s">
        <v>4849</v>
      </c>
      <c r="K2929" s="84">
        <v>4</v>
      </c>
      <c r="L2929" s="173">
        <v>604</v>
      </c>
      <c r="M2929" s="84">
        <v>1</v>
      </c>
      <c r="N2929" s="84">
        <v>0</v>
      </c>
      <c r="O2929" s="84">
        <v>0</v>
      </c>
      <c r="P2929" s="84">
        <v>0</v>
      </c>
      <c r="Q2929" s="88">
        <v>0</v>
      </c>
      <c r="R2929" s="126">
        <v>61.157461210000001</v>
      </c>
      <c r="S2929" s="89" t="s">
        <v>115</v>
      </c>
      <c r="T2929" s="257">
        <f t="shared" si="97"/>
        <v>608</v>
      </c>
      <c r="U2929" s="257">
        <f t="shared" si="98"/>
        <v>1</v>
      </c>
      <c r="V2929">
        <v>1</v>
      </c>
      <c r="W2929">
        <v>1</v>
      </c>
    </row>
    <row r="2930" spans="1:23" ht="409.6" x14ac:dyDescent="0.3">
      <c r="A2930" s="224">
        <v>43363</v>
      </c>
      <c r="B2930" s="224">
        <v>43363</v>
      </c>
      <c r="C2930" s="6">
        <v>9</v>
      </c>
      <c r="D2930" s="6">
        <v>1</v>
      </c>
      <c r="E2930" s="84">
        <v>2018</v>
      </c>
      <c r="F2930" s="15" t="s">
        <v>22</v>
      </c>
      <c r="G2930" s="16" t="s">
        <v>6254</v>
      </c>
      <c r="H2930" s="9" t="s">
        <v>72</v>
      </c>
      <c r="I2930" s="86" t="s">
        <v>4850</v>
      </c>
      <c r="J2930" s="34" t="s">
        <v>4851</v>
      </c>
      <c r="K2930" s="84">
        <v>4</v>
      </c>
      <c r="L2930" s="173">
        <v>184825</v>
      </c>
      <c r="M2930" s="173">
        <v>2686</v>
      </c>
      <c r="N2930" s="84">
        <v>412</v>
      </c>
      <c r="O2930" s="84">
        <v>2</v>
      </c>
      <c r="P2930" s="173">
        <v>1408</v>
      </c>
      <c r="Q2930" s="88">
        <v>0</v>
      </c>
      <c r="R2930" s="38">
        <v>3183.6941815</v>
      </c>
      <c r="S2930" s="89" t="s">
        <v>21</v>
      </c>
      <c r="T2930" s="257">
        <f t="shared" si="97"/>
        <v>184829</v>
      </c>
      <c r="U2930" s="257">
        <f t="shared" si="98"/>
        <v>4508</v>
      </c>
      <c r="V2930">
        <v>3</v>
      </c>
      <c r="W2930">
        <v>2</v>
      </c>
    </row>
    <row r="2931" spans="1:23" ht="409.6" x14ac:dyDescent="0.3">
      <c r="A2931" s="224">
        <v>43361</v>
      </c>
      <c r="B2931" s="224">
        <v>43361</v>
      </c>
      <c r="C2931" s="6">
        <v>9</v>
      </c>
      <c r="D2931" s="6">
        <v>1</v>
      </c>
      <c r="E2931" s="84">
        <v>2018</v>
      </c>
      <c r="F2931" s="15" t="s">
        <v>22</v>
      </c>
      <c r="G2931" s="16" t="s">
        <v>6254</v>
      </c>
      <c r="H2931" s="9" t="s">
        <v>74</v>
      </c>
      <c r="I2931" s="86" t="s">
        <v>4852</v>
      </c>
      <c r="J2931" s="34" t="s">
        <v>4853</v>
      </c>
      <c r="K2931" s="84">
        <v>0</v>
      </c>
      <c r="L2931" s="173">
        <v>132420</v>
      </c>
      <c r="M2931" s="84">
        <v>79</v>
      </c>
      <c r="N2931" s="84">
        <v>0</v>
      </c>
      <c r="O2931" s="84">
        <v>0</v>
      </c>
      <c r="P2931" s="84">
        <v>0</v>
      </c>
      <c r="Q2931" s="88">
        <v>0</v>
      </c>
      <c r="R2931" s="126">
        <v>1034.636383</v>
      </c>
      <c r="S2931" s="89" t="s">
        <v>131</v>
      </c>
      <c r="T2931" s="257">
        <f t="shared" si="97"/>
        <v>132420</v>
      </c>
      <c r="U2931" s="257">
        <f t="shared" si="98"/>
        <v>79</v>
      </c>
      <c r="V2931">
        <v>3</v>
      </c>
      <c r="W2931">
        <v>1</v>
      </c>
    </row>
    <row r="2932" spans="1:23" ht="330.6" x14ac:dyDescent="0.3">
      <c r="A2932" s="224">
        <v>43366</v>
      </c>
      <c r="B2932" s="224">
        <v>43366</v>
      </c>
      <c r="C2932" s="6">
        <v>9</v>
      </c>
      <c r="D2932" s="6">
        <v>1</v>
      </c>
      <c r="E2932" s="84">
        <v>2018</v>
      </c>
      <c r="F2932" s="15" t="s">
        <v>22</v>
      </c>
      <c r="G2932" s="16" t="s">
        <v>6256</v>
      </c>
      <c r="H2932" s="9" t="s">
        <v>52</v>
      </c>
      <c r="I2932" s="86" t="s">
        <v>4854</v>
      </c>
      <c r="J2932" s="34" t="s">
        <v>4855</v>
      </c>
      <c r="K2932" s="84">
        <v>8</v>
      </c>
      <c r="L2932" s="173">
        <v>1526</v>
      </c>
      <c r="M2932" s="84">
        <v>205</v>
      </c>
      <c r="N2932" s="84">
        <v>0</v>
      </c>
      <c r="O2932" s="84">
        <v>0</v>
      </c>
      <c r="P2932" s="84">
        <v>0</v>
      </c>
      <c r="Q2932" s="88">
        <v>0</v>
      </c>
      <c r="R2932" s="126">
        <v>180.78215950000001</v>
      </c>
      <c r="S2932" s="89" t="s">
        <v>131</v>
      </c>
      <c r="T2932" s="257">
        <f t="shared" si="97"/>
        <v>1534</v>
      </c>
      <c r="U2932" s="257">
        <f t="shared" si="98"/>
        <v>205</v>
      </c>
      <c r="V2932">
        <v>1</v>
      </c>
      <c r="W2932">
        <v>1</v>
      </c>
    </row>
    <row r="2933" spans="1:23" ht="409.6" x14ac:dyDescent="0.3">
      <c r="A2933" s="224">
        <v>43362</v>
      </c>
      <c r="B2933" s="224">
        <v>43362</v>
      </c>
      <c r="C2933" s="6">
        <v>9</v>
      </c>
      <c r="D2933" s="6">
        <v>1</v>
      </c>
      <c r="E2933" s="84">
        <v>2018</v>
      </c>
      <c r="F2933" s="15" t="s">
        <v>22</v>
      </c>
      <c r="G2933" s="18" t="s">
        <v>6256</v>
      </c>
      <c r="H2933" s="9" t="s">
        <v>88</v>
      </c>
      <c r="I2933" s="86" t="s">
        <v>4856</v>
      </c>
      <c r="J2933" s="34" t="s">
        <v>4857</v>
      </c>
      <c r="K2933" s="84">
        <v>0</v>
      </c>
      <c r="L2933" s="173">
        <v>28809</v>
      </c>
      <c r="M2933" s="84">
        <v>1588</v>
      </c>
      <c r="N2933" s="84">
        <v>1</v>
      </c>
      <c r="O2933" s="84">
        <v>0</v>
      </c>
      <c r="P2933" s="84">
        <v>1</v>
      </c>
      <c r="Q2933" s="88">
        <v>0</v>
      </c>
      <c r="R2933" s="126">
        <v>1.584474385</v>
      </c>
      <c r="S2933" s="89" t="s">
        <v>131</v>
      </c>
      <c r="T2933" s="257">
        <f t="shared" si="97"/>
        <v>28809</v>
      </c>
      <c r="U2933" s="257">
        <f t="shared" si="98"/>
        <v>1590</v>
      </c>
      <c r="V2933">
        <v>2</v>
      </c>
      <c r="W2933">
        <v>2</v>
      </c>
    </row>
    <row r="2934" spans="1:23" ht="68.400000000000006" x14ac:dyDescent="0.3">
      <c r="A2934" s="224">
        <v>43369</v>
      </c>
      <c r="B2934" s="224">
        <v>43369</v>
      </c>
      <c r="C2934" s="6">
        <v>9</v>
      </c>
      <c r="D2934" s="6">
        <v>1</v>
      </c>
      <c r="E2934" s="84">
        <v>2018</v>
      </c>
      <c r="F2934" s="15" t="s">
        <v>22</v>
      </c>
      <c r="G2934" s="82" t="s">
        <v>6256</v>
      </c>
      <c r="H2934" s="9" t="s">
        <v>174</v>
      </c>
      <c r="I2934" s="86" t="s">
        <v>1264</v>
      </c>
      <c r="J2934" s="34" t="s">
        <v>4858</v>
      </c>
      <c r="K2934" s="84">
        <v>0</v>
      </c>
      <c r="L2934" s="173">
        <v>5</v>
      </c>
      <c r="M2934" s="84">
        <v>0</v>
      </c>
      <c r="N2934" s="84">
        <v>0</v>
      </c>
      <c r="O2934" s="84">
        <v>0</v>
      </c>
      <c r="P2934" s="84">
        <v>0</v>
      </c>
      <c r="Q2934" s="88">
        <v>0</v>
      </c>
      <c r="R2934" s="126">
        <v>1.7314E-2</v>
      </c>
      <c r="S2934" s="89" t="s">
        <v>115</v>
      </c>
      <c r="T2934" s="257">
        <f t="shared" si="97"/>
        <v>5</v>
      </c>
      <c r="U2934" s="257">
        <f t="shared" si="98"/>
        <v>0</v>
      </c>
      <c r="V2934">
        <v>1</v>
      </c>
      <c r="W2934">
        <v>0</v>
      </c>
    </row>
    <row r="2935" spans="1:23" ht="114" x14ac:dyDescent="0.3">
      <c r="A2935" s="224">
        <v>43370</v>
      </c>
      <c r="B2935" s="224">
        <v>43370</v>
      </c>
      <c r="C2935" s="6">
        <v>9</v>
      </c>
      <c r="D2935" s="6">
        <v>1</v>
      </c>
      <c r="E2935" s="84">
        <v>2018</v>
      </c>
      <c r="F2935" s="15" t="s">
        <v>22</v>
      </c>
      <c r="G2935" s="18" t="s">
        <v>6256</v>
      </c>
      <c r="H2935" s="9" t="s">
        <v>72</v>
      </c>
      <c r="I2935" s="86" t="s">
        <v>72</v>
      </c>
      <c r="J2935" s="34" t="s">
        <v>4859</v>
      </c>
      <c r="K2935" s="84">
        <v>0</v>
      </c>
      <c r="L2935" s="173">
        <v>600</v>
      </c>
      <c r="M2935" s="84">
        <v>150</v>
      </c>
      <c r="N2935" s="84">
        <v>0</v>
      </c>
      <c r="O2935" s="84">
        <v>0</v>
      </c>
      <c r="P2935" s="84">
        <v>0</v>
      </c>
      <c r="Q2935" s="88">
        <v>0</v>
      </c>
      <c r="R2935" s="126">
        <v>0</v>
      </c>
      <c r="S2935" s="89" t="s">
        <v>115</v>
      </c>
      <c r="T2935" s="257">
        <f t="shared" si="97"/>
        <v>600</v>
      </c>
      <c r="U2935" s="257">
        <f t="shared" si="98"/>
        <v>150</v>
      </c>
      <c r="V2935">
        <v>1</v>
      </c>
      <c r="W2935">
        <v>1</v>
      </c>
    </row>
    <row r="2936" spans="1:23" ht="148.19999999999999" x14ac:dyDescent="0.3">
      <c r="A2936" s="224">
        <v>43370</v>
      </c>
      <c r="B2936" s="224">
        <v>43370</v>
      </c>
      <c r="C2936" s="6">
        <v>9</v>
      </c>
      <c r="D2936" s="6">
        <v>1</v>
      </c>
      <c r="E2936" s="84">
        <v>2018</v>
      </c>
      <c r="F2936" s="15" t="s">
        <v>22</v>
      </c>
      <c r="G2936" s="18" t="s">
        <v>6256</v>
      </c>
      <c r="H2936" s="9" t="s">
        <v>41</v>
      </c>
      <c r="I2936" s="86" t="s">
        <v>4860</v>
      </c>
      <c r="J2936" s="34" t="s">
        <v>4861</v>
      </c>
      <c r="K2936" s="84">
        <v>0</v>
      </c>
      <c r="L2936" s="173">
        <v>400</v>
      </c>
      <c r="M2936" s="84">
        <v>100</v>
      </c>
      <c r="N2936" s="84">
        <v>0</v>
      </c>
      <c r="O2936" s="84">
        <v>0</v>
      </c>
      <c r="P2936" s="84">
        <v>0</v>
      </c>
      <c r="Q2936" s="88">
        <v>0</v>
      </c>
      <c r="R2936" s="126">
        <v>8.7499999999999994E-2</v>
      </c>
      <c r="S2936" s="89" t="s">
        <v>115</v>
      </c>
      <c r="T2936" s="257">
        <f t="shared" si="97"/>
        <v>400</v>
      </c>
      <c r="U2936" s="257">
        <f t="shared" si="98"/>
        <v>100</v>
      </c>
      <c r="V2936">
        <v>1</v>
      </c>
      <c r="W2936">
        <v>1</v>
      </c>
    </row>
    <row r="2937" spans="1:23" ht="356.4" x14ac:dyDescent="0.3">
      <c r="A2937" s="224">
        <v>43389</v>
      </c>
      <c r="B2937" s="224">
        <v>43389</v>
      </c>
      <c r="C2937" s="6">
        <v>10</v>
      </c>
      <c r="D2937" s="6">
        <v>1</v>
      </c>
      <c r="E2937" s="84">
        <v>2018</v>
      </c>
      <c r="F2937" s="15" t="s">
        <v>22</v>
      </c>
      <c r="G2937" s="18" t="s">
        <v>6256</v>
      </c>
      <c r="H2937" s="9" t="s">
        <v>174</v>
      </c>
      <c r="I2937" s="86" t="s">
        <v>4862</v>
      </c>
      <c r="J2937" s="34" t="s">
        <v>4863</v>
      </c>
      <c r="K2937" s="84">
        <v>0</v>
      </c>
      <c r="L2937" s="173">
        <v>211677</v>
      </c>
      <c r="M2937" s="84">
        <v>58910</v>
      </c>
      <c r="N2937" s="84">
        <v>36</v>
      </c>
      <c r="O2937" s="84">
        <v>0</v>
      </c>
      <c r="P2937" s="84">
        <v>0</v>
      </c>
      <c r="Q2937" s="88">
        <v>0</v>
      </c>
      <c r="R2937" s="126">
        <v>562.59500400000002</v>
      </c>
      <c r="S2937" s="89" t="s">
        <v>131</v>
      </c>
      <c r="T2937" s="257">
        <f t="shared" si="97"/>
        <v>211677</v>
      </c>
      <c r="U2937" s="257">
        <f t="shared" si="98"/>
        <v>58946</v>
      </c>
      <c r="V2937">
        <v>3</v>
      </c>
      <c r="W2937">
        <v>4</v>
      </c>
    </row>
    <row r="2938" spans="1:23" ht="409.6" x14ac:dyDescent="0.3">
      <c r="A2938" s="224">
        <v>43393</v>
      </c>
      <c r="B2938" s="224">
        <v>43393</v>
      </c>
      <c r="C2938" s="6">
        <v>10</v>
      </c>
      <c r="D2938" s="6">
        <v>1</v>
      </c>
      <c r="E2938" s="84">
        <v>2018</v>
      </c>
      <c r="F2938" s="15" t="s">
        <v>22</v>
      </c>
      <c r="G2938" s="18" t="s">
        <v>6256</v>
      </c>
      <c r="H2938" s="9" t="s">
        <v>61</v>
      </c>
      <c r="I2938" s="86" t="s">
        <v>4864</v>
      </c>
      <c r="J2938" s="34" t="s">
        <v>4865</v>
      </c>
      <c r="K2938" s="84">
        <v>0</v>
      </c>
      <c r="L2938" s="173">
        <v>398</v>
      </c>
      <c r="M2938" s="84">
        <v>99</v>
      </c>
      <c r="N2938" s="84">
        <v>0</v>
      </c>
      <c r="O2938" s="84">
        <v>0</v>
      </c>
      <c r="P2938" s="84">
        <v>0</v>
      </c>
      <c r="Q2938" s="88">
        <v>0</v>
      </c>
      <c r="R2938" s="126">
        <v>68.07642315999999</v>
      </c>
      <c r="S2938" s="89" t="s">
        <v>131</v>
      </c>
      <c r="T2938" s="257">
        <f t="shared" si="97"/>
        <v>398</v>
      </c>
      <c r="U2938" s="257">
        <f t="shared" si="98"/>
        <v>99</v>
      </c>
      <c r="V2938">
        <v>1</v>
      </c>
      <c r="W2938">
        <v>1</v>
      </c>
    </row>
    <row r="2939" spans="1:23" ht="171" x14ac:dyDescent="0.3">
      <c r="A2939" s="224">
        <v>43394</v>
      </c>
      <c r="B2939" s="224">
        <v>43394</v>
      </c>
      <c r="C2939" s="6">
        <v>10</v>
      </c>
      <c r="D2939" s="6">
        <v>1</v>
      </c>
      <c r="E2939" s="84">
        <v>2018</v>
      </c>
      <c r="F2939" s="15" t="s">
        <v>22</v>
      </c>
      <c r="G2939" s="18" t="s">
        <v>6256</v>
      </c>
      <c r="H2939" s="9" t="s">
        <v>52</v>
      </c>
      <c r="I2939" s="86" t="s">
        <v>737</v>
      </c>
      <c r="J2939" s="34" t="s">
        <v>4866</v>
      </c>
      <c r="K2939" s="84">
        <v>0</v>
      </c>
      <c r="L2939" s="173">
        <v>53</v>
      </c>
      <c r="M2939" s="84">
        <v>15</v>
      </c>
      <c r="N2939" s="84">
        <v>0</v>
      </c>
      <c r="O2939" s="84">
        <v>0</v>
      </c>
      <c r="P2939" s="84">
        <v>0</v>
      </c>
      <c r="Q2939" s="88">
        <v>0</v>
      </c>
      <c r="R2939" s="126">
        <v>0.3609</v>
      </c>
      <c r="S2939" s="89" t="s">
        <v>115</v>
      </c>
      <c r="T2939" s="257">
        <f t="shared" si="97"/>
        <v>53</v>
      </c>
      <c r="U2939" s="257">
        <f t="shared" si="98"/>
        <v>15</v>
      </c>
      <c r="V2939">
        <v>1</v>
      </c>
      <c r="W2939">
        <v>1</v>
      </c>
    </row>
    <row r="2940" spans="1:23" ht="91.2" x14ac:dyDescent="0.3">
      <c r="A2940" s="224">
        <v>43396</v>
      </c>
      <c r="B2940" s="224">
        <v>43396</v>
      </c>
      <c r="C2940" s="6">
        <v>10</v>
      </c>
      <c r="D2940" s="6">
        <v>1</v>
      </c>
      <c r="E2940" s="84">
        <v>2018</v>
      </c>
      <c r="F2940" s="15" t="s">
        <v>22</v>
      </c>
      <c r="G2940" s="16" t="s">
        <v>6254</v>
      </c>
      <c r="H2940" s="9" t="s">
        <v>72</v>
      </c>
      <c r="I2940" s="86" t="s">
        <v>4867</v>
      </c>
      <c r="J2940" s="34" t="s">
        <v>4868</v>
      </c>
      <c r="K2940" s="84">
        <v>2</v>
      </c>
      <c r="L2940" s="173">
        <v>103511</v>
      </c>
      <c r="M2940" s="84">
        <v>893</v>
      </c>
      <c r="N2940" s="84">
        <v>97</v>
      </c>
      <c r="O2940" s="84">
        <v>1</v>
      </c>
      <c r="P2940" s="84">
        <v>150</v>
      </c>
      <c r="Q2940" s="88">
        <v>0</v>
      </c>
      <c r="R2940" s="126">
        <v>1641.0436414000001</v>
      </c>
      <c r="S2940" s="89" t="s">
        <v>21</v>
      </c>
      <c r="T2940" s="257">
        <f t="shared" si="97"/>
        <v>103513</v>
      </c>
      <c r="U2940" s="257">
        <f t="shared" si="98"/>
        <v>1141</v>
      </c>
      <c r="V2940">
        <v>3</v>
      </c>
      <c r="W2940">
        <v>2</v>
      </c>
    </row>
    <row r="2941" spans="1:23" ht="125.4" x14ac:dyDescent="0.3">
      <c r="A2941" s="224">
        <v>43396</v>
      </c>
      <c r="B2941" s="224">
        <v>43396</v>
      </c>
      <c r="C2941" s="6">
        <v>10</v>
      </c>
      <c r="D2941" s="6">
        <v>1</v>
      </c>
      <c r="E2941" s="84">
        <v>2018</v>
      </c>
      <c r="F2941" s="15" t="s">
        <v>22</v>
      </c>
      <c r="G2941" s="16" t="s">
        <v>6254</v>
      </c>
      <c r="H2941" s="9" t="s">
        <v>56</v>
      </c>
      <c r="I2941" s="86" t="s">
        <v>4869</v>
      </c>
      <c r="J2941" s="34" t="s">
        <v>4870</v>
      </c>
      <c r="K2941" s="84">
        <v>7</v>
      </c>
      <c r="L2941" s="173">
        <v>132044</v>
      </c>
      <c r="M2941" s="173">
        <v>4141</v>
      </c>
      <c r="N2941" s="84">
        <v>666</v>
      </c>
      <c r="O2941" s="84">
        <v>17</v>
      </c>
      <c r="P2941" s="84">
        <v>0</v>
      </c>
      <c r="Q2941" s="88">
        <v>0</v>
      </c>
      <c r="R2941" s="126">
        <v>1986.3809857085996</v>
      </c>
      <c r="S2941" s="89" t="s">
        <v>21</v>
      </c>
      <c r="T2941" s="257">
        <f t="shared" si="97"/>
        <v>132051</v>
      </c>
      <c r="U2941" s="257">
        <f t="shared" si="98"/>
        <v>4824</v>
      </c>
      <c r="V2941">
        <v>3</v>
      </c>
      <c r="W2941">
        <v>2</v>
      </c>
    </row>
    <row r="2942" spans="1:23" ht="66.599999999999994" x14ac:dyDescent="0.3">
      <c r="A2942" s="223">
        <v>40519</v>
      </c>
      <c r="B2942" s="223">
        <v>40519</v>
      </c>
      <c r="C2942" s="6">
        <v>12</v>
      </c>
      <c r="D2942" s="6">
        <v>1</v>
      </c>
      <c r="E2942" s="73">
        <v>2010</v>
      </c>
      <c r="F2942" s="7" t="s">
        <v>17</v>
      </c>
      <c r="G2942" s="8" t="s">
        <v>6261</v>
      </c>
      <c r="H2942" s="9" t="s">
        <v>48</v>
      </c>
      <c r="I2942" s="74" t="s">
        <v>1894</v>
      </c>
      <c r="J2942" s="132" t="s">
        <v>4871</v>
      </c>
      <c r="K2942" s="73">
        <v>1</v>
      </c>
      <c r="L2942" s="241">
        <v>2</v>
      </c>
      <c r="M2942" s="73">
        <v>0</v>
      </c>
      <c r="N2942" s="73">
        <v>0</v>
      </c>
      <c r="O2942" s="73">
        <v>0</v>
      </c>
      <c r="P2942" s="73">
        <v>0</v>
      </c>
      <c r="Q2942" s="73">
        <v>0</v>
      </c>
      <c r="R2942" s="61">
        <v>0</v>
      </c>
      <c r="S2942" s="73" t="s">
        <v>115</v>
      </c>
      <c r="T2942" s="257">
        <f t="shared" si="97"/>
        <v>3</v>
      </c>
      <c r="U2942" s="257">
        <f t="shared" si="98"/>
        <v>0</v>
      </c>
      <c r="V2942">
        <v>1</v>
      </c>
      <c r="W2942">
        <v>0</v>
      </c>
    </row>
    <row r="2943" spans="1:23" ht="171" x14ac:dyDescent="0.3">
      <c r="A2943" s="224">
        <v>43417</v>
      </c>
      <c r="B2943" s="224">
        <v>43417</v>
      </c>
      <c r="C2943" s="6">
        <v>11</v>
      </c>
      <c r="D2943" s="6">
        <v>1</v>
      </c>
      <c r="E2943" s="84">
        <v>2018</v>
      </c>
      <c r="F2943" s="15" t="s">
        <v>22</v>
      </c>
      <c r="G2943" s="18" t="s">
        <v>6256</v>
      </c>
      <c r="H2943" s="17" t="s">
        <v>565</v>
      </c>
      <c r="I2943" s="86" t="s">
        <v>4872</v>
      </c>
      <c r="J2943" s="34" t="s">
        <v>4873</v>
      </c>
      <c r="K2943" s="84">
        <v>0</v>
      </c>
      <c r="L2943" s="173">
        <v>122</v>
      </c>
      <c r="M2943" s="84">
        <v>0</v>
      </c>
      <c r="N2943" s="84">
        <v>0</v>
      </c>
      <c r="O2943" s="84">
        <v>0</v>
      </c>
      <c r="P2943" s="84">
        <v>0</v>
      </c>
      <c r="Q2943" s="88">
        <v>0</v>
      </c>
      <c r="R2943" s="126">
        <v>1.4274469999999999</v>
      </c>
      <c r="S2943" s="89" t="s">
        <v>131</v>
      </c>
      <c r="T2943" s="257">
        <f t="shared" si="97"/>
        <v>122</v>
      </c>
      <c r="U2943" s="257">
        <f t="shared" si="98"/>
        <v>0</v>
      </c>
      <c r="V2943">
        <v>1</v>
      </c>
      <c r="W2943">
        <v>0</v>
      </c>
    </row>
    <row r="2944" spans="1:23" ht="102.6" x14ac:dyDescent="0.3">
      <c r="A2944" s="224">
        <v>43440</v>
      </c>
      <c r="B2944" s="224">
        <v>43440</v>
      </c>
      <c r="C2944" s="6">
        <v>12</v>
      </c>
      <c r="D2944" s="6">
        <v>1</v>
      </c>
      <c r="E2944" s="84">
        <v>2018</v>
      </c>
      <c r="F2944" s="15" t="s">
        <v>22</v>
      </c>
      <c r="G2944" s="16" t="s">
        <v>6256</v>
      </c>
      <c r="H2944" s="9" t="s">
        <v>174</v>
      </c>
      <c r="I2944" s="86" t="s">
        <v>4874</v>
      </c>
      <c r="J2944" s="34" t="s">
        <v>4875</v>
      </c>
      <c r="K2944" s="84">
        <v>0</v>
      </c>
      <c r="L2944" s="173">
        <v>4212</v>
      </c>
      <c r="M2944" s="84">
        <v>1053</v>
      </c>
      <c r="N2944" s="84">
        <v>0</v>
      </c>
      <c r="O2944" s="84">
        <v>0</v>
      </c>
      <c r="P2944" s="84">
        <v>0</v>
      </c>
      <c r="Q2944" s="88">
        <v>0</v>
      </c>
      <c r="R2944" s="126">
        <v>1.9692750000000001</v>
      </c>
      <c r="S2944" s="89" t="s">
        <v>115</v>
      </c>
      <c r="T2944" s="257">
        <f t="shared" si="97"/>
        <v>4212</v>
      </c>
      <c r="U2944" s="257">
        <f t="shared" si="98"/>
        <v>1053</v>
      </c>
      <c r="V2944">
        <v>1</v>
      </c>
      <c r="W2944">
        <v>2</v>
      </c>
    </row>
    <row r="2945" spans="1:23" x14ac:dyDescent="0.3">
      <c r="A2945" s="219">
        <v>43374</v>
      </c>
      <c r="B2945" s="219">
        <v>43374</v>
      </c>
      <c r="C2945" s="6">
        <v>10</v>
      </c>
      <c r="D2945" s="6">
        <v>1</v>
      </c>
      <c r="E2945" s="84">
        <v>2018</v>
      </c>
      <c r="F2945" s="15" t="s">
        <v>22</v>
      </c>
      <c r="G2945" s="82" t="s">
        <v>6254</v>
      </c>
      <c r="H2945" s="9" t="s">
        <v>27</v>
      </c>
      <c r="I2945" s="174">
        <v>2</v>
      </c>
      <c r="J2945" s="53" t="s">
        <v>4878</v>
      </c>
      <c r="K2945" s="87">
        <v>0</v>
      </c>
      <c r="L2945" s="255">
        <v>20000</v>
      </c>
      <c r="M2945" s="87">
        <v>0</v>
      </c>
      <c r="N2945" s="87">
        <v>0</v>
      </c>
      <c r="O2945" s="87">
        <v>0</v>
      </c>
      <c r="P2945" s="87">
        <v>0</v>
      </c>
      <c r="Q2945" s="88">
        <v>0</v>
      </c>
      <c r="R2945" s="61">
        <v>35.418285500000003</v>
      </c>
      <c r="S2945" s="89" t="s">
        <v>149</v>
      </c>
      <c r="T2945" s="257">
        <f t="shared" si="97"/>
        <v>20000</v>
      </c>
      <c r="U2945" s="257">
        <f t="shared" si="98"/>
        <v>0</v>
      </c>
      <c r="V2945">
        <v>2</v>
      </c>
      <c r="W2945">
        <v>0</v>
      </c>
    </row>
    <row r="2946" spans="1:23" ht="22.8" x14ac:dyDescent="0.3">
      <c r="A2946" s="219">
        <v>43387</v>
      </c>
      <c r="B2946" s="219">
        <v>43388</v>
      </c>
      <c r="C2946" s="6">
        <v>10</v>
      </c>
      <c r="D2946" s="6">
        <v>2</v>
      </c>
      <c r="E2946" s="84">
        <v>2018</v>
      </c>
      <c r="F2946" s="15" t="s">
        <v>22</v>
      </c>
      <c r="G2946" s="85" t="s">
        <v>6255</v>
      </c>
      <c r="H2946" s="9" t="s">
        <v>27</v>
      </c>
      <c r="I2946" s="86">
        <v>1</v>
      </c>
      <c r="J2946" s="175" t="s">
        <v>4879</v>
      </c>
      <c r="K2946" s="87">
        <v>0</v>
      </c>
      <c r="L2946" s="241">
        <v>0</v>
      </c>
      <c r="M2946" s="87">
        <v>0</v>
      </c>
      <c r="N2946" s="87">
        <v>0</v>
      </c>
      <c r="O2946" s="87">
        <v>0</v>
      </c>
      <c r="P2946" s="87">
        <v>0</v>
      </c>
      <c r="Q2946" s="88">
        <v>0</v>
      </c>
      <c r="R2946" s="61">
        <v>8.1002264999999998</v>
      </c>
      <c r="S2946" s="89" t="s">
        <v>149</v>
      </c>
      <c r="T2946" s="257">
        <f t="shared" si="97"/>
        <v>0</v>
      </c>
      <c r="U2946" s="257">
        <f t="shared" si="98"/>
        <v>0</v>
      </c>
      <c r="V2946">
        <v>0</v>
      </c>
      <c r="W2946">
        <v>0</v>
      </c>
    </row>
    <row r="2947" spans="1:23" x14ac:dyDescent="0.3">
      <c r="A2947" s="219">
        <v>43304</v>
      </c>
      <c r="B2947" s="219">
        <v>43307</v>
      </c>
      <c r="C2947" s="6">
        <v>7</v>
      </c>
      <c r="D2947" s="6">
        <v>4</v>
      </c>
      <c r="E2947" s="84">
        <v>2018</v>
      </c>
      <c r="F2947" s="15" t="s">
        <v>22</v>
      </c>
      <c r="G2947" s="9" t="s">
        <v>6258</v>
      </c>
      <c r="H2947" s="9" t="s">
        <v>27</v>
      </c>
      <c r="I2947" s="86">
        <v>5</v>
      </c>
      <c r="J2947" s="175" t="s">
        <v>4880</v>
      </c>
      <c r="K2947" s="87">
        <v>0</v>
      </c>
      <c r="L2947" s="241">
        <v>0</v>
      </c>
      <c r="M2947" s="87">
        <v>0</v>
      </c>
      <c r="N2947" s="87">
        <v>0</v>
      </c>
      <c r="O2947" s="87">
        <v>0</v>
      </c>
      <c r="P2947" s="87">
        <v>0</v>
      </c>
      <c r="Q2947" s="88">
        <v>0</v>
      </c>
      <c r="R2947" s="61">
        <v>16.965800000000002</v>
      </c>
      <c r="S2947" s="89" t="s">
        <v>149</v>
      </c>
      <c r="T2947" s="257">
        <f t="shared" ref="T2947:T3010" si="99">SUM(K2947:L2947)</f>
        <v>0</v>
      </c>
      <c r="U2947" s="257">
        <f t="shared" ref="U2947:U3010" si="100">SUM(M2947:P2947)</f>
        <v>0</v>
      </c>
      <c r="V2947">
        <v>0</v>
      </c>
      <c r="W2947">
        <v>0</v>
      </c>
    </row>
    <row r="2948" spans="1:23" x14ac:dyDescent="0.3">
      <c r="A2948" s="219">
        <v>43248</v>
      </c>
      <c r="B2948" s="219">
        <v>43248</v>
      </c>
      <c r="C2948" s="6">
        <v>5</v>
      </c>
      <c r="D2948" s="6">
        <v>1</v>
      </c>
      <c r="E2948" s="84">
        <v>2018</v>
      </c>
      <c r="F2948" s="15" t="s">
        <v>22</v>
      </c>
      <c r="G2948" s="9" t="s">
        <v>6258</v>
      </c>
      <c r="H2948" s="9" t="s">
        <v>27</v>
      </c>
      <c r="I2948" s="86">
        <v>5</v>
      </c>
      <c r="J2948" s="175" t="s">
        <v>4881</v>
      </c>
      <c r="K2948" s="87">
        <v>0</v>
      </c>
      <c r="L2948" s="241">
        <v>0</v>
      </c>
      <c r="M2948" s="87">
        <v>0</v>
      </c>
      <c r="N2948" s="87">
        <v>0</v>
      </c>
      <c r="O2948" s="87">
        <v>0</v>
      </c>
      <c r="P2948" s="87">
        <v>0</v>
      </c>
      <c r="Q2948" s="88">
        <v>0</v>
      </c>
      <c r="R2948" s="61">
        <v>17.102200603</v>
      </c>
      <c r="S2948" s="89" t="s">
        <v>149</v>
      </c>
      <c r="T2948" s="257">
        <f t="shared" si="99"/>
        <v>0</v>
      </c>
      <c r="U2948" s="257">
        <f t="shared" si="100"/>
        <v>0</v>
      </c>
      <c r="V2948">
        <v>0</v>
      </c>
      <c r="W2948">
        <v>0</v>
      </c>
    </row>
    <row r="2949" spans="1:23" x14ac:dyDescent="0.3">
      <c r="A2949" s="219">
        <v>43385</v>
      </c>
      <c r="B2949" s="219">
        <v>43385</v>
      </c>
      <c r="C2949" s="6">
        <v>10</v>
      </c>
      <c r="D2949" s="6">
        <v>1</v>
      </c>
      <c r="E2949" s="84">
        <v>2018</v>
      </c>
      <c r="F2949" s="15" t="s">
        <v>22</v>
      </c>
      <c r="G2949" s="82" t="s">
        <v>6254</v>
      </c>
      <c r="H2949" s="9" t="s">
        <v>28</v>
      </c>
      <c r="I2949" s="174">
        <v>3</v>
      </c>
      <c r="J2949" s="53" t="s">
        <v>4882</v>
      </c>
      <c r="K2949" s="87">
        <v>0</v>
      </c>
      <c r="L2949" s="255">
        <v>3884</v>
      </c>
      <c r="M2949" s="87">
        <v>0</v>
      </c>
      <c r="N2949" s="87">
        <v>0</v>
      </c>
      <c r="O2949" s="87">
        <v>0</v>
      </c>
      <c r="P2949" s="87">
        <v>0</v>
      </c>
      <c r="Q2949" s="88">
        <v>0</v>
      </c>
      <c r="R2949" s="61">
        <v>13.347253705</v>
      </c>
      <c r="S2949" s="89" t="s">
        <v>149</v>
      </c>
      <c r="T2949" s="257">
        <f t="shared" si="99"/>
        <v>3884</v>
      </c>
      <c r="U2949" s="257">
        <f t="shared" si="100"/>
        <v>0</v>
      </c>
      <c r="V2949">
        <v>1</v>
      </c>
      <c r="W2949">
        <v>0</v>
      </c>
    </row>
    <row r="2950" spans="1:23" x14ac:dyDescent="0.3">
      <c r="A2950" s="219">
        <v>43362</v>
      </c>
      <c r="B2950" s="219">
        <v>43362</v>
      </c>
      <c r="C2950" s="6">
        <v>9</v>
      </c>
      <c r="D2950" s="6">
        <v>1</v>
      </c>
      <c r="E2950" s="84">
        <v>2018</v>
      </c>
      <c r="F2950" s="15" t="s">
        <v>22</v>
      </c>
      <c r="G2950" s="18" t="s">
        <v>6256</v>
      </c>
      <c r="H2950" s="9" t="s">
        <v>28</v>
      </c>
      <c r="I2950" s="86">
        <v>1</v>
      </c>
      <c r="J2950" s="34" t="s">
        <v>4883</v>
      </c>
      <c r="K2950" s="87">
        <v>0</v>
      </c>
      <c r="L2950" s="241">
        <v>0</v>
      </c>
      <c r="M2950" s="87">
        <v>0</v>
      </c>
      <c r="N2950" s="87">
        <v>0</v>
      </c>
      <c r="O2950" s="87">
        <v>0</v>
      </c>
      <c r="P2950" s="87">
        <v>0</v>
      </c>
      <c r="Q2950" s="88">
        <v>0</v>
      </c>
      <c r="R2950" s="61">
        <v>3.4504937100000004</v>
      </c>
      <c r="S2950" s="89" t="s">
        <v>149</v>
      </c>
      <c r="T2950" s="257">
        <f t="shared" si="99"/>
        <v>0</v>
      </c>
      <c r="U2950" s="257">
        <f t="shared" si="100"/>
        <v>0</v>
      </c>
      <c r="V2950">
        <v>0</v>
      </c>
      <c r="W2950">
        <v>0</v>
      </c>
    </row>
    <row r="2951" spans="1:23" x14ac:dyDescent="0.3">
      <c r="A2951" s="219">
        <v>43248</v>
      </c>
      <c r="B2951" s="219">
        <v>43248</v>
      </c>
      <c r="C2951" s="6">
        <v>5</v>
      </c>
      <c r="D2951" s="6">
        <v>1</v>
      </c>
      <c r="E2951" s="84">
        <v>2018</v>
      </c>
      <c r="F2951" s="15" t="s">
        <v>22</v>
      </c>
      <c r="G2951" s="9" t="s">
        <v>6258</v>
      </c>
      <c r="H2951" s="9" t="s">
        <v>28</v>
      </c>
      <c r="I2951" s="86">
        <v>5</v>
      </c>
      <c r="J2951" s="34" t="s">
        <v>1492</v>
      </c>
      <c r="K2951" s="87">
        <v>0</v>
      </c>
      <c r="L2951" s="241">
        <v>0</v>
      </c>
      <c r="M2951" s="87">
        <v>0</v>
      </c>
      <c r="N2951" s="87">
        <v>0</v>
      </c>
      <c r="O2951" s="87">
        <v>0</v>
      </c>
      <c r="P2951" s="87">
        <v>0</v>
      </c>
      <c r="Q2951" s="88">
        <v>0</v>
      </c>
      <c r="R2951" s="61">
        <v>3.2506649959999998</v>
      </c>
      <c r="S2951" s="89" t="s">
        <v>149</v>
      </c>
      <c r="T2951" s="257">
        <f t="shared" si="99"/>
        <v>0</v>
      </c>
      <c r="U2951" s="257">
        <f t="shared" si="100"/>
        <v>0</v>
      </c>
      <c r="V2951">
        <v>0</v>
      </c>
      <c r="W2951">
        <v>0</v>
      </c>
    </row>
    <row r="2952" spans="1:23" x14ac:dyDescent="0.3">
      <c r="A2952" s="219">
        <v>43304</v>
      </c>
      <c r="B2952" s="219">
        <v>43307</v>
      </c>
      <c r="C2952" s="6">
        <v>7</v>
      </c>
      <c r="D2952" s="6">
        <v>4</v>
      </c>
      <c r="E2952" s="84">
        <v>2018</v>
      </c>
      <c r="F2952" s="15" t="s">
        <v>22</v>
      </c>
      <c r="G2952" s="9" t="s">
        <v>6258</v>
      </c>
      <c r="H2952" s="9" t="s">
        <v>28</v>
      </c>
      <c r="I2952" s="86">
        <v>5</v>
      </c>
      <c r="J2952" s="34" t="s">
        <v>4880</v>
      </c>
      <c r="K2952" s="87">
        <v>0</v>
      </c>
      <c r="L2952" s="241">
        <v>0</v>
      </c>
      <c r="M2952" s="87">
        <v>0</v>
      </c>
      <c r="N2952" s="87">
        <v>0</v>
      </c>
      <c r="O2952" s="87">
        <v>0</v>
      </c>
      <c r="P2952" s="87">
        <v>0</v>
      </c>
      <c r="Q2952" s="88">
        <v>0</v>
      </c>
      <c r="R2952" s="61">
        <v>1.6253324979999999</v>
      </c>
      <c r="S2952" s="89" t="s">
        <v>149</v>
      </c>
      <c r="T2952" s="257">
        <f t="shared" si="99"/>
        <v>0</v>
      </c>
      <c r="U2952" s="257">
        <f t="shared" si="100"/>
        <v>0</v>
      </c>
      <c r="V2952">
        <v>0</v>
      </c>
      <c r="W2952">
        <v>0</v>
      </c>
    </row>
    <row r="2953" spans="1:23" ht="22.8" x14ac:dyDescent="0.3">
      <c r="A2953" s="219">
        <v>43351</v>
      </c>
      <c r="B2953" s="219">
        <v>43352</v>
      </c>
      <c r="C2953" s="6">
        <v>9</v>
      </c>
      <c r="D2953" s="6">
        <v>2</v>
      </c>
      <c r="E2953" s="84">
        <v>2018</v>
      </c>
      <c r="F2953" s="15" t="s">
        <v>22</v>
      </c>
      <c r="G2953" s="16" t="s">
        <v>6256</v>
      </c>
      <c r="H2953" s="9" t="s">
        <v>28</v>
      </c>
      <c r="I2953" s="86">
        <v>1</v>
      </c>
      <c r="J2953" s="34" t="s">
        <v>4884</v>
      </c>
      <c r="K2953" s="87">
        <v>0</v>
      </c>
      <c r="L2953" s="241">
        <v>0</v>
      </c>
      <c r="M2953" s="87">
        <v>0</v>
      </c>
      <c r="N2953" s="87">
        <v>0</v>
      </c>
      <c r="O2953" s="87">
        <v>0</v>
      </c>
      <c r="P2953" s="87">
        <v>0</v>
      </c>
      <c r="Q2953" s="88">
        <v>0</v>
      </c>
      <c r="R2953" s="61">
        <v>11.149834276666665</v>
      </c>
      <c r="S2953" s="89" t="s">
        <v>149</v>
      </c>
      <c r="T2953" s="257">
        <f t="shared" si="99"/>
        <v>0</v>
      </c>
      <c r="U2953" s="257">
        <f t="shared" si="100"/>
        <v>0</v>
      </c>
      <c r="V2953">
        <v>0</v>
      </c>
      <c r="W2953">
        <v>0</v>
      </c>
    </row>
    <row r="2954" spans="1:23" x14ac:dyDescent="0.3">
      <c r="A2954" s="219">
        <v>43304</v>
      </c>
      <c r="B2954" s="219">
        <v>43307</v>
      </c>
      <c r="C2954" s="6">
        <v>7</v>
      </c>
      <c r="D2954" s="6">
        <v>4</v>
      </c>
      <c r="E2954" s="84">
        <v>2018</v>
      </c>
      <c r="F2954" s="15" t="s">
        <v>22</v>
      </c>
      <c r="G2954" s="9" t="s">
        <v>6258</v>
      </c>
      <c r="H2954" s="9" t="s">
        <v>112</v>
      </c>
      <c r="I2954" s="86">
        <v>9</v>
      </c>
      <c r="J2954" s="53" t="s">
        <v>4880</v>
      </c>
      <c r="K2954" s="87">
        <v>0</v>
      </c>
      <c r="L2954" s="241">
        <v>0</v>
      </c>
      <c r="M2954" s="87">
        <v>0</v>
      </c>
      <c r="N2954" s="87">
        <v>0</v>
      </c>
      <c r="O2954" s="87">
        <v>0</v>
      </c>
      <c r="P2954" s="87">
        <v>0</v>
      </c>
      <c r="Q2954" s="88">
        <v>0</v>
      </c>
      <c r="R2954" s="61">
        <v>2.8044423110000003</v>
      </c>
      <c r="S2954" s="89" t="s">
        <v>149</v>
      </c>
      <c r="T2954" s="257">
        <f t="shared" si="99"/>
        <v>0</v>
      </c>
      <c r="U2954" s="257">
        <f t="shared" si="100"/>
        <v>0</v>
      </c>
      <c r="V2954">
        <v>0</v>
      </c>
      <c r="W2954">
        <v>0</v>
      </c>
    </row>
    <row r="2955" spans="1:23" x14ac:dyDescent="0.3">
      <c r="A2955" s="219">
        <v>43248</v>
      </c>
      <c r="B2955" s="219">
        <v>43248</v>
      </c>
      <c r="C2955" s="6">
        <v>5</v>
      </c>
      <c r="D2955" s="6">
        <v>1</v>
      </c>
      <c r="E2955" s="84">
        <v>2018</v>
      </c>
      <c r="F2955" s="15" t="s">
        <v>22</v>
      </c>
      <c r="G2955" s="9" t="s">
        <v>6258</v>
      </c>
      <c r="H2955" s="9" t="s">
        <v>112</v>
      </c>
      <c r="I2955" s="86">
        <v>9</v>
      </c>
      <c r="J2955" s="53" t="s">
        <v>1492</v>
      </c>
      <c r="K2955" s="87">
        <v>0</v>
      </c>
      <c r="L2955" s="241">
        <v>0</v>
      </c>
      <c r="M2955" s="87">
        <v>0</v>
      </c>
      <c r="N2955" s="87">
        <v>0</v>
      </c>
      <c r="O2955" s="87">
        <v>0</v>
      </c>
      <c r="P2955" s="87">
        <v>0</v>
      </c>
      <c r="Q2955" s="88">
        <v>0</v>
      </c>
      <c r="R2955" s="61">
        <v>5.6088846220000006</v>
      </c>
      <c r="S2955" s="89" t="s">
        <v>149</v>
      </c>
      <c r="T2955" s="257">
        <f t="shared" si="99"/>
        <v>0</v>
      </c>
      <c r="U2955" s="257">
        <f t="shared" si="100"/>
        <v>0</v>
      </c>
      <c r="V2955">
        <v>0</v>
      </c>
      <c r="W2955">
        <v>0</v>
      </c>
    </row>
    <row r="2956" spans="1:23" ht="22.8" x14ac:dyDescent="0.3">
      <c r="A2956" s="219">
        <v>43128</v>
      </c>
      <c r="B2956" s="219">
        <v>43128</v>
      </c>
      <c r="C2956" s="6">
        <v>1</v>
      </c>
      <c r="D2956" s="6">
        <v>1</v>
      </c>
      <c r="E2956" s="84">
        <v>2018</v>
      </c>
      <c r="F2956" s="15" t="s">
        <v>22</v>
      </c>
      <c r="G2956" s="18" t="s">
        <v>6256</v>
      </c>
      <c r="H2956" s="9" t="s">
        <v>31</v>
      </c>
      <c r="I2956" s="174">
        <v>10</v>
      </c>
      <c r="J2956" s="53" t="s">
        <v>4885</v>
      </c>
      <c r="K2956" s="87">
        <v>0</v>
      </c>
      <c r="L2956" s="241">
        <v>0</v>
      </c>
      <c r="M2956" s="87">
        <v>0</v>
      </c>
      <c r="N2956" s="87">
        <v>0</v>
      </c>
      <c r="O2956" s="87">
        <v>0</v>
      </c>
      <c r="P2956" s="87">
        <v>0</v>
      </c>
      <c r="Q2956" s="88">
        <v>0</v>
      </c>
      <c r="R2956" s="61">
        <v>996.75376720978568</v>
      </c>
      <c r="S2956" s="89" t="s">
        <v>149</v>
      </c>
      <c r="T2956" s="257">
        <f t="shared" si="99"/>
        <v>0</v>
      </c>
      <c r="U2956" s="257">
        <f t="shared" si="100"/>
        <v>0</v>
      </c>
      <c r="V2956">
        <v>0</v>
      </c>
      <c r="W2956">
        <v>0</v>
      </c>
    </row>
    <row r="2957" spans="1:23" x14ac:dyDescent="0.3">
      <c r="A2957" s="219">
        <v>43392</v>
      </c>
      <c r="B2957" s="219">
        <v>43392</v>
      </c>
      <c r="C2957" s="6">
        <v>10</v>
      </c>
      <c r="D2957" s="6">
        <v>1</v>
      </c>
      <c r="E2957" s="84">
        <v>2018</v>
      </c>
      <c r="F2957" s="15" t="s">
        <v>22</v>
      </c>
      <c r="G2957" s="18" t="s">
        <v>6256</v>
      </c>
      <c r="H2957" s="9" t="s">
        <v>31</v>
      </c>
      <c r="I2957" s="86">
        <v>1</v>
      </c>
      <c r="J2957" s="53" t="s">
        <v>4886</v>
      </c>
      <c r="K2957" s="87">
        <v>0</v>
      </c>
      <c r="L2957" s="241">
        <v>0</v>
      </c>
      <c r="M2957" s="87">
        <v>0</v>
      </c>
      <c r="N2957" s="87">
        <v>0</v>
      </c>
      <c r="O2957" s="87">
        <v>0</v>
      </c>
      <c r="P2957" s="87">
        <v>0</v>
      </c>
      <c r="Q2957" s="88">
        <v>0</v>
      </c>
      <c r="R2957" s="61">
        <v>3.0794161561428575</v>
      </c>
      <c r="S2957" s="89" t="s">
        <v>149</v>
      </c>
      <c r="T2957" s="257">
        <f t="shared" si="99"/>
        <v>0</v>
      </c>
      <c r="U2957" s="257">
        <f t="shared" si="100"/>
        <v>0</v>
      </c>
      <c r="V2957">
        <v>0</v>
      </c>
      <c r="W2957">
        <v>0</v>
      </c>
    </row>
    <row r="2958" spans="1:23" x14ac:dyDescent="0.3">
      <c r="A2958" s="219">
        <v>43392</v>
      </c>
      <c r="B2958" s="219">
        <v>43393</v>
      </c>
      <c r="C2958" s="6">
        <v>10</v>
      </c>
      <c r="D2958" s="6">
        <v>2</v>
      </c>
      <c r="E2958" s="84">
        <v>2018</v>
      </c>
      <c r="F2958" s="15" t="s">
        <v>22</v>
      </c>
      <c r="G2958" s="16" t="s">
        <v>6256</v>
      </c>
      <c r="H2958" s="9" t="s">
        <v>31</v>
      </c>
      <c r="I2958" s="86">
        <v>1</v>
      </c>
      <c r="J2958" s="53" t="s">
        <v>4887</v>
      </c>
      <c r="K2958" s="87">
        <v>0</v>
      </c>
      <c r="L2958" s="241">
        <v>0</v>
      </c>
      <c r="M2958" s="87">
        <v>0</v>
      </c>
      <c r="N2958" s="87">
        <v>0</v>
      </c>
      <c r="O2958" s="87">
        <v>0</v>
      </c>
      <c r="P2958" s="87">
        <v>0</v>
      </c>
      <c r="Q2958" s="88">
        <v>0</v>
      </c>
      <c r="R2958" s="61">
        <v>29.660990642142856</v>
      </c>
      <c r="S2958" s="89" t="s">
        <v>149</v>
      </c>
      <c r="T2958" s="257">
        <f t="shared" si="99"/>
        <v>0</v>
      </c>
      <c r="U2958" s="257">
        <f t="shared" si="100"/>
        <v>0</v>
      </c>
      <c r="V2958">
        <v>0</v>
      </c>
      <c r="W2958">
        <v>0</v>
      </c>
    </row>
    <row r="2959" spans="1:23" x14ac:dyDescent="0.3">
      <c r="A2959" s="219">
        <v>43391</v>
      </c>
      <c r="B2959" s="219">
        <v>43392</v>
      </c>
      <c r="C2959" s="6">
        <v>10</v>
      </c>
      <c r="D2959" s="6">
        <v>2</v>
      </c>
      <c r="E2959" s="84">
        <v>2018</v>
      </c>
      <c r="F2959" s="15" t="s">
        <v>22</v>
      </c>
      <c r="G2959" s="16" t="s">
        <v>6256</v>
      </c>
      <c r="H2959" s="9" t="s">
        <v>31</v>
      </c>
      <c r="I2959" s="86">
        <v>2</v>
      </c>
      <c r="J2959" s="53" t="s">
        <v>4888</v>
      </c>
      <c r="K2959" s="87">
        <v>0</v>
      </c>
      <c r="L2959" s="241">
        <v>0</v>
      </c>
      <c r="M2959" s="87">
        <v>0</v>
      </c>
      <c r="N2959" s="87">
        <v>0</v>
      </c>
      <c r="O2959" s="87">
        <v>0</v>
      </c>
      <c r="P2959" s="87">
        <v>0</v>
      </c>
      <c r="Q2959" s="88">
        <v>0</v>
      </c>
      <c r="R2959" s="61">
        <v>1.2932445810892859</v>
      </c>
      <c r="S2959" s="89" t="s">
        <v>149</v>
      </c>
      <c r="T2959" s="257">
        <f t="shared" si="99"/>
        <v>0</v>
      </c>
      <c r="U2959" s="257">
        <f t="shared" si="100"/>
        <v>0</v>
      </c>
      <c r="V2959">
        <v>0</v>
      </c>
      <c r="W2959">
        <v>0</v>
      </c>
    </row>
    <row r="2960" spans="1:23" x14ac:dyDescent="0.3">
      <c r="A2960" s="219">
        <v>43248</v>
      </c>
      <c r="B2960" s="219">
        <v>43248</v>
      </c>
      <c r="C2960" s="6">
        <v>5</v>
      </c>
      <c r="D2960" s="6">
        <v>1</v>
      </c>
      <c r="E2960" s="84">
        <v>2018</v>
      </c>
      <c r="F2960" s="15" t="s">
        <v>22</v>
      </c>
      <c r="G2960" s="9" t="s">
        <v>6258</v>
      </c>
      <c r="H2960" s="9" t="s">
        <v>31</v>
      </c>
      <c r="I2960" s="86">
        <v>72</v>
      </c>
      <c r="J2960" s="53" t="s">
        <v>1492</v>
      </c>
      <c r="K2960" s="87">
        <v>0</v>
      </c>
      <c r="L2960" s="241">
        <v>0</v>
      </c>
      <c r="M2960" s="87">
        <v>0</v>
      </c>
      <c r="N2960" s="87">
        <v>0</v>
      </c>
      <c r="O2960" s="87">
        <v>0</v>
      </c>
      <c r="P2960" s="87">
        <v>0</v>
      </c>
      <c r="Q2960" s="88">
        <v>0</v>
      </c>
      <c r="R2960" s="61">
        <v>10.558835288000001</v>
      </c>
      <c r="S2960" s="89" t="s">
        <v>149</v>
      </c>
      <c r="T2960" s="257">
        <f t="shared" si="99"/>
        <v>0</v>
      </c>
      <c r="U2960" s="257">
        <f t="shared" si="100"/>
        <v>0</v>
      </c>
      <c r="V2960">
        <v>0</v>
      </c>
      <c r="W2960">
        <v>0</v>
      </c>
    </row>
    <row r="2961" spans="1:23" x14ac:dyDescent="0.3">
      <c r="A2961" s="219">
        <v>43248</v>
      </c>
      <c r="B2961" s="219">
        <v>43248</v>
      </c>
      <c r="C2961" s="6">
        <v>5</v>
      </c>
      <c r="D2961" s="6">
        <v>1</v>
      </c>
      <c r="E2961" s="84">
        <v>2018</v>
      </c>
      <c r="F2961" s="15" t="s">
        <v>22</v>
      </c>
      <c r="G2961" s="9" t="s">
        <v>6258</v>
      </c>
      <c r="H2961" s="9" t="s">
        <v>31</v>
      </c>
      <c r="I2961" s="86">
        <v>72</v>
      </c>
      <c r="J2961" s="53" t="s">
        <v>1492</v>
      </c>
      <c r="K2961" s="87">
        <v>0</v>
      </c>
      <c r="L2961" s="241">
        <v>0</v>
      </c>
      <c r="M2961" s="87">
        <v>0</v>
      </c>
      <c r="N2961" s="87">
        <v>0</v>
      </c>
      <c r="O2961" s="87">
        <v>0</v>
      </c>
      <c r="P2961" s="87">
        <v>0</v>
      </c>
      <c r="Q2961" s="88">
        <v>0</v>
      </c>
      <c r="R2961" s="61">
        <v>21.117670576000002</v>
      </c>
      <c r="S2961" s="89" t="s">
        <v>149</v>
      </c>
      <c r="T2961" s="257">
        <f t="shared" si="99"/>
        <v>0</v>
      </c>
      <c r="U2961" s="257">
        <f t="shared" si="100"/>
        <v>0</v>
      </c>
      <c r="V2961">
        <v>0</v>
      </c>
      <c r="W2961">
        <v>0</v>
      </c>
    </row>
    <row r="2962" spans="1:23" x14ac:dyDescent="0.3">
      <c r="A2962" s="219">
        <v>43248</v>
      </c>
      <c r="B2962" s="219">
        <v>43248</v>
      </c>
      <c r="C2962" s="6">
        <v>5</v>
      </c>
      <c r="D2962" s="6">
        <v>1</v>
      </c>
      <c r="E2962" s="84">
        <v>2018</v>
      </c>
      <c r="F2962" s="15" t="s">
        <v>22</v>
      </c>
      <c r="G2962" s="9" t="s">
        <v>6258</v>
      </c>
      <c r="H2962" s="9" t="s">
        <v>34</v>
      </c>
      <c r="I2962" s="86">
        <v>67</v>
      </c>
      <c r="J2962" s="53" t="s">
        <v>1492</v>
      </c>
      <c r="K2962" s="87">
        <v>0</v>
      </c>
      <c r="L2962" s="241">
        <v>0</v>
      </c>
      <c r="M2962" s="87">
        <v>0</v>
      </c>
      <c r="N2962" s="87">
        <v>0</v>
      </c>
      <c r="O2962" s="87">
        <v>0</v>
      </c>
      <c r="P2962" s="87">
        <v>0</v>
      </c>
      <c r="Q2962" s="88">
        <v>0</v>
      </c>
      <c r="R2962" s="61">
        <v>27.829323339999998</v>
      </c>
      <c r="S2962" s="89" t="s">
        <v>149</v>
      </c>
      <c r="T2962" s="257">
        <f t="shared" si="99"/>
        <v>0</v>
      </c>
      <c r="U2962" s="257">
        <f t="shared" si="100"/>
        <v>0</v>
      </c>
      <c r="V2962">
        <v>0</v>
      </c>
      <c r="W2962">
        <v>0</v>
      </c>
    </row>
    <row r="2963" spans="1:23" x14ac:dyDescent="0.3">
      <c r="A2963" s="219">
        <v>43304</v>
      </c>
      <c r="B2963" s="219">
        <v>43307</v>
      </c>
      <c r="C2963" s="6">
        <v>7</v>
      </c>
      <c r="D2963" s="6">
        <v>4</v>
      </c>
      <c r="E2963" s="84">
        <v>2018</v>
      </c>
      <c r="F2963" s="15" t="s">
        <v>22</v>
      </c>
      <c r="G2963" s="9" t="s">
        <v>6258</v>
      </c>
      <c r="H2963" s="9" t="s">
        <v>34</v>
      </c>
      <c r="I2963" s="86">
        <v>67</v>
      </c>
      <c r="J2963" s="53" t="s">
        <v>4880</v>
      </c>
      <c r="K2963" s="87">
        <v>0</v>
      </c>
      <c r="L2963" s="241">
        <v>0</v>
      </c>
      <c r="M2963" s="87">
        <v>0</v>
      </c>
      <c r="N2963" s="87">
        <v>0</v>
      </c>
      <c r="O2963" s="87">
        <v>0</v>
      </c>
      <c r="P2963" s="87">
        <v>0</v>
      </c>
      <c r="Q2963" s="88">
        <v>0</v>
      </c>
      <c r="R2963" s="61">
        <v>20.871992505000001</v>
      </c>
      <c r="S2963" s="89" t="s">
        <v>149</v>
      </c>
      <c r="T2963" s="257">
        <f t="shared" si="99"/>
        <v>0</v>
      </c>
      <c r="U2963" s="257">
        <f t="shared" si="100"/>
        <v>0</v>
      </c>
      <c r="V2963">
        <v>0</v>
      </c>
      <c r="W2963">
        <v>0</v>
      </c>
    </row>
    <row r="2964" spans="1:23" x14ac:dyDescent="0.3">
      <c r="A2964" s="219">
        <v>43347</v>
      </c>
      <c r="B2964" s="219">
        <v>43347</v>
      </c>
      <c r="C2964" s="6">
        <v>9</v>
      </c>
      <c r="D2964" s="6">
        <v>1</v>
      </c>
      <c r="E2964" s="84">
        <v>2018</v>
      </c>
      <c r="F2964" s="15" t="s">
        <v>22</v>
      </c>
      <c r="G2964" s="18" t="s">
        <v>6256</v>
      </c>
      <c r="H2964" s="9" t="s">
        <v>37</v>
      </c>
      <c r="I2964" s="174">
        <v>2</v>
      </c>
      <c r="J2964" s="53" t="s">
        <v>4889</v>
      </c>
      <c r="K2964" s="87">
        <v>0</v>
      </c>
      <c r="L2964" s="241">
        <v>0</v>
      </c>
      <c r="M2964" s="87">
        <v>0</v>
      </c>
      <c r="N2964" s="87">
        <v>0</v>
      </c>
      <c r="O2964" s="87">
        <v>0</v>
      </c>
      <c r="P2964" s="87">
        <v>0</v>
      </c>
      <c r="Q2964" s="88">
        <v>0</v>
      </c>
      <c r="R2964" s="61">
        <v>137.744820025</v>
      </c>
      <c r="S2964" s="89" t="s">
        <v>149</v>
      </c>
      <c r="T2964" s="257">
        <f t="shared" si="99"/>
        <v>0</v>
      </c>
      <c r="U2964" s="257">
        <f t="shared" si="100"/>
        <v>0</v>
      </c>
      <c r="V2964">
        <v>0</v>
      </c>
      <c r="W2964">
        <v>0</v>
      </c>
    </row>
    <row r="2965" spans="1:23" x14ac:dyDescent="0.3">
      <c r="A2965" s="219">
        <v>43116</v>
      </c>
      <c r="B2965" s="219">
        <v>43118</v>
      </c>
      <c r="C2965" s="6">
        <v>1</v>
      </c>
      <c r="D2965" s="6">
        <v>3</v>
      </c>
      <c r="E2965" s="84">
        <v>2018</v>
      </c>
      <c r="F2965" s="15" t="s">
        <v>22</v>
      </c>
      <c r="G2965" s="85" t="s">
        <v>6255</v>
      </c>
      <c r="H2965" s="9" t="s">
        <v>37</v>
      </c>
      <c r="I2965" s="86">
        <v>3</v>
      </c>
      <c r="J2965" s="53" t="s">
        <v>4890</v>
      </c>
      <c r="K2965" s="87">
        <v>0</v>
      </c>
      <c r="L2965" s="241">
        <v>0</v>
      </c>
      <c r="M2965" s="87">
        <v>0</v>
      </c>
      <c r="N2965" s="87">
        <v>0</v>
      </c>
      <c r="O2965" s="87">
        <v>0</v>
      </c>
      <c r="P2965" s="87">
        <v>0</v>
      </c>
      <c r="Q2965" s="88">
        <v>0</v>
      </c>
      <c r="R2965" s="61">
        <v>1.9495954</v>
      </c>
      <c r="S2965" s="89" t="s">
        <v>149</v>
      </c>
      <c r="T2965" s="257">
        <f t="shared" si="99"/>
        <v>0</v>
      </c>
      <c r="U2965" s="257">
        <f t="shared" si="100"/>
        <v>0</v>
      </c>
      <c r="V2965">
        <v>0</v>
      </c>
      <c r="W2965">
        <v>0</v>
      </c>
    </row>
    <row r="2966" spans="1:23" x14ac:dyDescent="0.3">
      <c r="A2966" s="219">
        <v>43248</v>
      </c>
      <c r="B2966" s="219">
        <v>43248</v>
      </c>
      <c r="C2966" s="6">
        <v>5</v>
      </c>
      <c r="D2966" s="6">
        <v>1</v>
      </c>
      <c r="E2966" s="84">
        <v>2018</v>
      </c>
      <c r="F2966" s="15" t="s">
        <v>22</v>
      </c>
      <c r="G2966" s="9" t="s">
        <v>6258</v>
      </c>
      <c r="H2966" s="9" t="s">
        <v>37</v>
      </c>
      <c r="I2966" s="86">
        <v>20</v>
      </c>
      <c r="J2966" s="34" t="s">
        <v>1492</v>
      </c>
      <c r="K2966" s="87">
        <v>0</v>
      </c>
      <c r="L2966" s="241">
        <v>0</v>
      </c>
      <c r="M2966" s="87">
        <v>0</v>
      </c>
      <c r="N2966" s="87">
        <v>0</v>
      </c>
      <c r="O2966" s="87">
        <v>0</v>
      </c>
      <c r="P2966" s="87">
        <v>0</v>
      </c>
      <c r="Q2966" s="88">
        <v>0</v>
      </c>
      <c r="R2966" s="61">
        <v>3.8207070180000007</v>
      </c>
      <c r="S2966" s="89" t="s">
        <v>149</v>
      </c>
      <c r="T2966" s="257">
        <f t="shared" si="99"/>
        <v>0</v>
      </c>
      <c r="U2966" s="257">
        <f t="shared" si="100"/>
        <v>0</v>
      </c>
      <c r="V2966">
        <v>0</v>
      </c>
      <c r="W2966">
        <v>0</v>
      </c>
    </row>
    <row r="2967" spans="1:23" x14ac:dyDescent="0.3">
      <c r="A2967" s="219">
        <v>43248</v>
      </c>
      <c r="B2967" s="219">
        <v>43258</v>
      </c>
      <c r="C2967" s="6">
        <v>5</v>
      </c>
      <c r="D2967" s="6">
        <v>11</v>
      </c>
      <c r="E2967" s="84">
        <v>2018</v>
      </c>
      <c r="F2967" s="15" t="s">
        <v>22</v>
      </c>
      <c r="G2967" s="9" t="s">
        <v>6258</v>
      </c>
      <c r="H2967" s="9" t="s">
        <v>37</v>
      </c>
      <c r="I2967" s="86">
        <v>18</v>
      </c>
      <c r="J2967" s="34" t="s">
        <v>4891</v>
      </c>
      <c r="K2967" s="87">
        <v>0</v>
      </c>
      <c r="L2967" s="241">
        <v>0</v>
      </c>
      <c r="M2967" s="87">
        <v>0</v>
      </c>
      <c r="N2967" s="87">
        <v>0</v>
      </c>
      <c r="O2967" s="87">
        <v>0</v>
      </c>
      <c r="P2967" s="87">
        <v>0</v>
      </c>
      <c r="Q2967" s="88">
        <v>0</v>
      </c>
      <c r="R2967" s="61">
        <v>2.0499276000000002</v>
      </c>
      <c r="S2967" s="89" t="s">
        <v>149</v>
      </c>
      <c r="T2967" s="257">
        <f t="shared" si="99"/>
        <v>0</v>
      </c>
      <c r="U2967" s="257">
        <f t="shared" si="100"/>
        <v>0</v>
      </c>
      <c r="V2967">
        <v>0</v>
      </c>
      <c r="W2967">
        <v>0</v>
      </c>
    </row>
    <row r="2968" spans="1:23" x14ac:dyDescent="0.3">
      <c r="A2968" s="219">
        <v>43201</v>
      </c>
      <c r="B2968" s="219">
        <v>43201</v>
      </c>
      <c r="C2968" s="6">
        <v>4</v>
      </c>
      <c r="D2968" s="6">
        <v>1</v>
      </c>
      <c r="E2968" s="84">
        <v>2018</v>
      </c>
      <c r="F2968" s="15" t="s">
        <v>22</v>
      </c>
      <c r="G2968" s="82" t="s">
        <v>6256</v>
      </c>
      <c r="H2968" s="9" t="s">
        <v>37</v>
      </c>
      <c r="I2968" s="86">
        <v>3</v>
      </c>
      <c r="J2968" s="34" t="s">
        <v>4892</v>
      </c>
      <c r="K2968" s="87">
        <v>0</v>
      </c>
      <c r="L2968" s="241">
        <v>0</v>
      </c>
      <c r="M2968" s="87">
        <v>0</v>
      </c>
      <c r="N2968" s="87">
        <v>0</v>
      </c>
      <c r="O2968" s="87">
        <v>0</v>
      </c>
      <c r="P2968" s="87">
        <v>0</v>
      </c>
      <c r="Q2968" s="88">
        <v>0</v>
      </c>
      <c r="R2968" s="61">
        <v>2.4837060000000002</v>
      </c>
      <c r="S2968" s="89" t="s">
        <v>149</v>
      </c>
      <c r="T2968" s="257">
        <f t="shared" si="99"/>
        <v>0</v>
      </c>
      <c r="U2968" s="257">
        <f t="shared" si="100"/>
        <v>0</v>
      </c>
      <c r="V2968">
        <v>0</v>
      </c>
      <c r="W2968">
        <v>0</v>
      </c>
    </row>
    <row r="2969" spans="1:23" ht="22.8" x14ac:dyDescent="0.3">
      <c r="A2969" s="219">
        <v>43347</v>
      </c>
      <c r="B2969" s="219">
        <v>43347</v>
      </c>
      <c r="C2969" s="6">
        <v>9</v>
      </c>
      <c r="D2969" s="6">
        <v>1</v>
      </c>
      <c r="E2969" s="84">
        <v>2018</v>
      </c>
      <c r="F2969" s="15" t="s">
        <v>22</v>
      </c>
      <c r="G2969" s="18" t="s">
        <v>6256</v>
      </c>
      <c r="H2969" s="9" t="s">
        <v>37</v>
      </c>
      <c r="I2969" s="86">
        <v>1</v>
      </c>
      <c r="J2969" s="34" t="s">
        <v>4893</v>
      </c>
      <c r="K2969" s="87">
        <v>0</v>
      </c>
      <c r="L2969" s="241">
        <v>0</v>
      </c>
      <c r="M2969" s="87">
        <v>0</v>
      </c>
      <c r="N2969" s="87">
        <v>0</v>
      </c>
      <c r="O2969" s="87">
        <v>0</v>
      </c>
      <c r="P2969" s="87">
        <v>0</v>
      </c>
      <c r="Q2969" s="88">
        <v>0</v>
      </c>
      <c r="R2969" s="61">
        <v>3.8634116499999998</v>
      </c>
      <c r="S2969" s="89" t="s">
        <v>149</v>
      </c>
      <c r="T2969" s="257">
        <f t="shared" si="99"/>
        <v>0</v>
      </c>
      <c r="U2969" s="257">
        <f t="shared" si="100"/>
        <v>0</v>
      </c>
      <c r="V2969">
        <v>0</v>
      </c>
      <c r="W2969">
        <v>0</v>
      </c>
    </row>
    <row r="2970" spans="1:23" x14ac:dyDescent="0.3">
      <c r="A2970" s="219">
        <v>43304</v>
      </c>
      <c r="B2970" s="219">
        <v>43307</v>
      </c>
      <c r="C2970" s="6">
        <v>7</v>
      </c>
      <c r="D2970" s="6">
        <v>4</v>
      </c>
      <c r="E2970" s="84">
        <v>2018</v>
      </c>
      <c r="F2970" s="15" t="s">
        <v>22</v>
      </c>
      <c r="G2970" s="9" t="s">
        <v>6258</v>
      </c>
      <c r="H2970" s="9" t="s">
        <v>37</v>
      </c>
      <c r="I2970" s="86">
        <v>20</v>
      </c>
      <c r="J2970" s="34" t="s">
        <v>4880</v>
      </c>
      <c r="K2970" s="87">
        <v>0</v>
      </c>
      <c r="L2970" s="241">
        <v>0</v>
      </c>
      <c r="M2970" s="87">
        <v>0</v>
      </c>
      <c r="N2970" s="87">
        <v>0</v>
      </c>
      <c r="O2970" s="87">
        <v>0</v>
      </c>
      <c r="P2970" s="87">
        <v>0</v>
      </c>
      <c r="Q2970" s="88">
        <v>0</v>
      </c>
      <c r="R2970" s="61">
        <v>1.9103535090000003</v>
      </c>
      <c r="S2970" s="89" t="s">
        <v>149</v>
      </c>
      <c r="T2970" s="257">
        <f t="shared" si="99"/>
        <v>0</v>
      </c>
      <c r="U2970" s="257">
        <f t="shared" si="100"/>
        <v>0</v>
      </c>
      <c r="V2970">
        <v>0</v>
      </c>
      <c r="W2970">
        <v>0</v>
      </c>
    </row>
    <row r="2971" spans="1:23" x14ac:dyDescent="0.3">
      <c r="A2971" s="219">
        <v>43304</v>
      </c>
      <c r="B2971" s="219">
        <v>43307</v>
      </c>
      <c r="C2971" s="6">
        <v>7</v>
      </c>
      <c r="D2971" s="6">
        <v>4</v>
      </c>
      <c r="E2971" s="84">
        <v>2018</v>
      </c>
      <c r="F2971" s="15" t="s">
        <v>22</v>
      </c>
      <c r="G2971" s="9" t="s">
        <v>6258</v>
      </c>
      <c r="H2971" s="9" t="s">
        <v>39</v>
      </c>
      <c r="I2971" s="86">
        <v>10</v>
      </c>
      <c r="J2971" s="34" t="s">
        <v>4880</v>
      </c>
      <c r="K2971" s="87">
        <v>0</v>
      </c>
      <c r="L2971" s="241">
        <v>0</v>
      </c>
      <c r="M2971" s="87">
        <v>0</v>
      </c>
      <c r="N2971" s="87">
        <v>0</v>
      </c>
      <c r="O2971" s="87">
        <v>0</v>
      </c>
      <c r="P2971" s="87">
        <v>0</v>
      </c>
      <c r="Q2971" s="88">
        <v>0</v>
      </c>
      <c r="R2971" s="61">
        <v>1.640936605</v>
      </c>
      <c r="S2971" s="89" t="s">
        <v>149</v>
      </c>
      <c r="T2971" s="257">
        <f t="shared" si="99"/>
        <v>0</v>
      </c>
      <c r="U2971" s="257">
        <f t="shared" si="100"/>
        <v>0</v>
      </c>
      <c r="V2971">
        <v>0</v>
      </c>
      <c r="W2971">
        <v>0</v>
      </c>
    </row>
    <row r="2972" spans="1:23" x14ac:dyDescent="0.3">
      <c r="A2972" s="219">
        <v>43248</v>
      </c>
      <c r="B2972" s="219">
        <v>43248</v>
      </c>
      <c r="C2972" s="6">
        <v>5</v>
      </c>
      <c r="D2972" s="6">
        <v>1</v>
      </c>
      <c r="E2972" s="84">
        <v>2018</v>
      </c>
      <c r="F2972" s="15" t="s">
        <v>22</v>
      </c>
      <c r="G2972" s="9" t="s">
        <v>6258</v>
      </c>
      <c r="H2972" s="9" t="s">
        <v>39</v>
      </c>
      <c r="I2972" s="86">
        <v>10</v>
      </c>
      <c r="J2972" s="34" t="s">
        <v>1492</v>
      </c>
      <c r="K2972" s="87">
        <v>0</v>
      </c>
      <c r="L2972" s="241">
        <v>0</v>
      </c>
      <c r="M2972" s="87">
        <v>0</v>
      </c>
      <c r="N2972" s="87">
        <v>0</v>
      </c>
      <c r="O2972" s="87">
        <v>0</v>
      </c>
      <c r="P2972" s="87">
        <v>0</v>
      </c>
      <c r="Q2972" s="88">
        <v>0</v>
      </c>
      <c r="R2972" s="61">
        <v>1.640936605</v>
      </c>
      <c r="S2972" s="89" t="s">
        <v>149</v>
      </c>
      <c r="T2972" s="257">
        <f t="shared" si="99"/>
        <v>0</v>
      </c>
      <c r="U2972" s="257">
        <f t="shared" si="100"/>
        <v>0</v>
      </c>
      <c r="V2972">
        <v>0</v>
      </c>
      <c r="W2972">
        <v>0</v>
      </c>
    </row>
    <row r="2973" spans="1:23" x14ac:dyDescent="0.3">
      <c r="A2973" s="219">
        <v>43396</v>
      </c>
      <c r="B2973" s="219">
        <v>43396</v>
      </c>
      <c r="C2973" s="6">
        <v>10</v>
      </c>
      <c r="D2973" s="6">
        <v>1</v>
      </c>
      <c r="E2973" s="84">
        <v>2018</v>
      </c>
      <c r="F2973" s="15" t="s">
        <v>22</v>
      </c>
      <c r="G2973" s="18" t="s">
        <v>6256</v>
      </c>
      <c r="H2973" s="9" t="s">
        <v>41</v>
      </c>
      <c r="I2973" s="174">
        <v>3</v>
      </c>
      <c r="J2973" s="53" t="s">
        <v>4894</v>
      </c>
      <c r="K2973" s="87">
        <v>0</v>
      </c>
      <c r="L2973" s="241">
        <v>0</v>
      </c>
      <c r="M2973" s="87">
        <v>0</v>
      </c>
      <c r="N2973" s="87">
        <v>0</v>
      </c>
      <c r="O2973" s="87">
        <v>0</v>
      </c>
      <c r="P2973" s="87">
        <v>0</v>
      </c>
      <c r="Q2973" s="88">
        <v>0</v>
      </c>
      <c r="R2973" s="61">
        <v>8.7095318766666665</v>
      </c>
      <c r="S2973" s="89" t="s">
        <v>149</v>
      </c>
      <c r="T2973" s="257">
        <f t="shared" si="99"/>
        <v>0</v>
      </c>
      <c r="U2973" s="257">
        <f t="shared" si="100"/>
        <v>0</v>
      </c>
      <c r="V2973">
        <v>0</v>
      </c>
      <c r="W2973">
        <v>0</v>
      </c>
    </row>
    <row r="2974" spans="1:23" x14ac:dyDescent="0.3">
      <c r="A2974" s="219">
        <v>43361</v>
      </c>
      <c r="B2974" s="219">
        <v>43361</v>
      </c>
      <c r="C2974" s="6">
        <v>9</v>
      </c>
      <c r="D2974" s="6">
        <v>1</v>
      </c>
      <c r="E2974" s="84">
        <v>2018</v>
      </c>
      <c r="F2974" s="15" t="s">
        <v>22</v>
      </c>
      <c r="G2974" s="18" t="s">
        <v>6256</v>
      </c>
      <c r="H2974" s="9" t="s">
        <v>41</v>
      </c>
      <c r="I2974" s="86">
        <v>2</v>
      </c>
      <c r="J2974" s="34" t="s">
        <v>4895</v>
      </c>
      <c r="K2974" s="87">
        <v>0</v>
      </c>
      <c r="L2974" s="241">
        <v>0</v>
      </c>
      <c r="M2974" s="87">
        <v>0</v>
      </c>
      <c r="N2974" s="87">
        <v>0</v>
      </c>
      <c r="O2974" s="87">
        <v>0</v>
      </c>
      <c r="P2974" s="87">
        <v>0</v>
      </c>
      <c r="Q2974" s="88">
        <v>0</v>
      </c>
      <c r="R2974" s="61">
        <v>1.5648693500000002</v>
      </c>
      <c r="S2974" s="89" t="s">
        <v>149</v>
      </c>
      <c r="T2974" s="257">
        <f t="shared" si="99"/>
        <v>0</v>
      </c>
      <c r="U2974" s="257">
        <f t="shared" si="100"/>
        <v>0</v>
      </c>
      <c r="V2974">
        <v>0</v>
      </c>
      <c r="W2974">
        <v>0</v>
      </c>
    </row>
    <row r="2975" spans="1:23" x14ac:dyDescent="0.3">
      <c r="A2975" s="219">
        <v>43350</v>
      </c>
      <c r="B2975" s="219">
        <v>43350</v>
      </c>
      <c r="C2975" s="6">
        <v>9</v>
      </c>
      <c r="D2975" s="6">
        <v>1</v>
      </c>
      <c r="E2975" s="84">
        <v>2018</v>
      </c>
      <c r="F2975" s="15" t="s">
        <v>22</v>
      </c>
      <c r="G2975" s="18" t="s">
        <v>6256</v>
      </c>
      <c r="H2975" s="9" t="s">
        <v>41</v>
      </c>
      <c r="I2975" s="86">
        <v>4</v>
      </c>
      <c r="J2975" s="34" t="s">
        <v>4896</v>
      </c>
      <c r="K2975" s="87">
        <v>0</v>
      </c>
      <c r="L2975" s="241">
        <v>0</v>
      </c>
      <c r="M2975" s="87">
        <v>0</v>
      </c>
      <c r="N2975" s="87">
        <v>0</v>
      </c>
      <c r="O2975" s="87">
        <v>0</v>
      </c>
      <c r="P2975" s="87">
        <v>0</v>
      </c>
      <c r="Q2975" s="88">
        <v>0</v>
      </c>
      <c r="R2975" s="61">
        <v>6.3322531699999995</v>
      </c>
      <c r="S2975" s="89" t="s">
        <v>149</v>
      </c>
      <c r="T2975" s="257">
        <f t="shared" si="99"/>
        <v>0</v>
      </c>
      <c r="U2975" s="257">
        <f t="shared" si="100"/>
        <v>0</v>
      </c>
      <c r="V2975">
        <v>0</v>
      </c>
      <c r="W2975">
        <v>0</v>
      </c>
    </row>
    <row r="2976" spans="1:23" x14ac:dyDescent="0.3">
      <c r="A2976" s="219">
        <v>43304</v>
      </c>
      <c r="B2976" s="219">
        <v>43307</v>
      </c>
      <c r="C2976" s="6">
        <v>7</v>
      </c>
      <c r="D2976" s="6">
        <v>4</v>
      </c>
      <c r="E2976" s="84">
        <v>2018</v>
      </c>
      <c r="F2976" s="15" t="s">
        <v>22</v>
      </c>
      <c r="G2976" s="9" t="s">
        <v>6258</v>
      </c>
      <c r="H2976" s="9" t="s">
        <v>41</v>
      </c>
      <c r="I2976" s="86">
        <v>21</v>
      </c>
      <c r="J2976" s="34" t="s">
        <v>4880</v>
      </c>
      <c r="K2976" s="87">
        <v>0</v>
      </c>
      <c r="L2976" s="241">
        <v>0</v>
      </c>
      <c r="M2976" s="87">
        <v>0</v>
      </c>
      <c r="N2976" s="87">
        <v>0</v>
      </c>
      <c r="O2976" s="87">
        <v>0</v>
      </c>
      <c r="P2976" s="87">
        <v>0</v>
      </c>
      <c r="Q2976" s="88">
        <v>0</v>
      </c>
      <c r="R2976" s="61">
        <v>2.6704080619999999</v>
      </c>
      <c r="S2976" s="89" t="s">
        <v>149</v>
      </c>
      <c r="T2976" s="257">
        <f t="shared" si="99"/>
        <v>0</v>
      </c>
      <c r="U2976" s="257">
        <f t="shared" si="100"/>
        <v>0</v>
      </c>
      <c r="V2976">
        <v>0</v>
      </c>
      <c r="W2976">
        <v>0</v>
      </c>
    </row>
    <row r="2977" spans="1:23" x14ac:dyDescent="0.3">
      <c r="A2977" s="219">
        <v>43242</v>
      </c>
      <c r="B2977" s="219">
        <v>43251</v>
      </c>
      <c r="C2977" s="6">
        <v>5</v>
      </c>
      <c r="D2977" s="6">
        <v>10</v>
      </c>
      <c r="E2977" s="84">
        <v>2018</v>
      </c>
      <c r="F2977" s="15" t="s">
        <v>22</v>
      </c>
      <c r="G2977" s="9" t="s">
        <v>6258</v>
      </c>
      <c r="H2977" s="9" t="s">
        <v>41</v>
      </c>
      <c r="I2977" s="86">
        <v>37</v>
      </c>
      <c r="J2977" s="34" t="s">
        <v>4897</v>
      </c>
      <c r="K2977" s="87">
        <v>0</v>
      </c>
      <c r="L2977" s="241">
        <v>0</v>
      </c>
      <c r="M2977" s="87">
        <v>0</v>
      </c>
      <c r="N2977" s="87">
        <v>0</v>
      </c>
      <c r="O2977" s="87">
        <v>0</v>
      </c>
      <c r="P2977" s="87">
        <v>0</v>
      </c>
      <c r="Q2977" s="88">
        <v>0</v>
      </c>
      <c r="R2977" s="61">
        <v>2.1016597999999997</v>
      </c>
      <c r="S2977" s="89" t="s">
        <v>149</v>
      </c>
      <c r="T2977" s="257">
        <f t="shared" si="99"/>
        <v>0</v>
      </c>
      <c r="U2977" s="257">
        <f t="shared" si="100"/>
        <v>0</v>
      </c>
      <c r="V2977">
        <v>0</v>
      </c>
      <c r="W2977">
        <v>0</v>
      </c>
    </row>
    <row r="2978" spans="1:23" x14ac:dyDescent="0.3">
      <c r="A2978" s="219">
        <v>43248</v>
      </c>
      <c r="B2978" s="219">
        <v>43248</v>
      </c>
      <c r="C2978" s="6">
        <v>5</v>
      </c>
      <c r="D2978" s="6">
        <v>1</v>
      </c>
      <c r="E2978" s="84">
        <v>2018</v>
      </c>
      <c r="F2978" s="15" t="s">
        <v>22</v>
      </c>
      <c r="G2978" s="9" t="s">
        <v>6258</v>
      </c>
      <c r="H2978" s="9" t="s">
        <v>41</v>
      </c>
      <c r="I2978" s="86">
        <v>2</v>
      </c>
      <c r="J2978" s="34" t="s">
        <v>4881</v>
      </c>
      <c r="K2978" s="87">
        <v>0</v>
      </c>
      <c r="L2978" s="241">
        <v>0</v>
      </c>
      <c r="M2978" s="87">
        <v>0</v>
      </c>
      <c r="N2978" s="87">
        <v>0</v>
      </c>
      <c r="O2978" s="87">
        <v>0</v>
      </c>
      <c r="P2978" s="87">
        <v>0</v>
      </c>
      <c r="Q2978" s="88">
        <v>0</v>
      </c>
      <c r="R2978" s="61">
        <v>0.38547183400000001</v>
      </c>
      <c r="S2978" s="89" t="s">
        <v>149</v>
      </c>
      <c r="T2978" s="257">
        <f t="shared" si="99"/>
        <v>0</v>
      </c>
      <c r="U2978" s="257">
        <f t="shared" si="100"/>
        <v>0</v>
      </c>
      <c r="V2978">
        <v>0</v>
      </c>
      <c r="W2978">
        <v>0</v>
      </c>
    </row>
    <row r="2979" spans="1:23" x14ac:dyDescent="0.3">
      <c r="A2979" s="219">
        <v>43324</v>
      </c>
      <c r="B2979" s="219">
        <v>43324</v>
      </c>
      <c r="C2979" s="6">
        <v>8</v>
      </c>
      <c r="D2979" s="6">
        <v>1</v>
      </c>
      <c r="E2979" s="84">
        <v>2018</v>
      </c>
      <c r="F2979" s="15" t="s">
        <v>22</v>
      </c>
      <c r="G2979" s="18" t="s">
        <v>6256</v>
      </c>
      <c r="H2979" s="9" t="s">
        <v>41</v>
      </c>
      <c r="I2979" s="86">
        <v>2</v>
      </c>
      <c r="J2979" s="34" t="s">
        <v>4898</v>
      </c>
      <c r="K2979" s="87">
        <v>0</v>
      </c>
      <c r="L2979" s="241">
        <v>0</v>
      </c>
      <c r="M2979" s="87">
        <v>0</v>
      </c>
      <c r="N2979" s="87">
        <v>0</v>
      </c>
      <c r="O2979" s="87">
        <v>0</v>
      </c>
      <c r="P2979" s="87">
        <v>0</v>
      </c>
      <c r="Q2979" s="88">
        <v>0</v>
      </c>
      <c r="R2979" s="61">
        <v>15.43328414</v>
      </c>
      <c r="S2979" s="89" t="s">
        <v>149</v>
      </c>
      <c r="T2979" s="257">
        <f t="shared" si="99"/>
        <v>0</v>
      </c>
      <c r="U2979" s="257">
        <f t="shared" si="100"/>
        <v>0</v>
      </c>
      <c r="V2979">
        <v>0</v>
      </c>
      <c r="W2979">
        <v>0</v>
      </c>
    </row>
    <row r="2980" spans="1:23" ht="34.200000000000003" x14ac:dyDescent="0.3">
      <c r="A2980" s="219">
        <v>43279</v>
      </c>
      <c r="B2980" s="219">
        <v>43279</v>
      </c>
      <c r="C2980" s="6">
        <v>6</v>
      </c>
      <c r="D2980" s="6">
        <v>1</v>
      </c>
      <c r="E2980" s="84">
        <v>2018</v>
      </c>
      <c r="F2980" s="15" t="s">
        <v>22</v>
      </c>
      <c r="G2980" s="18" t="s">
        <v>6256</v>
      </c>
      <c r="H2980" s="9" t="s">
        <v>46</v>
      </c>
      <c r="I2980" s="174">
        <v>4</v>
      </c>
      <c r="J2980" s="53" t="s">
        <v>4899</v>
      </c>
      <c r="K2980" s="87">
        <v>0</v>
      </c>
      <c r="L2980" s="241">
        <v>0</v>
      </c>
      <c r="M2980" s="87">
        <v>0</v>
      </c>
      <c r="N2980" s="87">
        <v>0</v>
      </c>
      <c r="O2980" s="87">
        <v>0</v>
      </c>
      <c r="P2980" s="87">
        <v>0</v>
      </c>
      <c r="Q2980" s="88">
        <v>0</v>
      </c>
      <c r="R2980" s="61">
        <v>24.948996399999999</v>
      </c>
      <c r="S2980" s="89" t="s">
        <v>149</v>
      </c>
      <c r="T2980" s="257">
        <f t="shared" si="99"/>
        <v>0</v>
      </c>
      <c r="U2980" s="257">
        <f t="shared" si="100"/>
        <v>0</v>
      </c>
      <c r="V2980">
        <v>0</v>
      </c>
      <c r="W2980">
        <v>0</v>
      </c>
    </row>
    <row r="2981" spans="1:23" ht="45.6" x14ac:dyDescent="0.3">
      <c r="A2981" s="212">
        <v>40736</v>
      </c>
      <c r="B2981" s="212">
        <v>40736</v>
      </c>
      <c r="C2981" s="6">
        <v>7</v>
      </c>
      <c r="D2981" s="6">
        <v>1</v>
      </c>
      <c r="E2981" s="6">
        <v>2011</v>
      </c>
      <c r="F2981" s="15" t="s">
        <v>22</v>
      </c>
      <c r="G2981" s="82" t="s">
        <v>6256</v>
      </c>
      <c r="H2981" s="9" t="s">
        <v>48</v>
      </c>
      <c r="I2981" s="53" t="s">
        <v>1368</v>
      </c>
      <c r="J2981" s="53" t="s">
        <v>4900</v>
      </c>
      <c r="K2981" s="13">
        <v>2</v>
      </c>
      <c r="L2981" s="233">
        <v>2</v>
      </c>
      <c r="M2981" s="13">
        <v>0</v>
      </c>
      <c r="N2981" s="13">
        <v>0</v>
      </c>
      <c r="O2981" s="13">
        <v>0</v>
      </c>
      <c r="P2981" s="13">
        <v>0</v>
      </c>
      <c r="Q2981" s="13">
        <v>0</v>
      </c>
      <c r="R2981" s="26">
        <v>0</v>
      </c>
      <c r="S2981" s="19" t="s">
        <v>115</v>
      </c>
      <c r="T2981" s="257">
        <f t="shared" si="99"/>
        <v>4</v>
      </c>
      <c r="U2981" s="257">
        <f t="shared" si="100"/>
        <v>0</v>
      </c>
      <c r="V2981">
        <v>1</v>
      </c>
      <c r="W2981">
        <v>0</v>
      </c>
    </row>
    <row r="2982" spans="1:23" ht="22.8" x14ac:dyDescent="0.3">
      <c r="A2982" s="212">
        <v>40707</v>
      </c>
      <c r="B2982" s="212">
        <v>40707</v>
      </c>
      <c r="C2982" s="6">
        <v>6</v>
      </c>
      <c r="D2982" s="6">
        <v>1</v>
      </c>
      <c r="E2982" s="6">
        <v>2011</v>
      </c>
      <c r="F2982" s="15" t="s">
        <v>22</v>
      </c>
      <c r="G2982" s="82" t="s">
        <v>6256</v>
      </c>
      <c r="H2982" s="9" t="s">
        <v>48</v>
      </c>
      <c r="I2982" s="53" t="s">
        <v>2293</v>
      </c>
      <c r="J2982" s="53" t="s">
        <v>4901</v>
      </c>
      <c r="K2982" s="13">
        <v>1</v>
      </c>
      <c r="L2982" s="233">
        <v>1</v>
      </c>
      <c r="M2982" s="13">
        <v>0</v>
      </c>
      <c r="N2982" s="13">
        <v>0</v>
      </c>
      <c r="O2982" s="13">
        <v>0</v>
      </c>
      <c r="P2982" s="13">
        <v>0</v>
      </c>
      <c r="Q2982" s="13">
        <v>0</v>
      </c>
      <c r="R2982" s="26">
        <v>0</v>
      </c>
      <c r="S2982" s="19" t="s">
        <v>115</v>
      </c>
      <c r="T2982" s="257">
        <f t="shared" si="99"/>
        <v>2</v>
      </c>
      <c r="U2982" s="257">
        <f t="shared" si="100"/>
        <v>0</v>
      </c>
      <c r="V2982">
        <v>1</v>
      </c>
      <c r="W2982">
        <v>0</v>
      </c>
    </row>
    <row r="2983" spans="1:23" ht="91.2" x14ac:dyDescent="0.3">
      <c r="A2983" s="212">
        <v>40706</v>
      </c>
      <c r="B2983" s="212">
        <v>40706</v>
      </c>
      <c r="C2983" s="6">
        <v>6</v>
      </c>
      <c r="D2983" s="6">
        <v>1</v>
      </c>
      <c r="E2983" s="6">
        <v>2011</v>
      </c>
      <c r="F2983" s="15" t="s">
        <v>22</v>
      </c>
      <c r="G2983" s="18" t="s">
        <v>6256</v>
      </c>
      <c r="H2983" s="9" t="s">
        <v>48</v>
      </c>
      <c r="I2983" s="53" t="s">
        <v>4902</v>
      </c>
      <c r="J2983" s="53" t="s">
        <v>4903</v>
      </c>
      <c r="K2983" s="13">
        <v>1</v>
      </c>
      <c r="L2983" s="233">
        <v>1</v>
      </c>
      <c r="M2983" s="13">
        <v>0</v>
      </c>
      <c r="N2983" s="13">
        <v>0</v>
      </c>
      <c r="O2983" s="13">
        <v>0</v>
      </c>
      <c r="P2983" s="13">
        <v>0</v>
      </c>
      <c r="Q2983" s="13">
        <v>0</v>
      </c>
      <c r="R2983" s="26">
        <v>0</v>
      </c>
      <c r="S2983" s="19" t="s">
        <v>115</v>
      </c>
      <c r="T2983" s="257">
        <f t="shared" si="99"/>
        <v>2</v>
      </c>
      <c r="U2983" s="257">
        <f t="shared" si="100"/>
        <v>0</v>
      </c>
      <c r="V2983">
        <v>1</v>
      </c>
      <c r="W2983">
        <v>0</v>
      </c>
    </row>
    <row r="2984" spans="1:23" x14ac:dyDescent="0.3">
      <c r="A2984" s="219">
        <v>43304</v>
      </c>
      <c r="B2984" s="219">
        <v>43307</v>
      </c>
      <c r="C2984" s="6">
        <v>7</v>
      </c>
      <c r="D2984" s="6">
        <v>4</v>
      </c>
      <c r="E2984" s="84">
        <v>2018</v>
      </c>
      <c r="F2984" s="15" t="s">
        <v>22</v>
      </c>
      <c r="G2984" s="9" t="s">
        <v>6258</v>
      </c>
      <c r="H2984" s="9" t="s">
        <v>121</v>
      </c>
      <c r="I2984" s="86">
        <v>20</v>
      </c>
      <c r="J2984" s="34" t="s">
        <v>4880</v>
      </c>
      <c r="K2984" s="87">
        <v>0</v>
      </c>
      <c r="L2984" s="241">
        <v>0</v>
      </c>
      <c r="M2984" s="87">
        <v>0</v>
      </c>
      <c r="N2984" s="87">
        <v>0</v>
      </c>
      <c r="O2984" s="87">
        <v>0</v>
      </c>
      <c r="P2984" s="87">
        <v>0</v>
      </c>
      <c r="Q2984" s="88">
        <v>0</v>
      </c>
      <c r="R2984" s="61">
        <v>4.8824046370000005</v>
      </c>
      <c r="S2984" s="89" t="s">
        <v>149</v>
      </c>
      <c r="T2984" s="257">
        <f t="shared" si="99"/>
        <v>0</v>
      </c>
      <c r="U2984" s="257">
        <f t="shared" si="100"/>
        <v>0</v>
      </c>
      <c r="V2984">
        <v>0</v>
      </c>
      <c r="W2984">
        <v>0</v>
      </c>
    </row>
    <row r="2985" spans="1:23" ht="22.8" x14ac:dyDescent="0.3">
      <c r="A2985" s="219">
        <v>43341</v>
      </c>
      <c r="B2985" s="219">
        <v>43341</v>
      </c>
      <c r="C2985" s="6">
        <v>8</v>
      </c>
      <c r="D2985" s="6">
        <v>1</v>
      </c>
      <c r="E2985" s="84">
        <v>2018</v>
      </c>
      <c r="F2985" s="15" t="s">
        <v>22</v>
      </c>
      <c r="G2985" s="18" t="s">
        <v>6256</v>
      </c>
      <c r="H2985" s="9" t="s">
        <v>43</v>
      </c>
      <c r="I2985" s="174">
        <v>8</v>
      </c>
      <c r="J2985" s="53" t="s">
        <v>4904</v>
      </c>
      <c r="K2985" s="87">
        <v>0</v>
      </c>
      <c r="L2985" s="241">
        <v>0</v>
      </c>
      <c r="M2985" s="87">
        <v>0</v>
      </c>
      <c r="N2985" s="87">
        <v>0</v>
      </c>
      <c r="O2985" s="87">
        <v>0</v>
      </c>
      <c r="P2985" s="87">
        <v>0</v>
      </c>
      <c r="Q2985" s="88">
        <v>0</v>
      </c>
      <c r="R2985" s="61">
        <v>193.26432399999999</v>
      </c>
      <c r="S2985" s="89" t="s">
        <v>149</v>
      </c>
      <c r="T2985" s="257">
        <f t="shared" si="99"/>
        <v>0</v>
      </c>
      <c r="U2985" s="257">
        <f t="shared" si="100"/>
        <v>0</v>
      </c>
      <c r="V2985">
        <v>0</v>
      </c>
      <c r="W2985">
        <v>0</v>
      </c>
    </row>
    <row r="2986" spans="1:23" x14ac:dyDescent="0.3">
      <c r="A2986" s="219">
        <v>43248</v>
      </c>
      <c r="B2986" s="219">
        <v>43248</v>
      </c>
      <c r="C2986" s="6">
        <v>5</v>
      </c>
      <c r="D2986" s="6">
        <v>1</v>
      </c>
      <c r="E2986" s="84">
        <v>2018</v>
      </c>
      <c r="F2986" s="15" t="s">
        <v>22</v>
      </c>
      <c r="G2986" s="9" t="s">
        <v>6258</v>
      </c>
      <c r="H2986" s="9" t="s">
        <v>52</v>
      </c>
      <c r="I2986" s="86">
        <v>34</v>
      </c>
      <c r="J2986" s="34" t="s">
        <v>4905</v>
      </c>
      <c r="K2986" s="87">
        <v>0</v>
      </c>
      <c r="L2986" s="241">
        <v>0</v>
      </c>
      <c r="M2986" s="87">
        <v>0</v>
      </c>
      <c r="N2986" s="87">
        <v>0</v>
      </c>
      <c r="O2986" s="87">
        <v>0</v>
      </c>
      <c r="P2986" s="87">
        <v>0</v>
      </c>
      <c r="Q2986" s="88">
        <v>0</v>
      </c>
      <c r="R2986" s="61">
        <v>7.6614159640000006</v>
      </c>
      <c r="S2986" s="89" t="s">
        <v>149</v>
      </c>
      <c r="T2986" s="257">
        <f t="shared" si="99"/>
        <v>0</v>
      </c>
      <c r="U2986" s="257">
        <f t="shared" si="100"/>
        <v>0</v>
      </c>
      <c r="V2986">
        <v>0</v>
      </c>
      <c r="W2986">
        <v>0</v>
      </c>
    </row>
    <row r="2987" spans="1:23" x14ac:dyDescent="0.3">
      <c r="A2987" s="219">
        <v>43394</v>
      </c>
      <c r="B2987" s="219">
        <v>43394</v>
      </c>
      <c r="C2987" s="6">
        <v>10</v>
      </c>
      <c r="D2987" s="6">
        <v>1</v>
      </c>
      <c r="E2987" s="84">
        <v>2018</v>
      </c>
      <c r="F2987" s="15" t="s">
        <v>22</v>
      </c>
      <c r="G2987" s="18" t="s">
        <v>6256</v>
      </c>
      <c r="H2987" s="9" t="s">
        <v>52</v>
      </c>
      <c r="I2987" s="86" t="s">
        <v>126</v>
      </c>
      <c r="J2987" s="34" t="s">
        <v>4906</v>
      </c>
      <c r="K2987" s="87">
        <v>0</v>
      </c>
      <c r="L2987" s="241">
        <v>0</v>
      </c>
      <c r="M2987" s="87">
        <v>0</v>
      </c>
      <c r="N2987" s="87">
        <v>0</v>
      </c>
      <c r="O2987" s="87">
        <v>0</v>
      </c>
      <c r="P2987" s="87">
        <v>0</v>
      </c>
      <c r="Q2987" s="88">
        <v>0</v>
      </c>
      <c r="R2987" s="61">
        <v>7.2069109526360542</v>
      </c>
      <c r="S2987" s="89" t="s">
        <v>149</v>
      </c>
      <c r="T2987" s="257">
        <f t="shared" si="99"/>
        <v>0</v>
      </c>
      <c r="U2987" s="257">
        <f t="shared" si="100"/>
        <v>0</v>
      </c>
      <c r="V2987">
        <v>0</v>
      </c>
      <c r="W2987">
        <v>0</v>
      </c>
    </row>
    <row r="2988" spans="1:23" x14ac:dyDescent="0.3">
      <c r="A2988" s="219">
        <v>43304</v>
      </c>
      <c r="B2988" s="219">
        <v>43307</v>
      </c>
      <c r="C2988" s="6">
        <v>7</v>
      </c>
      <c r="D2988" s="6">
        <v>4</v>
      </c>
      <c r="E2988" s="84">
        <v>2018</v>
      </c>
      <c r="F2988" s="15" t="s">
        <v>22</v>
      </c>
      <c r="G2988" s="9" t="s">
        <v>6258</v>
      </c>
      <c r="H2988" s="9" t="s">
        <v>52</v>
      </c>
      <c r="I2988" s="86">
        <v>34</v>
      </c>
      <c r="J2988" s="34" t="s">
        <v>4880</v>
      </c>
      <c r="K2988" s="87">
        <v>0</v>
      </c>
      <c r="L2988" s="241">
        <v>0</v>
      </c>
      <c r="M2988" s="87">
        <v>0</v>
      </c>
      <c r="N2988" s="87">
        <v>0</v>
      </c>
      <c r="O2988" s="87">
        <v>0</v>
      </c>
      <c r="P2988" s="87">
        <v>0</v>
      </c>
      <c r="Q2988" s="88">
        <v>0</v>
      </c>
      <c r="R2988" s="61">
        <v>7.6614159640000006</v>
      </c>
      <c r="S2988" s="89" t="s">
        <v>149</v>
      </c>
      <c r="T2988" s="257">
        <f t="shared" si="99"/>
        <v>0</v>
      </c>
      <c r="U2988" s="257">
        <f t="shared" si="100"/>
        <v>0</v>
      </c>
      <c r="V2988">
        <v>0</v>
      </c>
      <c r="W2988">
        <v>0</v>
      </c>
    </row>
    <row r="2989" spans="1:23" ht="22.8" x14ac:dyDescent="0.3">
      <c r="A2989" s="219">
        <v>43248</v>
      </c>
      <c r="B2989" s="219">
        <v>43248</v>
      </c>
      <c r="C2989" s="6">
        <v>5</v>
      </c>
      <c r="D2989" s="6">
        <v>1</v>
      </c>
      <c r="E2989" s="84">
        <v>2018</v>
      </c>
      <c r="F2989" s="15" t="s">
        <v>22</v>
      </c>
      <c r="G2989" s="9" t="s">
        <v>6258</v>
      </c>
      <c r="H2989" s="9" t="s">
        <v>56</v>
      </c>
      <c r="I2989" s="86">
        <v>6</v>
      </c>
      <c r="J2989" s="34" t="s">
        <v>4907</v>
      </c>
      <c r="K2989" s="87">
        <v>0</v>
      </c>
      <c r="L2989" s="241">
        <v>0</v>
      </c>
      <c r="M2989" s="87">
        <v>0</v>
      </c>
      <c r="N2989" s="87">
        <v>0</v>
      </c>
      <c r="O2989" s="87">
        <v>0</v>
      </c>
      <c r="P2989" s="87">
        <v>0</v>
      </c>
      <c r="Q2989" s="88">
        <v>0</v>
      </c>
      <c r="R2989" s="61">
        <v>1.316550509</v>
      </c>
      <c r="S2989" s="89" t="s">
        <v>149</v>
      </c>
      <c r="T2989" s="257">
        <f t="shared" si="99"/>
        <v>0</v>
      </c>
      <c r="U2989" s="257">
        <f t="shared" si="100"/>
        <v>0</v>
      </c>
      <c r="V2989">
        <v>0</v>
      </c>
      <c r="W2989">
        <v>0</v>
      </c>
    </row>
    <row r="2990" spans="1:23" x14ac:dyDescent="0.3">
      <c r="A2990" s="219">
        <v>43304</v>
      </c>
      <c r="B2990" s="219">
        <v>43307</v>
      </c>
      <c r="C2990" s="6">
        <v>7</v>
      </c>
      <c r="D2990" s="6">
        <v>4</v>
      </c>
      <c r="E2990" s="84">
        <v>2018</v>
      </c>
      <c r="F2990" s="15" t="s">
        <v>22</v>
      </c>
      <c r="G2990" s="9" t="s">
        <v>6258</v>
      </c>
      <c r="H2990" s="9" t="s">
        <v>56</v>
      </c>
      <c r="I2990" s="86">
        <v>14</v>
      </c>
      <c r="J2990" s="34" t="s">
        <v>4880</v>
      </c>
      <c r="K2990" s="87">
        <v>0</v>
      </c>
      <c r="L2990" s="241">
        <v>0</v>
      </c>
      <c r="M2990" s="87">
        <v>0</v>
      </c>
      <c r="N2990" s="87">
        <v>0</v>
      </c>
      <c r="O2990" s="87">
        <v>0</v>
      </c>
      <c r="P2990" s="87">
        <v>0</v>
      </c>
      <c r="Q2990" s="88">
        <v>0</v>
      </c>
      <c r="R2990" s="61">
        <v>1.8580988450000002</v>
      </c>
      <c r="S2990" s="89" t="s">
        <v>149</v>
      </c>
      <c r="T2990" s="257">
        <f t="shared" si="99"/>
        <v>0</v>
      </c>
      <c r="U2990" s="257">
        <f t="shared" si="100"/>
        <v>0</v>
      </c>
      <c r="V2990">
        <v>0</v>
      </c>
      <c r="W2990">
        <v>0</v>
      </c>
    </row>
    <row r="2991" spans="1:23" x14ac:dyDescent="0.3">
      <c r="A2991" s="219">
        <v>43304</v>
      </c>
      <c r="B2991" s="219">
        <v>43307</v>
      </c>
      <c r="C2991" s="6">
        <v>7</v>
      </c>
      <c r="D2991" s="6">
        <v>4</v>
      </c>
      <c r="E2991" s="84">
        <v>2018</v>
      </c>
      <c r="F2991" s="15" t="s">
        <v>22</v>
      </c>
      <c r="G2991" s="9" t="s">
        <v>6258</v>
      </c>
      <c r="H2991" s="9" t="s">
        <v>57</v>
      </c>
      <c r="I2991" s="86">
        <v>3</v>
      </c>
      <c r="J2991" s="34" t="s">
        <v>4880</v>
      </c>
      <c r="K2991" s="87">
        <v>0</v>
      </c>
      <c r="L2991" s="241">
        <v>0</v>
      </c>
      <c r="M2991" s="87">
        <v>0</v>
      </c>
      <c r="N2991" s="87">
        <v>0</v>
      </c>
      <c r="O2991" s="87">
        <v>0</v>
      </c>
      <c r="P2991" s="87">
        <v>0</v>
      </c>
      <c r="Q2991" s="88">
        <v>0</v>
      </c>
      <c r="R2991" s="61">
        <v>5.9728474000000011E-2</v>
      </c>
      <c r="S2991" s="89" t="s">
        <v>149</v>
      </c>
      <c r="T2991" s="257">
        <f t="shared" si="99"/>
        <v>0</v>
      </c>
      <c r="U2991" s="257">
        <f t="shared" si="100"/>
        <v>0</v>
      </c>
      <c r="V2991">
        <v>0</v>
      </c>
      <c r="W2991">
        <v>0</v>
      </c>
    </row>
    <row r="2992" spans="1:23" x14ac:dyDescent="0.3">
      <c r="A2992" s="219">
        <v>43248</v>
      </c>
      <c r="B2992" s="219">
        <v>43248</v>
      </c>
      <c r="C2992" s="6">
        <v>5</v>
      </c>
      <c r="D2992" s="6">
        <v>1</v>
      </c>
      <c r="E2992" s="84">
        <v>2018</v>
      </c>
      <c r="F2992" s="15" t="s">
        <v>22</v>
      </c>
      <c r="G2992" s="9" t="s">
        <v>6258</v>
      </c>
      <c r="H2992" s="9" t="s">
        <v>57</v>
      </c>
      <c r="I2992" s="86">
        <v>3</v>
      </c>
      <c r="J2992" s="34" t="s">
        <v>1492</v>
      </c>
      <c r="K2992" s="87">
        <v>0</v>
      </c>
      <c r="L2992" s="241">
        <v>0</v>
      </c>
      <c r="M2992" s="87">
        <v>0</v>
      </c>
      <c r="N2992" s="87">
        <v>0</v>
      </c>
      <c r="O2992" s="87">
        <v>0</v>
      </c>
      <c r="P2992" s="87">
        <v>0</v>
      </c>
      <c r="Q2992" s="88">
        <v>0</v>
      </c>
      <c r="R2992" s="61">
        <v>5.9728474000000011E-2</v>
      </c>
      <c r="S2992" s="89" t="s">
        <v>149</v>
      </c>
      <c r="T2992" s="257">
        <f t="shared" si="99"/>
        <v>0</v>
      </c>
      <c r="U2992" s="257">
        <f t="shared" si="100"/>
        <v>0</v>
      </c>
      <c r="V2992">
        <v>0</v>
      </c>
      <c r="W2992">
        <v>0</v>
      </c>
    </row>
    <row r="2993" spans="1:23" x14ac:dyDescent="0.3">
      <c r="A2993" s="219">
        <v>43390</v>
      </c>
      <c r="B2993" s="219">
        <v>43390</v>
      </c>
      <c r="C2993" s="6">
        <v>10</v>
      </c>
      <c r="D2993" s="6">
        <v>1</v>
      </c>
      <c r="E2993" s="84">
        <v>2018</v>
      </c>
      <c r="F2993" s="15" t="s">
        <v>22</v>
      </c>
      <c r="G2993" s="18" t="s">
        <v>6256</v>
      </c>
      <c r="H2993" s="9" t="s">
        <v>61</v>
      </c>
      <c r="I2993" s="174">
        <v>15</v>
      </c>
      <c r="J2993" s="53" t="s">
        <v>4908</v>
      </c>
      <c r="K2993" s="87">
        <v>0</v>
      </c>
      <c r="L2993" s="241">
        <v>0</v>
      </c>
      <c r="M2993" s="87">
        <v>0</v>
      </c>
      <c r="N2993" s="87">
        <v>0</v>
      </c>
      <c r="O2993" s="87">
        <v>0</v>
      </c>
      <c r="P2993" s="87">
        <v>0</v>
      </c>
      <c r="Q2993" s="88">
        <v>0</v>
      </c>
      <c r="R2993" s="61">
        <v>82.828742169999998</v>
      </c>
      <c r="S2993" s="89" t="s">
        <v>149</v>
      </c>
      <c r="T2993" s="257">
        <f t="shared" si="99"/>
        <v>0</v>
      </c>
      <c r="U2993" s="257">
        <f t="shared" si="100"/>
        <v>0</v>
      </c>
      <c r="V2993">
        <v>0</v>
      </c>
      <c r="W2993">
        <v>0</v>
      </c>
    </row>
    <row r="2994" spans="1:23" ht="22.8" x14ac:dyDescent="0.3">
      <c r="A2994" s="219">
        <v>43197</v>
      </c>
      <c r="B2994" s="219">
        <v>43197</v>
      </c>
      <c r="C2994" s="6">
        <v>4</v>
      </c>
      <c r="D2994" s="6">
        <v>1</v>
      </c>
      <c r="E2994" s="84">
        <v>2018</v>
      </c>
      <c r="F2994" s="15" t="s">
        <v>22</v>
      </c>
      <c r="G2994" s="18" t="s">
        <v>6256</v>
      </c>
      <c r="H2994" s="9" t="s">
        <v>61</v>
      </c>
      <c r="I2994" s="86">
        <v>2</v>
      </c>
      <c r="J2994" s="34" t="s">
        <v>4909</v>
      </c>
      <c r="K2994" s="87">
        <v>0</v>
      </c>
      <c r="L2994" s="241">
        <v>0</v>
      </c>
      <c r="M2994" s="87">
        <v>0</v>
      </c>
      <c r="N2994" s="87">
        <v>0</v>
      </c>
      <c r="O2994" s="87">
        <v>0</v>
      </c>
      <c r="P2994" s="87">
        <v>0</v>
      </c>
      <c r="Q2994" s="88">
        <v>0</v>
      </c>
      <c r="R2994" s="61">
        <v>3.6145395199999997</v>
      </c>
      <c r="S2994" s="89" t="s">
        <v>149</v>
      </c>
      <c r="T2994" s="257">
        <f t="shared" si="99"/>
        <v>0</v>
      </c>
      <c r="U2994" s="257">
        <f t="shared" si="100"/>
        <v>0</v>
      </c>
      <c r="V2994">
        <v>0</v>
      </c>
      <c r="W2994">
        <v>0</v>
      </c>
    </row>
    <row r="2995" spans="1:23" ht="22.8" x14ac:dyDescent="0.3">
      <c r="A2995" s="219">
        <v>43392</v>
      </c>
      <c r="B2995" s="219">
        <v>43392</v>
      </c>
      <c r="C2995" s="6">
        <v>10</v>
      </c>
      <c r="D2995" s="6">
        <v>1</v>
      </c>
      <c r="E2995" s="84">
        <v>2018</v>
      </c>
      <c r="F2995" s="15" t="s">
        <v>22</v>
      </c>
      <c r="G2995" s="18" t="s">
        <v>6256</v>
      </c>
      <c r="H2995" s="9" t="s">
        <v>61</v>
      </c>
      <c r="I2995" s="174">
        <v>71</v>
      </c>
      <c r="J2995" s="53" t="s">
        <v>4910</v>
      </c>
      <c r="K2995" s="87">
        <v>0</v>
      </c>
      <c r="L2995" s="241">
        <v>0</v>
      </c>
      <c r="M2995" s="87">
        <v>0</v>
      </c>
      <c r="N2995" s="87">
        <v>0</v>
      </c>
      <c r="O2995" s="87">
        <v>0</v>
      </c>
      <c r="P2995" s="87">
        <v>0</v>
      </c>
      <c r="Q2995" s="88">
        <v>0</v>
      </c>
      <c r="R2995" s="61">
        <v>131.99866499999999</v>
      </c>
      <c r="S2995" s="89" t="s">
        <v>149</v>
      </c>
      <c r="T2995" s="257">
        <f t="shared" si="99"/>
        <v>0</v>
      </c>
      <c r="U2995" s="257">
        <f t="shared" si="100"/>
        <v>0</v>
      </c>
      <c r="V2995">
        <v>0</v>
      </c>
      <c r="W2995">
        <v>0</v>
      </c>
    </row>
    <row r="2996" spans="1:23" x14ac:dyDescent="0.3">
      <c r="A2996" s="219">
        <v>43304</v>
      </c>
      <c r="B2996" s="219">
        <v>43307</v>
      </c>
      <c r="C2996" s="6">
        <v>7</v>
      </c>
      <c r="D2996" s="6">
        <v>4</v>
      </c>
      <c r="E2996" s="84">
        <v>2018</v>
      </c>
      <c r="F2996" s="15" t="s">
        <v>22</v>
      </c>
      <c r="G2996" s="9" t="s">
        <v>6258</v>
      </c>
      <c r="H2996" s="9" t="s">
        <v>61</v>
      </c>
      <c r="I2996" s="86">
        <v>23</v>
      </c>
      <c r="J2996" s="34" t="s">
        <v>1492</v>
      </c>
      <c r="K2996" s="87">
        <v>0</v>
      </c>
      <c r="L2996" s="241">
        <v>0</v>
      </c>
      <c r="M2996" s="87">
        <v>0</v>
      </c>
      <c r="N2996" s="87">
        <v>0</v>
      </c>
      <c r="O2996" s="87">
        <v>0</v>
      </c>
      <c r="P2996" s="87">
        <v>0</v>
      </c>
      <c r="Q2996" s="88">
        <v>0</v>
      </c>
      <c r="R2996" s="61">
        <v>2.7539673470000001</v>
      </c>
      <c r="S2996" s="89" t="s">
        <v>149</v>
      </c>
      <c r="T2996" s="257">
        <f t="shared" si="99"/>
        <v>0</v>
      </c>
      <c r="U2996" s="257">
        <f t="shared" si="100"/>
        <v>0</v>
      </c>
      <c r="V2996">
        <v>0</v>
      </c>
      <c r="W2996">
        <v>0</v>
      </c>
    </row>
    <row r="2997" spans="1:23" ht="22.8" x14ac:dyDescent="0.3">
      <c r="A2997" s="219">
        <v>43322</v>
      </c>
      <c r="B2997" s="219">
        <v>43322</v>
      </c>
      <c r="C2997" s="6">
        <v>8</v>
      </c>
      <c r="D2997" s="6">
        <v>1</v>
      </c>
      <c r="E2997" s="84">
        <v>2018</v>
      </c>
      <c r="F2997" s="15" t="s">
        <v>22</v>
      </c>
      <c r="G2997" s="18" t="s">
        <v>6256</v>
      </c>
      <c r="H2997" s="9" t="s">
        <v>61</v>
      </c>
      <c r="I2997" s="86">
        <v>2</v>
      </c>
      <c r="J2997" s="34" t="s">
        <v>4911</v>
      </c>
      <c r="K2997" s="87">
        <v>0</v>
      </c>
      <c r="L2997" s="241">
        <v>0</v>
      </c>
      <c r="M2997" s="87">
        <v>0</v>
      </c>
      <c r="N2997" s="87">
        <v>0</v>
      </c>
      <c r="O2997" s="87">
        <v>0</v>
      </c>
      <c r="P2997" s="87">
        <v>0</v>
      </c>
      <c r="Q2997" s="88">
        <v>0</v>
      </c>
      <c r="R2997" s="61">
        <v>3.4968321339999999</v>
      </c>
      <c r="S2997" s="89" t="s">
        <v>149</v>
      </c>
      <c r="T2997" s="257">
        <f t="shared" si="99"/>
        <v>0</v>
      </c>
      <c r="U2997" s="257">
        <f t="shared" si="100"/>
        <v>0</v>
      </c>
      <c r="V2997">
        <v>0</v>
      </c>
      <c r="W2997">
        <v>0</v>
      </c>
    </row>
    <row r="2998" spans="1:23" x14ac:dyDescent="0.3">
      <c r="A2998" s="219">
        <v>43248</v>
      </c>
      <c r="B2998" s="219">
        <v>43248</v>
      </c>
      <c r="C2998" s="6">
        <v>5</v>
      </c>
      <c r="D2998" s="6">
        <v>1</v>
      </c>
      <c r="E2998" s="84">
        <v>2018</v>
      </c>
      <c r="F2998" s="15" t="s">
        <v>22</v>
      </c>
      <c r="G2998" s="9" t="s">
        <v>6258</v>
      </c>
      <c r="H2998" s="9" t="s">
        <v>61</v>
      </c>
      <c r="I2998" s="86">
        <v>23</v>
      </c>
      <c r="J2998" s="34" t="s">
        <v>4880</v>
      </c>
      <c r="K2998" s="87">
        <v>0</v>
      </c>
      <c r="L2998" s="241">
        <v>0</v>
      </c>
      <c r="M2998" s="87">
        <v>0</v>
      </c>
      <c r="N2998" s="87">
        <v>0</v>
      </c>
      <c r="O2998" s="87">
        <v>0</v>
      </c>
      <c r="P2998" s="87">
        <v>0</v>
      </c>
      <c r="Q2998" s="88">
        <v>0</v>
      </c>
      <c r="R2998" s="61">
        <v>7.7608266940000004</v>
      </c>
      <c r="S2998" s="89" t="s">
        <v>149</v>
      </c>
      <c r="T2998" s="257">
        <f t="shared" si="99"/>
        <v>0</v>
      </c>
      <c r="U2998" s="257">
        <f t="shared" si="100"/>
        <v>0</v>
      </c>
      <c r="V2998">
        <v>0</v>
      </c>
      <c r="W2998">
        <v>0</v>
      </c>
    </row>
    <row r="2999" spans="1:23" ht="22.8" x14ac:dyDescent="0.3">
      <c r="A2999" s="219">
        <v>43418</v>
      </c>
      <c r="B2999" s="219">
        <v>43419</v>
      </c>
      <c r="C2999" s="6">
        <v>11</v>
      </c>
      <c r="D2999" s="6">
        <v>2</v>
      </c>
      <c r="E2999" s="84">
        <v>2018</v>
      </c>
      <c r="F2999" s="15" t="s">
        <v>22</v>
      </c>
      <c r="G2999" s="85" t="s">
        <v>6255</v>
      </c>
      <c r="H2999" s="9" t="s">
        <v>64</v>
      </c>
      <c r="I2999" s="86">
        <v>17</v>
      </c>
      <c r="J2999" s="34" t="s">
        <v>4879</v>
      </c>
      <c r="K2999" s="87">
        <v>0</v>
      </c>
      <c r="L2999" s="241">
        <v>0</v>
      </c>
      <c r="M2999" s="87">
        <v>0</v>
      </c>
      <c r="N2999" s="87">
        <v>0</v>
      </c>
      <c r="O2999" s="87">
        <v>0</v>
      </c>
      <c r="P2999" s="87">
        <v>0</v>
      </c>
      <c r="Q2999" s="88">
        <v>0</v>
      </c>
      <c r="R2999" s="61">
        <v>16.475255324999999</v>
      </c>
      <c r="S2999" s="89" t="s">
        <v>149</v>
      </c>
      <c r="T2999" s="257">
        <f t="shared" si="99"/>
        <v>0</v>
      </c>
      <c r="U2999" s="257">
        <f t="shared" si="100"/>
        <v>0</v>
      </c>
      <c r="V2999">
        <v>0</v>
      </c>
      <c r="W2999">
        <v>0</v>
      </c>
    </row>
    <row r="3000" spans="1:23" x14ac:dyDescent="0.3">
      <c r="A3000" s="219">
        <v>43248</v>
      </c>
      <c r="B3000" s="219">
        <v>43248</v>
      </c>
      <c r="C3000" s="6">
        <v>5</v>
      </c>
      <c r="D3000" s="6">
        <v>1</v>
      </c>
      <c r="E3000" s="84">
        <v>2018</v>
      </c>
      <c r="F3000" s="15" t="s">
        <v>22</v>
      </c>
      <c r="G3000" s="9" t="s">
        <v>6258</v>
      </c>
      <c r="H3000" s="9" t="s">
        <v>64</v>
      </c>
      <c r="I3000" s="86">
        <v>17</v>
      </c>
      <c r="J3000" s="34" t="s">
        <v>4881</v>
      </c>
      <c r="K3000" s="87">
        <v>0</v>
      </c>
      <c r="L3000" s="241">
        <v>0</v>
      </c>
      <c r="M3000" s="87">
        <v>0</v>
      </c>
      <c r="N3000" s="87">
        <v>0</v>
      </c>
      <c r="O3000" s="87">
        <v>0</v>
      </c>
      <c r="P3000" s="87">
        <v>0</v>
      </c>
      <c r="Q3000" s="88">
        <v>0</v>
      </c>
      <c r="R3000" s="61">
        <v>1.4726270109999999</v>
      </c>
      <c r="S3000" s="89" t="s">
        <v>149</v>
      </c>
      <c r="T3000" s="257">
        <f t="shared" si="99"/>
        <v>0</v>
      </c>
      <c r="U3000" s="257">
        <f t="shared" si="100"/>
        <v>0</v>
      </c>
      <c r="V3000">
        <v>0</v>
      </c>
      <c r="W3000">
        <v>0</v>
      </c>
    </row>
    <row r="3001" spans="1:23" ht="22.8" x14ac:dyDescent="0.3">
      <c r="A3001" s="219">
        <v>43212</v>
      </c>
      <c r="B3001" s="219">
        <v>43212</v>
      </c>
      <c r="C3001" s="6">
        <v>4</v>
      </c>
      <c r="D3001" s="6">
        <v>1</v>
      </c>
      <c r="E3001" s="84">
        <v>2018</v>
      </c>
      <c r="F3001" s="15" t="s">
        <v>22</v>
      </c>
      <c r="G3001" s="82" t="s">
        <v>6256</v>
      </c>
      <c r="H3001" s="9" t="s">
        <v>64</v>
      </c>
      <c r="I3001" s="86">
        <v>9</v>
      </c>
      <c r="J3001" s="34" t="s">
        <v>4912</v>
      </c>
      <c r="K3001" s="87">
        <v>0</v>
      </c>
      <c r="L3001" s="241">
        <v>0</v>
      </c>
      <c r="M3001" s="87">
        <v>0</v>
      </c>
      <c r="N3001" s="87">
        <v>0</v>
      </c>
      <c r="O3001" s="87">
        <v>0</v>
      </c>
      <c r="P3001" s="87">
        <v>0</v>
      </c>
      <c r="Q3001" s="88">
        <v>0</v>
      </c>
      <c r="R3001" s="61">
        <v>5.0233912500000004</v>
      </c>
      <c r="S3001" s="89" t="s">
        <v>149</v>
      </c>
      <c r="T3001" s="257">
        <f t="shared" si="99"/>
        <v>0</v>
      </c>
      <c r="U3001" s="257">
        <f t="shared" si="100"/>
        <v>0</v>
      </c>
      <c r="V3001">
        <v>0</v>
      </c>
      <c r="W3001">
        <v>0</v>
      </c>
    </row>
    <row r="3002" spans="1:23" x14ac:dyDescent="0.3">
      <c r="A3002" s="219">
        <v>43304</v>
      </c>
      <c r="B3002" s="219">
        <v>43307</v>
      </c>
      <c r="C3002" s="6">
        <v>7</v>
      </c>
      <c r="D3002" s="6">
        <v>4</v>
      </c>
      <c r="E3002" s="84">
        <v>2018</v>
      </c>
      <c r="F3002" s="15" t="s">
        <v>22</v>
      </c>
      <c r="G3002" s="9" t="s">
        <v>6258</v>
      </c>
      <c r="H3002" s="9" t="s">
        <v>64</v>
      </c>
      <c r="I3002" s="86">
        <v>17</v>
      </c>
      <c r="J3002" s="34" t="s">
        <v>4880</v>
      </c>
      <c r="K3002" s="87">
        <v>0</v>
      </c>
      <c r="L3002" s="241">
        <v>0</v>
      </c>
      <c r="M3002" s="87">
        <v>0</v>
      </c>
      <c r="N3002" s="87">
        <v>0</v>
      </c>
      <c r="O3002" s="87">
        <v>0</v>
      </c>
      <c r="P3002" s="87">
        <v>0</v>
      </c>
      <c r="Q3002" s="88">
        <v>0</v>
      </c>
      <c r="R3002" s="61">
        <v>1.045137011</v>
      </c>
      <c r="S3002" s="89" t="s">
        <v>149</v>
      </c>
      <c r="T3002" s="257">
        <f t="shared" si="99"/>
        <v>0</v>
      </c>
      <c r="U3002" s="257">
        <f t="shared" si="100"/>
        <v>0</v>
      </c>
      <c r="V3002">
        <v>0</v>
      </c>
      <c r="W3002">
        <v>0</v>
      </c>
    </row>
    <row r="3003" spans="1:23" x14ac:dyDescent="0.3">
      <c r="A3003" s="219">
        <v>43393</v>
      </c>
      <c r="B3003" s="219">
        <v>43393</v>
      </c>
      <c r="C3003" s="6">
        <v>10</v>
      </c>
      <c r="D3003" s="6">
        <v>1</v>
      </c>
      <c r="E3003" s="84">
        <v>2018</v>
      </c>
      <c r="F3003" s="15" t="s">
        <v>22</v>
      </c>
      <c r="G3003" s="18" t="s">
        <v>6256</v>
      </c>
      <c r="H3003" s="9" t="s">
        <v>64</v>
      </c>
      <c r="I3003" s="86">
        <v>15</v>
      </c>
      <c r="J3003" s="34" t="s">
        <v>4913</v>
      </c>
      <c r="K3003" s="87">
        <v>0</v>
      </c>
      <c r="L3003" s="241">
        <v>0</v>
      </c>
      <c r="M3003" s="87">
        <v>0</v>
      </c>
      <c r="N3003" s="87">
        <v>0</v>
      </c>
      <c r="O3003" s="87">
        <v>0</v>
      </c>
      <c r="P3003" s="87">
        <v>0</v>
      </c>
      <c r="Q3003" s="88">
        <v>0</v>
      </c>
      <c r="R3003" s="61">
        <v>5.4097256500000004</v>
      </c>
      <c r="S3003" s="89" t="s">
        <v>149</v>
      </c>
      <c r="T3003" s="257">
        <f t="shared" si="99"/>
        <v>0</v>
      </c>
      <c r="U3003" s="257">
        <f t="shared" si="100"/>
        <v>0</v>
      </c>
      <c r="V3003">
        <v>0</v>
      </c>
      <c r="W3003">
        <v>0</v>
      </c>
    </row>
    <row r="3004" spans="1:23" x14ac:dyDescent="0.3">
      <c r="A3004" s="219">
        <v>43241</v>
      </c>
      <c r="B3004" s="219">
        <v>43248</v>
      </c>
      <c r="C3004" s="6">
        <v>5</v>
      </c>
      <c r="D3004" s="6">
        <v>8</v>
      </c>
      <c r="E3004" s="84">
        <v>2018</v>
      </c>
      <c r="F3004" s="15" t="s">
        <v>22</v>
      </c>
      <c r="G3004" s="16" t="s">
        <v>6256</v>
      </c>
      <c r="H3004" s="9" t="s">
        <v>69</v>
      </c>
      <c r="I3004" s="174">
        <v>10</v>
      </c>
      <c r="J3004" s="53" t="s">
        <v>4914</v>
      </c>
      <c r="K3004" s="87">
        <v>0</v>
      </c>
      <c r="L3004" s="241">
        <v>0</v>
      </c>
      <c r="M3004" s="87">
        <v>0</v>
      </c>
      <c r="N3004" s="87">
        <v>0</v>
      </c>
      <c r="O3004" s="87">
        <v>0</v>
      </c>
      <c r="P3004" s="87">
        <v>0</v>
      </c>
      <c r="Q3004" s="88">
        <v>0</v>
      </c>
      <c r="R3004" s="61">
        <v>62.573044580000001</v>
      </c>
      <c r="S3004" s="89" t="s">
        <v>149</v>
      </c>
      <c r="T3004" s="257">
        <f t="shared" si="99"/>
        <v>0</v>
      </c>
      <c r="U3004" s="257">
        <f t="shared" si="100"/>
        <v>0</v>
      </c>
      <c r="V3004">
        <v>0</v>
      </c>
      <c r="W3004">
        <v>0</v>
      </c>
    </row>
    <row r="3005" spans="1:23" x14ac:dyDescent="0.3">
      <c r="A3005" s="219">
        <v>43265</v>
      </c>
      <c r="B3005" s="219">
        <v>43265</v>
      </c>
      <c r="C3005" s="6">
        <v>6</v>
      </c>
      <c r="D3005" s="6">
        <v>1</v>
      </c>
      <c r="E3005" s="84">
        <v>2018</v>
      </c>
      <c r="F3005" s="15" t="s">
        <v>22</v>
      </c>
      <c r="G3005" s="18" t="s">
        <v>6256</v>
      </c>
      <c r="H3005" s="9" t="s">
        <v>69</v>
      </c>
      <c r="I3005" s="174">
        <v>6</v>
      </c>
      <c r="J3005" s="53" t="s">
        <v>4915</v>
      </c>
      <c r="K3005" s="87">
        <v>0</v>
      </c>
      <c r="L3005" s="241">
        <v>0</v>
      </c>
      <c r="M3005" s="87">
        <v>0</v>
      </c>
      <c r="N3005" s="87">
        <v>0</v>
      </c>
      <c r="O3005" s="87">
        <v>0</v>
      </c>
      <c r="P3005" s="87">
        <v>0</v>
      </c>
      <c r="Q3005" s="88">
        <v>0</v>
      </c>
      <c r="R3005" s="61">
        <v>1245.5281237700001</v>
      </c>
      <c r="S3005" s="89" t="s">
        <v>149</v>
      </c>
      <c r="T3005" s="257">
        <f t="shared" si="99"/>
        <v>0</v>
      </c>
      <c r="U3005" s="257">
        <f t="shared" si="100"/>
        <v>0</v>
      </c>
      <c r="V3005">
        <v>0</v>
      </c>
      <c r="W3005">
        <v>0</v>
      </c>
    </row>
    <row r="3006" spans="1:23" x14ac:dyDescent="0.3">
      <c r="A3006" s="219">
        <v>43248</v>
      </c>
      <c r="B3006" s="219">
        <v>43248</v>
      </c>
      <c r="C3006" s="6">
        <v>5</v>
      </c>
      <c r="D3006" s="6">
        <v>1</v>
      </c>
      <c r="E3006" s="84">
        <v>2018</v>
      </c>
      <c r="F3006" s="15" t="s">
        <v>22</v>
      </c>
      <c r="G3006" s="9" t="s">
        <v>6258</v>
      </c>
      <c r="H3006" s="9" t="s">
        <v>69</v>
      </c>
      <c r="I3006" s="86">
        <v>8</v>
      </c>
      <c r="J3006" s="34" t="s">
        <v>1492</v>
      </c>
      <c r="K3006" s="87">
        <v>0</v>
      </c>
      <c r="L3006" s="241">
        <v>0</v>
      </c>
      <c r="M3006" s="87">
        <v>0</v>
      </c>
      <c r="N3006" s="87">
        <v>0</v>
      </c>
      <c r="O3006" s="87">
        <v>0</v>
      </c>
      <c r="P3006" s="87">
        <v>0</v>
      </c>
      <c r="Q3006" s="88">
        <v>0</v>
      </c>
      <c r="R3006" s="61">
        <v>15.513504522</v>
      </c>
      <c r="S3006" s="89" t="s">
        <v>149</v>
      </c>
      <c r="T3006" s="257">
        <f t="shared" si="99"/>
        <v>0</v>
      </c>
      <c r="U3006" s="257">
        <f t="shared" si="100"/>
        <v>0</v>
      </c>
      <c r="V3006">
        <v>0</v>
      </c>
      <c r="W3006">
        <v>0</v>
      </c>
    </row>
    <row r="3007" spans="1:23" x14ac:dyDescent="0.3">
      <c r="A3007" s="219">
        <v>43304</v>
      </c>
      <c r="B3007" s="219">
        <v>43307</v>
      </c>
      <c r="C3007" s="6">
        <v>7</v>
      </c>
      <c r="D3007" s="6">
        <v>4</v>
      </c>
      <c r="E3007" s="84">
        <v>2018</v>
      </c>
      <c r="F3007" s="15" t="s">
        <v>22</v>
      </c>
      <c r="G3007" s="9" t="s">
        <v>6258</v>
      </c>
      <c r="H3007" s="9" t="s">
        <v>69</v>
      </c>
      <c r="I3007" s="86">
        <v>8</v>
      </c>
      <c r="J3007" s="34" t="s">
        <v>4880</v>
      </c>
      <c r="K3007" s="87">
        <v>0</v>
      </c>
      <c r="L3007" s="241">
        <v>0</v>
      </c>
      <c r="M3007" s="87">
        <v>0</v>
      </c>
      <c r="N3007" s="87">
        <v>0</v>
      </c>
      <c r="O3007" s="87">
        <v>0</v>
      </c>
      <c r="P3007" s="87">
        <v>0</v>
      </c>
      <c r="Q3007" s="88">
        <v>0</v>
      </c>
      <c r="R3007" s="61">
        <v>15.513504522</v>
      </c>
      <c r="S3007" s="89" t="s">
        <v>149</v>
      </c>
      <c r="T3007" s="257">
        <f t="shared" si="99"/>
        <v>0</v>
      </c>
      <c r="U3007" s="257">
        <f t="shared" si="100"/>
        <v>0</v>
      </c>
      <c r="V3007">
        <v>0</v>
      </c>
      <c r="W3007">
        <v>0</v>
      </c>
    </row>
    <row r="3008" spans="1:23" x14ac:dyDescent="0.3">
      <c r="A3008" s="219">
        <v>43248</v>
      </c>
      <c r="B3008" s="219">
        <v>43248</v>
      </c>
      <c r="C3008" s="6">
        <v>5</v>
      </c>
      <c r="D3008" s="6">
        <v>1</v>
      </c>
      <c r="E3008" s="84">
        <v>2018</v>
      </c>
      <c r="F3008" s="15" t="s">
        <v>22</v>
      </c>
      <c r="G3008" s="9" t="s">
        <v>6258</v>
      </c>
      <c r="H3008" s="9" t="s">
        <v>70</v>
      </c>
      <c r="I3008" s="86">
        <v>19</v>
      </c>
      <c r="J3008" s="34" t="s">
        <v>1492</v>
      </c>
      <c r="K3008" s="87">
        <v>0</v>
      </c>
      <c r="L3008" s="241">
        <v>0</v>
      </c>
      <c r="M3008" s="87">
        <v>0</v>
      </c>
      <c r="N3008" s="87">
        <v>0</v>
      </c>
      <c r="O3008" s="87">
        <v>0</v>
      </c>
      <c r="P3008" s="87">
        <v>0</v>
      </c>
      <c r="Q3008" s="88">
        <v>0</v>
      </c>
      <c r="R3008" s="61">
        <v>3.8078085810000002</v>
      </c>
      <c r="S3008" s="89" t="s">
        <v>149</v>
      </c>
      <c r="T3008" s="257">
        <f t="shared" si="99"/>
        <v>0</v>
      </c>
      <c r="U3008" s="257">
        <f t="shared" si="100"/>
        <v>0</v>
      </c>
      <c r="V3008">
        <v>0</v>
      </c>
      <c r="W3008">
        <v>0</v>
      </c>
    </row>
    <row r="3009" spans="1:23" x14ac:dyDescent="0.3">
      <c r="A3009" s="219">
        <v>43304</v>
      </c>
      <c r="B3009" s="219">
        <v>43307</v>
      </c>
      <c r="C3009" s="6">
        <v>7</v>
      </c>
      <c r="D3009" s="6">
        <v>4</v>
      </c>
      <c r="E3009" s="84">
        <v>2018</v>
      </c>
      <c r="F3009" s="15" t="s">
        <v>22</v>
      </c>
      <c r="G3009" s="9" t="s">
        <v>6258</v>
      </c>
      <c r="H3009" s="9" t="s">
        <v>70</v>
      </c>
      <c r="I3009" s="86">
        <v>19</v>
      </c>
      <c r="J3009" s="34" t="s">
        <v>4880</v>
      </c>
      <c r="K3009" s="87">
        <v>0</v>
      </c>
      <c r="L3009" s="241">
        <v>0</v>
      </c>
      <c r="M3009" s="87">
        <v>0</v>
      </c>
      <c r="N3009" s="87">
        <v>0</v>
      </c>
      <c r="O3009" s="87">
        <v>0</v>
      </c>
      <c r="P3009" s="87">
        <v>0</v>
      </c>
      <c r="Q3009" s="88">
        <v>0</v>
      </c>
      <c r="R3009" s="61">
        <v>3.8078085810000002</v>
      </c>
      <c r="S3009" s="89" t="s">
        <v>149</v>
      </c>
      <c r="T3009" s="257">
        <f t="shared" si="99"/>
        <v>0</v>
      </c>
      <c r="U3009" s="257">
        <f t="shared" si="100"/>
        <v>0</v>
      </c>
      <c r="V3009">
        <v>0</v>
      </c>
      <c r="W3009">
        <v>0</v>
      </c>
    </row>
    <row r="3010" spans="1:23" x14ac:dyDescent="0.3">
      <c r="A3010" s="219">
        <v>43248</v>
      </c>
      <c r="B3010" s="219">
        <v>43248</v>
      </c>
      <c r="C3010" s="6">
        <v>5</v>
      </c>
      <c r="D3010" s="6">
        <v>1</v>
      </c>
      <c r="E3010" s="84">
        <v>2018</v>
      </c>
      <c r="F3010" s="15" t="s">
        <v>22</v>
      </c>
      <c r="G3010" s="9" t="s">
        <v>6258</v>
      </c>
      <c r="H3010" s="9" t="s">
        <v>72</v>
      </c>
      <c r="I3010" s="86">
        <v>13</v>
      </c>
      <c r="J3010" s="34" t="s">
        <v>1492</v>
      </c>
      <c r="K3010" s="87">
        <v>0</v>
      </c>
      <c r="L3010" s="241">
        <v>0</v>
      </c>
      <c r="M3010" s="87">
        <v>0</v>
      </c>
      <c r="N3010" s="87">
        <v>0</v>
      </c>
      <c r="O3010" s="87">
        <v>0</v>
      </c>
      <c r="P3010" s="87">
        <v>0</v>
      </c>
      <c r="Q3010" s="88">
        <v>0</v>
      </c>
      <c r="R3010" s="61">
        <v>4.0527858750000005</v>
      </c>
      <c r="S3010" s="89" t="s">
        <v>149</v>
      </c>
      <c r="T3010" s="257">
        <f t="shared" si="99"/>
        <v>0</v>
      </c>
      <c r="U3010" s="257">
        <f t="shared" si="100"/>
        <v>0</v>
      </c>
      <c r="V3010">
        <v>0</v>
      </c>
      <c r="W3010">
        <v>0</v>
      </c>
    </row>
    <row r="3011" spans="1:23" x14ac:dyDescent="0.3">
      <c r="A3011" s="219">
        <v>43304</v>
      </c>
      <c r="B3011" s="219">
        <v>43307</v>
      </c>
      <c r="C3011" s="6">
        <v>7</v>
      </c>
      <c r="D3011" s="6">
        <v>4</v>
      </c>
      <c r="E3011" s="84">
        <v>2018</v>
      </c>
      <c r="F3011" s="15" t="s">
        <v>22</v>
      </c>
      <c r="G3011" s="9" t="s">
        <v>6258</v>
      </c>
      <c r="H3011" s="9" t="s">
        <v>72</v>
      </c>
      <c r="I3011" s="86">
        <v>13</v>
      </c>
      <c r="J3011" s="34" t="s">
        <v>4880</v>
      </c>
      <c r="K3011" s="87">
        <v>0</v>
      </c>
      <c r="L3011" s="241">
        <v>0</v>
      </c>
      <c r="M3011" s="87">
        <v>0</v>
      </c>
      <c r="N3011" s="87">
        <v>0</v>
      </c>
      <c r="O3011" s="87">
        <v>0</v>
      </c>
      <c r="P3011" s="87">
        <v>0</v>
      </c>
      <c r="Q3011" s="88">
        <v>0</v>
      </c>
      <c r="R3011" s="61">
        <v>4.0527858750000005</v>
      </c>
      <c r="S3011" s="89" t="s">
        <v>149</v>
      </c>
      <c r="T3011" s="257">
        <f t="shared" ref="T3011:T3074" si="101">SUM(K3011:L3011)</f>
        <v>0</v>
      </c>
      <c r="U3011" s="257">
        <f t="shared" ref="U3011:U3074" si="102">SUM(M3011:P3011)</f>
        <v>0</v>
      </c>
      <c r="V3011">
        <v>0</v>
      </c>
      <c r="W3011">
        <v>0</v>
      </c>
    </row>
    <row r="3012" spans="1:23" ht="22.8" x14ac:dyDescent="0.3">
      <c r="A3012" s="219">
        <v>43372</v>
      </c>
      <c r="B3012" s="219">
        <v>43372</v>
      </c>
      <c r="C3012" s="6">
        <v>9</v>
      </c>
      <c r="D3012" s="6">
        <v>1</v>
      </c>
      <c r="E3012" s="84">
        <v>2018</v>
      </c>
      <c r="F3012" s="15" t="s">
        <v>22</v>
      </c>
      <c r="G3012" s="18" t="s">
        <v>6256</v>
      </c>
      <c r="H3012" s="9" t="s">
        <v>74</v>
      </c>
      <c r="I3012" s="174">
        <v>5</v>
      </c>
      <c r="J3012" s="53" t="s">
        <v>4916</v>
      </c>
      <c r="K3012" s="87">
        <v>0</v>
      </c>
      <c r="L3012" s="241">
        <v>0</v>
      </c>
      <c r="M3012" s="87">
        <v>0</v>
      </c>
      <c r="N3012" s="87">
        <v>0</v>
      </c>
      <c r="O3012" s="87">
        <v>0</v>
      </c>
      <c r="P3012" s="87">
        <v>0</v>
      </c>
      <c r="Q3012" s="88">
        <v>0</v>
      </c>
      <c r="R3012" s="61">
        <v>37.78375935333333</v>
      </c>
      <c r="S3012" s="89" t="s">
        <v>149</v>
      </c>
      <c r="T3012" s="257">
        <f t="shared" si="101"/>
        <v>0</v>
      </c>
      <c r="U3012" s="257">
        <f t="shared" si="102"/>
        <v>0</v>
      </c>
      <c r="V3012">
        <v>0</v>
      </c>
      <c r="W3012">
        <v>0</v>
      </c>
    </row>
    <row r="3013" spans="1:23" ht="22.8" x14ac:dyDescent="0.3">
      <c r="A3013" s="219">
        <v>43384</v>
      </c>
      <c r="B3013" s="219">
        <v>43384</v>
      </c>
      <c r="C3013" s="6">
        <v>10</v>
      </c>
      <c r="D3013" s="6">
        <v>1</v>
      </c>
      <c r="E3013" s="84">
        <v>2018</v>
      </c>
      <c r="F3013" s="15" t="s">
        <v>22</v>
      </c>
      <c r="G3013" s="18" t="s">
        <v>6256</v>
      </c>
      <c r="H3013" s="9" t="s">
        <v>74</v>
      </c>
      <c r="I3013" s="174">
        <v>13</v>
      </c>
      <c r="J3013" s="53" t="s">
        <v>4917</v>
      </c>
      <c r="K3013" s="87">
        <v>0</v>
      </c>
      <c r="L3013" s="241">
        <v>0</v>
      </c>
      <c r="M3013" s="87">
        <v>0</v>
      </c>
      <c r="N3013" s="87">
        <v>0</v>
      </c>
      <c r="O3013" s="87">
        <v>0</v>
      </c>
      <c r="P3013" s="87">
        <v>0</v>
      </c>
      <c r="Q3013" s="88">
        <v>0</v>
      </c>
      <c r="R3013" s="61">
        <v>24.360381396666668</v>
      </c>
      <c r="S3013" s="89" t="s">
        <v>149</v>
      </c>
      <c r="T3013" s="257">
        <f t="shared" si="101"/>
        <v>0</v>
      </c>
      <c r="U3013" s="257">
        <f t="shared" si="102"/>
        <v>0</v>
      </c>
      <c r="V3013">
        <v>0</v>
      </c>
      <c r="W3013">
        <v>0</v>
      </c>
    </row>
    <row r="3014" spans="1:23" x14ac:dyDescent="0.3">
      <c r="A3014" s="219">
        <v>43248</v>
      </c>
      <c r="B3014" s="219">
        <v>43248</v>
      </c>
      <c r="C3014" s="6">
        <v>5</v>
      </c>
      <c r="D3014" s="6">
        <v>1</v>
      </c>
      <c r="E3014" s="84">
        <v>2018</v>
      </c>
      <c r="F3014" s="15" t="s">
        <v>22</v>
      </c>
      <c r="G3014" s="9" t="s">
        <v>6258</v>
      </c>
      <c r="H3014" s="9" t="s">
        <v>74</v>
      </c>
      <c r="I3014" s="86">
        <v>64</v>
      </c>
      <c r="J3014" s="34" t="s">
        <v>1492</v>
      </c>
      <c r="K3014" s="87">
        <v>0</v>
      </c>
      <c r="L3014" s="241">
        <v>0</v>
      </c>
      <c r="M3014" s="87">
        <v>0</v>
      </c>
      <c r="N3014" s="87">
        <v>0</v>
      </c>
      <c r="O3014" s="87">
        <v>0</v>
      </c>
      <c r="P3014" s="87">
        <v>0</v>
      </c>
      <c r="Q3014" s="88">
        <v>0</v>
      </c>
      <c r="R3014" s="61">
        <v>7.0106123050000004</v>
      </c>
      <c r="S3014" s="89" t="s">
        <v>149</v>
      </c>
      <c r="T3014" s="257">
        <f t="shared" si="101"/>
        <v>0</v>
      </c>
      <c r="U3014" s="257">
        <f t="shared" si="102"/>
        <v>0</v>
      </c>
      <c r="V3014">
        <v>0</v>
      </c>
      <c r="W3014">
        <v>0</v>
      </c>
    </row>
    <row r="3015" spans="1:23" x14ac:dyDescent="0.3">
      <c r="A3015" s="219">
        <v>43324</v>
      </c>
      <c r="B3015" s="219">
        <v>43324</v>
      </c>
      <c r="C3015" s="6">
        <v>8</v>
      </c>
      <c r="D3015" s="6">
        <v>1</v>
      </c>
      <c r="E3015" s="84">
        <v>2018</v>
      </c>
      <c r="F3015" s="15" t="s">
        <v>22</v>
      </c>
      <c r="G3015" s="16" t="s">
        <v>6256</v>
      </c>
      <c r="H3015" s="9" t="s">
        <v>74</v>
      </c>
      <c r="I3015" s="86">
        <v>1</v>
      </c>
      <c r="J3015" s="34" t="s">
        <v>4918</v>
      </c>
      <c r="K3015" s="87">
        <v>0</v>
      </c>
      <c r="L3015" s="241">
        <v>0</v>
      </c>
      <c r="M3015" s="87">
        <v>0</v>
      </c>
      <c r="N3015" s="87">
        <v>0</v>
      </c>
      <c r="O3015" s="87">
        <v>0</v>
      </c>
      <c r="P3015" s="87">
        <v>0</v>
      </c>
      <c r="Q3015" s="88">
        <v>0</v>
      </c>
      <c r="R3015" s="61">
        <v>14.16793511</v>
      </c>
      <c r="S3015" s="89" t="s">
        <v>149</v>
      </c>
      <c r="T3015" s="257">
        <f t="shared" si="101"/>
        <v>0</v>
      </c>
      <c r="U3015" s="257">
        <f t="shared" si="102"/>
        <v>0</v>
      </c>
      <c r="V3015">
        <v>0</v>
      </c>
      <c r="W3015">
        <v>0</v>
      </c>
    </row>
    <row r="3016" spans="1:23" ht="22.8" x14ac:dyDescent="0.3">
      <c r="A3016" s="219">
        <v>43396</v>
      </c>
      <c r="B3016" s="219">
        <v>43396</v>
      </c>
      <c r="C3016" s="6">
        <v>10</v>
      </c>
      <c r="D3016" s="6">
        <v>1</v>
      </c>
      <c r="E3016" s="84">
        <v>2018</v>
      </c>
      <c r="F3016" s="15" t="s">
        <v>22</v>
      </c>
      <c r="G3016" s="16" t="s">
        <v>6256</v>
      </c>
      <c r="H3016" s="9" t="s">
        <v>74</v>
      </c>
      <c r="I3016" s="86">
        <v>1</v>
      </c>
      <c r="J3016" s="34" t="s">
        <v>4919</v>
      </c>
      <c r="K3016" s="87">
        <v>0</v>
      </c>
      <c r="L3016" s="241">
        <v>0</v>
      </c>
      <c r="M3016" s="87">
        <v>0</v>
      </c>
      <c r="N3016" s="87">
        <v>0</v>
      </c>
      <c r="O3016" s="87">
        <v>0</v>
      </c>
      <c r="P3016" s="87">
        <v>0</v>
      </c>
      <c r="Q3016" s="88">
        <v>0</v>
      </c>
      <c r="R3016" s="61">
        <v>5.7328701366666666</v>
      </c>
      <c r="S3016" s="89" t="s">
        <v>149</v>
      </c>
      <c r="T3016" s="257">
        <f t="shared" si="101"/>
        <v>0</v>
      </c>
      <c r="U3016" s="257">
        <f t="shared" si="102"/>
        <v>0</v>
      </c>
      <c r="V3016">
        <v>0</v>
      </c>
      <c r="W3016">
        <v>0</v>
      </c>
    </row>
    <row r="3017" spans="1:23" ht="22.8" x14ac:dyDescent="0.3">
      <c r="A3017" s="219">
        <v>43361</v>
      </c>
      <c r="B3017" s="219">
        <v>43363</v>
      </c>
      <c r="C3017" s="6">
        <v>9</v>
      </c>
      <c r="D3017" s="6">
        <v>3</v>
      </c>
      <c r="E3017" s="84">
        <v>2018</v>
      </c>
      <c r="F3017" s="15" t="s">
        <v>22</v>
      </c>
      <c r="G3017" s="16" t="s">
        <v>6256</v>
      </c>
      <c r="H3017" s="9" t="s">
        <v>74</v>
      </c>
      <c r="I3017" s="86">
        <v>11</v>
      </c>
      <c r="J3017" s="34" t="s">
        <v>4920</v>
      </c>
      <c r="K3017" s="87">
        <v>0</v>
      </c>
      <c r="L3017" s="241">
        <v>0</v>
      </c>
      <c r="M3017" s="87">
        <v>0</v>
      </c>
      <c r="N3017" s="87">
        <v>0</v>
      </c>
      <c r="O3017" s="87">
        <v>0</v>
      </c>
      <c r="P3017" s="87">
        <v>0</v>
      </c>
      <c r="Q3017" s="88">
        <v>0</v>
      </c>
      <c r="R3017" s="61">
        <v>36.125385171666665</v>
      </c>
      <c r="S3017" s="89" t="s">
        <v>149</v>
      </c>
      <c r="T3017" s="257">
        <f t="shared" si="101"/>
        <v>0</v>
      </c>
      <c r="U3017" s="257">
        <f t="shared" si="102"/>
        <v>0</v>
      </c>
      <c r="V3017">
        <v>0</v>
      </c>
      <c r="W3017">
        <v>0</v>
      </c>
    </row>
    <row r="3018" spans="1:23" x14ac:dyDescent="0.3">
      <c r="A3018" s="219">
        <v>43304</v>
      </c>
      <c r="B3018" s="219">
        <v>43307</v>
      </c>
      <c r="C3018" s="6">
        <v>7</v>
      </c>
      <c r="D3018" s="6">
        <v>4</v>
      </c>
      <c r="E3018" s="84">
        <v>2018</v>
      </c>
      <c r="F3018" s="15" t="s">
        <v>22</v>
      </c>
      <c r="G3018" s="9" t="s">
        <v>6258</v>
      </c>
      <c r="H3018" s="9" t="s">
        <v>74</v>
      </c>
      <c r="I3018" s="86">
        <v>64</v>
      </c>
      <c r="J3018" s="34" t="s">
        <v>4880</v>
      </c>
      <c r="K3018" s="87">
        <v>0</v>
      </c>
      <c r="L3018" s="241">
        <v>0</v>
      </c>
      <c r="M3018" s="87">
        <v>0</v>
      </c>
      <c r="N3018" s="87">
        <v>0</v>
      </c>
      <c r="O3018" s="87">
        <v>0</v>
      </c>
      <c r="P3018" s="87">
        <v>0</v>
      </c>
      <c r="Q3018" s="88">
        <v>0</v>
      </c>
      <c r="R3018" s="61">
        <v>7.0106123050000004</v>
      </c>
      <c r="S3018" s="89" t="s">
        <v>149</v>
      </c>
      <c r="T3018" s="257">
        <f t="shared" si="101"/>
        <v>0</v>
      </c>
      <c r="U3018" s="257">
        <f t="shared" si="102"/>
        <v>0</v>
      </c>
      <c r="V3018">
        <v>0</v>
      </c>
      <c r="W3018">
        <v>0</v>
      </c>
    </row>
    <row r="3019" spans="1:23" ht="22.8" x14ac:dyDescent="0.3">
      <c r="A3019" s="219">
        <v>43129</v>
      </c>
      <c r="B3019" s="219">
        <v>43129</v>
      </c>
      <c r="C3019" s="6">
        <v>1</v>
      </c>
      <c r="D3019" s="6">
        <v>1</v>
      </c>
      <c r="E3019" s="84">
        <v>2018</v>
      </c>
      <c r="F3019" s="15" t="s">
        <v>22</v>
      </c>
      <c r="G3019" s="18" t="s">
        <v>6256</v>
      </c>
      <c r="H3019" s="17" t="s">
        <v>565</v>
      </c>
      <c r="I3019" s="86">
        <v>3</v>
      </c>
      <c r="J3019" s="34" t="s">
        <v>4921</v>
      </c>
      <c r="K3019" s="87">
        <v>0</v>
      </c>
      <c r="L3019" s="241">
        <v>0</v>
      </c>
      <c r="M3019" s="87">
        <v>0</v>
      </c>
      <c r="N3019" s="87">
        <v>0</v>
      </c>
      <c r="O3019" s="87">
        <v>0</v>
      </c>
      <c r="P3019" s="87">
        <v>0</v>
      </c>
      <c r="Q3019" s="88">
        <v>0</v>
      </c>
      <c r="R3019" s="61">
        <v>3.0890687149999998</v>
      </c>
      <c r="S3019" s="89" t="s">
        <v>149</v>
      </c>
      <c r="T3019" s="257">
        <f t="shared" si="101"/>
        <v>0</v>
      </c>
      <c r="U3019" s="257">
        <f t="shared" si="102"/>
        <v>0</v>
      </c>
      <c r="V3019">
        <v>0</v>
      </c>
      <c r="W3019">
        <v>0</v>
      </c>
    </row>
    <row r="3020" spans="1:23" x14ac:dyDescent="0.3">
      <c r="A3020" s="219">
        <v>43248</v>
      </c>
      <c r="B3020" s="219">
        <v>43248</v>
      </c>
      <c r="C3020" s="6">
        <v>5</v>
      </c>
      <c r="D3020" s="6">
        <v>1</v>
      </c>
      <c r="E3020" s="84">
        <v>2018</v>
      </c>
      <c r="F3020" s="15" t="s">
        <v>22</v>
      </c>
      <c r="G3020" s="9" t="s">
        <v>6258</v>
      </c>
      <c r="H3020" s="17" t="s">
        <v>565</v>
      </c>
      <c r="I3020" s="86">
        <v>15</v>
      </c>
      <c r="J3020" s="34" t="s">
        <v>1492</v>
      </c>
      <c r="K3020" s="87">
        <v>0</v>
      </c>
      <c r="L3020" s="241">
        <v>0</v>
      </c>
      <c r="M3020" s="87">
        <v>0</v>
      </c>
      <c r="N3020" s="87">
        <v>0</v>
      </c>
      <c r="O3020" s="87">
        <v>0</v>
      </c>
      <c r="P3020" s="87">
        <v>0</v>
      </c>
      <c r="Q3020" s="88">
        <v>0</v>
      </c>
      <c r="R3020" s="61">
        <v>5.535596795</v>
      </c>
      <c r="S3020" s="89" t="s">
        <v>149</v>
      </c>
      <c r="T3020" s="257">
        <f t="shared" si="101"/>
        <v>0</v>
      </c>
      <c r="U3020" s="257">
        <f t="shared" si="102"/>
        <v>0</v>
      </c>
      <c r="V3020">
        <v>0</v>
      </c>
      <c r="W3020">
        <v>0</v>
      </c>
    </row>
    <row r="3021" spans="1:23" x14ac:dyDescent="0.3">
      <c r="A3021" s="219">
        <v>43304</v>
      </c>
      <c r="B3021" s="219">
        <v>43307</v>
      </c>
      <c r="C3021" s="6">
        <v>7</v>
      </c>
      <c r="D3021" s="6">
        <v>4</v>
      </c>
      <c r="E3021" s="84">
        <v>2018</v>
      </c>
      <c r="F3021" s="15" t="s">
        <v>22</v>
      </c>
      <c r="G3021" s="9" t="s">
        <v>6258</v>
      </c>
      <c r="H3021" s="17" t="s">
        <v>565</v>
      </c>
      <c r="I3021" s="86">
        <v>15</v>
      </c>
      <c r="J3021" s="34" t="s">
        <v>4880</v>
      </c>
      <c r="K3021" s="87">
        <v>0</v>
      </c>
      <c r="L3021" s="241">
        <v>0</v>
      </c>
      <c r="M3021" s="87">
        <v>0</v>
      </c>
      <c r="N3021" s="87">
        <v>0</v>
      </c>
      <c r="O3021" s="87">
        <v>0</v>
      </c>
      <c r="P3021" s="87">
        <v>0</v>
      </c>
      <c r="Q3021" s="88">
        <v>0</v>
      </c>
      <c r="R3021" s="61">
        <v>5.535596795</v>
      </c>
      <c r="S3021" s="89" t="s">
        <v>149</v>
      </c>
      <c r="T3021" s="257">
        <f t="shared" si="101"/>
        <v>0</v>
      </c>
      <c r="U3021" s="257">
        <f t="shared" si="102"/>
        <v>0</v>
      </c>
      <c r="V3021">
        <v>0</v>
      </c>
      <c r="W3021">
        <v>0</v>
      </c>
    </row>
    <row r="3022" spans="1:23" x14ac:dyDescent="0.3">
      <c r="A3022" s="219">
        <v>43248</v>
      </c>
      <c r="B3022" s="219">
        <v>43248</v>
      </c>
      <c r="C3022" s="6">
        <v>5</v>
      </c>
      <c r="D3022" s="6">
        <v>1</v>
      </c>
      <c r="E3022" s="84">
        <v>2018</v>
      </c>
      <c r="F3022" s="15" t="s">
        <v>22</v>
      </c>
      <c r="G3022" s="9" t="s">
        <v>6258</v>
      </c>
      <c r="H3022" s="9" t="s">
        <v>78</v>
      </c>
      <c r="I3022" s="86">
        <v>6</v>
      </c>
      <c r="J3022" s="34" t="s">
        <v>1492</v>
      </c>
      <c r="K3022" s="87">
        <v>0</v>
      </c>
      <c r="L3022" s="241">
        <v>0</v>
      </c>
      <c r="M3022" s="87">
        <v>0</v>
      </c>
      <c r="N3022" s="87">
        <v>0</v>
      </c>
      <c r="O3022" s="87">
        <v>0</v>
      </c>
      <c r="P3022" s="87">
        <v>0</v>
      </c>
      <c r="Q3022" s="88">
        <v>0</v>
      </c>
      <c r="R3022" s="61">
        <v>0.33491375000000001</v>
      </c>
      <c r="S3022" s="89" t="s">
        <v>149</v>
      </c>
      <c r="T3022" s="257">
        <f t="shared" si="101"/>
        <v>0</v>
      </c>
      <c r="U3022" s="257">
        <f t="shared" si="102"/>
        <v>0</v>
      </c>
      <c r="V3022">
        <v>0</v>
      </c>
      <c r="W3022">
        <v>0</v>
      </c>
    </row>
    <row r="3023" spans="1:23" x14ac:dyDescent="0.3">
      <c r="A3023" s="219">
        <v>43304</v>
      </c>
      <c r="B3023" s="219">
        <v>43307</v>
      </c>
      <c r="C3023" s="6">
        <v>7</v>
      </c>
      <c r="D3023" s="6">
        <v>4</v>
      </c>
      <c r="E3023" s="84">
        <v>2018</v>
      </c>
      <c r="F3023" s="15" t="s">
        <v>22</v>
      </c>
      <c r="G3023" s="9" t="s">
        <v>6258</v>
      </c>
      <c r="H3023" s="9" t="s">
        <v>78</v>
      </c>
      <c r="I3023" s="86">
        <v>6</v>
      </c>
      <c r="J3023" s="34" t="s">
        <v>4880</v>
      </c>
      <c r="K3023" s="87">
        <v>0</v>
      </c>
      <c r="L3023" s="241">
        <v>0</v>
      </c>
      <c r="M3023" s="87">
        <v>0</v>
      </c>
      <c r="N3023" s="87">
        <v>0</v>
      </c>
      <c r="O3023" s="87">
        <v>0</v>
      </c>
      <c r="P3023" s="87">
        <v>0</v>
      </c>
      <c r="Q3023" s="88">
        <v>0</v>
      </c>
      <c r="R3023" s="61">
        <v>1.2746914229999999</v>
      </c>
      <c r="S3023" s="89" t="s">
        <v>149</v>
      </c>
      <c r="T3023" s="257">
        <f t="shared" si="101"/>
        <v>0</v>
      </c>
      <c r="U3023" s="257">
        <f t="shared" si="102"/>
        <v>0</v>
      </c>
      <c r="V3023">
        <v>0</v>
      </c>
      <c r="W3023">
        <v>0</v>
      </c>
    </row>
    <row r="3024" spans="1:23" x14ac:dyDescent="0.3">
      <c r="A3024" s="219">
        <v>43392</v>
      </c>
      <c r="B3024" s="219">
        <v>43399</v>
      </c>
      <c r="C3024" s="6">
        <v>10</v>
      </c>
      <c r="D3024" s="6">
        <v>8</v>
      </c>
      <c r="E3024" s="84">
        <v>2018</v>
      </c>
      <c r="F3024" s="15" t="s">
        <v>22</v>
      </c>
      <c r="G3024" s="16" t="s">
        <v>6256</v>
      </c>
      <c r="H3024" s="9" t="s">
        <v>174</v>
      </c>
      <c r="I3024" s="174">
        <v>4</v>
      </c>
      <c r="J3024" s="53" t="s">
        <v>4922</v>
      </c>
      <c r="K3024" s="87">
        <v>0</v>
      </c>
      <c r="L3024" s="241">
        <v>0</v>
      </c>
      <c r="M3024" s="87">
        <v>0</v>
      </c>
      <c r="N3024" s="87">
        <v>0</v>
      </c>
      <c r="O3024" s="87">
        <v>0</v>
      </c>
      <c r="P3024" s="87">
        <v>0</v>
      </c>
      <c r="Q3024" s="88">
        <v>0</v>
      </c>
      <c r="R3024" s="61">
        <v>33.76</v>
      </c>
      <c r="S3024" s="89" t="s">
        <v>149</v>
      </c>
      <c r="T3024" s="257">
        <f t="shared" si="101"/>
        <v>0</v>
      </c>
      <c r="U3024" s="257">
        <f t="shared" si="102"/>
        <v>0</v>
      </c>
      <c r="V3024">
        <v>0</v>
      </c>
      <c r="W3024">
        <v>0</v>
      </c>
    </row>
    <row r="3025" spans="1:23" x14ac:dyDescent="0.3">
      <c r="A3025" s="219">
        <v>43130</v>
      </c>
      <c r="B3025" s="219">
        <v>43131</v>
      </c>
      <c r="C3025" s="6">
        <v>1</v>
      </c>
      <c r="D3025" s="6">
        <v>2</v>
      </c>
      <c r="E3025" s="84">
        <v>2018</v>
      </c>
      <c r="F3025" s="15" t="s">
        <v>22</v>
      </c>
      <c r="G3025" s="16" t="s">
        <v>6256</v>
      </c>
      <c r="H3025" s="9" t="s">
        <v>174</v>
      </c>
      <c r="I3025" s="86">
        <v>3</v>
      </c>
      <c r="J3025" s="34" t="s">
        <v>4923</v>
      </c>
      <c r="K3025" s="87">
        <v>0</v>
      </c>
      <c r="L3025" s="241">
        <v>0</v>
      </c>
      <c r="M3025" s="87">
        <v>0</v>
      </c>
      <c r="N3025" s="87">
        <v>0</v>
      </c>
      <c r="O3025" s="87">
        <v>0</v>
      </c>
      <c r="P3025" s="87">
        <v>0</v>
      </c>
      <c r="Q3025" s="88">
        <v>0</v>
      </c>
      <c r="R3025" s="61">
        <v>4.2589661560000005</v>
      </c>
      <c r="S3025" s="89" t="s">
        <v>149</v>
      </c>
      <c r="T3025" s="257">
        <f t="shared" si="101"/>
        <v>0</v>
      </c>
      <c r="U3025" s="257">
        <f t="shared" si="102"/>
        <v>0</v>
      </c>
      <c r="V3025">
        <v>0</v>
      </c>
      <c r="W3025">
        <v>0</v>
      </c>
    </row>
    <row r="3026" spans="1:23" ht="22.8" x14ac:dyDescent="0.3">
      <c r="A3026" s="219">
        <v>43210</v>
      </c>
      <c r="B3026" s="219">
        <v>43210</v>
      </c>
      <c r="C3026" s="6">
        <v>4</v>
      </c>
      <c r="D3026" s="6">
        <v>1</v>
      </c>
      <c r="E3026" s="84">
        <v>2018</v>
      </c>
      <c r="F3026" s="15" t="s">
        <v>22</v>
      </c>
      <c r="G3026" s="18" t="s">
        <v>6256</v>
      </c>
      <c r="H3026" s="9" t="s">
        <v>174</v>
      </c>
      <c r="I3026" s="86">
        <v>3</v>
      </c>
      <c r="J3026" s="34" t="s">
        <v>4924</v>
      </c>
      <c r="K3026" s="87">
        <v>0</v>
      </c>
      <c r="L3026" s="241">
        <v>0</v>
      </c>
      <c r="M3026" s="87">
        <v>0</v>
      </c>
      <c r="N3026" s="87">
        <v>0</v>
      </c>
      <c r="O3026" s="87">
        <v>0</v>
      </c>
      <c r="P3026" s="87">
        <v>0</v>
      </c>
      <c r="Q3026" s="88">
        <v>0</v>
      </c>
      <c r="R3026" s="61">
        <v>5.7645764549999994</v>
      </c>
      <c r="S3026" s="89" t="s">
        <v>149</v>
      </c>
      <c r="T3026" s="257">
        <f t="shared" si="101"/>
        <v>0</v>
      </c>
      <c r="U3026" s="257">
        <f t="shared" si="102"/>
        <v>0</v>
      </c>
      <c r="V3026">
        <v>0</v>
      </c>
      <c r="W3026">
        <v>0</v>
      </c>
    </row>
    <row r="3027" spans="1:23" x14ac:dyDescent="0.3">
      <c r="A3027" s="219">
        <v>43248</v>
      </c>
      <c r="B3027" s="219">
        <v>43248</v>
      </c>
      <c r="C3027" s="6">
        <v>5</v>
      </c>
      <c r="D3027" s="6">
        <v>1</v>
      </c>
      <c r="E3027" s="84">
        <v>2018</v>
      </c>
      <c r="F3027" s="15" t="s">
        <v>22</v>
      </c>
      <c r="G3027" s="9" t="s">
        <v>6258</v>
      </c>
      <c r="H3027" s="9" t="s">
        <v>174</v>
      </c>
      <c r="I3027" s="86">
        <v>51</v>
      </c>
      <c r="J3027" s="34" t="s">
        <v>1492</v>
      </c>
      <c r="K3027" s="87">
        <v>0</v>
      </c>
      <c r="L3027" s="241">
        <v>0</v>
      </c>
      <c r="M3027" s="87">
        <v>0</v>
      </c>
      <c r="N3027" s="87">
        <v>0</v>
      </c>
      <c r="O3027" s="87">
        <v>0</v>
      </c>
      <c r="P3027" s="87">
        <v>0</v>
      </c>
      <c r="Q3027" s="88">
        <v>0</v>
      </c>
      <c r="R3027" s="61">
        <v>9.1934321330000017</v>
      </c>
      <c r="S3027" s="89" t="s">
        <v>149</v>
      </c>
      <c r="T3027" s="257">
        <f t="shared" si="101"/>
        <v>0</v>
      </c>
      <c r="U3027" s="257">
        <f t="shared" si="102"/>
        <v>0</v>
      </c>
      <c r="V3027">
        <v>0</v>
      </c>
      <c r="W3027">
        <v>0</v>
      </c>
    </row>
    <row r="3028" spans="1:23" x14ac:dyDescent="0.3">
      <c r="A3028" s="219">
        <v>43268</v>
      </c>
      <c r="B3028" s="219">
        <v>43268</v>
      </c>
      <c r="C3028" s="6">
        <v>6</v>
      </c>
      <c r="D3028" s="6">
        <v>1</v>
      </c>
      <c r="E3028" s="84">
        <v>2018</v>
      </c>
      <c r="F3028" s="15" t="s">
        <v>22</v>
      </c>
      <c r="G3028" s="16" t="s">
        <v>6256</v>
      </c>
      <c r="H3028" s="9" t="s">
        <v>174</v>
      </c>
      <c r="I3028" s="86">
        <v>1</v>
      </c>
      <c r="J3028" s="34" t="s">
        <v>4925</v>
      </c>
      <c r="K3028" s="87">
        <v>0</v>
      </c>
      <c r="L3028" s="241">
        <v>0</v>
      </c>
      <c r="M3028" s="87">
        <v>0</v>
      </c>
      <c r="N3028" s="87">
        <v>0</v>
      </c>
      <c r="O3028" s="87">
        <v>0</v>
      </c>
      <c r="P3028" s="87">
        <v>0</v>
      </c>
      <c r="Q3028" s="88">
        <v>0</v>
      </c>
      <c r="R3028" s="61">
        <v>5.753570475000001</v>
      </c>
      <c r="S3028" s="89" t="s">
        <v>149</v>
      </c>
      <c r="T3028" s="257">
        <f t="shared" si="101"/>
        <v>0</v>
      </c>
      <c r="U3028" s="257">
        <f t="shared" si="102"/>
        <v>0</v>
      </c>
      <c r="V3028">
        <v>0</v>
      </c>
      <c r="W3028">
        <v>0</v>
      </c>
    </row>
    <row r="3029" spans="1:23" x14ac:dyDescent="0.3">
      <c r="A3029" s="219">
        <v>43275</v>
      </c>
      <c r="B3029" s="219">
        <v>43275</v>
      </c>
      <c r="C3029" s="6">
        <v>6</v>
      </c>
      <c r="D3029" s="6">
        <v>1</v>
      </c>
      <c r="E3029" s="84">
        <v>2018</v>
      </c>
      <c r="F3029" s="15" t="s">
        <v>22</v>
      </c>
      <c r="G3029" s="16" t="s">
        <v>6256</v>
      </c>
      <c r="H3029" s="9" t="s">
        <v>174</v>
      </c>
      <c r="I3029" s="86">
        <v>2</v>
      </c>
      <c r="J3029" s="34" t="s">
        <v>4925</v>
      </c>
      <c r="K3029" s="87">
        <v>0</v>
      </c>
      <c r="L3029" s="241">
        <v>0</v>
      </c>
      <c r="M3029" s="87">
        <v>0</v>
      </c>
      <c r="N3029" s="87">
        <v>0</v>
      </c>
      <c r="O3029" s="87">
        <v>0</v>
      </c>
      <c r="P3029" s="87">
        <v>0</v>
      </c>
      <c r="Q3029" s="88">
        <v>0</v>
      </c>
      <c r="R3029" s="61">
        <v>3.0193254559999998</v>
      </c>
      <c r="S3029" s="89" t="s">
        <v>149</v>
      </c>
      <c r="T3029" s="257">
        <f t="shared" si="101"/>
        <v>0</v>
      </c>
      <c r="U3029" s="257">
        <f t="shared" si="102"/>
        <v>0</v>
      </c>
      <c r="V3029">
        <v>0</v>
      </c>
      <c r="W3029">
        <v>0</v>
      </c>
    </row>
    <row r="3030" spans="1:23" x14ac:dyDescent="0.3">
      <c r="A3030" s="219">
        <v>43304</v>
      </c>
      <c r="B3030" s="219">
        <v>43307</v>
      </c>
      <c r="C3030" s="6">
        <v>7</v>
      </c>
      <c r="D3030" s="6">
        <v>4</v>
      </c>
      <c r="E3030" s="84">
        <v>2018</v>
      </c>
      <c r="F3030" s="15" t="s">
        <v>22</v>
      </c>
      <c r="G3030" s="9" t="s">
        <v>6258</v>
      </c>
      <c r="H3030" s="9" t="s">
        <v>174</v>
      </c>
      <c r="I3030" s="86">
        <v>51</v>
      </c>
      <c r="J3030" s="34" t="s">
        <v>4880</v>
      </c>
      <c r="K3030" s="87">
        <v>0</v>
      </c>
      <c r="L3030" s="241">
        <v>0</v>
      </c>
      <c r="M3030" s="87">
        <v>0</v>
      </c>
      <c r="N3030" s="87">
        <v>0</v>
      </c>
      <c r="O3030" s="87">
        <v>0</v>
      </c>
      <c r="P3030" s="87">
        <v>0</v>
      </c>
      <c r="Q3030" s="88">
        <v>0</v>
      </c>
      <c r="R3030" s="61">
        <v>9.1934321330000017</v>
      </c>
      <c r="S3030" s="89" t="s">
        <v>149</v>
      </c>
      <c r="T3030" s="257">
        <f t="shared" si="101"/>
        <v>0</v>
      </c>
      <c r="U3030" s="257">
        <f t="shared" si="102"/>
        <v>0</v>
      </c>
      <c r="V3030">
        <v>0</v>
      </c>
      <c r="W3030">
        <v>0</v>
      </c>
    </row>
    <row r="3031" spans="1:23" ht="22.8" x14ac:dyDescent="0.3">
      <c r="A3031" s="219">
        <v>43389</v>
      </c>
      <c r="B3031" s="219">
        <v>43389</v>
      </c>
      <c r="C3031" s="6">
        <v>10</v>
      </c>
      <c r="D3031" s="6">
        <v>1</v>
      </c>
      <c r="E3031" s="84">
        <v>2018</v>
      </c>
      <c r="F3031" s="15" t="s">
        <v>22</v>
      </c>
      <c r="G3031" s="18" t="s">
        <v>6256</v>
      </c>
      <c r="H3031" s="9" t="s">
        <v>174</v>
      </c>
      <c r="I3031" s="86">
        <v>13</v>
      </c>
      <c r="J3031" s="34" t="s">
        <v>4926</v>
      </c>
      <c r="K3031" s="87">
        <v>0</v>
      </c>
      <c r="L3031" s="241">
        <v>0</v>
      </c>
      <c r="M3031" s="87">
        <v>0</v>
      </c>
      <c r="N3031" s="87">
        <v>0</v>
      </c>
      <c r="O3031" s="87">
        <v>0</v>
      </c>
      <c r="P3031" s="87">
        <v>0</v>
      </c>
      <c r="Q3031" s="88">
        <v>0</v>
      </c>
      <c r="R3031" s="61">
        <v>23.448937218775509</v>
      </c>
      <c r="S3031" s="89" t="s">
        <v>149</v>
      </c>
      <c r="T3031" s="257">
        <f t="shared" si="101"/>
        <v>0</v>
      </c>
      <c r="U3031" s="257">
        <f t="shared" si="102"/>
        <v>0</v>
      </c>
      <c r="V3031">
        <v>0</v>
      </c>
      <c r="W3031">
        <v>0</v>
      </c>
    </row>
    <row r="3032" spans="1:23" ht="22.8" x14ac:dyDescent="0.3">
      <c r="A3032" s="219">
        <v>43389</v>
      </c>
      <c r="B3032" s="219">
        <v>43389</v>
      </c>
      <c r="C3032" s="6">
        <v>10</v>
      </c>
      <c r="D3032" s="6">
        <v>1</v>
      </c>
      <c r="E3032" s="84">
        <v>2018</v>
      </c>
      <c r="F3032" s="15" t="s">
        <v>22</v>
      </c>
      <c r="G3032" s="18" t="s">
        <v>6256</v>
      </c>
      <c r="H3032" s="9" t="s">
        <v>174</v>
      </c>
      <c r="I3032" s="86">
        <v>8</v>
      </c>
      <c r="J3032" s="34" t="s">
        <v>4927</v>
      </c>
      <c r="K3032" s="87">
        <v>0</v>
      </c>
      <c r="L3032" s="241">
        <v>0</v>
      </c>
      <c r="M3032" s="87">
        <v>0</v>
      </c>
      <c r="N3032" s="87">
        <v>0</v>
      </c>
      <c r="O3032" s="87">
        <v>0</v>
      </c>
      <c r="P3032" s="87">
        <v>0</v>
      </c>
      <c r="Q3032" s="88">
        <v>0</v>
      </c>
      <c r="R3032" s="61">
        <v>7.9261018916734693</v>
      </c>
      <c r="S3032" s="89" t="s">
        <v>149</v>
      </c>
      <c r="T3032" s="257">
        <f t="shared" si="101"/>
        <v>0</v>
      </c>
      <c r="U3032" s="257">
        <f t="shared" si="102"/>
        <v>0</v>
      </c>
      <c r="V3032">
        <v>0</v>
      </c>
      <c r="W3032">
        <v>0</v>
      </c>
    </row>
    <row r="3033" spans="1:23" ht="22.8" x14ac:dyDescent="0.3">
      <c r="A3033" s="219">
        <v>43389</v>
      </c>
      <c r="B3033" s="219">
        <v>43389</v>
      </c>
      <c r="C3033" s="6">
        <v>10</v>
      </c>
      <c r="D3033" s="6">
        <v>1</v>
      </c>
      <c r="E3033" s="84">
        <v>2018</v>
      </c>
      <c r="F3033" s="15" t="s">
        <v>22</v>
      </c>
      <c r="G3033" s="18" t="s">
        <v>6256</v>
      </c>
      <c r="H3033" s="9" t="s">
        <v>174</v>
      </c>
      <c r="I3033" s="86">
        <v>6</v>
      </c>
      <c r="J3033" s="34" t="s">
        <v>4928</v>
      </c>
      <c r="K3033" s="87">
        <v>0</v>
      </c>
      <c r="L3033" s="241">
        <v>0</v>
      </c>
      <c r="M3033" s="87">
        <v>0</v>
      </c>
      <c r="N3033" s="87">
        <v>0</v>
      </c>
      <c r="O3033" s="87">
        <v>0</v>
      </c>
      <c r="P3033" s="87">
        <v>0</v>
      </c>
      <c r="Q3033" s="88">
        <v>0</v>
      </c>
      <c r="R3033" s="61">
        <v>9.1102300901122462</v>
      </c>
      <c r="S3033" s="89" t="s">
        <v>149</v>
      </c>
      <c r="T3033" s="257">
        <f t="shared" si="101"/>
        <v>0</v>
      </c>
      <c r="U3033" s="257">
        <f t="shared" si="102"/>
        <v>0</v>
      </c>
      <c r="V3033">
        <v>0</v>
      </c>
      <c r="W3033">
        <v>0</v>
      </c>
    </row>
    <row r="3034" spans="1:23" ht="22.8" x14ac:dyDescent="0.3">
      <c r="A3034" s="219">
        <v>43390</v>
      </c>
      <c r="B3034" s="219">
        <v>43390</v>
      </c>
      <c r="C3034" s="6">
        <v>10</v>
      </c>
      <c r="D3034" s="6">
        <v>1</v>
      </c>
      <c r="E3034" s="84">
        <v>2018</v>
      </c>
      <c r="F3034" s="15" t="s">
        <v>22</v>
      </c>
      <c r="G3034" s="18" t="s">
        <v>6256</v>
      </c>
      <c r="H3034" s="9" t="s">
        <v>174</v>
      </c>
      <c r="I3034" s="86">
        <v>5</v>
      </c>
      <c r="J3034" s="34" t="s">
        <v>4929</v>
      </c>
      <c r="K3034" s="87">
        <v>0</v>
      </c>
      <c r="L3034" s="241">
        <v>0</v>
      </c>
      <c r="M3034" s="87">
        <v>0</v>
      </c>
      <c r="N3034" s="87">
        <v>0</v>
      </c>
      <c r="O3034" s="87">
        <v>0</v>
      </c>
      <c r="P3034" s="87">
        <v>0</v>
      </c>
      <c r="Q3034" s="88">
        <v>0</v>
      </c>
      <c r="R3034" s="61">
        <v>7.5848080588979592</v>
      </c>
      <c r="S3034" s="89" t="s">
        <v>149</v>
      </c>
      <c r="T3034" s="257">
        <f t="shared" si="101"/>
        <v>0</v>
      </c>
      <c r="U3034" s="257">
        <f t="shared" si="102"/>
        <v>0</v>
      </c>
      <c r="V3034">
        <v>0</v>
      </c>
      <c r="W3034">
        <v>0</v>
      </c>
    </row>
    <row r="3035" spans="1:23" ht="22.8" x14ac:dyDescent="0.3">
      <c r="A3035" s="219">
        <v>43391</v>
      </c>
      <c r="B3035" s="219">
        <v>43391</v>
      </c>
      <c r="C3035" s="6">
        <v>10</v>
      </c>
      <c r="D3035" s="6">
        <v>1</v>
      </c>
      <c r="E3035" s="84">
        <v>2018</v>
      </c>
      <c r="F3035" s="15" t="s">
        <v>22</v>
      </c>
      <c r="G3035" s="18" t="s">
        <v>6256</v>
      </c>
      <c r="H3035" s="9" t="s">
        <v>174</v>
      </c>
      <c r="I3035" s="86">
        <v>6</v>
      </c>
      <c r="J3035" s="34" t="s">
        <v>4930</v>
      </c>
      <c r="K3035" s="87">
        <v>0</v>
      </c>
      <c r="L3035" s="241">
        <v>0</v>
      </c>
      <c r="M3035" s="87">
        <v>0</v>
      </c>
      <c r="N3035" s="87">
        <v>0</v>
      </c>
      <c r="O3035" s="87">
        <v>0</v>
      </c>
      <c r="P3035" s="87">
        <v>0</v>
      </c>
      <c r="Q3035" s="88">
        <v>0</v>
      </c>
      <c r="R3035" s="61">
        <v>4.4167165203571432</v>
      </c>
      <c r="S3035" s="89" t="s">
        <v>149</v>
      </c>
      <c r="T3035" s="257">
        <f t="shared" si="101"/>
        <v>0</v>
      </c>
      <c r="U3035" s="257">
        <f t="shared" si="102"/>
        <v>0</v>
      </c>
      <c r="V3035">
        <v>0</v>
      </c>
      <c r="W3035">
        <v>0</v>
      </c>
    </row>
    <row r="3036" spans="1:23" ht="22.8" x14ac:dyDescent="0.3">
      <c r="A3036" s="219">
        <v>43392</v>
      </c>
      <c r="B3036" s="219">
        <v>43392</v>
      </c>
      <c r="C3036" s="6">
        <v>10</v>
      </c>
      <c r="D3036" s="6">
        <v>1</v>
      </c>
      <c r="E3036" s="84">
        <v>2018</v>
      </c>
      <c r="F3036" s="15" t="s">
        <v>22</v>
      </c>
      <c r="G3036" s="18" t="s">
        <v>6256</v>
      </c>
      <c r="H3036" s="9" t="s">
        <v>174</v>
      </c>
      <c r="I3036" s="86">
        <v>4</v>
      </c>
      <c r="J3036" s="34" t="s">
        <v>4931</v>
      </c>
      <c r="K3036" s="87">
        <v>0</v>
      </c>
      <c r="L3036" s="241">
        <v>0</v>
      </c>
      <c r="M3036" s="87">
        <v>0</v>
      </c>
      <c r="N3036" s="87">
        <v>0</v>
      </c>
      <c r="O3036" s="87">
        <v>0</v>
      </c>
      <c r="P3036" s="87">
        <v>0</v>
      </c>
      <c r="Q3036" s="88">
        <v>0</v>
      </c>
      <c r="R3036" s="61">
        <v>5.4276527573673476</v>
      </c>
      <c r="S3036" s="89" t="s">
        <v>149</v>
      </c>
      <c r="T3036" s="257">
        <f t="shared" si="101"/>
        <v>0</v>
      </c>
      <c r="U3036" s="257">
        <f t="shared" si="102"/>
        <v>0</v>
      </c>
      <c r="V3036">
        <v>0</v>
      </c>
      <c r="W3036">
        <v>0</v>
      </c>
    </row>
    <row r="3037" spans="1:23" ht="22.8" x14ac:dyDescent="0.3">
      <c r="A3037" s="219">
        <v>43389</v>
      </c>
      <c r="B3037" s="219">
        <v>43389</v>
      </c>
      <c r="C3037" s="6">
        <v>10</v>
      </c>
      <c r="D3037" s="6">
        <v>1</v>
      </c>
      <c r="E3037" s="84">
        <v>2018</v>
      </c>
      <c r="F3037" s="15" t="s">
        <v>22</v>
      </c>
      <c r="G3037" s="18" t="s">
        <v>6256</v>
      </c>
      <c r="H3037" s="9" t="s">
        <v>174</v>
      </c>
      <c r="I3037" s="86">
        <v>5</v>
      </c>
      <c r="J3037" s="34" t="s">
        <v>4932</v>
      </c>
      <c r="K3037" s="87">
        <v>0</v>
      </c>
      <c r="L3037" s="241">
        <v>0</v>
      </c>
      <c r="M3037" s="87">
        <v>0</v>
      </c>
      <c r="N3037" s="87">
        <v>0</v>
      </c>
      <c r="O3037" s="87">
        <v>0</v>
      </c>
      <c r="P3037" s="87">
        <v>0</v>
      </c>
      <c r="Q3037" s="88">
        <v>0</v>
      </c>
      <c r="R3037" s="61">
        <v>4.8311812997857135</v>
      </c>
      <c r="S3037" s="89" t="s">
        <v>149</v>
      </c>
      <c r="T3037" s="257">
        <f t="shared" si="101"/>
        <v>0</v>
      </c>
      <c r="U3037" s="257">
        <f t="shared" si="102"/>
        <v>0</v>
      </c>
      <c r="V3037">
        <v>0</v>
      </c>
      <c r="W3037">
        <v>0</v>
      </c>
    </row>
    <row r="3038" spans="1:23" x14ac:dyDescent="0.3">
      <c r="A3038" s="219">
        <v>43374</v>
      </c>
      <c r="B3038" s="219">
        <v>43374</v>
      </c>
      <c r="C3038" s="6">
        <v>10</v>
      </c>
      <c r="D3038" s="6">
        <v>1</v>
      </c>
      <c r="E3038" s="84">
        <v>2018</v>
      </c>
      <c r="F3038" s="15" t="s">
        <v>22</v>
      </c>
      <c r="G3038" s="16" t="s">
        <v>6256</v>
      </c>
      <c r="H3038" s="9" t="s">
        <v>174</v>
      </c>
      <c r="I3038" s="86">
        <v>2</v>
      </c>
      <c r="J3038" s="34" t="s">
        <v>4933</v>
      </c>
      <c r="K3038" s="87">
        <v>0</v>
      </c>
      <c r="L3038" s="241">
        <v>0</v>
      </c>
      <c r="M3038" s="87">
        <v>0</v>
      </c>
      <c r="N3038" s="87">
        <v>0</v>
      </c>
      <c r="O3038" s="87">
        <v>0</v>
      </c>
      <c r="P3038" s="87">
        <v>0</v>
      </c>
      <c r="Q3038" s="88">
        <v>0</v>
      </c>
      <c r="R3038" s="61">
        <v>1.8178001499999998</v>
      </c>
      <c r="S3038" s="89" t="s">
        <v>149</v>
      </c>
      <c r="T3038" s="257">
        <f t="shared" si="101"/>
        <v>0</v>
      </c>
      <c r="U3038" s="257">
        <f t="shared" si="102"/>
        <v>0</v>
      </c>
      <c r="V3038">
        <v>0</v>
      </c>
      <c r="W3038">
        <v>0</v>
      </c>
    </row>
    <row r="3039" spans="1:23" x14ac:dyDescent="0.3">
      <c r="A3039" s="219">
        <v>43376</v>
      </c>
      <c r="B3039" s="219">
        <v>43377</v>
      </c>
      <c r="C3039" s="6">
        <v>10</v>
      </c>
      <c r="D3039" s="6">
        <v>2</v>
      </c>
      <c r="E3039" s="84">
        <v>2018</v>
      </c>
      <c r="F3039" s="15" t="s">
        <v>22</v>
      </c>
      <c r="G3039" s="16" t="s">
        <v>6256</v>
      </c>
      <c r="H3039" s="9" t="s">
        <v>174</v>
      </c>
      <c r="I3039" s="86">
        <v>1</v>
      </c>
      <c r="J3039" s="34" t="s">
        <v>4934</v>
      </c>
      <c r="K3039" s="87">
        <v>0</v>
      </c>
      <c r="L3039" s="241">
        <v>0</v>
      </c>
      <c r="M3039" s="87">
        <v>0</v>
      </c>
      <c r="N3039" s="87">
        <v>0</v>
      </c>
      <c r="O3039" s="87">
        <v>0</v>
      </c>
      <c r="P3039" s="87">
        <v>0</v>
      </c>
      <c r="Q3039" s="88">
        <v>0</v>
      </c>
      <c r="R3039" s="61">
        <v>1.8395237099999999</v>
      </c>
      <c r="S3039" s="89" t="s">
        <v>149</v>
      </c>
      <c r="T3039" s="257">
        <f t="shared" si="101"/>
        <v>0</v>
      </c>
      <c r="U3039" s="257">
        <f t="shared" si="102"/>
        <v>0</v>
      </c>
      <c r="V3039">
        <v>0</v>
      </c>
      <c r="W3039">
        <v>0</v>
      </c>
    </row>
    <row r="3040" spans="1:23" x14ac:dyDescent="0.3">
      <c r="A3040" s="219">
        <v>43304</v>
      </c>
      <c r="B3040" s="219">
        <v>43307</v>
      </c>
      <c r="C3040" s="6">
        <v>7</v>
      </c>
      <c r="D3040" s="6">
        <v>4</v>
      </c>
      <c r="E3040" s="84">
        <v>2018</v>
      </c>
      <c r="F3040" s="15" t="s">
        <v>22</v>
      </c>
      <c r="G3040" s="9" t="s">
        <v>6258</v>
      </c>
      <c r="H3040" s="9" t="s">
        <v>124</v>
      </c>
      <c r="I3040" s="86">
        <v>98</v>
      </c>
      <c r="J3040" s="34" t="s">
        <v>4880</v>
      </c>
      <c r="K3040" s="87">
        <v>0</v>
      </c>
      <c r="L3040" s="241">
        <v>0</v>
      </c>
      <c r="M3040" s="87">
        <v>0</v>
      </c>
      <c r="N3040" s="87">
        <v>0</v>
      </c>
      <c r="O3040" s="87">
        <v>0</v>
      </c>
      <c r="P3040" s="87">
        <v>0</v>
      </c>
      <c r="Q3040" s="88">
        <v>0</v>
      </c>
      <c r="R3040" s="61">
        <v>2.7306497540000003</v>
      </c>
      <c r="S3040" s="89" t="s">
        <v>149</v>
      </c>
      <c r="T3040" s="257">
        <f t="shared" si="101"/>
        <v>0</v>
      </c>
      <c r="U3040" s="257">
        <f t="shared" si="102"/>
        <v>0</v>
      </c>
      <c r="V3040">
        <v>0</v>
      </c>
      <c r="W3040">
        <v>0</v>
      </c>
    </row>
    <row r="3041" spans="1:23" x14ac:dyDescent="0.3">
      <c r="A3041" s="219">
        <v>43248</v>
      </c>
      <c r="B3041" s="219">
        <v>43248</v>
      </c>
      <c r="C3041" s="6">
        <v>5</v>
      </c>
      <c r="D3041" s="6">
        <v>1</v>
      </c>
      <c r="E3041" s="84">
        <v>2018</v>
      </c>
      <c r="F3041" s="15" t="s">
        <v>22</v>
      </c>
      <c r="G3041" s="9" t="s">
        <v>6258</v>
      </c>
      <c r="H3041" s="9" t="s">
        <v>124</v>
      </c>
      <c r="I3041" s="86">
        <v>98</v>
      </c>
      <c r="J3041" s="34" t="s">
        <v>1492</v>
      </c>
      <c r="K3041" s="87">
        <v>0</v>
      </c>
      <c r="L3041" s="241">
        <v>0</v>
      </c>
      <c r="M3041" s="87">
        <v>0</v>
      </c>
      <c r="N3041" s="87">
        <v>0</v>
      </c>
      <c r="O3041" s="87">
        <v>0</v>
      </c>
      <c r="P3041" s="87">
        <v>0</v>
      </c>
      <c r="Q3041" s="88">
        <v>0</v>
      </c>
      <c r="R3041" s="61">
        <v>5.6292568689999998</v>
      </c>
      <c r="S3041" s="89" t="s">
        <v>149</v>
      </c>
      <c r="T3041" s="257">
        <f t="shared" si="101"/>
        <v>0</v>
      </c>
      <c r="U3041" s="257">
        <f t="shared" si="102"/>
        <v>0</v>
      </c>
      <c r="V3041">
        <v>0</v>
      </c>
      <c r="W3041">
        <v>0</v>
      </c>
    </row>
    <row r="3042" spans="1:23" x14ac:dyDescent="0.3">
      <c r="A3042" s="219">
        <v>43246</v>
      </c>
      <c r="B3042" s="219">
        <v>43252</v>
      </c>
      <c r="C3042" s="6">
        <v>5</v>
      </c>
      <c r="D3042" s="6">
        <v>7</v>
      </c>
      <c r="E3042" s="84">
        <v>2018</v>
      </c>
      <c r="F3042" s="15" t="s">
        <v>22</v>
      </c>
      <c r="G3042" s="9" t="s">
        <v>6258</v>
      </c>
      <c r="H3042" s="9" t="s">
        <v>88</v>
      </c>
      <c r="I3042" s="86">
        <v>41</v>
      </c>
      <c r="J3042" s="34" t="s">
        <v>4935</v>
      </c>
      <c r="K3042" s="87">
        <v>0</v>
      </c>
      <c r="L3042" s="241">
        <v>0</v>
      </c>
      <c r="M3042" s="87">
        <v>0</v>
      </c>
      <c r="N3042" s="87">
        <v>0</v>
      </c>
      <c r="O3042" s="87">
        <v>0</v>
      </c>
      <c r="P3042" s="87">
        <v>0</v>
      </c>
      <c r="Q3042" s="88">
        <v>0</v>
      </c>
      <c r="R3042" s="61">
        <v>1.6955244</v>
      </c>
      <c r="S3042" s="89" t="s">
        <v>149</v>
      </c>
      <c r="T3042" s="257">
        <f t="shared" si="101"/>
        <v>0</v>
      </c>
      <c r="U3042" s="257">
        <f t="shared" si="102"/>
        <v>0</v>
      </c>
      <c r="V3042">
        <v>0</v>
      </c>
      <c r="W3042">
        <v>0</v>
      </c>
    </row>
    <row r="3043" spans="1:23" ht="22.8" x14ac:dyDescent="0.3">
      <c r="A3043" s="219">
        <v>43418</v>
      </c>
      <c r="B3043" s="219">
        <v>43419</v>
      </c>
      <c r="C3043" s="6">
        <v>11</v>
      </c>
      <c r="D3043" s="6">
        <v>2</v>
      </c>
      <c r="E3043" s="84">
        <v>2018</v>
      </c>
      <c r="F3043" s="15" t="s">
        <v>22</v>
      </c>
      <c r="G3043" s="85" t="s">
        <v>6255</v>
      </c>
      <c r="H3043" s="9" t="s">
        <v>88</v>
      </c>
      <c r="I3043" s="86">
        <v>21</v>
      </c>
      <c r="J3043" s="34" t="s">
        <v>4879</v>
      </c>
      <c r="K3043" s="87">
        <v>0</v>
      </c>
      <c r="L3043" s="241">
        <v>0</v>
      </c>
      <c r="M3043" s="87">
        <v>0</v>
      </c>
      <c r="N3043" s="87">
        <v>0</v>
      </c>
      <c r="O3043" s="87">
        <v>0</v>
      </c>
      <c r="P3043" s="87">
        <v>0</v>
      </c>
      <c r="Q3043" s="88">
        <v>0</v>
      </c>
      <c r="R3043" s="61">
        <v>3.3304761000000003</v>
      </c>
      <c r="S3043" s="89" t="s">
        <v>149</v>
      </c>
      <c r="T3043" s="257">
        <f t="shared" si="101"/>
        <v>0</v>
      </c>
      <c r="U3043" s="257">
        <f t="shared" si="102"/>
        <v>0</v>
      </c>
      <c r="V3043">
        <v>0</v>
      </c>
      <c r="W3043">
        <v>0</v>
      </c>
    </row>
    <row r="3044" spans="1:23" ht="39.6" x14ac:dyDescent="0.3">
      <c r="A3044" s="224">
        <v>43101</v>
      </c>
      <c r="B3044" s="224">
        <v>43465</v>
      </c>
      <c r="C3044" s="6">
        <v>1</v>
      </c>
      <c r="D3044" s="6">
        <v>365</v>
      </c>
      <c r="E3044" s="84">
        <v>2018</v>
      </c>
      <c r="F3044" s="15" t="s">
        <v>22</v>
      </c>
      <c r="G3044" s="18" t="s">
        <v>6255</v>
      </c>
      <c r="H3044" s="9" t="s">
        <v>24</v>
      </c>
      <c r="I3044" s="86" t="s">
        <v>25</v>
      </c>
      <c r="J3044" s="86" t="s">
        <v>4936</v>
      </c>
      <c r="K3044" s="89">
        <v>2</v>
      </c>
      <c r="L3044" s="173">
        <v>2</v>
      </c>
      <c r="M3044" s="89">
        <v>0</v>
      </c>
      <c r="N3044" s="89">
        <v>0</v>
      </c>
      <c r="O3044" s="89">
        <v>0</v>
      </c>
      <c r="P3044" s="89">
        <v>0</v>
      </c>
      <c r="Q3044" s="88">
        <v>0</v>
      </c>
      <c r="R3044" s="126">
        <v>1.8E-3</v>
      </c>
      <c r="S3044" s="167" t="s">
        <v>1219</v>
      </c>
      <c r="T3044" s="257">
        <f t="shared" si="101"/>
        <v>4</v>
      </c>
      <c r="U3044" s="257">
        <f t="shared" si="102"/>
        <v>0</v>
      </c>
      <c r="V3044">
        <v>1</v>
      </c>
      <c r="W3044">
        <v>0</v>
      </c>
    </row>
    <row r="3045" spans="1:23" x14ac:dyDescent="0.3">
      <c r="A3045" s="224">
        <v>43101</v>
      </c>
      <c r="B3045" s="224">
        <v>43465</v>
      </c>
      <c r="C3045" s="6">
        <v>1</v>
      </c>
      <c r="D3045" s="6">
        <v>365</v>
      </c>
      <c r="E3045" s="84">
        <v>2018</v>
      </c>
      <c r="F3045" s="15" t="s">
        <v>22</v>
      </c>
      <c r="G3045" s="18" t="s">
        <v>6255</v>
      </c>
      <c r="H3045" s="9" t="s">
        <v>27</v>
      </c>
      <c r="I3045" s="86" t="s">
        <v>25</v>
      </c>
      <c r="J3045" s="152" t="s">
        <v>4937</v>
      </c>
      <c r="K3045" s="89">
        <v>0</v>
      </c>
      <c r="L3045" s="173">
        <v>1</v>
      </c>
      <c r="M3045" s="89">
        <v>0</v>
      </c>
      <c r="N3045" s="89">
        <v>0</v>
      </c>
      <c r="O3045" s="89">
        <v>0</v>
      </c>
      <c r="P3045" s="89">
        <v>0</v>
      </c>
      <c r="Q3045" s="88">
        <v>0</v>
      </c>
      <c r="R3045" s="126">
        <v>8.6569999999999998E-3</v>
      </c>
      <c r="S3045" s="167" t="s">
        <v>1219</v>
      </c>
      <c r="T3045" s="257">
        <f t="shared" si="101"/>
        <v>1</v>
      </c>
      <c r="U3045" s="257">
        <f t="shared" si="102"/>
        <v>0</v>
      </c>
      <c r="V3045">
        <v>1</v>
      </c>
      <c r="W3045">
        <v>0</v>
      </c>
    </row>
    <row r="3046" spans="1:23" ht="45.6" x14ac:dyDescent="0.3">
      <c r="A3046" s="224">
        <v>43101</v>
      </c>
      <c r="B3046" s="224">
        <v>43465</v>
      </c>
      <c r="C3046" s="6">
        <v>1</v>
      </c>
      <c r="D3046" s="6">
        <v>365</v>
      </c>
      <c r="E3046" s="84">
        <v>2018</v>
      </c>
      <c r="F3046" s="15" t="s">
        <v>22</v>
      </c>
      <c r="G3046" s="18" t="s">
        <v>6255</v>
      </c>
      <c r="H3046" s="9" t="s">
        <v>34</v>
      </c>
      <c r="I3046" s="86" t="s">
        <v>25</v>
      </c>
      <c r="J3046" s="152" t="s">
        <v>4938</v>
      </c>
      <c r="K3046" s="89">
        <v>6</v>
      </c>
      <c r="L3046" s="173">
        <v>111</v>
      </c>
      <c r="M3046" s="89">
        <v>0</v>
      </c>
      <c r="N3046" s="89">
        <v>0</v>
      </c>
      <c r="O3046" s="89">
        <v>0</v>
      </c>
      <c r="P3046" s="89">
        <v>0</v>
      </c>
      <c r="Q3046" s="88">
        <v>0</v>
      </c>
      <c r="R3046" s="126">
        <v>0.169713</v>
      </c>
      <c r="S3046" s="167" t="s">
        <v>1219</v>
      </c>
      <c r="T3046" s="257">
        <f t="shared" si="101"/>
        <v>117</v>
      </c>
      <c r="U3046" s="257">
        <f t="shared" si="102"/>
        <v>0</v>
      </c>
      <c r="V3046">
        <v>1</v>
      </c>
      <c r="W3046">
        <v>0</v>
      </c>
    </row>
    <row r="3047" spans="1:23" ht="45.6" x14ac:dyDescent="0.3">
      <c r="A3047" s="224">
        <v>43101</v>
      </c>
      <c r="B3047" s="224">
        <v>43465</v>
      </c>
      <c r="C3047" s="6">
        <v>1</v>
      </c>
      <c r="D3047" s="6">
        <v>365</v>
      </c>
      <c r="E3047" s="84">
        <v>2018</v>
      </c>
      <c r="F3047" s="15" t="s">
        <v>22</v>
      </c>
      <c r="G3047" s="18" t="s">
        <v>6255</v>
      </c>
      <c r="H3047" s="9" t="s">
        <v>74</v>
      </c>
      <c r="I3047" s="86" t="s">
        <v>25</v>
      </c>
      <c r="J3047" s="152" t="s">
        <v>4939</v>
      </c>
      <c r="K3047" s="89">
        <v>5</v>
      </c>
      <c r="L3047" s="173">
        <v>31</v>
      </c>
      <c r="M3047" s="89">
        <v>0</v>
      </c>
      <c r="N3047" s="89">
        <v>0</v>
      </c>
      <c r="O3047" s="89">
        <v>0</v>
      </c>
      <c r="P3047" s="89">
        <v>0</v>
      </c>
      <c r="Q3047" s="88">
        <v>0</v>
      </c>
      <c r="R3047" s="126">
        <v>5.1171000000000001E-2</v>
      </c>
      <c r="S3047" s="167" t="s">
        <v>1219</v>
      </c>
      <c r="T3047" s="257">
        <f t="shared" si="101"/>
        <v>36</v>
      </c>
      <c r="U3047" s="257">
        <f t="shared" si="102"/>
        <v>0</v>
      </c>
      <c r="V3047">
        <v>1</v>
      </c>
      <c r="W3047">
        <v>0</v>
      </c>
    </row>
    <row r="3048" spans="1:23" ht="45.6" x14ac:dyDescent="0.3">
      <c r="A3048" s="224">
        <v>43101</v>
      </c>
      <c r="B3048" s="224">
        <v>43465</v>
      </c>
      <c r="C3048" s="6">
        <v>1</v>
      </c>
      <c r="D3048" s="6">
        <v>365</v>
      </c>
      <c r="E3048" s="84">
        <v>2018</v>
      </c>
      <c r="F3048" s="15" t="s">
        <v>22</v>
      </c>
      <c r="G3048" s="18" t="s">
        <v>6255</v>
      </c>
      <c r="H3048" s="9" t="s">
        <v>41</v>
      </c>
      <c r="I3048" s="86" t="s">
        <v>25</v>
      </c>
      <c r="J3048" s="152" t="s">
        <v>4940</v>
      </c>
      <c r="K3048" s="89">
        <v>2</v>
      </c>
      <c r="L3048" s="173">
        <v>21</v>
      </c>
      <c r="M3048" s="89">
        <v>0</v>
      </c>
      <c r="N3048" s="89">
        <v>0</v>
      </c>
      <c r="O3048" s="89">
        <v>0</v>
      </c>
      <c r="P3048" s="89">
        <v>0</v>
      </c>
      <c r="Q3048" s="88">
        <v>0</v>
      </c>
      <c r="R3048" s="126">
        <v>3.4414E-2</v>
      </c>
      <c r="S3048" s="167" t="s">
        <v>1219</v>
      </c>
      <c r="T3048" s="257">
        <f t="shared" si="101"/>
        <v>23</v>
      </c>
      <c r="U3048" s="257">
        <f t="shared" si="102"/>
        <v>0</v>
      </c>
      <c r="V3048">
        <v>1</v>
      </c>
      <c r="W3048">
        <v>0</v>
      </c>
    </row>
    <row r="3049" spans="1:23" ht="34.200000000000003" x14ac:dyDescent="0.3">
      <c r="A3049" s="224">
        <v>43101</v>
      </c>
      <c r="B3049" s="224">
        <v>43465</v>
      </c>
      <c r="C3049" s="6">
        <v>1</v>
      </c>
      <c r="D3049" s="6">
        <v>365</v>
      </c>
      <c r="E3049" s="84">
        <v>2018</v>
      </c>
      <c r="F3049" s="15" t="s">
        <v>22</v>
      </c>
      <c r="G3049" s="18" t="s">
        <v>6255</v>
      </c>
      <c r="H3049" s="9" t="s">
        <v>37</v>
      </c>
      <c r="I3049" s="86" t="s">
        <v>25</v>
      </c>
      <c r="J3049" s="152" t="s">
        <v>4941</v>
      </c>
      <c r="K3049" s="89">
        <v>2</v>
      </c>
      <c r="L3049" s="173">
        <v>54</v>
      </c>
      <c r="M3049" s="89">
        <v>0</v>
      </c>
      <c r="N3049" s="89">
        <v>0</v>
      </c>
      <c r="O3049" s="89">
        <v>0</v>
      </c>
      <c r="P3049" s="89">
        <v>0</v>
      </c>
      <c r="Q3049" s="88">
        <v>0</v>
      </c>
      <c r="R3049" s="126">
        <v>5.6356999999999997E-2</v>
      </c>
      <c r="S3049" s="167" t="s">
        <v>1219</v>
      </c>
      <c r="T3049" s="257">
        <f t="shared" si="101"/>
        <v>56</v>
      </c>
      <c r="U3049" s="257">
        <f t="shared" si="102"/>
        <v>0</v>
      </c>
      <c r="V3049">
        <v>1</v>
      </c>
      <c r="W3049">
        <v>0</v>
      </c>
    </row>
    <row r="3050" spans="1:23" ht="22.8" x14ac:dyDescent="0.3">
      <c r="A3050" s="224">
        <v>43101</v>
      </c>
      <c r="B3050" s="224">
        <v>43465</v>
      </c>
      <c r="C3050" s="6">
        <v>1</v>
      </c>
      <c r="D3050" s="6">
        <v>365</v>
      </c>
      <c r="E3050" s="84">
        <v>2018</v>
      </c>
      <c r="F3050" s="15" t="s">
        <v>22</v>
      </c>
      <c r="G3050" s="18" t="s">
        <v>6255</v>
      </c>
      <c r="H3050" s="9" t="s">
        <v>64</v>
      </c>
      <c r="I3050" s="86" t="s">
        <v>25</v>
      </c>
      <c r="J3050" s="152" t="s">
        <v>4942</v>
      </c>
      <c r="K3050" s="89">
        <v>0</v>
      </c>
      <c r="L3050" s="173">
        <v>26</v>
      </c>
      <c r="M3050" s="89">
        <v>0</v>
      </c>
      <c r="N3050" s="89">
        <v>0</v>
      </c>
      <c r="O3050" s="89">
        <v>0</v>
      </c>
      <c r="P3050" s="89">
        <v>0</v>
      </c>
      <c r="Q3050" s="88">
        <v>0</v>
      </c>
      <c r="R3050" s="126">
        <v>3.1157000000000001E-2</v>
      </c>
      <c r="S3050" s="167" t="s">
        <v>1219</v>
      </c>
      <c r="T3050" s="257">
        <f t="shared" si="101"/>
        <v>26</v>
      </c>
      <c r="U3050" s="257">
        <f t="shared" si="102"/>
        <v>0</v>
      </c>
      <c r="V3050">
        <v>1</v>
      </c>
      <c r="W3050">
        <v>0</v>
      </c>
    </row>
    <row r="3051" spans="1:23" ht="34.200000000000003" x14ac:dyDescent="0.3">
      <c r="A3051" s="224">
        <v>43101</v>
      </c>
      <c r="B3051" s="224">
        <v>43465</v>
      </c>
      <c r="C3051" s="6">
        <v>1</v>
      </c>
      <c r="D3051" s="6">
        <v>365</v>
      </c>
      <c r="E3051" s="84">
        <v>2018</v>
      </c>
      <c r="F3051" s="15" t="s">
        <v>22</v>
      </c>
      <c r="G3051" s="18" t="s">
        <v>6255</v>
      </c>
      <c r="H3051" s="9" t="s">
        <v>57</v>
      </c>
      <c r="I3051" s="86" t="s">
        <v>25</v>
      </c>
      <c r="J3051" s="152" t="s">
        <v>4943</v>
      </c>
      <c r="K3051" s="89">
        <v>4</v>
      </c>
      <c r="L3051" s="173">
        <v>25</v>
      </c>
      <c r="M3051" s="89">
        <v>0</v>
      </c>
      <c r="N3051" s="89">
        <v>0</v>
      </c>
      <c r="O3051" s="89">
        <v>0</v>
      </c>
      <c r="P3051" s="89">
        <v>0</v>
      </c>
      <c r="Q3051" s="88">
        <v>0</v>
      </c>
      <c r="R3051" s="126">
        <v>3.0256999999999999E-2</v>
      </c>
      <c r="S3051" s="167" t="s">
        <v>1219</v>
      </c>
      <c r="T3051" s="257">
        <f t="shared" si="101"/>
        <v>29</v>
      </c>
      <c r="U3051" s="257">
        <f t="shared" si="102"/>
        <v>0</v>
      </c>
      <c r="V3051">
        <v>1</v>
      </c>
      <c r="W3051">
        <v>0</v>
      </c>
    </row>
    <row r="3052" spans="1:23" ht="34.200000000000003" x14ac:dyDescent="0.3">
      <c r="A3052" s="224">
        <v>43101</v>
      </c>
      <c r="B3052" s="224">
        <v>43465</v>
      </c>
      <c r="C3052" s="6">
        <v>1</v>
      </c>
      <c r="D3052" s="6">
        <v>365</v>
      </c>
      <c r="E3052" s="84">
        <v>2018</v>
      </c>
      <c r="F3052" s="15" t="s">
        <v>22</v>
      </c>
      <c r="G3052" s="18" t="s">
        <v>6255</v>
      </c>
      <c r="H3052" s="9" t="s">
        <v>78</v>
      </c>
      <c r="I3052" s="86" t="s">
        <v>25</v>
      </c>
      <c r="J3052" s="152" t="s">
        <v>4944</v>
      </c>
      <c r="K3052" s="89">
        <v>4</v>
      </c>
      <c r="L3052" s="173">
        <v>58</v>
      </c>
      <c r="M3052" s="89">
        <v>0</v>
      </c>
      <c r="N3052" s="89">
        <v>0</v>
      </c>
      <c r="O3052" s="89">
        <v>0</v>
      </c>
      <c r="P3052" s="89">
        <v>0</v>
      </c>
      <c r="Q3052" s="88">
        <v>0</v>
      </c>
      <c r="R3052" s="126">
        <v>7.5470999999999996E-2</v>
      </c>
      <c r="S3052" s="167" t="s">
        <v>1219</v>
      </c>
      <c r="T3052" s="257">
        <f t="shared" si="101"/>
        <v>62</v>
      </c>
      <c r="U3052" s="257">
        <f t="shared" si="102"/>
        <v>0</v>
      </c>
      <c r="V3052">
        <v>1</v>
      </c>
      <c r="W3052">
        <v>0</v>
      </c>
    </row>
    <row r="3053" spans="1:23" ht="34.200000000000003" x14ac:dyDescent="0.3">
      <c r="A3053" s="224">
        <v>43101</v>
      </c>
      <c r="B3053" s="224">
        <v>43465</v>
      </c>
      <c r="C3053" s="6">
        <v>1</v>
      </c>
      <c r="D3053" s="6">
        <v>365</v>
      </c>
      <c r="E3053" s="84">
        <v>2018</v>
      </c>
      <c r="F3053" s="15" t="s">
        <v>22</v>
      </c>
      <c r="G3053" s="18" t="s">
        <v>6255</v>
      </c>
      <c r="H3053" s="9" t="s">
        <v>70</v>
      </c>
      <c r="I3053" s="86" t="s">
        <v>25</v>
      </c>
      <c r="J3053" s="152" t="s">
        <v>4945</v>
      </c>
      <c r="K3053" s="89">
        <v>1</v>
      </c>
      <c r="L3053" s="173">
        <v>6</v>
      </c>
      <c r="M3053" s="89">
        <v>0</v>
      </c>
      <c r="N3053" s="89">
        <v>0</v>
      </c>
      <c r="O3053" s="89">
        <v>0</v>
      </c>
      <c r="P3053" s="89">
        <v>0</v>
      </c>
      <c r="Q3053" s="88">
        <v>0</v>
      </c>
      <c r="R3053" s="126">
        <v>3.6428000000000002E-2</v>
      </c>
      <c r="S3053" s="167" t="s">
        <v>1219</v>
      </c>
      <c r="T3053" s="257">
        <f t="shared" si="101"/>
        <v>7</v>
      </c>
      <c r="U3053" s="257">
        <f t="shared" si="102"/>
        <v>0</v>
      </c>
      <c r="V3053">
        <v>1</v>
      </c>
      <c r="W3053">
        <v>0</v>
      </c>
    </row>
    <row r="3054" spans="1:23" x14ac:dyDescent="0.3">
      <c r="A3054" s="224">
        <v>43101</v>
      </c>
      <c r="B3054" s="224">
        <v>43465</v>
      </c>
      <c r="C3054" s="6">
        <v>1</v>
      </c>
      <c r="D3054" s="6">
        <v>365</v>
      </c>
      <c r="E3054" s="84">
        <v>2018</v>
      </c>
      <c r="F3054" s="15" t="s">
        <v>22</v>
      </c>
      <c r="G3054" s="18" t="s">
        <v>6255</v>
      </c>
      <c r="H3054" s="9" t="s">
        <v>118</v>
      </c>
      <c r="I3054" s="86" t="s">
        <v>25</v>
      </c>
      <c r="J3054" s="152" t="s">
        <v>4946</v>
      </c>
      <c r="K3054" s="89">
        <v>0</v>
      </c>
      <c r="L3054" s="173">
        <v>1</v>
      </c>
      <c r="M3054" s="89">
        <v>0</v>
      </c>
      <c r="N3054" s="89">
        <v>0</v>
      </c>
      <c r="O3054" s="89">
        <v>0</v>
      </c>
      <c r="P3054" s="89">
        <v>0</v>
      </c>
      <c r="Q3054" s="88">
        <v>0</v>
      </c>
      <c r="R3054" s="126">
        <v>8.6569999999999998E-3</v>
      </c>
      <c r="S3054" s="167" t="s">
        <v>1219</v>
      </c>
      <c r="T3054" s="257">
        <f t="shared" si="101"/>
        <v>1</v>
      </c>
      <c r="U3054" s="257">
        <f t="shared" si="102"/>
        <v>0</v>
      </c>
      <c r="V3054">
        <v>1</v>
      </c>
      <c r="W3054">
        <v>0</v>
      </c>
    </row>
    <row r="3055" spans="1:23" ht="22.8" x14ac:dyDescent="0.3">
      <c r="A3055" s="224">
        <v>43101</v>
      </c>
      <c r="B3055" s="224">
        <v>43465</v>
      </c>
      <c r="C3055" s="6">
        <v>1</v>
      </c>
      <c r="D3055" s="6">
        <v>365</v>
      </c>
      <c r="E3055" s="84">
        <v>2018</v>
      </c>
      <c r="F3055" s="15" t="s">
        <v>22</v>
      </c>
      <c r="G3055" s="18" t="s">
        <v>6255</v>
      </c>
      <c r="H3055" s="9" t="s">
        <v>46</v>
      </c>
      <c r="I3055" s="86" t="s">
        <v>25</v>
      </c>
      <c r="J3055" s="152" t="s">
        <v>4947</v>
      </c>
      <c r="K3055" s="89">
        <v>0</v>
      </c>
      <c r="L3055" s="173">
        <v>3</v>
      </c>
      <c r="M3055" s="89">
        <v>0</v>
      </c>
      <c r="N3055" s="89">
        <v>0</v>
      </c>
      <c r="O3055" s="89">
        <v>0</v>
      </c>
      <c r="P3055" s="89">
        <v>0</v>
      </c>
      <c r="Q3055" s="88">
        <v>0</v>
      </c>
      <c r="R3055" s="126">
        <v>1.0456999999999999E-2</v>
      </c>
      <c r="S3055" s="167" t="s">
        <v>1219</v>
      </c>
      <c r="T3055" s="257">
        <f t="shared" si="101"/>
        <v>3</v>
      </c>
      <c r="U3055" s="257">
        <f t="shared" si="102"/>
        <v>0</v>
      </c>
      <c r="V3055">
        <v>1</v>
      </c>
      <c r="W3055">
        <v>0</v>
      </c>
    </row>
    <row r="3056" spans="1:23" ht="34.200000000000003" x14ac:dyDescent="0.3">
      <c r="A3056" s="224">
        <v>43101</v>
      </c>
      <c r="B3056" s="224">
        <v>43465</v>
      </c>
      <c r="C3056" s="6">
        <v>1</v>
      </c>
      <c r="D3056" s="6">
        <v>365</v>
      </c>
      <c r="E3056" s="84">
        <v>2018</v>
      </c>
      <c r="F3056" s="15" t="s">
        <v>22</v>
      </c>
      <c r="G3056" s="18" t="s">
        <v>6255</v>
      </c>
      <c r="H3056" s="9" t="s">
        <v>174</v>
      </c>
      <c r="I3056" s="86" t="s">
        <v>25</v>
      </c>
      <c r="J3056" s="152" t="s">
        <v>4948</v>
      </c>
      <c r="K3056" s="89">
        <v>2</v>
      </c>
      <c r="L3056" s="173">
        <v>13</v>
      </c>
      <c r="M3056" s="89">
        <v>0</v>
      </c>
      <c r="N3056" s="89">
        <v>0</v>
      </c>
      <c r="O3056" s="89">
        <v>0</v>
      </c>
      <c r="P3056" s="89">
        <v>0</v>
      </c>
      <c r="Q3056" s="88">
        <v>0</v>
      </c>
      <c r="R3056" s="126">
        <v>1.17E-2</v>
      </c>
      <c r="S3056" s="167" t="s">
        <v>1219</v>
      </c>
      <c r="T3056" s="257">
        <f t="shared" si="101"/>
        <v>15</v>
      </c>
      <c r="U3056" s="257">
        <f t="shared" si="102"/>
        <v>0</v>
      </c>
      <c r="V3056">
        <v>1</v>
      </c>
      <c r="W3056">
        <v>0</v>
      </c>
    </row>
    <row r="3057" spans="1:23" ht="34.200000000000003" x14ac:dyDescent="0.3">
      <c r="A3057" s="224">
        <v>43101</v>
      </c>
      <c r="B3057" s="224">
        <v>43465</v>
      </c>
      <c r="C3057" s="6">
        <v>1</v>
      </c>
      <c r="D3057" s="6">
        <v>365</v>
      </c>
      <c r="E3057" s="84">
        <v>2018</v>
      </c>
      <c r="F3057" s="15" t="s">
        <v>22</v>
      </c>
      <c r="G3057" s="18" t="s">
        <v>6255</v>
      </c>
      <c r="H3057" s="9" t="s">
        <v>121</v>
      </c>
      <c r="I3057" s="86" t="s">
        <v>25</v>
      </c>
      <c r="J3057" s="152" t="s">
        <v>4949</v>
      </c>
      <c r="K3057" s="89">
        <v>0</v>
      </c>
      <c r="L3057" s="173">
        <v>38</v>
      </c>
      <c r="M3057" s="89">
        <v>0</v>
      </c>
      <c r="N3057" s="89">
        <v>0</v>
      </c>
      <c r="O3057" s="89">
        <v>0</v>
      </c>
      <c r="P3057" s="89">
        <v>0</v>
      </c>
      <c r="Q3057" s="88">
        <v>0</v>
      </c>
      <c r="R3057" s="126">
        <v>4.9714000000000001E-2</v>
      </c>
      <c r="S3057" s="167" t="s">
        <v>1219</v>
      </c>
      <c r="T3057" s="257">
        <f t="shared" si="101"/>
        <v>38</v>
      </c>
      <c r="U3057" s="257">
        <f t="shared" si="102"/>
        <v>0</v>
      </c>
      <c r="V3057">
        <v>1</v>
      </c>
      <c r="W3057">
        <v>0</v>
      </c>
    </row>
    <row r="3058" spans="1:23" ht="22.8" x14ac:dyDescent="0.3">
      <c r="A3058" s="224">
        <v>43101</v>
      </c>
      <c r="B3058" s="224">
        <v>43465</v>
      </c>
      <c r="C3058" s="6">
        <v>1</v>
      </c>
      <c r="D3058" s="6">
        <v>365</v>
      </c>
      <c r="E3058" s="84">
        <v>2018</v>
      </c>
      <c r="F3058" s="15" t="s">
        <v>22</v>
      </c>
      <c r="G3058" s="18" t="s">
        <v>6255</v>
      </c>
      <c r="H3058" s="9" t="s">
        <v>31</v>
      </c>
      <c r="I3058" s="86" t="s">
        <v>25</v>
      </c>
      <c r="J3058" s="152" t="s">
        <v>4950</v>
      </c>
      <c r="K3058" s="89">
        <v>0</v>
      </c>
      <c r="L3058" s="173">
        <v>4</v>
      </c>
      <c r="M3058" s="89">
        <v>0</v>
      </c>
      <c r="N3058" s="89">
        <v>0</v>
      </c>
      <c r="O3058" s="89">
        <v>0</v>
      </c>
      <c r="P3058" s="89">
        <v>0</v>
      </c>
      <c r="Q3058" s="88">
        <v>0</v>
      </c>
      <c r="R3058" s="126">
        <v>1.1357000000000001E-2</v>
      </c>
      <c r="S3058" s="167" t="s">
        <v>1219</v>
      </c>
      <c r="T3058" s="257">
        <f t="shared" si="101"/>
        <v>4</v>
      </c>
      <c r="U3058" s="257">
        <f t="shared" si="102"/>
        <v>0</v>
      </c>
      <c r="V3058">
        <v>1</v>
      </c>
      <c r="W3058">
        <v>0</v>
      </c>
    </row>
    <row r="3059" spans="1:23" ht="22.8" x14ac:dyDescent="0.3">
      <c r="A3059" s="224">
        <v>43101</v>
      </c>
      <c r="B3059" s="224">
        <v>43465</v>
      </c>
      <c r="C3059" s="6">
        <v>1</v>
      </c>
      <c r="D3059" s="6">
        <v>365</v>
      </c>
      <c r="E3059" s="84">
        <v>2018</v>
      </c>
      <c r="F3059" s="15" t="s">
        <v>22</v>
      </c>
      <c r="G3059" s="18" t="s">
        <v>6255</v>
      </c>
      <c r="H3059" s="9" t="s">
        <v>84</v>
      </c>
      <c r="I3059" s="86" t="s">
        <v>25</v>
      </c>
      <c r="J3059" s="152" t="s">
        <v>4951</v>
      </c>
      <c r="K3059" s="89">
        <v>0</v>
      </c>
      <c r="L3059" s="173">
        <v>6</v>
      </c>
      <c r="M3059" s="89">
        <v>0</v>
      </c>
      <c r="N3059" s="89">
        <v>0</v>
      </c>
      <c r="O3059" s="89">
        <v>0</v>
      </c>
      <c r="P3059" s="89">
        <v>0</v>
      </c>
      <c r="Q3059" s="88">
        <v>0</v>
      </c>
      <c r="R3059" s="126">
        <v>5.4000000000000003E-3</v>
      </c>
      <c r="S3059" s="167" t="s">
        <v>1219</v>
      </c>
      <c r="T3059" s="257">
        <f t="shared" si="101"/>
        <v>6</v>
      </c>
      <c r="U3059" s="257">
        <f t="shared" si="102"/>
        <v>0</v>
      </c>
      <c r="V3059">
        <v>1</v>
      </c>
      <c r="W3059">
        <v>0</v>
      </c>
    </row>
    <row r="3060" spans="1:23" ht="22.8" x14ac:dyDescent="0.3">
      <c r="A3060" s="224">
        <v>43101</v>
      </c>
      <c r="B3060" s="224">
        <v>43465</v>
      </c>
      <c r="C3060" s="6">
        <v>1</v>
      </c>
      <c r="D3060" s="6">
        <v>365</v>
      </c>
      <c r="E3060" s="84">
        <v>2018</v>
      </c>
      <c r="F3060" s="15" t="s">
        <v>22</v>
      </c>
      <c r="G3060" s="18" t="s">
        <v>6255</v>
      </c>
      <c r="H3060" s="9" t="s">
        <v>88</v>
      </c>
      <c r="I3060" s="86" t="s">
        <v>25</v>
      </c>
      <c r="J3060" s="152" t="s">
        <v>4952</v>
      </c>
      <c r="K3060" s="89">
        <v>0</v>
      </c>
      <c r="L3060" s="173">
        <v>8</v>
      </c>
      <c r="M3060" s="89">
        <v>0</v>
      </c>
      <c r="N3060" s="89">
        <v>0</v>
      </c>
      <c r="O3060" s="89">
        <v>0</v>
      </c>
      <c r="P3060" s="89">
        <v>0</v>
      </c>
      <c r="Q3060" s="88">
        <v>0</v>
      </c>
      <c r="R3060" s="126">
        <v>7.1999999999999998E-3</v>
      </c>
      <c r="S3060" s="167" t="s">
        <v>1219</v>
      </c>
      <c r="T3060" s="257">
        <f t="shared" si="101"/>
        <v>8</v>
      </c>
      <c r="U3060" s="257">
        <f t="shared" si="102"/>
        <v>0</v>
      </c>
      <c r="V3060">
        <v>1</v>
      </c>
      <c r="W3060">
        <v>0</v>
      </c>
    </row>
    <row r="3061" spans="1:23" ht="22.8" x14ac:dyDescent="0.3">
      <c r="A3061" s="224">
        <v>43101</v>
      </c>
      <c r="B3061" s="224">
        <v>43465</v>
      </c>
      <c r="C3061" s="6">
        <v>1</v>
      </c>
      <c r="D3061" s="6">
        <v>365</v>
      </c>
      <c r="E3061" s="84">
        <v>2018</v>
      </c>
      <c r="F3061" s="15" t="s">
        <v>22</v>
      </c>
      <c r="G3061" s="18" t="s">
        <v>6255</v>
      </c>
      <c r="H3061" s="9" t="s">
        <v>61</v>
      </c>
      <c r="I3061" s="86" t="s">
        <v>25</v>
      </c>
      <c r="J3061" s="152" t="s">
        <v>4953</v>
      </c>
      <c r="K3061" s="89">
        <v>0</v>
      </c>
      <c r="L3061" s="173">
        <v>2</v>
      </c>
      <c r="M3061" s="89">
        <v>0</v>
      </c>
      <c r="N3061" s="89">
        <v>0</v>
      </c>
      <c r="O3061" s="89">
        <v>0</v>
      </c>
      <c r="P3061" s="89">
        <v>0</v>
      </c>
      <c r="Q3061" s="88">
        <v>0</v>
      </c>
      <c r="R3061" s="126">
        <v>1.8E-3</v>
      </c>
      <c r="S3061" s="167" t="s">
        <v>1219</v>
      </c>
      <c r="T3061" s="257">
        <f t="shared" si="101"/>
        <v>2</v>
      </c>
      <c r="U3061" s="257">
        <f t="shared" si="102"/>
        <v>0</v>
      </c>
      <c r="V3061">
        <v>1</v>
      </c>
      <c r="W3061">
        <v>0</v>
      </c>
    </row>
    <row r="3062" spans="1:23" ht="22.8" x14ac:dyDescent="0.3">
      <c r="A3062" s="224">
        <v>43101</v>
      </c>
      <c r="B3062" s="224">
        <v>43465</v>
      </c>
      <c r="C3062" s="6">
        <v>1</v>
      </c>
      <c r="D3062" s="6">
        <v>365</v>
      </c>
      <c r="E3062" s="84">
        <v>2018</v>
      </c>
      <c r="F3062" s="15" t="s">
        <v>22</v>
      </c>
      <c r="G3062" s="18" t="s">
        <v>6255</v>
      </c>
      <c r="H3062" s="9" t="s">
        <v>55</v>
      </c>
      <c r="I3062" s="86" t="s">
        <v>25</v>
      </c>
      <c r="J3062" s="152" t="s">
        <v>4954</v>
      </c>
      <c r="K3062" s="89">
        <v>0</v>
      </c>
      <c r="L3062" s="173">
        <v>3</v>
      </c>
      <c r="M3062" s="89">
        <v>0</v>
      </c>
      <c r="N3062" s="89">
        <v>0</v>
      </c>
      <c r="O3062" s="89">
        <v>0</v>
      </c>
      <c r="P3062" s="89">
        <v>0</v>
      </c>
      <c r="Q3062" s="88">
        <v>0</v>
      </c>
      <c r="R3062" s="126">
        <v>1.0456999999999999E-2</v>
      </c>
      <c r="S3062" s="167" t="s">
        <v>1219</v>
      </c>
      <c r="T3062" s="257">
        <f t="shared" si="101"/>
        <v>3</v>
      </c>
      <c r="U3062" s="257">
        <f t="shared" si="102"/>
        <v>0</v>
      </c>
      <c r="V3062">
        <v>1</v>
      </c>
      <c r="W3062">
        <v>0</v>
      </c>
    </row>
    <row r="3063" spans="1:23" x14ac:dyDescent="0.3">
      <c r="A3063" s="224">
        <v>43101</v>
      </c>
      <c r="B3063" s="224">
        <v>43465</v>
      </c>
      <c r="C3063" s="6">
        <v>1</v>
      </c>
      <c r="D3063" s="6">
        <v>365</v>
      </c>
      <c r="E3063" s="84">
        <v>2018</v>
      </c>
      <c r="F3063" s="15" t="s">
        <v>22</v>
      </c>
      <c r="G3063" s="18" t="s">
        <v>6255</v>
      </c>
      <c r="H3063" s="9" t="s">
        <v>52</v>
      </c>
      <c r="I3063" s="86" t="s">
        <v>25</v>
      </c>
      <c r="J3063" s="152" t="s">
        <v>4955</v>
      </c>
      <c r="K3063" s="89">
        <v>0</v>
      </c>
      <c r="L3063" s="173">
        <v>1</v>
      </c>
      <c r="M3063" s="89">
        <v>0</v>
      </c>
      <c r="N3063" s="89">
        <v>0</v>
      </c>
      <c r="O3063" s="89">
        <v>0</v>
      </c>
      <c r="P3063" s="89">
        <v>0</v>
      </c>
      <c r="Q3063" s="88">
        <v>0</v>
      </c>
      <c r="R3063" s="126">
        <v>8.9999999999999998E-4</v>
      </c>
      <c r="S3063" s="167" t="s">
        <v>1219</v>
      </c>
      <c r="T3063" s="257">
        <f t="shared" si="101"/>
        <v>1</v>
      </c>
      <c r="U3063" s="257">
        <f t="shared" si="102"/>
        <v>0</v>
      </c>
      <c r="V3063">
        <v>1</v>
      </c>
      <c r="W3063">
        <v>0</v>
      </c>
    </row>
    <row r="3064" spans="1:23" x14ac:dyDescent="0.3">
      <c r="A3064" s="224">
        <v>43101</v>
      </c>
      <c r="B3064" s="224">
        <v>43465</v>
      </c>
      <c r="C3064" s="6">
        <v>1</v>
      </c>
      <c r="D3064" s="6">
        <v>365</v>
      </c>
      <c r="E3064" s="84">
        <v>2018</v>
      </c>
      <c r="F3064" s="15" t="s">
        <v>22</v>
      </c>
      <c r="G3064" s="18" t="s">
        <v>6255</v>
      </c>
      <c r="H3064" s="9" t="s">
        <v>66</v>
      </c>
      <c r="I3064" s="86" t="s">
        <v>25</v>
      </c>
      <c r="J3064" s="152" t="s">
        <v>4946</v>
      </c>
      <c r="K3064" s="89">
        <v>0</v>
      </c>
      <c r="L3064" s="173">
        <v>1</v>
      </c>
      <c r="M3064" s="89">
        <v>0</v>
      </c>
      <c r="N3064" s="89">
        <v>0</v>
      </c>
      <c r="O3064" s="89">
        <v>0</v>
      </c>
      <c r="P3064" s="89">
        <v>0</v>
      </c>
      <c r="Q3064" s="88">
        <v>0</v>
      </c>
      <c r="R3064" s="126">
        <v>8.6569999999999998E-3</v>
      </c>
      <c r="S3064" s="167" t="s">
        <v>1219</v>
      </c>
      <c r="T3064" s="257">
        <f t="shared" si="101"/>
        <v>1</v>
      </c>
      <c r="U3064" s="257">
        <f t="shared" si="102"/>
        <v>0</v>
      </c>
      <c r="V3064">
        <v>1</v>
      </c>
      <c r="W3064">
        <v>0</v>
      </c>
    </row>
    <row r="3065" spans="1:23" ht="45.6" x14ac:dyDescent="0.3">
      <c r="A3065" s="224">
        <v>43101</v>
      </c>
      <c r="B3065" s="224">
        <v>43465</v>
      </c>
      <c r="C3065" s="6">
        <v>1</v>
      </c>
      <c r="D3065" s="6">
        <v>365</v>
      </c>
      <c r="E3065" s="84">
        <v>2018</v>
      </c>
      <c r="F3065" s="15" t="s">
        <v>22</v>
      </c>
      <c r="G3065" s="9" t="s">
        <v>6258</v>
      </c>
      <c r="H3065" s="9" t="s">
        <v>74</v>
      </c>
      <c r="I3065" s="86" t="s">
        <v>25</v>
      </c>
      <c r="J3065" s="152" t="s">
        <v>4956</v>
      </c>
      <c r="K3065" s="89">
        <v>11</v>
      </c>
      <c r="L3065" s="173">
        <v>211</v>
      </c>
      <c r="M3065" s="89">
        <v>0</v>
      </c>
      <c r="N3065" s="89">
        <v>0</v>
      </c>
      <c r="O3065" s="89">
        <v>0</v>
      </c>
      <c r="P3065" s="89">
        <v>0</v>
      </c>
      <c r="Q3065" s="88">
        <v>0</v>
      </c>
      <c r="R3065" s="126">
        <v>0.18990000000000001</v>
      </c>
      <c r="S3065" s="167" t="s">
        <v>1219</v>
      </c>
      <c r="T3065" s="257">
        <f t="shared" si="101"/>
        <v>222</v>
      </c>
      <c r="U3065" s="257">
        <f t="shared" si="102"/>
        <v>0</v>
      </c>
      <c r="V3065">
        <v>1</v>
      </c>
      <c r="W3065">
        <v>0</v>
      </c>
    </row>
    <row r="3066" spans="1:23" ht="45.6" x14ac:dyDescent="0.3">
      <c r="A3066" s="224">
        <v>43101</v>
      </c>
      <c r="B3066" s="224">
        <v>43465</v>
      </c>
      <c r="C3066" s="6">
        <v>1</v>
      </c>
      <c r="D3066" s="6">
        <v>365</v>
      </c>
      <c r="E3066" s="84">
        <v>2018</v>
      </c>
      <c r="F3066" s="15" t="s">
        <v>22</v>
      </c>
      <c r="G3066" s="9" t="s">
        <v>6258</v>
      </c>
      <c r="H3066" s="9" t="s">
        <v>27</v>
      </c>
      <c r="I3066" s="86" t="s">
        <v>25</v>
      </c>
      <c r="J3066" s="152" t="s">
        <v>4957</v>
      </c>
      <c r="K3066" s="89">
        <v>13</v>
      </c>
      <c r="L3066" s="173">
        <v>104</v>
      </c>
      <c r="M3066" s="89">
        <v>0</v>
      </c>
      <c r="N3066" s="89">
        <v>0</v>
      </c>
      <c r="O3066" s="89">
        <v>0</v>
      </c>
      <c r="P3066" s="89">
        <v>0</v>
      </c>
      <c r="Q3066" s="88">
        <v>0</v>
      </c>
      <c r="R3066" s="126">
        <v>9.3600000000000003E-2</v>
      </c>
      <c r="S3066" s="167" t="s">
        <v>1219</v>
      </c>
      <c r="T3066" s="257">
        <f t="shared" si="101"/>
        <v>117</v>
      </c>
      <c r="U3066" s="257">
        <f t="shared" si="102"/>
        <v>0</v>
      </c>
      <c r="V3066">
        <v>1</v>
      </c>
      <c r="W3066">
        <v>0</v>
      </c>
    </row>
    <row r="3067" spans="1:23" ht="34.200000000000003" x14ac:dyDescent="0.3">
      <c r="A3067" s="224">
        <v>43101</v>
      </c>
      <c r="B3067" s="224">
        <v>43465</v>
      </c>
      <c r="C3067" s="6">
        <v>1</v>
      </c>
      <c r="D3067" s="6">
        <v>365</v>
      </c>
      <c r="E3067" s="84">
        <v>2018</v>
      </c>
      <c r="F3067" s="15" t="s">
        <v>22</v>
      </c>
      <c r="G3067" s="9" t="s">
        <v>6258</v>
      </c>
      <c r="H3067" s="9" t="s">
        <v>174</v>
      </c>
      <c r="I3067" s="86" t="s">
        <v>25</v>
      </c>
      <c r="J3067" s="152" t="s">
        <v>4958</v>
      </c>
      <c r="K3067" s="89">
        <v>0</v>
      </c>
      <c r="L3067" s="173">
        <v>74</v>
      </c>
      <c r="M3067" s="89">
        <v>0</v>
      </c>
      <c r="N3067" s="89">
        <v>0</v>
      </c>
      <c r="O3067" s="89">
        <v>0</v>
      </c>
      <c r="P3067" s="89">
        <v>0</v>
      </c>
      <c r="Q3067" s="88">
        <v>0</v>
      </c>
      <c r="R3067" s="126">
        <v>6.6600000000000006E-2</v>
      </c>
      <c r="S3067" s="167" t="s">
        <v>1219</v>
      </c>
      <c r="T3067" s="257">
        <f t="shared" si="101"/>
        <v>74</v>
      </c>
      <c r="U3067" s="257">
        <f t="shared" si="102"/>
        <v>0</v>
      </c>
      <c r="V3067">
        <v>1</v>
      </c>
      <c r="W3067">
        <v>0</v>
      </c>
    </row>
    <row r="3068" spans="1:23" ht="45.6" x14ac:dyDescent="0.3">
      <c r="A3068" s="224">
        <v>43101</v>
      </c>
      <c r="B3068" s="224">
        <v>43465</v>
      </c>
      <c r="C3068" s="6">
        <v>1</v>
      </c>
      <c r="D3068" s="6">
        <v>365</v>
      </c>
      <c r="E3068" s="84">
        <v>2018</v>
      </c>
      <c r="F3068" s="15" t="s">
        <v>22</v>
      </c>
      <c r="G3068" s="9" t="s">
        <v>6258</v>
      </c>
      <c r="H3068" s="9" t="s">
        <v>34</v>
      </c>
      <c r="I3068" s="86" t="s">
        <v>25</v>
      </c>
      <c r="J3068" s="152" t="s">
        <v>4959</v>
      </c>
      <c r="K3068" s="89">
        <v>2</v>
      </c>
      <c r="L3068" s="173">
        <v>51</v>
      </c>
      <c r="M3068" s="89">
        <v>0</v>
      </c>
      <c r="N3068" s="89">
        <v>0</v>
      </c>
      <c r="O3068" s="89">
        <v>0</v>
      </c>
      <c r="P3068" s="89">
        <v>0</v>
      </c>
      <c r="Q3068" s="88">
        <v>0</v>
      </c>
      <c r="R3068" s="126">
        <v>4.5900000000000003E-2</v>
      </c>
      <c r="S3068" s="167" t="s">
        <v>1219</v>
      </c>
      <c r="T3068" s="257">
        <f t="shared" si="101"/>
        <v>53</v>
      </c>
      <c r="U3068" s="257">
        <f t="shared" si="102"/>
        <v>0</v>
      </c>
      <c r="V3068">
        <v>1</v>
      </c>
      <c r="W3068">
        <v>0</v>
      </c>
    </row>
    <row r="3069" spans="1:23" ht="34.200000000000003" x14ac:dyDescent="0.3">
      <c r="A3069" s="224">
        <v>43101</v>
      </c>
      <c r="B3069" s="224">
        <v>43465</v>
      </c>
      <c r="C3069" s="6">
        <v>1</v>
      </c>
      <c r="D3069" s="6">
        <v>365</v>
      </c>
      <c r="E3069" s="84">
        <v>2018</v>
      </c>
      <c r="F3069" s="15" t="s">
        <v>22</v>
      </c>
      <c r="G3069" s="9" t="s">
        <v>6258</v>
      </c>
      <c r="H3069" s="17" t="s">
        <v>565</v>
      </c>
      <c r="I3069" s="86" t="s">
        <v>25</v>
      </c>
      <c r="J3069" s="152" t="s">
        <v>4960</v>
      </c>
      <c r="K3069" s="89">
        <v>1</v>
      </c>
      <c r="L3069" s="173">
        <v>34</v>
      </c>
      <c r="M3069" s="89">
        <v>0</v>
      </c>
      <c r="N3069" s="89">
        <v>0</v>
      </c>
      <c r="O3069" s="89">
        <v>0</v>
      </c>
      <c r="P3069" s="89">
        <v>0</v>
      </c>
      <c r="Q3069" s="88">
        <v>0</v>
      </c>
      <c r="R3069" s="126">
        <v>3.0599999999999999E-2</v>
      </c>
      <c r="S3069" s="167" t="s">
        <v>1219</v>
      </c>
      <c r="T3069" s="257">
        <f t="shared" si="101"/>
        <v>35</v>
      </c>
      <c r="U3069" s="257">
        <f t="shared" si="102"/>
        <v>0</v>
      </c>
      <c r="V3069">
        <v>1</v>
      </c>
      <c r="W3069">
        <v>0</v>
      </c>
    </row>
    <row r="3070" spans="1:23" ht="34.200000000000003" x14ac:dyDescent="0.3">
      <c r="A3070" s="224">
        <v>43101</v>
      </c>
      <c r="B3070" s="224">
        <v>43465</v>
      </c>
      <c r="C3070" s="6">
        <v>1</v>
      </c>
      <c r="D3070" s="6">
        <v>365</v>
      </c>
      <c r="E3070" s="84">
        <v>2018</v>
      </c>
      <c r="F3070" s="15" t="s">
        <v>22</v>
      </c>
      <c r="G3070" s="9" t="s">
        <v>6258</v>
      </c>
      <c r="H3070" s="9" t="s">
        <v>78</v>
      </c>
      <c r="I3070" s="86" t="s">
        <v>25</v>
      </c>
      <c r="J3070" s="152" t="s">
        <v>4961</v>
      </c>
      <c r="K3070" s="89">
        <v>0</v>
      </c>
      <c r="L3070" s="173">
        <v>28</v>
      </c>
      <c r="M3070" s="89">
        <v>0</v>
      </c>
      <c r="N3070" s="89">
        <v>0</v>
      </c>
      <c r="O3070" s="89">
        <v>0</v>
      </c>
      <c r="P3070" s="89">
        <v>0</v>
      </c>
      <c r="Q3070" s="88">
        <v>0</v>
      </c>
      <c r="R3070" s="126">
        <v>2.52E-2</v>
      </c>
      <c r="S3070" s="167" t="s">
        <v>1219</v>
      </c>
      <c r="T3070" s="257">
        <f t="shared" si="101"/>
        <v>28</v>
      </c>
      <c r="U3070" s="257">
        <f t="shared" si="102"/>
        <v>0</v>
      </c>
      <c r="V3070">
        <v>1</v>
      </c>
      <c r="W3070">
        <v>0</v>
      </c>
    </row>
    <row r="3071" spans="1:23" ht="34.200000000000003" x14ac:dyDescent="0.3">
      <c r="A3071" s="224">
        <v>43101</v>
      </c>
      <c r="B3071" s="224">
        <v>43465</v>
      </c>
      <c r="C3071" s="6">
        <v>1</v>
      </c>
      <c r="D3071" s="6">
        <v>365</v>
      </c>
      <c r="E3071" s="84">
        <v>2018</v>
      </c>
      <c r="F3071" s="15" t="s">
        <v>22</v>
      </c>
      <c r="G3071" s="9" t="s">
        <v>6258</v>
      </c>
      <c r="H3071" s="9" t="s">
        <v>51</v>
      </c>
      <c r="I3071" s="86" t="s">
        <v>25</v>
      </c>
      <c r="J3071" s="152" t="s">
        <v>4962</v>
      </c>
      <c r="K3071" s="89">
        <v>0</v>
      </c>
      <c r="L3071" s="173">
        <v>25</v>
      </c>
      <c r="M3071" s="89">
        <v>0</v>
      </c>
      <c r="N3071" s="89">
        <v>0</v>
      </c>
      <c r="O3071" s="89">
        <v>0</v>
      </c>
      <c r="P3071" s="89">
        <v>0</v>
      </c>
      <c r="Q3071" s="88">
        <v>0</v>
      </c>
      <c r="R3071" s="126">
        <v>2.2499999999999999E-2</v>
      </c>
      <c r="S3071" s="167" t="s">
        <v>1219</v>
      </c>
      <c r="T3071" s="257">
        <f t="shared" si="101"/>
        <v>25</v>
      </c>
      <c r="U3071" s="257">
        <f t="shared" si="102"/>
        <v>0</v>
      </c>
      <c r="V3071">
        <v>1</v>
      </c>
      <c r="W3071">
        <v>0</v>
      </c>
    </row>
    <row r="3072" spans="1:23" ht="34.200000000000003" x14ac:dyDescent="0.3">
      <c r="A3072" s="224">
        <v>43101</v>
      </c>
      <c r="B3072" s="224">
        <v>43465</v>
      </c>
      <c r="C3072" s="6">
        <v>1</v>
      </c>
      <c r="D3072" s="6">
        <v>365</v>
      </c>
      <c r="E3072" s="84">
        <v>2018</v>
      </c>
      <c r="F3072" s="15" t="s">
        <v>22</v>
      </c>
      <c r="G3072" s="9" t="s">
        <v>6258</v>
      </c>
      <c r="H3072" s="9" t="s">
        <v>72</v>
      </c>
      <c r="I3072" s="86" t="s">
        <v>25</v>
      </c>
      <c r="J3072" s="152" t="s">
        <v>4963</v>
      </c>
      <c r="K3072" s="89">
        <v>0</v>
      </c>
      <c r="L3072" s="173">
        <v>19</v>
      </c>
      <c r="M3072" s="89">
        <v>0</v>
      </c>
      <c r="N3072" s="89">
        <v>0</v>
      </c>
      <c r="O3072" s="89">
        <v>0</v>
      </c>
      <c r="P3072" s="89">
        <v>0</v>
      </c>
      <c r="Q3072" s="88">
        <v>0</v>
      </c>
      <c r="R3072" s="126">
        <v>1.7100000000000001E-2</v>
      </c>
      <c r="S3072" s="167" t="s">
        <v>1219</v>
      </c>
      <c r="T3072" s="257">
        <f t="shared" si="101"/>
        <v>19</v>
      </c>
      <c r="U3072" s="257">
        <f t="shared" si="102"/>
        <v>0</v>
      </c>
      <c r="V3072">
        <v>1</v>
      </c>
      <c r="W3072">
        <v>0</v>
      </c>
    </row>
    <row r="3073" spans="1:23" ht="34.200000000000003" x14ac:dyDescent="0.3">
      <c r="A3073" s="224">
        <v>43101</v>
      </c>
      <c r="B3073" s="224">
        <v>43465</v>
      </c>
      <c r="C3073" s="6">
        <v>1</v>
      </c>
      <c r="D3073" s="6">
        <v>365</v>
      </c>
      <c r="E3073" s="84">
        <v>2018</v>
      </c>
      <c r="F3073" s="15" t="s">
        <v>22</v>
      </c>
      <c r="G3073" s="9" t="s">
        <v>6258</v>
      </c>
      <c r="H3073" s="9" t="s">
        <v>52</v>
      </c>
      <c r="I3073" s="86" t="s">
        <v>25</v>
      </c>
      <c r="J3073" s="152" t="s">
        <v>4964</v>
      </c>
      <c r="K3073" s="89">
        <v>0</v>
      </c>
      <c r="L3073" s="173">
        <v>16</v>
      </c>
      <c r="M3073" s="89">
        <v>0</v>
      </c>
      <c r="N3073" s="89">
        <v>0</v>
      </c>
      <c r="O3073" s="89">
        <v>0</v>
      </c>
      <c r="P3073" s="89">
        <v>0</v>
      </c>
      <c r="Q3073" s="88">
        <v>0</v>
      </c>
      <c r="R3073" s="126">
        <v>1.44E-2</v>
      </c>
      <c r="S3073" s="167" t="s">
        <v>1219</v>
      </c>
      <c r="T3073" s="257">
        <f t="shared" si="101"/>
        <v>16</v>
      </c>
      <c r="U3073" s="257">
        <f t="shared" si="102"/>
        <v>0</v>
      </c>
      <c r="V3073">
        <v>1</v>
      </c>
      <c r="W3073">
        <v>0</v>
      </c>
    </row>
    <row r="3074" spans="1:23" ht="34.200000000000003" x14ac:dyDescent="0.3">
      <c r="A3074" s="224">
        <v>43101</v>
      </c>
      <c r="B3074" s="224">
        <v>43465</v>
      </c>
      <c r="C3074" s="6">
        <v>1</v>
      </c>
      <c r="D3074" s="6">
        <v>365</v>
      </c>
      <c r="E3074" s="84">
        <v>2018</v>
      </c>
      <c r="F3074" s="15" t="s">
        <v>22</v>
      </c>
      <c r="G3074" s="9" t="s">
        <v>6258</v>
      </c>
      <c r="H3074" s="9" t="s">
        <v>69</v>
      </c>
      <c r="I3074" s="86" t="s">
        <v>25</v>
      </c>
      <c r="J3074" s="152" t="s">
        <v>4965</v>
      </c>
      <c r="K3074" s="89">
        <v>0</v>
      </c>
      <c r="L3074" s="173">
        <v>13</v>
      </c>
      <c r="M3074" s="89">
        <v>0</v>
      </c>
      <c r="N3074" s="89">
        <v>0</v>
      </c>
      <c r="O3074" s="89">
        <v>0</v>
      </c>
      <c r="P3074" s="89">
        <v>0</v>
      </c>
      <c r="Q3074" s="88">
        <v>0</v>
      </c>
      <c r="R3074" s="126">
        <v>5.8500000000000002E-3</v>
      </c>
      <c r="S3074" s="167" t="s">
        <v>1219</v>
      </c>
      <c r="T3074" s="257">
        <f t="shared" si="101"/>
        <v>13</v>
      </c>
      <c r="U3074" s="257">
        <f t="shared" si="102"/>
        <v>0</v>
      </c>
      <c r="V3074">
        <v>1</v>
      </c>
      <c r="W3074">
        <v>0</v>
      </c>
    </row>
    <row r="3075" spans="1:23" ht="34.200000000000003" x14ac:dyDescent="0.3">
      <c r="A3075" s="224">
        <v>43101</v>
      </c>
      <c r="B3075" s="224">
        <v>43465</v>
      </c>
      <c r="C3075" s="6">
        <v>1</v>
      </c>
      <c r="D3075" s="6">
        <v>365</v>
      </c>
      <c r="E3075" s="84">
        <v>2018</v>
      </c>
      <c r="F3075" s="15" t="s">
        <v>22</v>
      </c>
      <c r="G3075" s="9" t="s">
        <v>6258</v>
      </c>
      <c r="H3075" s="9" t="s">
        <v>37</v>
      </c>
      <c r="I3075" s="86" t="s">
        <v>25</v>
      </c>
      <c r="J3075" s="152" t="s">
        <v>4966</v>
      </c>
      <c r="K3075" s="89">
        <v>0</v>
      </c>
      <c r="L3075" s="173">
        <v>11</v>
      </c>
      <c r="M3075" s="89">
        <v>0</v>
      </c>
      <c r="N3075" s="89">
        <v>0</v>
      </c>
      <c r="O3075" s="89">
        <v>0</v>
      </c>
      <c r="P3075" s="89">
        <v>0</v>
      </c>
      <c r="Q3075" s="88">
        <v>0</v>
      </c>
      <c r="R3075" s="126">
        <v>9.9000000000000008E-3</v>
      </c>
      <c r="S3075" s="167" t="s">
        <v>1219</v>
      </c>
      <c r="T3075" s="257">
        <f t="shared" ref="T3075:T3138" si="103">SUM(K3075:L3075)</f>
        <v>11</v>
      </c>
      <c r="U3075" s="257">
        <f t="shared" ref="U3075:U3138" si="104">SUM(M3075:P3075)</f>
        <v>0</v>
      </c>
      <c r="V3075">
        <v>1</v>
      </c>
      <c r="W3075">
        <v>0</v>
      </c>
    </row>
    <row r="3076" spans="1:23" ht="34.200000000000003" x14ac:dyDescent="0.3">
      <c r="A3076" s="224">
        <v>43101</v>
      </c>
      <c r="B3076" s="224">
        <v>43465</v>
      </c>
      <c r="C3076" s="6">
        <v>1</v>
      </c>
      <c r="D3076" s="6">
        <v>365</v>
      </c>
      <c r="E3076" s="84">
        <v>2018</v>
      </c>
      <c r="F3076" s="15" t="s">
        <v>22</v>
      </c>
      <c r="G3076" s="9" t="s">
        <v>6258</v>
      </c>
      <c r="H3076" s="9" t="s">
        <v>70</v>
      </c>
      <c r="I3076" s="86" t="s">
        <v>25</v>
      </c>
      <c r="J3076" s="152" t="s">
        <v>4967</v>
      </c>
      <c r="K3076" s="89">
        <v>0</v>
      </c>
      <c r="L3076" s="173">
        <v>11</v>
      </c>
      <c r="M3076" s="89">
        <v>0</v>
      </c>
      <c r="N3076" s="89">
        <v>0</v>
      </c>
      <c r="O3076" s="89">
        <v>0</v>
      </c>
      <c r="P3076" s="89">
        <v>0</v>
      </c>
      <c r="Q3076" s="88">
        <v>0</v>
      </c>
      <c r="R3076" s="126">
        <v>9.9000000000000008E-3</v>
      </c>
      <c r="S3076" s="167" t="s">
        <v>1219</v>
      </c>
      <c r="T3076" s="257">
        <f t="shared" si="103"/>
        <v>11</v>
      </c>
      <c r="U3076" s="257">
        <f t="shared" si="104"/>
        <v>0</v>
      </c>
      <c r="V3076">
        <v>1</v>
      </c>
      <c r="W3076">
        <v>0</v>
      </c>
    </row>
    <row r="3077" spans="1:23" ht="34.200000000000003" x14ac:dyDescent="0.3">
      <c r="A3077" s="224">
        <v>43101</v>
      </c>
      <c r="B3077" s="224">
        <v>43465</v>
      </c>
      <c r="C3077" s="6">
        <v>1</v>
      </c>
      <c r="D3077" s="6">
        <v>365</v>
      </c>
      <c r="E3077" s="84">
        <v>2018</v>
      </c>
      <c r="F3077" s="15" t="s">
        <v>22</v>
      </c>
      <c r="G3077" s="9" t="s">
        <v>6258</v>
      </c>
      <c r="H3077" s="9" t="s">
        <v>28</v>
      </c>
      <c r="I3077" s="86" t="s">
        <v>25</v>
      </c>
      <c r="J3077" s="152" t="s">
        <v>4968</v>
      </c>
      <c r="K3077" s="89">
        <v>0</v>
      </c>
      <c r="L3077" s="173">
        <v>9</v>
      </c>
      <c r="M3077" s="89">
        <v>0</v>
      </c>
      <c r="N3077" s="89">
        <v>0</v>
      </c>
      <c r="O3077" s="89">
        <v>0</v>
      </c>
      <c r="P3077" s="89">
        <v>0</v>
      </c>
      <c r="Q3077" s="88">
        <v>0</v>
      </c>
      <c r="R3077" s="126">
        <v>8.0999999999999996E-3</v>
      </c>
      <c r="S3077" s="167" t="s">
        <v>1219</v>
      </c>
      <c r="T3077" s="257">
        <f t="shared" si="103"/>
        <v>9</v>
      </c>
      <c r="U3077" s="257">
        <f t="shared" si="104"/>
        <v>0</v>
      </c>
      <c r="V3077">
        <v>1</v>
      </c>
      <c r="W3077">
        <v>0</v>
      </c>
    </row>
    <row r="3078" spans="1:23" ht="34.200000000000003" x14ac:dyDescent="0.3">
      <c r="A3078" s="224">
        <v>43101</v>
      </c>
      <c r="B3078" s="224">
        <v>43465</v>
      </c>
      <c r="C3078" s="6">
        <v>1</v>
      </c>
      <c r="D3078" s="6">
        <v>365</v>
      </c>
      <c r="E3078" s="84">
        <v>2018</v>
      </c>
      <c r="F3078" s="15" t="s">
        <v>22</v>
      </c>
      <c r="G3078" s="9" t="s">
        <v>6258</v>
      </c>
      <c r="H3078" s="9" t="s">
        <v>56</v>
      </c>
      <c r="I3078" s="86" t="s">
        <v>25</v>
      </c>
      <c r="J3078" s="152" t="s">
        <v>4969</v>
      </c>
      <c r="K3078" s="89">
        <v>0</v>
      </c>
      <c r="L3078" s="173">
        <v>7</v>
      </c>
      <c r="M3078" s="89">
        <v>0</v>
      </c>
      <c r="N3078" s="89">
        <v>0</v>
      </c>
      <c r="O3078" s="89">
        <v>0</v>
      </c>
      <c r="P3078" s="89">
        <v>0</v>
      </c>
      <c r="Q3078" s="88">
        <v>0</v>
      </c>
      <c r="R3078" s="126">
        <v>6.3E-3</v>
      </c>
      <c r="S3078" s="167" t="s">
        <v>1219</v>
      </c>
      <c r="T3078" s="257">
        <f t="shared" si="103"/>
        <v>7</v>
      </c>
      <c r="U3078" s="257">
        <f t="shared" si="104"/>
        <v>0</v>
      </c>
      <c r="V3078">
        <v>1</v>
      </c>
      <c r="W3078">
        <v>0</v>
      </c>
    </row>
    <row r="3079" spans="1:23" ht="34.200000000000003" x14ac:dyDescent="0.3">
      <c r="A3079" s="224">
        <v>43101</v>
      </c>
      <c r="B3079" s="224">
        <v>43465</v>
      </c>
      <c r="C3079" s="6">
        <v>1</v>
      </c>
      <c r="D3079" s="6">
        <v>365</v>
      </c>
      <c r="E3079" s="84">
        <v>2018</v>
      </c>
      <c r="F3079" s="15" t="s">
        <v>22</v>
      </c>
      <c r="G3079" s="9" t="s">
        <v>6258</v>
      </c>
      <c r="H3079" s="9" t="s">
        <v>46</v>
      </c>
      <c r="I3079" s="86" t="s">
        <v>25</v>
      </c>
      <c r="J3079" s="152" t="s">
        <v>4970</v>
      </c>
      <c r="K3079" s="89">
        <v>0</v>
      </c>
      <c r="L3079" s="173">
        <v>4</v>
      </c>
      <c r="M3079" s="89">
        <v>0</v>
      </c>
      <c r="N3079" s="89">
        <v>0</v>
      </c>
      <c r="O3079" s="89">
        <v>0</v>
      </c>
      <c r="P3079" s="89">
        <v>0</v>
      </c>
      <c r="Q3079" s="88">
        <v>0</v>
      </c>
      <c r="R3079" s="126">
        <v>3.5999999999999999E-3</v>
      </c>
      <c r="S3079" s="167" t="s">
        <v>1219</v>
      </c>
      <c r="T3079" s="257">
        <f t="shared" si="103"/>
        <v>4</v>
      </c>
      <c r="U3079" s="257">
        <f t="shared" si="104"/>
        <v>0</v>
      </c>
      <c r="V3079">
        <v>1</v>
      </c>
      <c r="W3079">
        <v>0</v>
      </c>
    </row>
    <row r="3080" spans="1:23" ht="34.200000000000003" x14ac:dyDescent="0.3">
      <c r="A3080" s="224">
        <v>43101</v>
      </c>
      <c r="B3080" s="224">
        <v>43465</v>
      </c>
      <c r="C3080" s="6">
        <v>1</v>
      </c>
      <c r="D3080" s="6">
        <v>365</v>
      </c>
      <c r="E3080" s="84">
        <v>2018</v>
      </c>
      <c r="F3080" s="15" t="s">
        <v>22</v>
      </c>
      <c r="G3080" s="9" t="s">
        <v>6258</v>
      </c>
      <c r="H3080" s="9" t="s">
        <v>57</v>
      </c>
      <c r="I3080" s="86" t="s">
        <v>25</v>
      </c>
      <c r="J3080" s="152" t="s">
        <v>4971</v>
      </c>
      <c r="K3080" s="89">
        <v>0</v>
      </c>
      <c r="L3080" s="173">
        <v>4</v>
      </c>
      <c r="M3080" s="89">
        <v>0</v>
      </c>
      <c r="N3080" s="89">
        <v>0</v>
      </c>
      <c r="O3080" s="89">
        <v>0</v>
      </c>
      <c r="P3080" s="89">
        <v>0</v>
      </c>
      <c r="Q3080" s="88">
        <v>0</v>
      </c>
      <c r="R3080" s="126">
        <v>3.5999999999999999E-3</v>
      </c>
      <c r="S3080" s="167" t="s">
        <v>1219</v>
      </c>
      <c r="T3080" s="257">
        <f t="shared" si="103"/>
        <v>4</v>
      </c>
      <c r="U3080" s="257">
        <f t="shared" si="104"/>
        <v>0</v>
      </c>
      <c r="V3080">
        <v>1</v>
      </c>
      <c r="W3080">
        <v>0</v>
      </c>
    </row>
    <row r="3081" spans="1:23" ht="22.8" x14ac:dyDescent="0.3">
      <c r="A3081" s="224">
        <v>43101</v>
      </c>
      <c r="B3081" s="224">
        <v>43465</v>
      </c>
      <c r="C3081" s="6">
        <v>1</v>
      </c>
      <c r="D3081" s="6">
        <v>365</v>
      </c>
      <c r="E3081" s="84">
        <v>2018</v>
      </c>
      <c r="F3081" s="15" t="s">
        <v>22</v>
      </c>
      <c r="G3081" s="9" t="s">
        <v>6258</v>
      </c>
      <c r="H3081" s="9" t="s">
        <v>61</v>
      </c>
      <c r="I3081" s="86" t="s">
        <v>25</v>
      </c>
      <c r="J3081" s="152" t="s">
        <v>4972</v>
      </c>
      <c r="K3081" s="89">
        <v>0</v>
      </c>
      <c r="L3081" s="173">
        <v>3</v>
      </c>
      <c r="M3081" s="89">
        <v>0</v>
      </c>
      <c r="N3081" s="89">
        <v>0</v>
      </c>
      <c r="O3081" s="89">
        <v>0</v>
      </c>
      <c r="P3081" s="89">
        <v>0</v>
      </c>
      <c r="Q3081" s="88">
        <v>0</v>
      </c>
      <c r="R3081" s="126">
        <v>2.7000000000000001E-3</v>
      </c>
      <c r="S3081" s="167" t="s">
        <v>1219</v>
      </c>
      <c r="T3081" s="257">
        <f t="shared" si="103"/>
        <v>3</v>
      </c>
      <c r="U3081" s="257">
        <f t="shared" si="104"/>
        <v>0</v>
      </c>
      <c r="V3081">
        <v>1</v>
      </c>
      <c r="W3081">
        <v>0</v>
      </c>
    </row>
    <row r="3082" spans="1:23" ht="22.8" x14ac:dyDescent="0.3">
      <c r="A3082" s="224">
        <v>43101</v>
      </c>
      <c r="B3082" s="224">
        <v>43465</v>
      </c>
      <c r="C3082" s="6">
        <v>1</v>
      </c>
      <c r="D3082" s="6">
        <v>365</v>
      </c>
      <c r="E3082" s="84">
        <v>2018</v>
      </c>
      <c r="F3082" s="15" t="s">
        <v>22</v>
      </c>
      <c r="G3082" s="9" t="s">
        <v>6258</v>
      </c>
      <c r="H3082" s="9" t="s">
        <v>24</v>
      </c>
      <c r="I3082" s="86" t="s">
        <v>25</v>
      </c>
      <c r="J3082" s="152" t="s">
        <v>4973</v>
      </c>
      <c r="K3082" s="89">
        <v>0</v>
      </c>
      <c r="L3082" s="173">
        <v>2</v>
      </c>
      <c r="M3082" s="89">
        <v>0</v>
      </c>
      <c r="N3082" s="89">
        <v>0</v>
      </c>
      <c r="O3082" s="89">
        <v>0</v>
      </c>
      <c r="P3082" s="89">
        <v>0</v>
      </c>
      <c r="Q3082" s="88">
        <v>0</v>
      </c>
      <c r="R3082" s="126">
        <v>1.8E-3</v>
      </c>
      <c r="S3082" s="167" t="s">
        <v>1219</v>
      </c>
      <c r="T3082" s="257">
        <f t="shared" si="103"/>
        <v>2</v>
      </c>
      <c r="U3082" s="257">
        <f t="shared" si="104"/>
        <v>0</v>
      </c>
      <c r="V3082">
        <v>1</v>
      </c>
      <c r="W3082">
        <v>0</v>
      </c>
    </row>
    <row r="3083" spans="1:23" ht="22.8" x14ac:dyDescent="0.3">
      <c r="A3083" s="224">
        <v>43101</v>
      </c>
      <c r="B3083" s="224">
        <v>43465</v>
      </c>
      <c r="C3083" s="6">
        <v>1</v>
      </c>
      <c r="D3083" s="6">
        <v>365</v>
      </c>
      <c r="E3083" s="84">
        <v>2018</v>
      </c>
      <c r="F3083" s="15" t="s">
        <v>22</v>
      </c>
      <c r="G3083" s="9" t="s">
        <v>6258</v>
      </c>
      <c r="H3083" s="9" t="s">
        <v>31</v>
      </c>
      <c r="I3083" s="86" t="s">
        <v>25</v>
      </c>
      <c r="J3083" s="152" t="s">
        <v>4974</v>
      </c>
      <c r="K3083" s="89">
        <v>0</v>
      </c>
      <c r="L3083" s="173">
        <v>2</v>
      </c>
      <c r="M3083" s="89">
        <v>0</v>
      </c>
      <c r="N3083" s="89">
        <v>0</v>
      </c>
      <c r="O3083" s="89">
        <v>0</v>
      </c>
      <c r="P3083" s="89">
        <v>0</v>
      </c>
      <c r="Q3083" s="88">
        <v>0</v>
      </c>
      <c r="R3083" s="126">
        <v>8.9999999999999998E-4</v>
      </c>
      <c r="S3083" s="167" t="s">
        <v>1219</v>
      </c>
      <c r="T3083" s="257">
        <f t="shared" si="103"/>
        <v>2</v>
      </c>
      <c r="U3083" s="257">
        <f t="shared" si="104"/>
        <v>0</v>
      </c>
      <c r="V3083">
        <v>1</v>
      </c>
      <c r="W3083">
        <v>0</v>
      </c>
    </row>
    <row r="3084" spans="1:23" x14ac:dyDescent="0.3">
      <c r="A3084" s="224">
        <v>43101</v>
      </c>
      <c r="B3084" s="224">
        <v>43465</v>
      </c>
      <c r="C3084" s="6">
        <v>1</v>
      </c>
      <c r="D3084" s="6">
        <v>365</v>
      </c>
      <c r="E3084" s="84">
        <v>2018</v>
      </c>
      <c r="F3084" s="15" t="s">
        <v>22</v>
      </c>
      <c r="G3084" s="9" t="s">
        <v>6258</v>
      </c>
      <c r="H3084" s="9" t="s">
        <v>55</v>
      </c>
      <c r="I3084" s="86" t="s">
        <v>25</v>
      </c>
      <c r="J3084" s="152" t="s">
        <v>4975</v>
      </c>
      <c r="K3084" s="89">
        <v>0</v>
      </c>
      <c r="L3084" s="173">
        <v>1</v>
      </c>
      <c r="M3084" s="89">
        <v>0</v>
      </c>
      <c r="N3084" s="89">
        <v>0</v>
      </c>
      <c r="O3084" s="89">
        <v>0</v>
      </c>
      <c r="P3084" s="89">
        <v>0</v>
      </c>
      <c r="Q3084" s="88">
        <v>0</v>
      </c>
      <c r="R3084" s="126">
        <v>8.9999999999999998E-4</v>
      </c>
      <c r="S3084" s="167" t="s">
        <v>1219</v>
      </c>
      <c r="T3084" s="257">
        <f t="shared" si="103"/>
        <v>1</v>
      </c>
      <c r="U3084" s="257">
        <f t="shared" si="104"/>
        <v>0</v>
      </c>
      <c r="V3084">
        <v>1</v>
      </c>
      <c r="W3084">
        <v>0</v>
      </c>
    </row>
    <row r="3085" spans="1:23" ht="22.8" x14ac:dyDescent="0.3">
      <c r="A3085" s="224">
        <v>43101</v>
      </c>
      <c r="B3085" s="224">
        <v>43465</v>
      </c>
      <c r="C3085" s="6">
        <v>1</v>
      </c>
      <c r="D3085" s="6">
        <v>365</v>
      </c>
      <c r="E3085" s="84">
        <v>2018</v>
      </c>
      <c r="F3085" s="15" t="s">
        <v>22</v>
      </c>
      <c r="G3085" s="9" t="s">
        <v>6258</v>
      </c>
      <c r="H3085" s="9" t="s">
        <v>112</v>
      </c>
      <c r="I3085" s="86" t="s">
        <v>25</v>
      </c>
      <c r="J3085" s="152" t="s">
        <v>4976</v>
      </c>
      <c r="K3085" s="89">
        <v>0</v>
      </c>
      <c r="L3085" s="173">
        <v>1</v>
      </c>
      <c r="M3085" s="89">
        <v>0</v>
      </c>
      <c r="N3085" s="89">
        <v>0</v>
      </c>
      <c r="O3085" s="89">
        <v>0</v>
      </c>
      <c r="P3085" s="89">
        <v>0</v>
      </c>
      <c r="Q3085" s="88">
        <v>0</v>
      </c>
      <c r="R3085" s="126">
        <v>8.9999999999999998E-4</v>
      </c>
      <c r="S3085" s="167" t="s">
        <v>1219</v>
      </c>
      <c r="T3085" s="257">
        <f t="shared" si="103"/>
        <v>1</v>
      </c>
      <c r="U3085" s="257">
        <f t="shared" si="104"/>
        <v>0</v>
      </c>
      <c r="V3085">
        <v>1</v>
      </c>
      <c r="W3085">
        <v>0</v>
      </c>
    </row>
    <row r="3086" spans="1:23" x14ac:dyDescent="0.3">
      <c r="A3086" s="224">
        <v>43101</v>
      </c>
      <c r="B3086" s="224">
        <v>43465</v>
      </c>
      <c r="C3086" s="6">
        <v>1</v>
      </c>
      <c r="D3086" s="6">
        <v>365</v>
      </c>
      <c r="E3086" s="84">
        <v>2018</v>
      </c>
      <c r="F3086" s="15" t="s">
        <v>22</v>
      </c>
      <c r="G3086" s="9" t="s">
        <v>6258</v>
      </c>
      <c r="H3086" s="9" t="s">
        <v>124</v>
      </c>
      <c r="I3086" s="86" t="s">
        <v>25</v>
      </c>
      <c r="J3086" s="152" t="s">
        <v>4977</v>
      </c>
      <c r="K3086" s="89">
        <v>0</v>
      </c>
      <c r="L3086" s="173">
        <v>1</v>
      </c>
      <c r="M3086" s="89">
        <v>0</v>
      </c>
      <c r="N3086" s="89">
        <v>0</v>
      </c>
      <c r="O3086" s="89">
        <v>0</v>
      </c>
      <c r="P3086" s="89">
        <v>0</v>
      </c>
      <c r="Q3086" s="88">
        <v>0</v>
      </c>
      <c r="R3086" s="126">
        <v>8.9999999999999998E-4</v>
      </c>
      <c r="S3086" s="167" t="s">
        <v>1219</v>
      </c>
      <c r="T3086" s="257">
        <f t="shared" si="103"/>
        <v>1</v>
      </c>
      <c r="U3086" s="257">
        <f t="shared" si="104"/>
        <v>0</v>
      </c>
      <c r="V3086">
        <v>1</v>
      </c>
      <c r="W3086">
        <v>0</v>
      </c>
    </row>
    <row r="3087" spans="1:23" x14ac:dyDescent="0.3">
      <c r="A3087" s="224">
        <v>43101</v>
      </c>
      <c r="B3087" s="224">
        <v>43465</v>
      </c>
      <c r="C3087" s="6">
        <v>1</v>
      </c>
      <c r="D3087" s="6">
        <v>365</v>
      </c>
      <c r="E3087" s="84">
        <v>2018</v>
      </c>
      <c r="F3087" s="15" t="s">
        <v>22</v>
      </c>
      <c r="G3087" s="9" t="s">
        <v>6258</v>
      </c>
      <c r="H3087" s="9" t="s">
        <v>31</v>
      </c>
      <c r="I3087" s="86" t="s">
        <v>25</v>
      </c>
      <c r="J3087" s="152" t="s">
        <v>4978</v>
      </c>
      <c r="K3087" s="89">
        <v>1</v>
      </c>
      <c r="L3087" s="254">
        <v>0</v>
      </c>
      <c r="M3087" s="89">
        <v>0</v>
      </c>
      <c r="N3087" s="89">
        <v>0</v>
      </c>
      <c r="O3087" s="89">
        <v>0</v>
      </c>
      <c r="P3087" s="89">
        <v>0</v>
      </c>
      <c r="Q3087" s="88">
        <v>0</v>
      </c>
      <c r="R3087" s="126">
        <v>8.9999999999999998E-4</v>
      </c>
      <c r="S3087" s="167" t="s">
        <v>1219</v>
      </c>
      <c r="T3087" s="257">
        <f t="shared" si="103"/>
        <v>1</v>
      </c>
      <c r="U3087" s="257">
        <f t="shared" si="104"/>
        <v>0</v>
      </c>
      <c r="V3087">
        <v>1</v>
      </c>
      <c r="W3087">
        <v>0</v>
      </c>
    </row>
    <row r="3088" spans="1:23" x14ac:dyDescent="0.3">
      <c r="A3088" s="224">
        <v>43101</v>
      </c>
      <c r="B3088" s="224">
        <v>43465</v>
      </c>
      <c r="C3088" s="6">
        <v>1</v>
      </c>
      <c r="D3088" s="6">
        <v>365</v>
      </c>
      <c r="E3088" s="84">
        <v>2018</v>
      </c>
      <c r="F3088" s="15" t="s">
        <v>22</v>
      </c>
      <c r="G3088" s="9" t="s">
        <v>6258</v>
      </c>
      <c r="H3088" s="9" t="s">
        <v>69</v>
      </c>
      <c r="I3088" s="86" t="s">
        <v>25</v>
      </c>
      <c r="J3088" s="152" t="s">
        <v>4979</v>
      </c>
      <c r="K3088" s="89">
        <v>2</v>
      </c>
      <c r="L3088" s="254">
        <v>0</v>
      </c>
      <c r="M3088" s="89">
        <v>0</v>
      </c>
      <c r="N3088" s="89">
        <v>0</v>
      </c>
      <c r="O3088" s="89">
        <v>0</v>
      </c>
      <c r="P3088" s="89">
        <v>0</v>
      </c>
      <c r="Q3088" s="88">
        <v>0</v>
      </c>
      <c r="R3088" s="126">
        <v>5.8500000000000002E-3</v>
      </c>
      <c r="S3088" s="167" t="s">
        <v>1219</v>
      </c>
      <c r="T3088" s="257">
        <f t="shared" si="103"/>
        <v>2</v>
      </c>
      <c r="U3088" s="257">
        <f t="shared" si="104"/>
        <v>0</v>
      </c>
      <c r="V3088">
        <v>1</v>
      </c>
      <c r="W3088">
        <v>0</v>
      </c>
    </row>
    <row r="3089" spans="1:23" ht="22.8" x14ac:dyDescent="0.3">
      <c r="A3089" s="129">
        <v>43586</v>
      </c>
      <c r="B3089" s="129"/>
      <c r="C3089" s="6">
        <v>5</v>
      </c>
      <c r="D3089" s="6">
        <v>1</v>
      </c>
      <c r="E3089" s="19">
        <v>2019</v>
      </c>
      <c r="F3089" s="15" t="s">
        <v>22</v>
      </c>
      <c r="G3089" s="16" t="s">
        <v>23</v>
      </c>
      <c r="H3089" s="9" t="s">
        <v>174</v>
      </c>
      <c r="I3089" s="20"/>
      <c r="J3089" s="53" t="s">
        <v>4980</v>
      </c>
      <c r="K3089" s="103">
        <v>0</v>
      </c>
      <c r="L3089" s="104">
        <v>0</v>
      </c>
      <c r="M3089" s="23">
        <v>0</v>
      </c>
      <c r="N3089" s="23">
        <v>0</v>
      </c>
      <c r="O3089" s="23">
        <v>0</v>
      </c>
      <c r="P3089" s="23">
        <v>0</v>
      </c>
      <c r="Q3089" s="23">
        <v>0</v>
      </c>
      <c r="R3089" s="176">
        <v>7.58683</v>
      </c>
      <c r="S3089" s="33" t="s">
        <v>149</v>
      </c>
      <c r="T3089" s="257">
        <f t="shared" si="103"/>
        <v>0</v>
      </c>
      <c r="U3089" s="257">
        <f t="shared" si="104"/>
        <v>0</v>
      </c>
      <c r="V3089">
        <v>0</v>
      </c>
      <c r="W3089">
        <v>0</v>
      </c>
    </row>
    <row r="3090" spans="1:23" ht="159.6" x14ac:dyDescent="0.3">
      <c r="A3090" s="214">
        <v>43829</v>
      </c>
      <c r="B3090" s="214"/>
      <c r="C3090" s="6">
        <v>12</v>
      </c>
      <c r="D3090" s="6">
        <v>1</v>
      </c>
      <c r="E3090" s="33">
        <v>2019</v>
      </c>
      <c r="F3090" s="15" t="s">
        <v>22</v>
      </c>
      <c r="G3090" s="18" t="s">
        <v>6255</v>
      </c>
      <c r="H3090" s="9" t="s">
        <v>74</v>
      </c>
      <c r="I3090" s="34" t="s">
        <v>4981</v>
      </c>
      <c r="J3090" s="34" t="s">
        <v>4982</v>
      </c>
      <c r="K3090" s="40">
        <v>0</v>
      </c>
      <c r="L3090" s="235">
        <v>18506</v>
      </c>
      <c r="M3090" s="35">
        <v>0</v>
      </c>
      <c r="N3090" s="35">
        <v>0</v>
      </c>
      <c r="O3090" s="35">
        <v>0</v>
      </c>
      <c r="P3090" s="35">
        <v>0</v>
      </c>
      <c r="Q3090" s="35">
        <v>0</v>
      </c>
      <c r="R3090" s="42">
        <v>19.484035759999998</v>
      </c>
      <c r="S3090" s="33" t="s">
        <v>149</v>
      </c>
      <c r="T3090" s="257">
        <f t="shared" si="103"/>
        <v>18506</v>
      </c>
      <c r="U3090" s="257">
        <f t="shared" si="104"/>
        <v>0</v>
      </c>
      <c r="V3090">
        <v>2</v>
      </c>
      <c r="W3090">
        <v>0</v>
      </c>
    </row>
    <row r="3091" spans="1:23" ht="91.2" x14ac:dyDescent="0.3">
      <c r="A3091" s="211">
        <v>43466</v>
      </c>
      <c r="B3091" s="211">
        <v>43616</v>
      </c>
      <c r="C3091" s="6">
        <v>1</v>
      </c>
      <c r="D3091" s="6">
        <v>151</v>
      </c>
      <c r="E3091" s="19">
        <v>2019</v>
      </c>
      <c r="F3091" s="15" t="s">
        <v>22</v>
      </c>
      <c r="G3091" s="16" t="s">
        <v>23</v>
      </c>
      <c r="H3091" s="9" t="s">
        <v>70</v>
      </c>
      <c r="I3091" s="20" t="s">
        <v>4983</v>
      </c>
      <c r="J3091" s="21" t="s">
        <v>4984</v>
      </c>
      <c r="K3091" s="40">
        <v>0</v>
      </c>
      <c r="L3091" s="235">
        <v>0</v>
      </c>
      <c r="M3091" s="35">
        <v>0</v>
      </c>
      <c r="N3091" s="35">
        <v>0</v>
      </c>
      <c r="O3091" s="35">
        <v>0</v>
      </c>
      <c r="P3091" s="35">
        <v>0</v>
      </c>
      <c r="Q3091" s="41">
        <v>164562</v>
      </c>
      <c r="R3091" s="42">
        <v>1134.380566</v>
      </c>
      <c r="S3091" s="103" t="s">
        <v>327</v>
      </c>
      <c r="T3091" s="257">
        <f t="shared" si="103"/>
        <v>0</v>
      </c>
      <c r="U3091" s="257">
        <f t="shared" si="104"/>
        <v>0</v>
      </c>
      <c r="V3091">
        <v>0</v>
      </c>
      <c r="W3091">
        <v>0</v>
      </c>
    </row>
    <row r="3092" spans="1:23" ht="91.2" x14ac:dyDescent="0.3">
      <c r="A3092" s="214">
        <v>43481</v>
      </c>
      <c r="B3092" s="214">
        <v>43481</v>
      </c>
      <c r="C3092" s="6">
        <v>1</v>
      </c>
      <c r="D3092" s="6">
        <v>1</v>
      </c>
      <c r="E3092" s="33">
        <v>2019</v>
      </c>
      <c r="F3092" s="7" t="s">
        <v>17</v>
      </c>
      <c r="G3092" s="8" t="s">
        <v>6261</v>
      </c>
      <c r="H3092" s="9" t="s">
        <v>118</v>
      </c>
      <c r="I3092" s="34" t="s">
        <v>313</v>
      </c>
      <c r="J3092" s="34" t="s">
        <v>4985</v>
      </c>
      <c r="K3092" s="40">
        <v>1</v>
      </c>
      <c r="L3092" s="235">
        <v>1</v>
      </c>
      <c r="M3092" s="35">
        <v>0</v>
      </c>
      <c r="N3092" s="35">
        <v>0</v>
      </c>
      <c r="O3092" s="35">
        <v>0</v>
      </c>
      <c r="P3092" s="35">
        <v>0</v>
      </c>
      <c r="Q3092" s="35">
        <v>0</v>
      </c>
      <c r="R3092" s="42">
        <v>0</v>
      </c>
      <c r="S3092" s="33" t="s">
        <v>115</v>
      </c>
      <c r="T3092" s="257">
        <f t="shared" si="103"/>
        <v>2</v>
      </c>
      <c r="U3092" s="257">
        <f t="shared" si="104"/>
        <v>0</v>
      </c>
      <c r="V3092">
        <v>1</v>
      </c>
      <c r="W3092">
        <v>0</v>
      </c>
    </row>
    <row r="3093" spans="1:23" x14ac:dyDescent="0.3">
      <c r="A3093" s="214">
        <v>43486</v>
      </c>
      <c r="B3093" s="214">
        <v>43487</v>
      </c>
      <c r="C3093" s="6">
        <v>1</v>
      </c>
      <c r="D3093" s="6">
        <v>2</v>
      </c>
      <c r="E3093" s="33">
        <v>2019</v>
      </c>
      <c r="F3093" s="15" t="s">
        <v>22</v>
      </c>
      <c r="G3093" s="18" t="s">
        <v>6255</v>
      </c>
      <c r="H3093" s="9" t="s">
        <v>174</v>
      </c>
      <c r="I3093" s="34" t="s">
        <v>4986</v>
      </c>
      <c r="J3093" s="34" t="s">
        <v>4987</v>
      </c>
      <c r="K3093" s="40">
        <v>0</v>
      </c>
      <c r="L3093" s="235">
        <v>5235</v>
      </c>
      <c r="M3093" s="35">
        <v>0</v>
      </c>
      <c r="N3093" s="35">
        <v>0</v>
      </c>
      <c r="O3093" s="35">
        <v>0</v>
      </c>
      <c r="P3093" s="35">
        <v>0</v>
      </c>
      <c r="Q3093" s="35">
        <v>0</v>
      </c>
      <c r="R3093" s="42">
        <v>10.335975533600003</v>
      </c>
      <c r="S3093" s="33" t="s">
        <v>149</v>
      </c>
      <c r="T3093" s="257">
        <f t="shared" si="103"/>
        <v>5235</v>
      </c>
      <c r="U3093" s="257">
        <f t="shared" si="104"/>
        <v>0</v>
      </c>
      <c r="V3093">
        <v>1</v>
      </c>
      <c r="W3093">
        <v>0</v>
      </c>
    </row>
    <row r="3094" spans="1:23" ht="91.2" x14ac:dyDescent="0.3">
      <c r="A3094" s="214">
        <v>43492</v>
      </c>
      <c r="B3094" s="214">
        <v>43492</v>
      </c>
      <c r="C3094" s="6">
        <v>1</v>
      </c>
      <c r="D3094" s="6">
        <v>1</v>
      </c>
      <c r="E3094" s="33">
        <v>2019</v>
      </c>
      <c r="F3094" s="15" t="s">
        <v>22</v>
      </c>
      <c r="G3094" s="9" t="s">
        <v>6257</v>
      </c>
      <c r="H3094" s="9" t="s">
        <v>69</v>
      </c>
      <c r="I3094" s="34" t="s">
        <v>667</v>
      </c>
      <c r="J3094" s="34" t="s">
        <v>4988</v>
      </c>
      <c r="K3094" s="40">
        <v>1</v>
      </c>
      <c r="L3094" s="235">
        <v>2</v>
      </c>
      <c r="M3094" s="35">
        <v>0</v>
      </c>
      <c r="N3094" s="35">
        <v>0</v>
      </c>
      <c r="O3094" s="35">
        <v>0</v>
      </c>
      <c r="P3094" s="35">
        <v>0</v>
      </c>
      <c r="Q3094" s="35">
        <v>0</v>
      </c>
      <c r="R3094" s="42">
        <v>0</v>
      </c>
      <c r="S3094" s="33" t="s">
        <v>115</v>
      </c>
      <c r="T3094" s="257">
        <f t="shared" si="103"/>
        <v>3</v>
      </c>
      <c r="U3094" s="257">
        <f t="shared" si="104"/>
        <v>0</v>
      </c>
      <c r="V3094">
        <v>1</v>
      </c>
      <c r="W3094">
        <v>0</v>
      </c>
    </row>
    <row r="3095" spans="1:23" ht="409.6" x14ac:dyDescent="0.3">
      <c r="A3095" s="214">
        <v>43497</v>
      </c>
      <c r="B3095" s="214">
        <v>43497</v>
      </c>
      <c r="C3095" s="6">
        <v>2</v>
      </c>
      <c r="D3095" s="6">
        <v>1</v>
      </c>
      <c r="E3095" s="19">
        <v>2019</v>
      </c>
      <c r="F3095" s="7" t="s">
        <v>17</v>
      </c>
      <c r="G3095" s="16" t="s">
        <v>6260</v>
      </c>
      <c r="H3095" s="9" t="s">
        <v>31</v>
      </c>
      <c r="I3095" s="34" t="s">
        <v>4990</v>
      </c>
      <c r="J3095" s="34" t="s">
        <v>4991</v>
      </c>
      <c r="K3095" s="40">
        <v>0</v>
      </c>
      <c r="L3095" s="235">
        <v>197</v>
      </c>
      <c r="M3095" s="35">
        <v>49</v>
      </c>
      <c r="N3095" s="35">
        <v>58</v>
      </c>
      <c r="O3095" s="35">
        <v>0</v>
      </c>
      <c r="P3095" s="35">
        <v>6</v>
      </c>
      <c r="Q3095" s="35">
        <v>0</v>
      </c>
      <c r="R3095" s="42">
        <v>111.5337207</v>
      </c>
      <c r="S3095" s="33" t="s">
        <v>131</v>
      </c>
      <c r="T3095" s="257">
        <f t="shared" si="103"/>
        <v>197</v>
      </c>
      <c r="U3095" s="257">
        <f t="shared" si="104"/>
        <v>113</v>
      </c>
      <c r="V3095">
        <v>1</v>
      </c>
      <c r="W3095">
        <v>1</v>
      </c>
    </row>
    <row r="3096" spans="1:23" ht="125.4" x14ac:dyDescent="0.3">
      <c r="A3096" s="214">
        <v>43514</v>
      </c>
      <c r="B3096" s="214">
        <v>43514</v>
      </c>
      <c r="C3096" s="6">
        <v>2</v>
      </c>
      <c r="D3096" s="6">
        <v>1</v>
      </c>
      <c r="E3096" s="19">
        <v>2019</v>
      </c>
      <c r="F3096" s="7" t="s">
        <v>17</v>
      </c>
      <c r="G3096" s="8" t="s">
        <v>6261</v>
      </c>
      <c r="H3096" s="9" t="s">
        <v>27</v>
      </c>
      <c r="I3096" s="34" t="s">
        <v>671</v>
      </c>
      <c r="J3096" s="34" t="s">
        <v>4993</v>
      </c>
      <c r="K3096" s="40">
        <v>0</v>
      </c>
      <c r="L3096" s="235">
        <v>54</v>
      </c>
      <c r="M3096" s="35">
        <v>0</v>
      </c>
      <c r="N3096" s="35">
        <v>0</v>
      </c>
      <c r="O3096" s="35">
        <v>0</v>
      </c>
      <c r="P3096" s="35">
        <v>0</v>
      </c>
      <c r="Q3096" s="35">
        <v>0</v>
      </c>
      <c r="R3096" s="42">
        <v>0</v>
      </c>
      <c r="S3096" s="33" t="s">
        <v>115</v>
      </c>
      <c r="T3096" s="257">
        <f t="shared" si="103"/>
        <v>54</v>
      </c>
      <c r="U3096" s="257">
        <f t="shared" si="104"/>
        <v>0</v>
      </c>
      <c r="V3096">
        <v>1</v>
      </c>
      <c r="W3096">
        <v>0</v>
      </c>
    </row>
    <row r="3097" spans="1:23" ht="114" x14ac:dyDescent="0.3">
      <c r="A3097" s="214">
        <v>43516</v>
      </c>
      <c r="B3097" s="214">
        <v>43520</v>
      </c>
      <c r="C3097" s="6">
        <v>2</v>
      </c>
      <c r="D3097" s="6">
        <v>5</v>
      </c>
      <c r="E3097" s="19">
        <v>2019</v>
      </c>
      <c r="F3097" s="15" t="s">
        <v>22</v>
      </c>
      <c r="G3097" s="18" t="s">
        <v>6255</v>
      </c>
      <c r="H3097" s="9" t="s">
        <v>74</v>
      </c>
      <c r="I3097" s="34" t="s">
        <v>4994</v>
      </c>
      <c r="J3097" s="34" t="s">
        <v>4995</v>
      </c>
      <c r="K3097" s="40">
        <v>0</v>
      </c>
      <c r="L3097" s="235">
        <v>9207</v>
      </c>
      <c r="M3097" s="35">
        <v>0</v>
      </c>
      <c r="N3097" s="35">
        <v>0</v>
      </c>
      <c r="O3097" s="35">
        <v>0</v>
      </c>
      <c r="P3097" s="35">
        <v>0</v>
      </c>
      <c r="Q3097" s="35">
        <v>0</v>
      </c>
      <c r="R3097" s="42">
        <v>8.8763350448000011</v>
      </c>
      <c r="S3097" s="33" t="s">
        <v>149</v>
      </c>
      <c r="T3097" s="257">
        <f t="shared" si="103"/>
        <v>9207</v>
      </c>
      <c r="U3097" s="257">
        <f t="shared" si="104"/>
        <v>0</v>
      </c>
      <c r="V3097">
        <v>1</v>
      </c>
      <c r="W3097">
        <v>0</v>
      </c>
    </row>
    <row r="3098" spans="1:23" ht="57" x14ac:dyDescent="0.3">
      <c r="A3098" s="214">
        <v>43536</v>
      </c>
      <c r="B3098" s="214">
        <v>43536</v>
      </c>
      <c r="C3098" s="6">
        <v>3</v>
      </c>
      <c r="D3098" s="6">
        <v>1</v>
      </c>
      <c r="E3098" s="33">
        <v>2019</v>
      </c>
      <c r="F3098" s="15" t="s">
        <v>22</v>
      </c>
      <c r="G3098" s="9" t="s">
        <v>6257</v>
      </c>
      <c r="H3098" s="9" t="s">
        <v>34</v>
      </c>
      <c r="I3098" s="34" t="s">
        <v>4996</v>
      </c>
      <c r="J3098" s="34" t="s">
        <v>4997</v>
      </c>
      <c r="K3098" s="40">
        <v>0</v>
      </c>
      <c r="L3098" s="235">
        <v>0</v>
      </c>
      <c r="M3098" s="35">
        <v>9</v>
      </c>
      <c r="N3098" s="35">
        <v>0</v>
      </c>
      <c r="O3098" s="35">
        <v>0</v>
      </c>
      <c r="P3098" s="35">
        <v>0</v>
      </c>
      <c r="Q3098" s="35">
        <v>0</v>
      </c>
      <c r="R3098" s="42">
        <v>3.4650000000000006E-3</v>
      </c>
      <c r="S3098" s="33" t="s">
        <v>115</v>
      </c>
      <c r="T3098" s="257">
        <f t="shared" si="103"/>
        <v>0</v>
      </c>
      <c r="U3098" s="257">
        <f t="shared" si="104"/>
        <v>9</v>
      </c>
      <c r="V3098">
        <v>0</v>
      </c>
      <c r="W3098">
        <v>1</v>
      </c>
    </row>
    <row r="3099" spans="1:23" ht="159.6" x14ac:dyDescent="0.3">
      <c r="A3099" s="214">
        <v>43536</v>
      </c>
      <c r="B3099" s="214">
        <v>43536</v>
      </c>
      <c r="C3099" s="6">
        <v>3</v>
      </c>
      <c r="D3099" s="6">
        <v>1</v>
      </c>
      <c r="E3099" s="33">
        <v>2019</v>
      </c>
      <c r="F3099" s="15" t="s">
        <v>22</v>
      </c>
      <c r="G3099" s="16" t="s">
        <v>6256</v>
      </c>
      <c r="H3099" s="9" t="s">
        <v>46</v>
      </c>
      <c r="I3099" s="34" t="s">
        <v>4998</v>
      </c>
      <c r="J3099" s="34" t="s">
        <v>4999</v>
      </c>
      <c r="K3099" s="40">
        <v>0</v>
      </c>
      <c r="L3099" s="235">
        <v>32</v>
      </c>
      <c r="M3099" s="35">
        <v>8</v>
      </c>
      <c r="N3099" s="35">
        <v>2</v>
      </c>
      <c r="O3099" s="35">
        <v>0</v>
      </c>
      <c r="P3099" s="35">
        <v>0</v>
      </c>
      <c r="Q3099" s="35">
        <v>0</v>
      </c>
      <c r="R3099" s="42">
        <v>9.2399999999999999E-3</v>
      </c>
      <c r="S3099" s="33" t="s">
        <v>115</v>
      </c>
      <c r="T3099" s="257">
        <f t="shared" si="103"/>
        <v>32</v>
      </c>
      <c r="U3099" s="257">
        <f t="shared" si="104"/>
        <v>10</v>
      </c>
      <c r="V3099">
        <v>1</v>
      </c>
      <c r="W3099">
        <v>1</v>
      </c>
    </row>
    <row r="3100" spans="1:23" ht="114" x14ac:dyDescent="0.3">
      <c r="A3100" s="214">
        <v>43539</v>
      </c>
      <c r="B3100" s="214">
        <v>43539</v>
      </c>
      <c r="C3100" s="6">
        <v>3</v>
      </c>
      <c r="D3100" s="6">
        <v>1</v>
      </c>
      <c r="E3100" s="33">
        <v>2019</v>
      </c>
      <c r="F3100" s="15" t="s">
        <v>22</v>
      </c>
      <c r="G3100" s="18" t="s">
        <v>6256</v>
      </c>
      <c r="H3100" s="9" t="s">
        <v>88</v>
      </c>
      <c r="I3100" s="34" t="s">
        <v>2915</v>
      </c>
      <c r="J3100" s="34" t="s">
        <v>5001</v>
      </c>
      <c r="K3100" s="40">
        <v>0</v>
      </c>
      <c r="L3100" s="235">
        <v>120</v>
      </c>
      <c r="M3100" s="35">
        <v>30</v>
      </c>
      <c r="N3100" s="35">
        <v>0</v>
      </c>
      <c r="O3100" s="35">
        <v>0</v>
      </c>
      <c r="P3100" s="35">
        <v>0</v>
      </c>
      <c r="Q3100" s="35">
        <v>0</v>
      </c>
      <c r="R3100" s="42">
        <v>0.24585000000000001</v>
      </c>
      <c r="S3100" s="33" t="s">
        <v>115</v>
      </c>
      <c r="T3100" s="257">
        <f t="shared" si="103"/>
        <v>120</v>
      </c>
      <c r="U3100" s="257">
        <f t="shared" si="104"/>
        <v>30</v>
      </c>
      <c r="V3100">
        <v>1</v>
      </c>
      <c r="W3100">
        <v>1</v>
      </c>
    </row>
    <row r="3101" spans="1:23" ht="102.6" x14ac:dyDescent="0.3">
      <c r="A3101" s="214">
        <v>43563</v>
      </c>
      <c r="B3101" s="214">
        <v>43563</v>
      </c>
      <c r="C3101" s="6">
        <v>4</v>
      </c>
      <c r="D3101" s="6">
        <v>1</v>
      </c>
      <c r="E3101" s="19">
        <v>2019</v>
      </c>
      <c r="F3101" s="15" t="s">
        <v>22</v>
      </c>
      <c r="G3101" s="82" t="s">
        <v>6256</v>
      </c>
      <c r="H3101" s="9" t="s">
        <v>174</v>
      </c>
      <c r="I3101" s="34" t="s">
        <v>2407</v>
      </c>
      <c r="J3101" s="34" t="s">
        <v>5002</v>
      </c>
      <c r="K3101" s="40">
        <v>0</v>
      </c>
      <c r="L3101" s="235">
        <v>32</v>
      </c>
      <c r="M3101" s="35">
        <v>8</v>
      </c>
      <c r="N3101" s="35">
        <v>0</v>
      </c>
      <c r="O3101" s="35">
        <v>0</v>
      </c>
      <c r="P3101" s="35">
        <v>0</v>
      </c>
      <c r="Q3101" s="35">
        <v>0</v>
      </c>
      <c r="R3101" s="42">
        <v>3.0800000000000003E-3</v>
      </c>
      <c r="S3101" s="33" t="s">
        <v>115</v>
      </c>
      <c r="T3101" s="257">
        <f t="shared" si="103"/>
        <v>32</v>
      </c>
      <c r="U3101" s="257">
        <f t="shared" si="104"/>
        <v>8</v>
      </c>
      <c r="V3101">
        <v>1</v>
      </c>
      <c r="W3101">
        <v>1</v>
      </c>
    </row>
    <row r="3102" spans="1:23" x14ac:dyDescent="0.3">
      <c r="A3102" s="214">
        <v>43572</v>
      </c>
      <c r="B3102" s="214">
        <v>43572</v>
      </c>
      <c r="C3102" s="6">
        <v>4</v>
      </c>
      <c r="D3102" s="6">
        <v>1</v>
      </c>
      <c r="E3102" s="33">
        <v>2019</v>
      </c>
      <c r="F3102" s="15" t="s">
        <v>22</v>
      </c>
      <c r="G3102" s="82" t="s">
        <v>6256</v>
      </c>
      <c r="H3102" s="9" t="s">
        <v>37</v>
      </c>
      <c r="I3102" s="34" t="s">
        <v>5003</v>
      </c>
      <c r="J3102" s="34" t="s">
        <v>5004</v>
      </c>
      <c r="K3102" s="40">
        <v>0</v>
      </c>
      <c r="L3102" s="235">
        <v>1124</v>
      </c>
      <c r="M3102" s="35">
        <v>0</v>
      </c>
      <c r="N3102" s="35">
        <v>0</v>
      </c>
      <c r="O3102" s="35">
        <v>0</v>
      </c>
      <c r="P3102" s="35">
        <v>0</v>
      </c>
      <c r="Q3102" s="35">
        <v>0</v>
      </c>
      <c r="R3102" s="42">
        <v>1.1730449299999999</v>
      </c>
      <c r="S3102" s="33" t="s">
        <v>149</v>
      </c>
      <c r="T3102" s="257">
        <f t="shared" si="103"/>
        <v>1124</v>
      </c>
      <c r="U3102" s="257">
        <f t="shared" si="104"/>
        <v>0</v>
      </c>
      <c r="V3102">
        <v>1</v>
      </c>
      <c r="W3102">
        <v>0</v>
      </c>
    </row>
    <row r="3103" spans="1:23" ht="22.8" x14ac:dyDescent="0.3">
      <c r="A3103" s="129">
        <v>43586</v>
      </c>
      <c r="B3103" s="129">
        <v>43799</v>
      </c>
      <c r="C3103" s="6">
        <v>5</v>
      </c>
      <c r="D3103" s="6">
        <v>214</v>
      </c>
      <c r="E3103" s="33">
        <v>2019</v>
      </c>
      <c r="F3103" s="15" t="s">
        <v>22</v>
      </c>
      <c r="G3103" s="16" t="s">
        <v>23</v>
      </c>
      <c r="H3103" s="9" t="s">
        <v>174</v>
      </c>
      <c r="I3103" s="53"/>
      <c r="J3103" s="53" t="s">
        <v>5006</v>
      </c>
      <c r="K3103" s="103">
        <v>0</v>
      </c>
      <c r="L3103" s="104">
        <v>0</v>
      </c>
      <c r="M3103" s="23">
        <v>0</v>
      </c>
      <c r="N3103" s="23">
        <v>0</v>
      </c>
      <c r="O3103" s="23">
        <v>0</v>
      </c>
      <c r="P3103" s="23">
        <v>0</v>
      </c>
      <c r="Q3103" s="23">
        <v>0</v>
      </c>
      <c r="R3103" s="42">
        <v>21.923293000000001</v>
      </c>
      <c r="S3103" s="33" t="s">
        <v>149</v>
      </c>
      <c r="T3103" s="257">
        <f t="shared" si="103"/>
        <v>0</v>
      </c>
      <c r="U3103" s="257">
        <f t="shared" si="104"/>
        <v>0</v>
      </c>
      <c r="V3103">
        <v>0</v>
      </c>
      <c r="W3103">
        <v>0</v>
      </c>
    </row>
    <row r="3104" spans="1:23" ht="136.80000000000001" x14ac:dyDescent="0.3">
      <c r="A3104" s="214">
        <v>43591</v>
      </c>
      <c r="B3104" s="214">
        <v>43591</v>
      </c>
      <c r="C3104" s="6">
        <v>5</v>
      </c>
      <c r="D3104" s="6">
        <v>1</v>
      </c>
      <c r="E3104" s="33">
        <v>2019</v>
      </c>
      <c r="F3104" s="15" t="s">
        <v>22</v>
      </c>
      <c r="G3104" s="18" t="s">
        <v>6256</v>
      </c>
      <c r="H3104" s="9" t="s">
        <v>64</v>
      </c>
      <c r="I3104" s="34" t="s">
        <v>4324</v>
      </c>
      <c r="J3104" s="34" t="s">
        <v>5007</v>
      </c>
      <c r="K3104" s="40">
        <v>0</v>
      </c>
      <c r="L3104" s="235">
        <v>92</v>
      </c>
      <c r="M3104" s="35">
        <v>23</v>
      </c>
      <c r="N3104" s="35">
        <v>0</v>
      </c>
      <c r="O3104" s="35">
        <v>0</v>
      </c>
      <c r="P3104" s="35">
        <v>0</v>
      </c>
      <c r="Q3104" s="35">
        <v>0</v>
      </c>
      <c r="R3104" s="42">
        <v>2.6564999999999998E-2</v>
      </c>
      <c r="S3104" s="33" t="s">
        <v>115</v>
      </c>
      <c r="T3104" s="257">
        <f t="shared" si="103"/>
        <v>92</v>
      </c>
      <c r="U3104" s="257">
        <f t="shared" si="104"/>
        <v>23</v>
      </c>
      <c r="V3104">
        <v>1</v>
      </c>
      <c r="W3104">
        <v>1</v>
      </c>
    </row>
    <row r="3105" spans="1:23" ht="136.80000000000001" x14ac:dyDescent="0.3">
      <c r="A3105" s="214">
        <v>43608</v>
      </c>
      <c r="B3105" s="214">
        <v>43608</v>
      </c>
      <c r="C3105" s="6">
        <v>5</v>
      </c>
      <c r="D3105" s="6">
        <v>1</v>
      </c>
      <c r="E3105" s="33">
        <v>2019</v>
      </c>
      <c r="F3105" s="15" t="s">
        <v>22</v>
      </c>
      <c r="G3105" s="18" t="s">
        <v>6256</v>
      </c>
      <c r="H3105" s="9" t="s">
        <v>31</v>
      </c>
      <c r="I3105" s="34" t="s">
        <v>636</v>
      </c>
      <c r="J3105" s="34" t="s">
        <v>5008</v>
      </c>
      <c r="K3105" s="40">
        <v>0</v>
      </c>
      <c r="L3105" s="235">
        <v>278</v>
      </c>
      <c r="M3105" s="35">
        <v>64</v>
      </c>
      <c r="N3105" s="35">
        <v>0</v>
      </c>
      <c r="O3105" s="35">
        <v>0</v>
      </c>
      <c r="P3105" s="35">
        <v>0</v>
      </c>
      <c r="Q3105" s="35">
        <v>0</v>
      </c>
      <c r="R3105" s="42">
        <v>2.4640000000000002E-2</v>
      </c>
      <c r="S3105" s="33" t="s">
        <v>115</v>
      </c>
      <c r="T3105" s="257">
        <f t="shared" si="103"/>
        <v>278</v>
      </c>
      <c r="U3105" s="257">
        <f t="shared" si="104"/>
        <v>64</v>
      </c>
      <c r="V3105">
        <v>1</v>
      </c>
      <c r="W3105">
        <v>1</v>
      </c>
    </row>
    <row r="3106" spans="1:23" ht="228" x14ac:dyDescent="0.3">
      <c r="A3106" s="214">
        <v>43615</v>
      </c>
      <c r="B3106" s="214">
        <v>43615</v>
      </c>
      <c r="C3106" s="6">
        <v>5</v>
      </c>
      <c r="D3106" s="6">
        <v>1</v>
      </c>
      <c r="E3106" s="19">
        <v>2019</v>
      </c>
      <c r="F3106" s="15" t="s">
        <v>22</v>
      </c>
      <c r="G3106" s="18" t="s">
        <v>6256</v>
      </c>
      <c r="H3106" s="9" t="s">
        <v>70</v>
      </c>
      <c r="I3106" s="34" t="s">
        <v>2595</v>
      </c>
      <c r="J3106" s="34" t="s">
        <v>5009</v>
      </c>
      <c r="K3106" s="40">
        <v>0</v>
      </c>
      <c r="L3106" s="235">
        <v>400</v>
      </c>
      <c r="M3106" s="35">
        <v>100</v>
      </c>
      <c r="N3106" s="35">
        <v>40</v>
      </c>
      <c r="O3106" s="35">
        <v>0</v>
      </c>
      <c r="P3106" s="35">
        <v>0</v>
      </c>
      <c r="Q3106" s="35">
        <v>0</v>
      </c>
      <c r="R3106" s="42">
        <v>21.235499999999998</v>
      </c>
      <c r="S3106" s="33" t="s">
        <v>115</v>
      </c>
      <c r="T3106" s="257">
        <f t="shared" si="103"/>
        <v>400</v>
      </c>
      <c r="U3106" s="257">
        <f t="shared" si="104"/>
        <v>140</v>
      </c>
      <c r="V3106">
        <v>1</v>
      </c>
      <c r="W3106">
        <v>1</v>
      </c>
    </row>
    <row r="3107" spans="1:23" ht="148.19999999999999" x14ac:dyDescent="0.3">
      <c r="A3107" s="214">
        <v>43618</v>
      </c>
      <c r="B3107" s="214">
        <v>43618</v>
      </c>
      <c r="C3107" s="6">
        <v>6</v>
      </c>
      <c r="D3107" s="6">
        <v>1</v>
      </c>
      <c r="E3107" s="33">
        <v>2019</v>
      </c>
      <c r="F3107" s="15" t="s">
        <v>22</v>
      </c>
      <c r="G3107" s="18" t="s">
        <v>6256</v>
      </c>
      <c r="H3107" s="9" t="s">
        <v>51</v>
      </c>
      <c r="I3107" s="34" t="s">
        <v>5011</v>
      </c>
      <c r="J3107" s="34" t="s">
        <v>5012</v>
      </c>
      <c r="K3107" s="40">
        <v>5</v>
      </c>
      <c r="L3107" s="235">
        <v>2189</v>
      </c>
      <c r="M3107" s="35">
        <v>14</v>
      </c>
      <c r="N3107" s="35">
        <v>2</v>
      </c>
      <c r="O3107" s="35">
        <v>0</v>
      </c>
      <c r="P3107" s="35">
        <v>30</v>
      </c>
      <c r="Q3107" s="35">
        <v>0</v>
      </c>
      <c r="R3107" s="42">
        <v>187.27488560000003</v>
      </c>
      <c r="S3107" s="33" t="s">
        <v>5013</v>
      </c>
      <c r="T3107" s="257">
        <f t="shared" si="103"/>
        <v>2194</v>
      </c>
      <c r="U3107" s="257">
        <f t="shared" si="104"/>
        <v>46</v>
      </c>
      <c r="V3107">
        <v>1</v>
      </c>
      <c r="W3107">
        <v>1</v>
      </c>
    </row>
    <row r="3108" spans="1:23" ht="102.6" x14ac:dyDescent="0.3">
      <c r="A3108" s="214">
        <v>43620</v>
      </c>
      <c r="B3108" s="214">
        <v>43620</v>
      </c>
      <c r="C3108" s="6">
        <v>6</v>
      </c>
      <c r="D3108" s="6">
        <v>1</v>
      </c>
      <c r="E3108" s="33">
        <v>2019</v>
      </c>
      <c r="F3108" s="15" t="s">
        <v>22</v>
      </c>
      <c r="G3108" s="18" t="s">
        <v>6256</v>
      </c>
      <c r="H3108" s="9" t="s">
        <v>52</v>
      </c>
      <c r="I3108" s="34" t="s">
        <v>2593</v>
      </c>
      <c r="J3108" s="34" t="s">
        <v>5014</v>
      </c>
      <c r="K3108" s="40">
        <v>0</v>
      </c>
      <c r="L3108" s="235">
        <v>40</v>
      </c>
      <c r="M3108" s="35">
        <v>10</v>
      </c>
      <c r="N3108" s="35">
        <v>0</v>
      </c>
      <c r="O3108" s="35">
        <v>0</v>
      </c>
      <c r="P3108" s="35">
        <v>0</v>
      </c>
      <c r="Q3108" s="35">
        <v>0</v>
      </c>
      <c r="R3108" s="42">
        <v>1.155E-2</v>
      </c>
      <c r="S3108" s="33" t="s">
        <v>115</v>
      </c>
      <c r="T3108" s="257">
        <f t="shared" si="103"/>
        <v>40</v>
      </c>
      <c r="U3108" s="257">
        <f t="shared" si="104"/>
        <v>10</v>
      </c>
      <c r="V3108">
        <v>1</v>
      </c>
      <c r="W3108">
        <v>1</v>
      </c>
    </row>
    <row r="3109" spans="1:23" ht="125.4" x14ac:dyDescent="0.3">
      <c r="A3109" s="214">
        <v>43620</v>
      </c>
      <c r="B3109" s="214">
        <v>43620</v>
      </c>
      <c r="C3109" s="6">
        <v>6</v>
      </c>
      <c r="D3109" s="6">
        <v>1</v>
      </c>
      <c r="E3109" s="19">
        <v>2019</v>
      </c>
      <c r="F3109" s="7" t="s">
        <v>17</v>
      </c>
      <c r="G3109" s="8" t="s">
        <v>6261</v>
      </c>
      <c r="H3109" s="9" t="s">
        <v>174</v>
      </c>
      <c r="I3109" s="34" t="s">
        <v>1390</v>
      </c>
      <c r="J3109" s="34" t="s">
        <v>5015</v>
      </c>
      <c r="K3109" s="40">
        <v>0</v>
      </c>
      <c r="L3109" s="235">
        <v>120</v>
      </c>
      <c r="M3109" s="35">
        <v>2</v>
      </c>
      <c r="N3109" s="35">
        <v>0</v>
      </c>
      <c r="O3109" s="35">
        <v>0</v>
      </c>
      <c r="P3109" s="35">
        <v>0</v>
      </c>
      <c r="Q3109" s="35">
        <v>0</v>
      </c>
      <c r="R3109" s="42">
        <v>1.2100000000000001E-2</v>
      </c>
      <c r="S3109" s="33" t="s">
        <v>115</v>
      </c>
      <c r="T3109" s="257">
        <f t="shared" si="103"/>
        <v>120</v>
      </c>
      <c r="U3109" s="257">
        <f t="shared" si="104"/>
        <v>2</v>
      </c>
      <c r="V3109">
        <v>1</v>
      </c>
      <c r="W3109">
        <v>1</v>
      </c>
    </row>
    <row r="3110" spans="1:23" ht="79.8" x14ac:dyDescent="0.3">
      <c r="A3110" s="214">
        <v>43621</v>
      </c>
      <c r="B3110" s="214">
        <v>43621</v>
      </c>
      <c r="C3110" s="6">
        <v>6</v>
      </c>
      <c r="D3110" s="6">
        <v>1</v>
      </c>
      <c r="E3110" s="19">
        <v>2019</v>
      </c>
      <c r="F3110" s="15" t="s">
        <v>22</v>
      </c>
      <c r="G3110" s="18" t="s">
        <v>6256</v>
      </c>
      <c r="H3110" s="9" t="s">
        <v>46</v>
      </c>
      <c r="I3110" s="34" t="s">
        <v>300</v>
      </c>
      <c r="J3110" s="34" t="s">
        <v>5016</v>
      </c>
      <c r="K3110" s="40">
        <v>1</v>
      </c>
      <c r="L3110" s="235">
        <v>1301</v>
      </c>
      <c r="M3110" s="35">
        <v>326</v>
      </c>
      <c r="N3110" s="35">
        <v>0</v>
      </c>
      <c r="O3110" s="35">
        <v>1</v>
      </c>
      <c r="P3110" s="35">
        <v>0</v>
      </c>
      <c r="Q3110" s="35">
        <v>0</v>
      </c>
      <c r="R3110" s="42">
        <v>0.37652999999999998</v>
      </c>
      <c r="S3110" s="33" t="s">
        <v>115</v>
      </c>
      <c r="T3110" s="257">
        <f t="shared" si="103"/>
        <v>1302</v>
      </c>
      <c r="U3110" s="257">
        <f t="shared" si="104"/>
        <v>327</v>
      </c>
      <c r="V3110">
        <v>1</v>
      </c>
      <c r="W3110">
        <v>1</v>
      </c>
    </row>
    <row r="3111" spans="1:23" ht="114" x14ac:dyDescent="0.3">
      <c r="A3111" s="214">
        <v>43620</v>
      </c>
      <c r="B3111" s="214">
        <v>43620</v>
      </c>
      <c r="C3111" s="6">
        <v>6</v>
      </c>
      <c r="D3111" s="6">
        <v>1</v>
      </c>
      <c r="E3111" s="19">
        <v>2019</v>
      </c>
      <c r="F3111" s="15" t="s">
        <v>22</v>
      </c>
      <c r="G3111" s="18" t="s">
        <v>6256</v>
      </c>
      <c r="H3111" s="9" t="s">
        <v>43</v>
      </c>
      <c r="I3111" s="34" t="s">
        <v>5017</v>
      </c>
      <c r="J3111" s="34" t="s">
        <v>5018</v>
      </c>
      <c r="K3111" s="40">
        <v>0</v>
      </c>
      <c r="L3111" s="235">
        <v>40</v>
      </c>
      <c r="M3111" s="35">
        <v>10</v>
      </c>
      <c r="N3111" s="35">
        <v>0</v>
      </c>
      <c r="O3111" s="35">
        <v>0</v>
      </c>
      <c r="P3111" s="35">
        <v>0</v>
      </c>
      <c r="Q3111" s="35">
        <v>0</v>
      </c>
      <c r="R3111" s="42">
        <v>1.155E-2</v>
      </c>
      <c r="S3111" s="33" t="s">
        <v>115</v>
      </c>
      <c r="T3111" s="257">
        <f t="shared" si="103"/>
        <v>40</v>
      </c>
      <c r="U3111" s="257">
        <f t="shared" si="104"/>
        <v>10</v>
      </c>
      <c r="V3111">
        <v>1</v>
      </c>
      <c r="W3111">
        <v>1</v>
      </c>
    </row>
    <row r="3112" spans="1:23" ht="125.4" x14ac:dyDescent="0.3">
      <c r="A3112" s="214">
        <v>43624</v>
      </c>
      <c r="B3112" s="214">
        <v>43624</v>
      </c>
      <c r="C3112" s="6">
        <v>6</v>
      </c>
      <c r="D3112" s="6">
        <v>1</v>
      </c>
      <c r="E3112" s="19">
        <v>2019</v>
      </c>
      <c r="F3112" s="7" t="s">
        <v>17</v>
      </c>
      <c r="G3112" s="8" t="s">
        <v>6261</v>
      </c>
      <c r="H3112" s="9" t="s">
        <v>118</v>
      </c>
      <c r="I3112" s="34" t="s">
        <v>639</v>
      </c>
      <c r="J3112" s="34" t="s">
        <v>5019</v>
      </c>
      <c r="K3112" s="40">
        <v>1</v>
      </c>
      <c r="L3112" s="235">
        <v>2</v>
      </c>
      <c r="M3112" s="35">
        <v>0</v>
      </c>
      <c r="N3112" s="35">
        <v>0</v>
      </c>
      <c r="O3112" s="35">
        <v>0</v>
      </c>
      <c r="P3112" s="35">
        <v>0</v>
      </c>
      <c r="Q3112" s="35">
        <v>0</v>
      </c>
      <c r="R3112" s="42">
        <v>9.9000000000000021E-4</v>
      </c>
      <c r="S3112" s="33" t="s">
        <v>115</v>
      </c>
      <c r="T3112" s="257">
        <f t="shared" si="103"/>
        <v>3</v>
      </c>
      <c r="U3112" s="257">
        <f t="shared" si="104"/>
        <v>0</v>
      </c>
      <c r="V3112">
        <v>1</v>
      </c>
      <c r="W3112">
        <v>0</v>
      </c>
    </row>
    <row r="3113" spans="1:23" ht="171" x14ac:dyDescent="0.3">
      <c r="A3113" s="214">
        <v>43630</v>
      </c>
      <c r="B3113" s="214">
        <v>43630</v>
      </c>
      <c r="C3113" s="6">
        <v>6</v>
      </c>
      <c r="D3113" s="6">
        <v>1</v>
      </c>
      <c r="E3113" s="19">
        <v>2019</v>
      </c>
      <c r="F3113" s="15" t="s">
        <v>22</v>
      </c>
      <c r="G3113" s="18" t="s">
        <v>6256</v>
      </c>
      <c r="H3113" s="17" t="s">
        <v>565</v>
      </c>
      <c r="I3113" s="34" t="s">
        <v>5020</v>
      </c>
      <c r="J3113" s="34" t="s">
        <v>5021</v>
      </c>
      <c r="K3113" s="40">
        <v>0</v>
      </c>
      <c r="L3113" s="235">
        <v>7744</v>
      </c>
      <c r="M3113" s="35">
        <v>435</v>
      </c>
      <c r="N3113" s="35">
        <v>0</v>
      </c>
      <c r="O3113" s="35">
        <v>0</v>
      </c>
      <c r="P3113" s="35">
        <v>0</v>
      </c>
      <c r="Q3113" s="35">
        <v>0</v>
      </c>
      <c r="R3113" s="42">
        <v>0.50242500000000001</v>
      </c>
      <c r="S3113" s="33" t="s">
        <v>115</v>
      </c>
      <c r="T3113" s="257">
        <f t="shared" si="103"/>
        <v>7744</v>
      </c>
      <c r="U3113" s="257">
        <f t="shared" si="104"/>
        <v>435</v>
      </c>
      <c r="V3113">
        <v>1</v>
      </c>
      <c r="W3113">
        <v>1</v>
      </c>
    </row>
    <row r="3114" spans="1:23" ht="68.400000000000006" x14ac:dyDescent="0.3">
      <c r="A3114" s="214">
        <v>43635</v>
      </c>
      <c r="B3114" s="214">
        <v>43636</v>
      </c>
      <c r="C3114" s="6">
        <v>6</v>
      </c>
      <c r="D3114" s="6">
        <v>2</v>
      </c>
      <c r="E3114" s="33">
        <v>2019</v>
      </c>
      <c r="F3114" s="15" t="s">
        <v>22</v>
      </c>
      <c r="G3114" s="18" t="s">
        <v>6256</v>
      </c>
      <c r="H3114" s="9" t="s">
        <v>121</v>
      </c>
      <c r="I3114" s="34" t="s">
        <v>5022</v>
      </c>
      <c r="J3114" s="34" t="s">
        <v>5023</v>
      </c>
      <c r="K3114" s="40">
        <v>2</v>
      </c>
      <c r="L3114" s="235">
        <v>2</v>
      </c>
      <c r="M3114" s="35">
        <v>0</v>
      </c>
      <c r="N3114" s="35">
        <v>0</v>
      </c>
      <c r="O3114" s="35">
        <v>0</v>
      </c>
      <c r="P3114" s="35">
        <v>0</v>
      </c>
      <c r="Q3114" s="35">
        <v>0</v>
      </c>
      <c r="R3114" s="42">
        <v>0</v>
      </c>
      <c r="S3114" s="33" t="s">
        <v>115</v>
      </c>
      <c r="T3114" s="257">
        <f t="shared" si="103"/>
        <v>4</v>
      </c>
      <c r="U3114" s="257">
        <f t="shared" si="104"/>
        <v>0</v>
      </c>
      <c r="V3114">
        <v>1</v>
      </c>
      <c r="W3114">
        <v>0</v>
      </c>
    </row>
    <row r="3115" spans="1:23" ht="159.6" x14ac:dyDescent="0.3">
      <c r="A3115" s="214">
        <v>43639</v>
      </c>
      <c r="B3115" s="214">
        <v>43639</v>
      </c>
      <c r="C3115" s="6">
        <v>6</v>
      </c>
      <c r="D3115" s="6">
        <v>1</v>
      </c>
      <c r="E3115" s="33">
        <v>2019</v>
      </c>
      <c r="F3115" s="15" t="s">
        <v>22</v>
      </c>
      <c r="G3115" s="18" t="s">
        <v>6256</v>
      </c>
      <c r="H3115" s="9" t="s">
        <v>66</v>
      </c>
      <c r="I3115" s="34" t="s">
        <v>66</v>
      </c>
      <c r="J3115" s="34" t="s">
        <v>5024</v>
      </c>
      <c r="K3115" s="40">
        <v>0</v>
      </c>
      <c r="L3115" s="235">
        <v>120</v>
      </c>
      <c r="M3115" s="35">
        <v>30</v>
      </c>
      <c r="N3115" s="35">
        <v>0</v>
      </c>
      <c r="O3115" s="35">
        <v>0</v>
      </c>
      <c r="P3115" s="35">
        <v>0</v>
      </c>
      <c r="Q3115" s="35">
        <v>0</v>
      </c>
      <c r="R3115" s="42">
        <v>3.465E-2</v>
      </c>
      <c r="S3115" s="33" t="s">
        <v>115</v>
      </c>
      <c r="T3115" s="257">
        <f t="shared" si="103"/>
        <v>120</v>
      </c>
      <c r="U3115" s="257">
        <f t="shared" si="104"/>
        <v>30</v>
      </c>
      <c r="V3115">
        <v>1</v>
      </c>
      <c r="W3115">
        <v>1</v>
      </c>
    </row>
    <row r="3116" spans="1:23" ht="22.8" x14ac:dyDescent="0.3">
      <c r="A3116" s="214">
        <v>43640</v>
      </c>
      <c r="B3116" s="214">
        <v>43640</v>
      </c>
      <c r="C3116" s="6">
        <v>6</v>
      </c>
      <c r="D3116" s="6">
        <v>1</v>
      </c>
      <c r="E3116" s="33">
        <v>2019</v>
      </c>
      <c r="F3116" s="15" t="s">
        <v>22</v>
      </c>
      <c r="G3116" s="18" t="s">
        <v>6256</v>
      </c>
      <c r="H3116" s="9" t="s">
        <v>78</v>
      </c>
      <c r="I3116" s="34" t="s">
        <v>1262</v>
      </c>
      <c r="J3116" s="34" t="s">
        <v>5025</v>
      </c>
      <c r="K3116" s="40">
        <v>0</v>
      </c>
      <c r="L3116" s="235">
        <v>5287</v>
      </c>
      <c r="M3116" s="35">
        <v>0</v>
      </c>
      <c r="N3116" s="35">
        <v>0</v>
      </c>
      <c r="O3116" s="35">
        <v>0</v>
      </c>
      <c r="P3116" s="35">
        <v>0</v>
      </c>
      <c r="Q3116" s="35">
        <v>0</v>
      </c>
      <c r="R3116" s="42">
        <v>73.845170492800008</v>
      </c>
      <c r="S3116" s="33" t="s">
        <v>149</v>
      </c>
      <c r="T3116" s="257">
        <f t="shared" si="103"/>
        <v>5287</v>
      </c>
      <c r="U3116" s="257">
        <f t="shared" si="104"/>
        <v>0</v>
      </c>
      <c r="V3116">
        <v>1</v>
      </c>
      <c r="W3116">
        <v>0</v>
      </c>
    </row>
    <row r="3117" spans="1:23" ht="409.6" x14ac:dyDescent="0.3">
      <c r="A3117" s="214">
        <v>43646</v>
      </c>
      <c r="B3117" s="214">
        <v>43646</v>
      </c>
      <c r="C3117" s="6">
        <v>6</v>
      </c>
      <c r="D3117" s="6">
        <v>1</v>
      </c>
      <c r="E3117" s="33">
        <v>2019</v>
      </c>
      <c r="F3117" s="15" t="s">
        <v>22</v>
      </c>
      <c r="G3117" s="18" t="s">
        <v>6256</v>
      </c>
      <c r="H3117" s="9" t="s">
        <v>51</v>
      </c>
      <c r="I3117" s="34" t="s">
        <v>5026</v>
      </c>
      <c r="J3117" s="34" t="s">
        <v>5027</v>
      </c>
      <c r="K3117" s="40">
        <v>0</v>
      </c>
      <c r="L3117" s="235">
        <v>1564</v>
      </c>
      <c r="M3117" s="35">
        <v>1283</v>
      </c>
      <c r="N3117" s="35">
        <v>0</v>
      </c>
      <c r="O3117" s="35">
        <v>0</v>
      </c>
      <c r="P3117" s="35">
        <v>0</v>
      </c>
      <c r="Q3117" s="35">
        <v>0</v>
      </c>
      <c r="R3117" s="42">
        <v>2.6513057999999998</v>
      </c>
      <c r="S3117" s="33" t="s">
        <v>131</v>
      </c>
      <c r="T3117" s="257">
        <f t="shared" si="103"/>
        <v>1564</v>
      </c>
      <c r="U3117" s="257">
        <f t="shared" si="104"/>
        <v>1283</v>
      </c>
      <c r="V3117">
        <v>1</v>
      </c>
      <c r="W3117">
        <v>2</v>
      </c>
    </row>
    <row r="3118" spans="1:23" ht="114" x14ac:dyDescent="0.3">
      <c r="A3118" s="214">
        <v>43647</v>
      </c>
      <c r="B3118" s="214">
        <v>43647</v>
      </c>
      <c r="C3118" s="6">
        <v>7</v>
      </c>
      <c r="D3118" s="6">
        <v>1</v>
      </c>
      <c r="E3118" s="19">
        <v>2019</v>
      </c>
      <c r="F3118" s="15" t="s">
        <v>22</v>
      </c>
      <c r="G3118" s="18" t="s">
        <v>6256</v>
      </c>
      <c r="H3118" s="9" t="s">
        <v>46</v>
      </c>
      <c r="I3118" s="34" t="s">
        <v>1023</v>
      </c>
      <c r="J3118" s="34" t="s">
        <v>5028</v>
      </c>
      <c r="K3118" s="40">
        <v>0</v>
      </c>
      <c r="L3118" s="235">
        <v>100</v>
      </c>
      <c r="M3118" s="35">
        <v>25</v>
      </c>
      <c r="N3118" s="35">
        <v>0</v>
      </c>
      <c r="O3118" s="35">
        <v>0</v>
      </c>
      <c r="P3118" s="35">
        <v>0</v>
      </c>
      <c r="Q3118" s="35">
        <v>0</v>
      </c>
      <c r="R3118" s="42">
        <v>2.8875000000000001E-2</v>
      </c>
      <c r="S3118" s="33" t="s">
        <v>115</v>
      </c>
      <c r="T3118" s="257">
        <f t="shared" si="103"/>
        <v>100</v>
      </c>
      <c r="U3118" s="257">
        <f t="shared" si="104"/>
        <v>25</v>
      </c>
      <c r="V3118">
        <v>1</v>
      </c>
      <c r="W3118">
        <v>1</v>
      </c>
    </row>
    <row r="3119" spans="1:23" ht="136.80000000000001" x14ac:dyDescent="0.3">
      <c r="A3119" s="214">
        <v>43648</v>
      </c>
      <c r="B3119" s="214">
        <v>43648</v>
      </c>
      <c r="C3119" s="6">
        <v>7</v>
      </c>
      <c r="D3119" s="6">
        <v>1</v>
      </c>
      <c r="E3119" s="19">
        <v>2019</v>
      </c>
      <c r="F3119" s="15" t="s">
        <v>22</v>
      </c>
      <c r="G3119" s="18" t="s">
        <v>6256</v>
      </c>
      <c r="H3119" s="9" t="s">
        <v>37</v>
      </c>
      <c r="I3119" s="34" t="s">
        <v>2289</v>
      </c>
      <c r="J3119" s="34" t="s">
        <v>5029</v>
      </c>
      <c r="K3119" s="40">
        <v>8</v>
      </c>
      <c r="L3119" s="235">
        <v>8</v>
      </c>
      <c r="M3119" s="35">
        <v>0</v>
      </c>
      <c r="N3119" s="35">
        <v>0</v>
      </c>
      <c r="O3119" s="35">
        <v>0</v>
      </c>
      <c r="P3119" s="35">
        <v>0</v>
      </c>
      <c r="Q3119" s="35">
        <v>0</v>
      </c>
      <c r="R3119" s="42">
        <v>0</v>
      </c>
      <c r="S3119" s="33" t="s">
        <v>115</v>
      </c>
      <c r="T3119" s="257">
        <f t="shared" si="103"/>
        <v>16</v>
      </c>
      <c r="U3119" s="257">
        <f t="shared" si="104"/>
        <v>0</v>
      </c>
      <c r="V3119">
        <v>1</v>
      </c>
      <c r="W3119">
        <v>0</v>
      </c>
    </row>
    <row r="3120" spans="1:23" ht="102.6" x14ac:dyDescent="0.3">
      <c r="A3120" s="214">
        <v>43648</v>
      </c>
      <c r="B3120" s="214">
        <v>43648</v>
      </c>
      <c r="C3120" s="6">
        <v>7</v>
      </c>
      <c r="D3120" s="6">
        <v>1</v>
      </c>
      <c r="E3120" s="33">
        <v>2019</v>
      </c>
      <c r="F3120" s="15" t="s">
        <v>22</v>
      </c>
      <c r="G3120" s="18" t="s">
        <v>6256</v>
      </c>
      <c r="H3120" s="9" t="s">
        <v>43</v>
      </c>
      <c r="I3120" s="34" t="s">
        <v>5030</v>
      </c>
      <c r="J3120" s="34" t="s">
        <v>5031</v>
      </c>
      <c r="K3120" s="40">
        <v>1</v>
      </c>
      <c r="L3120" s="235">
        <v>15</v>
      </c>
      <c r="M3120" s="35">
        <v>0</v>
      </c>
      <c r="N3120" s="35">
        <v>0</v>
      </c>
      <c r="O3120" s="35">
        <v>0</v>
      </c>
      <c r="P3120" s="35">
        <v>0</v>
      </c>
      <c r="Q3120" s="35">
        <v>0</v>
      </c>
      <c r="R3120" s="42">
        <v>0.18330170000000001</v>
      </c>
      <c r="S3120" s="33" t="s">
        <v>115</v>
      </c>
      <c r="T3120" s="257">
        <f t="shared" si="103"/>
        <v>16</v>
      </c>
      <c r="U3120" s="257">
        <f t="shared" si="104"/>
        <v>0</v>
      </c>
      <c r="V3120">
        <v>1</v>
      </c>
      <c r="W3120">
        <v>0</v>
      </c>
    </row>
    <row r="3121" spans="1:23" ht="79.8" x14ac:dyDescent="0.3">
      <c r="A3121" s="214">
        <v>43656</v>
      </c>
      <c r="B3121" s="214">
        <v>43656</v>
      </c>
      <c r="C3121" s="6">
        <v>7</v>
      </c>
      <c r="D3121" s="6">
        <v>1</v>
      </c>
      <c r="E3121" s="19">
        <v>2019</v>
      </c>
      <c r="F3121" s="7" t="s">
        <v>17</v>
      </c>
      <c r="G3121" s="8" t="s">
        <v>6261</v>
      </c>
      <c r="H3121" s="9" t="s">
        <v>64</v>
      </c>
      <c r="I3121" s="34" t="s">
        <v>64</v>
      </c>
      <c r="J3121" s="34" t="s">
        <v>5032</v>
      </c>
      <c r="K3121" s="40">
        <v>7</v>
      </c>
      <c r="L3121" s="235">
        <v>18</v>
      </c>
      <c r="M3121" s="35">
        <v>1</v>
      </c>
      <c r="N3121" s="35">
        <v>0</v>
      </c>
      <c r="O3121" s="35">
        <v>0</v>
      </c>
      <c r="P3121" s="35">
        <v>0</v>
      </c>
      <c r="Q3121" s="35">
        <v>0</v>
      </c>
      <c r="R3121" s="42">
        <v>3.0800000000000001E-2</v>
      </c>
      <c r="S3121" s="33" t="s">
        <v>115</v>
      </c>
      <c r="T3121" s="257">
        <f t="shared" si="103"/>
        <v>25</v>
      </c>
      <c r="U3121" s="257">
        <f t="shared" si="104"/>
        <v>1</v>
      </c>
      <c r="V3121">
        <v>1</v>
      </c>
      <c r="W3121">
        <v>1</v>
      </c>
    </row>
    <row r="3122" spans="1:23" ht="193.8" x14ac:dyDescent="0.3">
      <c r="A3122" s="214">
        <v>43658</v>
      </c>
      <c r="B3122" s="214">
        <v>43658</v>
      </c>
      <c r="C3122" s="6">
        <v>7</v>
      </c>
      <c r="D3122" s="6">
        <v>1</v>
      </c>
      <c r="E3122" s="19">
        <v>2019</v>
      </c>
      <c r="F3122" s="15" t="s">
        <v>22</v>
      </c>
      <c r="G3122" s="18" t="s">
        <v>6256</v>
      </c>
      <c r="H3122" s="9" t="s">
        <v>64</v>
      </c>
      <c r="I3122" s="34" t="s">
        <v>64</v>
      </c>
      <c r="J3122" s="34" t="s">
        <v>5033</v>
      </c>
      <c r="K3122" s="40">
        <v>0</v>
      </c>
      <c r="L3122" s="235">
        <v>1</v>
      </c>
      <c r="M3122" s="35">
        <v>4</v>
      </c>
      <c r="N3122" s="35">
        <v>0</v>
      </c>
      <c r="O3122" s="35">
        <v>0</v>
      </c>
      <c r="P3122" s="35">
        <v>0</v>
      </c>
      <c r="Q3122" s="41">
        <v>0</v>
      </c>
      <c r="R3122" s="42">
        <v>1.4142700000000001E-2</v>
      </c>
      <c r="S3122" s="33" t="s">
        <v>115</v>
      </c>
      <c r="T3122" s="257">
        <f t="shared" si="103"/>
        <v>1</v>
      </c>
      <c r="U3122" s="257">
        <f t="shared" si="104"/>
        <v>4</v>
      </c>
      <c r="V3122">
        <v>1</v>
      </c>
      <c r="W3122">
        <v>1</v>
      </c>
    </row>
    <row r="3123" spans="1:23" ht="114" x14ac:dyDescent="0.3">
      <c r="A3123" s="214">
        <v>43662</v>
      </c>
      <c r="B3123" s="214">
        <v>43662</v>
      </c>
      <c r="C3123" s="6">
        <v>7</v>
      </c>
      <c r="D3123" s="6">
        <v>1</v>
      </c>
      <c r="E3123" s="33">
        <v>2019</v>
      </c>
      <c r="F3123" s="15" t="s">
        <v>22</v>
      </c>
      <c r="G3123" s="18" t="s">
        <v>6256</v>
      </c>
      <c r="H3123" s="9" t="s">
        <v>51</v>
      </c>
      <c r="I3123" s="34" t="s">
        <v>1011</v>
      </c>
      <c r="J3123" s="34" t="s">
        <v>5034</v>
      </c>
      <c r="K3123" s="40">
        <v>0</v>
      </c>
      <c r="L3123" s="235">
        <v>64</v>
      </c>
      <c r="M3123" s="35">
        <v>16</v>
      </c>
      <c r="N3123" s="35">
        <v>0</v>
      </c>
      <c r="O3123" s="35">
        <v>0</v>
      </c>
      <c r="P3123" s="35">
        <v>0</v>
      </c>
      <c r="Q3123" s="41">
        <v>0</v>
      </c>
      <c r="R3123" s="42">
        <v>0.56408000000000003</v>
      </c>
      <c r="S3123" s="33" t="s">
        <v>115</v>
      </c>
      <c r="T3123" s="257">
        <f t="shared" si="103"/>
        <v>64</v>
      </c>
      <c r="U3123" s="257">
        <f t="shared" si="104"/>
        <v>16</v>
      </c>
      <c r="V3123">
        <v>1</v>
      </c>
      <c r="W3123">
        <v>1</v>
      </c>
    </row>
    <row r="3124" spans="1:23" ht="330.6" x14ac:dyDescent="0.3">
      <c r="A3124" s="214">
        <v>43667</v>
      </c>
      <c r="B3124" s="214">
        <v>43668</v>
      </c>
      <c r="C3124" s="6">
        <v>7</v>
      </c>
      <c r="D3124" s="6">
        <v>2</v>
      </c>
      <c r="E3124" s="19">
        <v>2019</v>
      </c>
      <c r="F3124" s="15" t="s">
        <v>22</v>
      </c>
      <c r="G3124" s="18" t="s">
        <v>6256</v>
      </c>
      <c r="H3124" s="9" t="s">
        <v>51</v>
      </c>
      <c r="I3124" s="34" t="s">
        <v>1275</v>
      </c>
      <c r="J3124" s="34" t="s">
        <v>5035</v>
      </c>
      <c r="K3124" s="40">
        <v>0</v>
      </c>
      <c r="L3124" s="235">
        <v>200</v>
      </c>
      <c r="M3124" s="35">
        <v>50</v>
      </c>
      <c r="N3124" s="35">
        <v>0</v>
      </c>
      <c r="O3124" s="35">
        <v>0</v>
      </c>
      <c r="P3124" s="35">
        <v>0</v>
      </c>
      <c r="Q3124" s="41">
        <v>0</v>
      </c>
      <c r="R3124" s="42">
        <v>2.6977500000000001</v>
      </c>
      <c r="S3124" s="33" t="s">
        <v>115</v>
      </c>
      <c r="T3124" s="257">
        <f t="shared" si="103"/>
        <v>200</v>
      </c>
      <c r="U3124" s="257">
        <f t="shared" si="104"/>
        <v>50</v>
      </c>
      <c r="V3124">
        <v>1</v>
      </c>
      <c r="W3124">
        <v>1</v>
      </c>
    </row>
    <row r="3125" spans="1:23" ht="136.80000000000001" x14ac:dyDescent="0.3">
      <c r="A3125" s="214">
        <v>43670</v>
      </c>
      <c r="B3125" s="214">
        <v>43670</v>
      </c>
      <c r="C3125" s="6">
        <v>7</v>
      </c>
      <c r="D3125" s="6">
        <v>1</v>
      </c>
      <c r="E3125" s="19">
        <v>2019</v>
      </c>
      <c r="F3125" s="15" t="s">
        <v>22</v>
      </c>
      <c r="G3125" s="18" t="s">
        <v>6256</v>
      </c>
      <c r="H3125" s="9" t="s">
        <v>51</v>
      </c>
      <c r="I3125" s="34" t="s">
        <v>1011</v>
      </c>
      <c r="J3125" s="34" t="s">
        <v>5037</v>
      </c>
      <c r="K3125" s="40">
        <v>0</v>
      </c>
      <c r="L3125" s="235">
        <v>64</v>
      </c>
      <c r="M3125" s="35">
        <v>16</v>
      </c>
      <c r="N3125" s="35">
        <v>0</v>
      </c>
      <c r="O3125" s="35">
        <v>0</v>
      </c>
      <c r="P3125" s="35">
        <v>0</v>
      </c>
      <c r="Q3125" s="41">
        <v>0</v>
      </c>
      <c r="R3125" s="42">
        <v>1.848E-2</v>
      </c>
      <c r="S3125" s="33" t="s">
        <v>115</v>
      </c>
      <c r="T3125" s="257">
        <f t="shared" si="103"/>
        <v>64</v>
      </c>
      <c r="U3125" s="257">
        <f t="shared" si="104"/>
        <v>16</v>
      </c>
      <c r="V3125">
        <v>1</v>
      </c>
      <c r="W3125">
        <v>1</v>
      </c>
    </row>
    <row r="3126" spans="1:23" ht="125.4" x14ac:dyDescent="0.3">
      <c r="A3126" s="214">
        <v>43670</v>
      </c>
      <c r="B3126" s="214">
        <v>43670</v>
      </c>
      <c r="C3126" s="6">
        <v>7</v>
      </c>
      <c r="D3126" s="6">
        <v>1</v>
      </c>
      <c r="E3126" s="33">
        <v>2019</v>
      </c>
      <c r="F3126" s="15" t="s">
        <v>22</v>
      </c>
      <c r="G3126" s="18" t="s">
        <v>6256</v>
      </c>
      <c r="H3126" s="9" t="s">
        <v>51</v>
      </c>
      <c r="I3126" s="34" t="s">
        <v>1275</v>
      </c>
      <c r="J3126" s="34" t="s">
        <v>5038</v>
      </c>
      <c r="K3126" s="40">
        <v>0</v>
      </c>
      <c r="L3126" s="235">
        <v>0</v>
      </c>
      <c r="M3126" s="35">
        <v>0</v>
      </c>
      <c r="N3126" s="35">
        <v>0</v>
      </c>
      <c r="O3126" s="35">
        <v>0</v>
      </c>
      <c r="P3126" s="35">
        <v>4</v>
      </c>
      <c r="Q3126" s="41">
        <v>0</v>
      </c>
      <c r="R3126" s="42">
        <v>7.0400000000000004E-2</v>
      </c>
      <c r="S3126" s="33" t="s">
        <v>115</v>
      </c>
      <c r="T3126" s="257">
        <f t="shared" si="103"/>
        <v>0</v>
      </c>
      <c r="U3126" s="257">
        <f t="shared" si="104"/>
        <v>4</v>
      </c>
      <c r="V3126">
        <v>0</v>
      </c>
      <c r="W3126">
        <v>1</v>
      </c>
    </row>
    <row r="3127" spans="1:23" ht="68.400000000000006" x14ac:dyDescent="0.3">
      <c r="A3127" s="214">
        <v>43674</v>
      </c>
      <c r="B3127" s="214">
        <v>43675</v>
      </c>
      <c r="C3127" s="6">
        <v>7</v>
      </c>
      <c r="D3127" s="6">
        <v>2</v>
      </c>
      <c r="E3127" s="33">
        <v>2019</v>
      </c>
      <c r="F3127" s="15" t="s">
        <v>22</v>
      </c>
      <c r="G3127" s="18" t="s">
        <v>6256</v>
      </c>
      <c r="H3127" s="9" t="s">
        <v>51</v>
      </c>
      <c r="I3127" s="34" t="s">
        <v>5039</v>
      </c>
      <c r="J3127" s="34" t="s">
        <v>5040</v>
      </c>
      <c r="K3127" s="40">
        <v>0</v>
      </c>
      <c r="L3127" s="235">
        <v>90</v>
      </c>
      <c r="M3127" s="35">
        <v>22</v>
      </c>
      <c r="N3127" s="35">
        <v>1</v>
      </c>
      <c r="O3127" s="35">
        <v>0</v>
      </c>
      <c r="P3127" s="35">
        <v>1</v>
      </c>
      <c r="Q3127" s="41">
        <v>0</v>
      </c>
      <c r="R3127" s="42">
        <v>2.5409999999999999E-2</v>
      </c>
      <c r="S3127" s="33" t="s">
        <v>115</v>
      </c>
      <c r="T3127" s="257">
        <f t="shared" si="103"/>
        <v>90</v>
      </c>
      <c r="U3127" s="257">
        <f t="shared" si="104"/>
        <v>24</v>
      </c>
      <c r="V3127">
        <v>1</v>
      </c>
      <c r="W3127">
        <v>1</v>
      </c>
    </row>
    <row r="3128" spans="1:23" ht="171" x14ac:dyDescent="0.3">
      <c r="A3128" s="214">
        <v>43675</v>
      </c>
      <c r="B3128" s="214">
        <v>43676</v>
      </c>
      <c r="C3128" s="6">
        <v>7</v>
      </c>
      <c r="D3128" s="6">
        <v>2</v>
      </c>
      <c r="E3128" s="33">
        <v>2019</v>
      </c>
      <c r="F3128" s="15" t="s">
        <v>22</v>
      </c>
      <c r="G3128" s="18" t="s">
        <v>6256</v>
      </c>
      <c r="H3128" s="9" t="s">
        <v>51</v>
      </c>
      <c r="I3128" s="34" t="s">
        <v>5041</v>
      </c>
      <c r="J3128" s="34" t="s">
        <v>5042</v>
      </c>
      <c r="K3128" s="40">
        <v>0</v>
      </c>
      <c r="L3128" s="235">
        <v>100</v>
      </c>
      <c r="M3128" s="35">
        <v>21</v>
      </c>
      <c r="N3128" s="35">
        <v>0</v>
      </c>
      <c r="O3128" s="35">
        <v>0</v>
      </c>
      <c r="P3128" s="35">
        <v>1</v>
      </c>
      <c r="Q3128" s="41">
        <v>0</v>
      </c>
      <c r="R3128" s="42">
        <v>5.9455000000000001E-2</v>
      </c>
      <c r="S3128" s="33" t="s">
        <v>115</v>
      </c>
      <c r="T3128" s="257">
        <f t="shared" si="103"/>
        <v>100</v>
      </c>
      <c r="U3128" s="257">
        <f t="shared" si="104"/>
        <v>22</v>
      </c>
      <c r="V3128">
        <v>1</v>
      </c>
      <c r="W3128">
        <v>1</v>
      </c>
    </row>
    <row r="3129" spans="1:23" ht="307.8" x14ac:dyDescent="0.3">
      <c r="A3129" s="214">
        <v>43681</v>
      </c>
      <c r="B3129" s="214">
        <v>43681</v>
      </c>
      <c r="C3129" s="6">
        <v>8</v>
      </c>
      <c r="D3129" s="6">
        <v>1</v>
      </c>
      <c r="E3129" s="33">
        <v>2019</v>
      </c>
      <c r="F3129" s="15" t="s">
        <v>22</v>
      </c>
      <c r="G3129" s="18" t="s">
        <v>6256</v>
      </c>
      <c r="H3129" s="9" t="s">
        <v>51</v>
      </c>
      <c r="I3129" s="34" t="s">
        <v>1011</v>
      </c>
      <c r="J3129" s="34" t="s">
        <v>5043</v>
      </c>
      <c r="K3129" s="40">
        <v>0</v>
      </c>
      <c r="L3129" s="235">
        <v>350</v>
      </c>
      <c r="M3129" s="35">
        <v>86</v>
      </c>
      <c r="N3129" s="35">
        <v>0</v>
      </c>
      <c r="O3129" s="35">
        <v>0</v>
      </c>
      <c r="P3129" s="35">
        <v>0</v>
      </c>
      <c r="Q3129" s="41">
        <v>0</v>
      </c>
      <c r="R3129" s="42">
        <v>9.9330000000000002E-2</v>
      </c>
      <c r="S3129" s="33" t="s">
        <v>115</v>
      </c>
      <c r="T3129" s="257">
        <f t="shared" si="103"/>
        <v>350</v>
      </c>
      <c r="U3129" s="257">
        <f t="shared" si="104"/>
        <v>86</v>
      </c>
      <c r="V3129">
        <v>1</v>
      </c>
      <c r="W3129">
        <v>1</v>
      </c>
    </row>
    <row r="3130" spans="1:23" ht="91.2" x14ac:dyDescent="0.3">
      <c r="A3130" s="214">
        <v>43681</v>
      </c>
      <c r="B3130" s="214">
        <v>43682</v>
      </c>
      <c r="C3130" s="6">
        <v>8</v>
      </c>
      <c r="D3130" s="6">
        <v>2</v>
      </c>
      <c r="E3130" s="19">
        <v>2019</v>
      </c>
      <c r="F3130" s="15" t="s">
        <v>22</v>
      </c>
      <c r="G3130" s="18" t="s">
        <v>6256</v>
      </c>
      <c r="H3130" s="9" t="s">
        <v>61</v>
      </c>
      <c r="I3130" s="34" t="s">
        <v>201</v>
      </c>
      <c r="J3130" s="34" t="s">
        <v>5044</v>
      </c>
      <c r="K3130" s="40">
        <v>0</v>
      </c>
      <c r="L3130" s="235">
        <v>344</v>
      </c>
      <c r="M3130" s="35">
        <v>86</v>
      </c>
      <c r="N3130" s="35">
        <v>0</v>
      </c>
      <c r="O3130" s="35">
        <v>0</v>
      </c>
      <c r="P3130" s="35">
        <v>0</v>
      </c>
      <c r="Q3130" s="41">
        <v>0</v>
      </c>
      <c r="R3130" s="42">
        <v>9.9330000000000002E-2</v>
      </c>
      <c r="S3130" s="33" t="s">
        <v>115</v>
      </c>
      <c r="T3130" s="257">
        <f t="shared" si="103"/>
        <v>344</v>
      </c>
      <c r="U3130" s="257">
        <f t="shared" si="104"/>
        <v>86</v>
      </c>
      <c r="V3130">
        <v>1</v>
      </c>
      <c r="W3130">
        <v>1</v>
      </c>
    </row>
    <row r="3131" spans="1:23" ht="57" x14ac:dyDescent="0.3">
      <c r="A3131" s="214">
        <v>43682</v>
      </c>
      <c r="B3131" s="214">
        <v>43682</v>
      </c>
      <c r="C3131" s="6">
        <v>8</v>
      </c>
      <c r="D3131" s="6">
        <v>1</v>
      </c>
      <c r="E3131" s="19">
        <v>2019</v>
      </c>
      <c r="F3131" s="15" t="s">
        <v>22</v>
      </c>
      <c r="G3131" s="82" t="s">
        <v>6256</v>
      </c>
      <c r="H3131" s="9" t="s">
        <v>43</v>
      </c>
      <c r="I3131" s="34" t="s">
        <v>649</v>
      </c>
      <c r="J3131" s="34" t="s">
        <v>5045</v>
      </c>
      <c r="K3131" s="40">
        <v>1</v>
      </c>
      <c r="L3131" s="235">
        <v>1</v>
      </c>
      <c r="M3131" s="35">
        <v>0</v>
      </c>
      <c r="N3131" s="35">
        <v>0</v>
      </c>
      <c r="O3131" s="35">
        <v>0</v>
      </c>
      <c r="P3131" s="35">
        <v>0</v>
      </c>
      <c r="Q3131" s="41">
        <v>0</v>
      </c>
      <c r="R3131" s="42">
        <v>0</v>
      </c>
      <c r="S3131" s="33" t="s">
        <v>115</v>
      </c>
      <c r="T3131" s="257">
        <f t="shared" si="103"/>
        <v>2</v>
      </c>
      <c r="U3131" s="257">
        <f t="shared" si="104"/>
        <v>0</v>
      </c>
      <c r="V3131">
        <v>1</v>
      </c>
      <c r="W3131">
        <v>0</v>
      </c>
    </row>
    <row r="3132" spans="1:23" ht="136.80000000000001" x14ac:dyDescent="0.3">
      <c r="A3132" s="214">
        <v>43683</v>
      </c>
      <c r="B3132" s="214">
        <v>43683</v>
      </c>
      <c r="C3132" s="6">
        <v>8</v>
      </c>
      <c r="D3132" s="6">
        <v>1</v>
      </c>
      <c r="E3132" s="33">
        <v>2019</v>
      </c>
      <c r="F3132" s="15" t="s">
        <v>22</v>
      </c>
      <c r="G3132" s="18" t="s">
        <v>6256</v>
      </c>
      <c r="H3132" s="9" t="s">
        <v>43</v>
      </c>
      <c r="I3132" s="34" t="s">
        <v>5046</v>
      </c>
      <c r="J3132" s="34" t="s">
        <v>5047</v>
      </c>
      <c r="K3132" s="40">
        <v>0</v>
      </c>
      <c r="L3132" s="235">
        <v>60</v>
      </c>
      <c r="M3132" s="35">
        <v>15</v>
      </c>
      <c r="N3132" s="35">
        <v>0</v>
      </c>
      <c r="O3132" s="35">
        <v>0</v>
      </c>
      <c r="P3132" s="35">
        <v>0</v>
      </c>
      <c r="Q3132" s="41">
        <v>0</v>
      </c>
      <c r="R3132" s="42">
        <v>1.7325E-2</v>
      </c>
      <c r="S3132" s="33" t="s">
        <v>115</v>
      </c>
      <c r="T3132" s="257">
        <f t="shared" si="103"/>
        <v>60</v>
      </c>
      <c r="U3132" s="257">
        <f t="shared" si="104"/>
        <v>15</v>
      </c>
      <c r="V3132">
        <v>1</v>
      </c>
      <c r="W3132">
        <v>1</v>
      </c>
    </row>
    <row r="3133" spans="1:23" ht="102.6" x14ac:dyDescent="0.3">
      <c r="A3133" s="214">
        <v>43686</v>
      </c>
      <c r="B3133" s="214">
        <v>43686</v>
      </c>
      <c r="C3133" s="6">
        <v>8</v>
      </c>
      <c r="D3133" s="6">
        <v>1</v>
      </c>
      <c r="E3133" s="33">
        <v>2019</v>
      </c>
      <c r="F3133" s="7" t="s">
        <v>17</v>
      </c>
      <c r="G3133" s="8" t="s">
        <v>6261</v>
      </c>
      <c r="H3133" s="9" t="s">
        <v>51</v>
      </c>
      <c r="I3133" s="34" t="s">
        <v>653</v>
      </c>
      <c r="J3133" s="34" t="s">
        <v>5048</v>
      </c>
      <c r="K3133" s="40">
        <v>0</v>
      </c>
      <c r="L3133" s="235">
        <v>34</v>
      </c>
      <c r="M3133" s="35">
        <v>1</v>
      </c>
      <c r="N3133" s="35">
        <v>0</v>
      </c>
      <c r="O3133" s="35">
        <v>0</v>
      </c>
      <c r="P3133" s="35">
        <v>0</v>
      </c>
      <c r="Q3133" s="41">
        <v>0</v>
      </c>
      <c r="R3133" s="42">
        <v>0.13200000000000001</v>
      </c>
      <c r="S3133" s="33" t="s">
        <v>115</v>
      </c>
      <c r="T3133" s="257">
        <f t="shared" si="103"/>
        <v>34</v>
      </c>
      <c r="U3133" s="257">
        <f t="shared" si="104"/>
        <v>1</v>
      </c>
      <c r="V3133">
        <v>1</v>
      </c>
      <c r="W3133">
        <v>1</v>
      </c>
    </row>
    <row r="3134" spans="1:23" ht="136.80000000000001" x14ac:dyDescent="0.3">
      <c r="A3134" s="214">
        <v>43694</v>
      </c>
      <c r="B3134" s="214">
        <v>43694</v>
      </c>
      <c r="C3134" s="6">
        <v>8</v>
      </c>
      <c r="D3134" s="6">
        <v>1</v>
      </c>
      <c r="E3134" s="19">
        <v>2019</v>
      </c>
      <c r="F3134" s="15" t="s">
        <v>22</v>
      </c>
      <c r="G3134" s="18" t="s">
        <v>6256</v>
      </c>
      <c r="H3134" s="9" t="s">
        <v>31</v>
      </c>
      <c r="I3134" s="34" t="s">
        <v>1448</v>
      </c>
      <c r="J3134" s="34" t="s">
        <v>5049</v>
      </c>
      <c r="K3134" s="40">
        <v>0</v>
      </c>
      <c r="L3134" s="235">
        <v>668</v>
      </c>
      <c r="M3134" s="35">
        <v>140</v>
      </c>
      <c r="N3134" s="35">
        <v>0</v>
      </c>
      <c r="O3134" s="35">
        <v>0</v>
      </c>
      <c r="P3134" s="35">
        <v>35</v>
      </c>
      <c r="Q3134" s="41">
        <v>0</v>
      </c>
      <c r="R3134" s="42">
        <v>43.484883959999998</v>
      </c>
      <c r="S3134" s="33" t="s">
        <v>131</v>
      </c>
      <c r="T3134" s="257">
        <f t="shared" si="103"/>
        <v>668</v>
      </c>
      <c r="U3134" s="257">
        <f t="shared" si="104"/>
        <v>175</v>
      </c>
      <c r="V3134">
        <v>1</v>
      </c>
      <c r="W3134">
        <v>1</v>
      </c>
    </row>
    <row r="3135" spans="1:23" ht="91.2" x14ac:dyDescent="0.3">
      <c r="A3135" s="214">
        <v>43695</v>
      </c>
      <c r="B3135" s="214">
        <v>43696</v>
      </c>
      <c r="C3135" s="6">
        <v>8</v>
      </c>
      <c r="D3135" s="6">
        <v>2</v>
      </c>
      <c r="E3135" s="33">
        <v>2019</v>
      </c>
      <c r="F3135" s="15" t="s">
        <v>22</v>
      </c>
      <c r="G3135" s="18" t="s">
        <v>6256</v>
      </c>
      <c r="H3135" s="9" t="s">
        <v>31</v>
      </c>
      <c r="I3135" s="34" t="s">
        <v>456</v>
      </c>
      <c r="J3135" s="34" t="s">
        <v>5050</v>
      </c>
      <c r="K3135" s="40">
        <v>0</v>
      </c>
      <c r="L3135" s="235">
        <v>380</v>
      </c>
      <c r="M3135" s="35">
        <v>95</v>
      </c>
      <c r="N3135" s="35">
        <v>0</v>
      </c>
      <c r="O3135" s="35">
        <v>0</v>
      </c>
      <c r="P3135" s="35">
        <v>0</v>
      </c>
      <c r="Q3135" s="41">
        <v>0</v>
      </c>
      <c r="R3135" s="42">
        <v>0.16383</v>
      </c>
      <c r="S3135" s="33" t="s">
        <v>115</v>
      </c>
      <c r="T3135" s="257">
        <f t="shared" si="103"/>
        <v>380</v>
      </c>
      <c r="U3135" s="257">
        <f t="shared" si="104"/>
        <v>95</v>
      </c>
      <c r="V3135">
        <v>1</v>
      </c>
      <c r="W3135">
        <v>1</v>
      </c>
    </row>
    <row r="3136" spans="1:23" ht="296.39999999999998" x14ac:dyDescent="0.3">
      <c r="A3136" s="214">
        <v>43696</v>
      </c>
      <c r="B3136" s="214">
        <v>43697</v>
      </c>
      <c r="C3136" s="6">
        <v>8</v>
      </c>
      <c r="D3136" s="6">
        <v>2</v>
      </c>
      <c r="E3136" s="33">
        <v>2019</v>
      </c>
      <c r="F3136" s="15" t="s">
        <v>22</v>
      </c>
      <c r="G3136" s="18" t="s">
        <v>6256</v>
      </c>
      <c r="H3136" s="9" t="s">
        <v>61</v>
      </c>
      <c r="I3136" s="34" t="s">
        <v>5051</v>
      </c>
      <c r="J3136" s="34" t="s">
        <v>5052</v>
      </c>
      <c r="K3136" s="40">
        <v>0</v>
      </c>
      <c r="L3136" s="235">
        <v>102</v>
      </c>
      <c r="M3136" s="35">
        <v>253</v>
      </c>
      <c r="N3136" s="35">
        <v>0</v>
      </c>
      <c r="O3136" s="35">
        <v>0</v>
      </c>
      <c r="P3136" s="35">
        <v>0</v>
      </c>
      <c r="Q3136" s="41">
        <v>0</v>
      </c>
      <c r="R3136" s="42">
        <v>0.292215</v>
      </c>
      <c r="S3136" s="33" t="s">
        <v>115</v>
      </c>
      <c r="T3136" s="257">
        <f t="shared" si="103"/>
        <v>102</v>
      </c>
      <c r="U3136" s="257">
        <f t="shared" si="104"/>
        <v>253</v>
      </c>
      <c r="V3136">
        <v>1</v>
      </c>
      <c r="W3136">
        <v>1</v>
      </c>
    </row>
    <row r="3137" spans="1:23" ht="148.19999999999999" x14ac:dyDescent="0.3">
      <c r="A3137" s="214">
        <v>43696</v>
      </c>
      <c r="B3137" s="214">
        <v>43697</v>
      </c>
      <c r="C3137" s="6">
        <v>8</v>
      </c>
      <c r="D3137" s="6">
        <v>2</v>
      </c>
      <c r="E3137" s="33">
        <v>2019</v>
      </c>
      <c r="F3137" s="15" t="s">
        <v>22</v>
      </c>
      <c r="G3137" s="18" t="s">
        <v>6256</v>
      </c>
      <c r="H3137" s="9" t="s">
        <v>174</v>
      </c>
      <c r="I3137" s="34" t="s">
        <v>5053</v>
      </c>
      <c r="J3137" s="34" t="s">
        <v>5054</v>
      </c>
      <c r="K3137" s="40">
        <v>0</v>
      </c>
      <c r="L3137" s="235">
        <v>0</v>
      </c>
      <c r="M3137" s="35">
        <v>0</v>
      </c>
      <c r="N3137" s="35">
        <v>0</v>
      </c>
      <c r="O3137" s="35">
        <v>0</v>
      </c>
      <c r="P3137" s="35">
        <v>0</v>
      </c>
      <c r="Q3137" s="41">
        <v>0</v>
      </c>
      <c r="R3137" s="42">
        <v>4.7499375000000006</v>
      </c>
      <c r="S3137" s="33" t="s">
        <v>115</v>
      </c>
      <c r="T3137" s="257">
        <f t="shared" si="103"/>
        <v>0</v>
      </c>
      <c r="U3137" s="257">
        <f t="shared" si="104"/>
        <v>0</v>
      </c>
      <c r="V3137">
        <v>0</v>
      </c>
      <c r="W3137">
        <v>0</v>
      </c>
    </row>
    <row r="3138" spans="1:23" ht="296.39999999999998" x14ac:dyDescent="0.3">
      <c r="A3138" s="214">
        <v>43698</v>
      </c>
      <c r="B3138" s="214">
        <v>43698</v>
      </c>
      <c r="C3138" s="6">
        <v>8</v>
      </c>
      <c r="D3138" s="6">
        <v>1</v>
      </c>
      <c r="E3138" s="19">
        <v>2019</v>
      </c>
      <c r="F3138" s="15" t="s">
        <v>22</v>
      </c>
      <c r="G3138" s="18" t="s">
        <v>6256</v>
      </c>
      <c r="H3138" s="9" t="s">
        <v>31</v>
      </c>
      <c r="I3138" s="34" t="s">
        <v>456</v>
      </c>
      <c r="J3138" s="34" t="s">
        <v>5055</v>
      </c>
      <c r="K3138" s="40">
        <v>0</v>
      </c>
      <c r="L3138" s="235">
        <v>1217</v>
      </c>
      <c r="M3138" s="35">
        <v>343</v>
      </c>
      <c r="N3138" s="35">
        <v>0</v>
      </c>
      <c r="O3138" s="35">
        <v>0</v>
      </c>
      <c r="P3138" s="35">
        <v>0</v>
      </c>
      <c r="Q3138" s="41">
        <v>0</v>
      </c>
      <c r="R3138" s="42">
        <v>0.39616499999999999</v>
      </c>
      <c r="S3138" s="33" t="s">
        <v>115</v>
      </c>
      <c r="T3138" s="257">
        <f t="shared" si="103"/>
        <v>1217</v>
      </c>
      <c r="U3138" s="257">
        <f t="shared" si="104"/>
        <v>343</v>
      </c>
      <c r="V3138">
        <v>1</v>
      </c>
      <c r="W3138">
        <v>1</v>
      </c>
    </row>
    <row r="3139" spans="1:23" ht="262.2" x14ac:dyDescent="0.3">
      <c r="A3139" s="214">
        <v>43698</v>
      </c>
      <c r="B3139" s="214">
        <v>43698</v>
      </c>
      <c r="C3139" s="6">
        <v>8</v>
      </c>
      <c r="D3139" s="6">
        <v>1</v>
      </c>
      <c r="E3139" s="33">
        <v>2019</v>
      </c>
      <c r="F3139" s="15" t="s">
        <v>22</v>
      </c>
      <c r="G3139" s="18" t="s">
        <v>6256</v>
      </c>
      <c r="H3139" s="9" t="s">
        <v>72</v>
      </c>
      <c r="I3139" s="34" t="s">
        <v>5056</v>
      </c>
      <c r="J3139" s="34" t="s">
        <v>5057</v>
      </c>
      <c r="K3139" s="40">
        <v>0</v>
      </c>
      <c r="L3139" s="235">
        <v>1205</v>
      </c>
      <c r="M3139" s="35">
        <v>300</v>
      </c>
      <c r="N3139" s="35">
        <v>0</v>
      </c>
      <c r="O3139" s="35">
        <v>0</v>
      </c>
      <c r="P3139" s="35">
        <v>0</v>
      </c>
      <c r="Q3139" s="41">
        <v>0</v>
      </c>
      <c r="R3139" s="42">
        <v>23.56207466</v>
      </c>
      <c r="S3139" s="33" t="s">
        <v>131</v>
      </c>
      <c r="T3139" s="257">
        <f t="shared" ref="T3139:T3202" si="105">SUM(K3139:L3139)</f>
        <v>1205</v>
      </c>
      <c r="U3139" s="257">
        <f t="shared" ref="U3139:U3202" si="106">SUM(M3139:P3139)</f>
        <v>300</v>
      </c>
      <c r="V3139">
        <v>1</v>
      </c>
      <c r="W3139">
        <v>1</v>
      </c>
    </row>
    <row r="3140" spans="1:23" ht="22.8" x14ac:dyDescent="0.3">
      <c r="A3140" s="129">
        <v>43699</v>
      </c>
      <c r="B3140" s="214">
        <v>43700</v>
      </c>
      <c r="C3140" s="6">
        <v>8</v>
      </c>
      <c r="D3140" s="6">
        <v>2</v>
      </c>
      <c r="E3140" s="19">
        <v>2019</v>
      </c>
      <c r="F3140" s="15" t="s">
        <v>22</v>
      </c>
      <c r="G3140" s="18" t="s">
        <v>6256</v>
      </c>
      <c r="H3140" s="9" t="s">
        <v>28</v>
      </c>
      <c r="I3140" s="34"/>
      <c r="J3140" s="53" t="s">
        <v>5058</v>
      </c>
      <c r="K3140" s="33">
        <v>0</v>
      </c>
      <c r="L3140" s="236">
        <v>0</v>
      </c>
      <c r="M3140" s="35">
        <v>0</v>
      </c>
      <c r="N3140" s="35">
        <v>0</v>
      </c>
      <c r="O3140" s="35">
        <v>0</v>
      </c>
      <c r="P3140" s="35">
        <v>0</v>
      </c>
      <c r="Q3140" s="35">
        <v>0</v>
      </c>
      <c r="R3140" s="42">
        <v>11.968295121999999</v>
      </c>
      <c r="S3140" s="33" t="s">
        <v>149</v>
      </c>
      <c r="T3140" s="257">
        <f t="shared" si="105"/>
        <v>0</v>
      </c>
      <c r="U3140" s="257">
        <f t="shared" si="106"/>
        <v>0</v>
      </c>
      <c r="V3140">
        <v>0</v>
      </c>
      <c r="W3140">
        <v>0</v>
      </c>
    </row>
    <row r="3141" spans="1:23" ht="182.4" x14ac:dyDescent="0.3">
      <c r="A3141" s="214">
        <v>43699</v>
      </c>
      <c r="B3141" s="214">
        <v>43699</v>
      </c>
      <c r="C3141" s="6">
        <v>8</v>
      </c>
      <c r="D3141" s="6">
        <v>1</v>
      </c>
      <c r="E3141" s="19">
        <v>2019</v>
      </c>
      <c r="F3141" s="15" t="s">
        <v>22</v>
      </c>
      <c r="G3141" s="18" t="s">
        <v>6256</v>
      </c>
      <c r="H3141" s="9" t="s">
        <v>88</v>
      </c>
      <c r="I3141" s="34" t="s">
        <v>5059</v>
      </c>
      <c r="J3141" s="34" t="s">
        <v>5060</v>
      </c>
      <c r="K3141" s="40">
        <v>0</v>
      </c>
      <c r="L3141" s="235">
        <v>445</v>
      </c>
      <c r="M3141" s="35">
        <v>105</v>
      </c>
      <c r="N3141" s="35">
        <v>0</v>
      </c>
      <c r="O3141" s="35">
        <v>0</v>
      </c>
      <c r="P3141" s="35">
        <v>6</v>
      </c>
      <c r="Q3141" s="41">
        <v>0</v>
      </c>
      <c r="R3141" s="42">
        <v>2.8182340799999999</v>
      </c>
      <c r="S3141" s="33" t="s">
        <v>131</v>
      </c>
      <c r="T3141" s="257">
        <f t="shared" si="105"/>
        <v>445</v>
      </c>
      <c r="U3141" s="257">
        <f t="shared" si="106"/>
        <v>111</v>
      </c>
      <c r="V3141">
        <v>1</v>
      </c>
      <c r="W3141">
        <v>1</v>
      </c>
    </row>
    <row r="3142" spans="1:23" ht="22.8" x14ac:dyDescent="0.3">
      <c r="A3142" s="214">
        <v>43700</v>
      </c>
      <c r="B3142" s="214">
        <v>43700</v>
      </c>
      <c r="C3142" s="6">
        <v>8</v>
      </c>
      <c r="D3142" s="6">
        <v>1</v>
      </c>
      <c r="E3142" s="33">
        <v>2019</v>
      </c>
      <c r="F3142" s="15" t="s">
        <v>22</v>
      </c>
      <c r="G3142" s="18" t="s">
        <v>6256</v>
      </c>
      <c r="H3142" s="9" t="s">
        <v>72</v>
      </c>
      <c r="I3142" s="34"/>
      <c r="J3142" s="53" t="s">
        <v>5061</v>
      </c>
      <c r="K3142" s="40">
        <v>0</v>
      </c>
      <c r="L3142" s="235">
        <v>0</v>
      </c>
      <c r="M3142" s="35">
        <v>0</v>
      </c>
      <c r="N3142" s="35">
        <v>0</v>
      </c>
      <c r="O3142" s="35">
        <v>0</v>
      </c>
      <c r="P3142" s="35">
        <v>0</v>
      </c>
      <c r="Q3142" s="41">
        <v>0</v>
      </c>
      <c r="R3142" s="42">
        <v>11.887335179999999</v>
      </c>
      <c r="S3142" s="33" t="s">
        <v>149</v>
      </c>
      <c r="T3142" s="257">
        <f t="shared" si="105"/>
        <v>0</v>
      </c>
      <c r="U3142" s="257">
        <f t="shared" si="106"/>
        <v>0</v>
      </c>
      <c r="V3142">
        <v>0</v>
      </c>
      <c r="W3142">
        <v>0</v>
      </c>
    </row>
    <row r="3143" spans="1:23" ht="159.6" x14ac:dyDescent="0.3">
      <c r="A3143" s="214">
        <v>43699</v>
      </c>
      <c r="B3143" s="214">
        <v>43699</v>
      </c>
      <c r="C3143" s="6">
        <v>8</v>
      </c>
      <c r="D3143" s="6">
        <v>1</v>
      </c>
      <c r="E3143" s="19">
        <v>2019</v>
      </c>
      <c r="F3143" s="7" t="s">
        <v>17</v>
      </c>
      <c r="G3143" s="8" t="s">
        <v>6261</v>
      </c>
      <c r="H3143" s="9" t="s">
        <v>174</v>
      </c>
      <c r="I3143" s="34" t="s">
        <v>1390</v>
      </c>
      <c r="J3143" s="34" t="s">
        <v>5062</v>
      </c>
      <c r="K3143" s="40">
        <v>0</v>
      </c>
      <c r="L3143" s="235">
        <v>152</v>
      </c>
      <c r="M3143" s="35">
        <v>3</v>
      </c>
      <c r="N3143" s="35">
        <v>0</v>
      </c>
      <c r="O3143" s="35">
        <v>0</v>
      </c>
      <c r="P3143" s="35">
        <v>0</v>
      </c>
      <c r="Q3143" s="41">
        <v>0</v>
      </c>
      <c r="R3143" s="42">
        <v>43.694878000000003</v>
      </c>
      <c r="S3143" s="33" t="s">
        <v>131</v>
      </c>
      <c r="T3143" s="257">
        <f t="shared" si="105"/>
        <v>152</v>
      </c>
      <c r="U3143" s="257">
        <f t="shared" si="106"/>
        <v>3</v>
      </c>
      <c r="V3143">
        <v>1</v>
      </c>
      <c r="W3143">
        <v>1</v>
      </c>
    </row>
    <row r="3144" spans="1:23" ht="171" x14ac:dyDescent="0.3">
      <c r="A3144" s="214">
        <v>43701</v>
      </c>
      <c r="B3144" s="214">
        <v>43702</v>
      </c>
      <c r="C3144" s="6">
        <v>8</v>
      </c>
      <c r="D3144" s="6">
        <v>2</v>
      </c>
      <c r="E3144" s="33">
        <v>2019</v>
      </c>
      <c r="F3144" s="15" t="s">
        <v>22</v>
      </c>
      <c r="G3144" s="18" t="s">
        <v>6256</v>
      </c>
      <c r="H3144" s="9" t="s">
        <v>57</v>
      </c>
      <c r="I3144" s="34" t="s">
        <v>678</v>
      </c>
      <c r="J3144" s="34" t="s">
        <v>5063</v>
      </c>
      <c r="K3144" s="40">
        <v>2</v>
      </c>
      <c r="L3144" s="235">
        <v>37</v>
      </c>
      <c r="M3144" s="35">
        <v>0</v>
      </c>
      <c r="N3144" s="35">
        <v>0</v>
      </c>
      <c r="O3144" s="35">
        <v>0</v>
      </c>
      <c r="P3144" s="35">
        <v>0</v>
      </c>
      <c r="Q3144" s="41">
        <v>0</v>
      </c>
      <c r="R3144" s="42">
        <v>6.16</v>
      </c>
      <c r="S3144" s="33" t="s">
        <v>115</v>
      </c>
      <c r="T3144" s="257">
        <f t="shared" si="105"/>
        <v>39</v>
      </c>
      <c r="U3144" s="257">
        <f t="shared" si="106"/>
        <v>0</v>
      </c>
      <c r="V3144">
        <v>1</v>
      </c>
      <c r="W3144">
        <v>0</v>
      </c>
    </row>
    <row r="3145" spans="1:23" ht="114" x14ac:dyDescent="0.3">
      <c r="A3145" s="214">
        <v>43702</v>
      </c>
      <c r="B3145" s="214">
        <v>43703</v>
      </c>
      <c r="C3145" s="6">
        <v>8</v>
      </c>
      <c r="D3145" s="6">
        <v>2</v>
      </c>
      <c r="E3145" s="33">
        <v>2019</v>
      </c>
      <c r="F3145" s="15" t="s">
        <v>22</v>
      </c>
      <c r="G3145" s="18" t="s">
        <v>6256</v>
      </c>
      <c r="H3145" s="9" t="s">
        <v>118</v>
      </c>
      <c r="I3145" s="34" t="s">
        <v>2286</v>
      </c>
      <c r="J3145" s="34" t="s">
        <v>5064</v>
      </c>
      <c r="K3145" s="40">
        <v>0</v>
      </c>
      <c r="L3145" s="235">
        <v>20</v>
      </c>
      <c r="M3145" s="35">
        <v>3</v>
      </c>
      <c r="N3145" s="35">
        <v>0</v>
      </c>
      <c r="O3145" s="35">
        <v>0</v>
      </c>
      <c r="P3145" s="35">
        <v>0</v>
      </c>
      <c r="Q3145" s="41">
        <v>0</v>
      </c>
      <c r="R3145" s="42">
        <v>3.4650000000000002E-3</v>
      </c>
      <c r="S3145" s="33" t="s">
        <v>115</v>
      </c>
      <c r="T3145" s="257">
        <f t="shared" si="105"/>
        <v>20</v>
      </c>
      <c r="U3145" s="257">
        <f t="shared" si="106"/>
        <v>3</v>
      </c>
      <c r="V3145">
        <v>1</v>
      </c>
      <c r="W3145">
        <v>1</v>
      </c>
    </row>
    <row r="3146" spans="1:23" ht="125.4" x14ac:dyDescent="0.3">
      <c r="A3146" s="214">
        <v>43702</v>
      </c>
      <c r="B3146" s="214">
        <v>43703</v>
      </c>
      <c r="C3146" s="6">
        <v>8</v>
      </c>
      <c r="D3146" s="6">
        <v>2</v>
      </c>
      <c r="E3146" s="19">
        <v>2019</v>
      </c>
      <c r="F3146" s="15" t="s">
        <v>22</v>
      </c>
      <c r="G3146" s="18" t="s">
        <v>6256</v>
      </c>
      <c r="H3146" s="9" t="s">
        <v>43</v>
      </c>
      <c r="I3146" s="34" t="s">
        <v>4456</v>
      </c>
      <c r="J3146" s="34" t="s">
        <v>5065</v>
      </c>
      <c r="K3146" s="40">
        <v>0</v>
      </c>
      <c r="L3146" s="235">
        <v>104</v>
      </c>
      <c r="M3146" s="35">
        <v>26</v>
      </c>
      <c r="N3146" s="35">
        <v>0</v>
      </c>
      <c r="O3146" s="35">
        <v>0</v>
      </c>
      <c r="P3146" s="35">
        <v>0</v>
      </c>
      <c r="Q3146" s="41">
        <v>0</v>
      </c>
      <c r="R3146" s="42">
        <v>3.0030000000000001E-2</v>
      </c>
      <c r="S3146" s="33" t="s">
        <v>115</v>
      </c>
      <c r="T3146" s="257">
        <f t="shared" si="105"/>
        <v>104</v>
      </c>
      <c r="U3146" s="257">
        <f t="shared" si="106"/>
        <v>26</v>
      </c>
      <c r="V3146">
        <v>1</v>
      </c>
      <c r="W3146">
        <v>1</v>
      </c>
    </row>
    <row r="3147" spans="1:23" ht="136.80000000000001" x14ac:dyDescent="0.3">
      <c r="A3147" s="214">
        <v>43702</v>
      </c>
      <c r="B3147" s="214">
        <v>43703</v>
      </c>
      <c r="C3147" s="6">
        <v>8</v>
      </c>
      <c r="D3147" s="6">
        <v>2</v>
      </c>
      <c r="E3147" s="19">
        <v>2019</v>
      </c>
      <c r="F3147" s="15" t="s">
        <v>22</v>
      </c>
      <c r="G3147" s="18" t="s">
        <v>6256</v>
      </c>
      <c r="H3147" s="9" t="s">
        <v>56</v>
      </c>
      <c r="I3147" s="34" t="s">
        <v>1256</v>
      </c>
      <c r="J3147" s="34" t="s">
        <v>5066</v>
      </c>
      <c r="K3147" s="40">
        <v>2</v>
      </c>
      <c r="L3147" s="235">
        <v>24</v>
      </c>
      <c r="M3147" s="35">
        <v>0</v>
      </c>
      <c r="N3147" s="35">
        <v>0</v>
      </c>
      <c r="O3147" s="35">
        <v>0</v>
      </c>
      <c r="P3147" s="35">
        <v>0</v>
      </c>
      <c r="Q3147" s="41">
        <v>0</v>
      </c>
      <c r="R3147" s="42">
        <v>0</v>
      </c>
      <c r="S3147" s="33" t="s">
        <v>115</v>
      </c>
      <c r="T3147" s="257">
        <f t="shared" si="105"/>
        <v>26</v>
      </c>
      <c r="U3147" s="257">
        <f t="shared" si="106"/>
        <v>0</v>
      </c>
      <c r="V3147">
        <v>1</v>
      </c>
      <c r="W3147">
        <v>0</v>
      </c>
    </row>
    <row r="3148" spans="1:23" ht="91.2" x14ac:dyDescent="0.3">
      <c r="A3148" s="214">
        <v>43703</v>
      </c>
      <c r="B3148" s="214">
        <v>43703</v>
      </c>
      <c r="C3148" s="6">
        <v>8</v>
      </c>
      <c r="D3148" s="6">
        <v>1</v>
      </c>
      <c r="E3148" s="19">
        <v>2019</v>
      </c>
      <c r="F3148" s="15" t="s">
        <v>22</v>
      </c>
      <c r="G3148" s="18" t="s">
        <v>6256</v>
      </c>
      <c r="H3148" s="9" t="s">
        <v>70</v>
      </c>
      <c r="I3148" s="34" t="s">
        <v>2595</v>
      </c>
      <c r="J3148" s="34" t="s">
        <v>5067</v>
      </c>
      <c r="K3148" s="40">
        <v>0</v>
      </c>
      <c r="L3148" s="235">
        <v>50</v>
      </c>
      <c r="M3148" s="35">
        <v>11</v>
      </c>
      <c r="N3148" s="35">
        <v>0</v>
      </c>
      <c r="O3148" s="35">
        <v>0</v>
      </c>
      <c r="P3148" s="35">
        <v>0</v>
      </c>
      <c r="Q3148" s="41">
        <v>0</v>
      </c>
      <c r="R3148" s="42">
        <v>1.2704999999999999E-2</v>
      </c>
      <c r="S3148" s="33" t="s">
        <v>115</v>
      </c>
      <c r="T3148" s="257">
        <f t="shared" si="105"/>
        <v>50</v>
      </c>
      <c r="U3148" s="257">
        <f t="shared" si="106"/>
        <v>11</v>
      </c>
      <c r="V3148">
        <v>1</v>
      </c>
      <c r="W3148">
        <v>1</v>
      </c>
    </row>
    <row r="3149" spans="1:23" ht="91.2" x14ac:dyDescent="0.3">
      <c r="A3149" s="214">
        <v>43705</v>
      </c>
      <c r="B3149" s="214">
        <v>43705</v>
      </c>
      <c r="C3149" s="6">
        <v>8</v>
      </c>
      <c r="D3149" s="6">
        <v>1</v>
      </c>
      <c r="E3149" s="33">
        <v>2019</v>
      </c>
      <c r="F3149" s="15" t="s">
        <v>22</v>
      </c>
      <c r="G3149" s="18" t="s">
        <v>6256</v>
      </c>
      <c r="H3149" s="9" t="s">
        <v>72</v>
      </c>
      <c r="I3149" s="34" t="s">
        <v>657</v>
      </c>
      <c r="J3149" s="34" t="s">
        <v>5068</v>
      </c>
      <c r="K3149" s="40">
        <v>0</v>
      </c>
      <c r="L3149" s="235">
        <v>200</v>
      </c>
      <c r="M3149" s="35">
        <v>50</v>
      </c>
      <c r="N3149" s="35">
        <v>0</v>
      </c>
      <c r="O3149" s="35">
        <v>0</v>
      </c>
      <c r="P3149" s="35">
        <v>0</v>
      </c>
      <c r="Q3149" s="41">
        <v>0</v>
      </c>
      <c r="R3149" s="42">
        <v>5.7750000000000003E-2</v>
      </c>
      <c r="S3149" s="33" t="s">
        <v>115</v>
      </c>
      <c r="T3149" s="257">
        <f t="shared" si="105"/>
        <v>200</v>
      </c>
      <c r="U3149" s="257">
        <f t="shared" si="106"/>
        <v>50</v>
      </c>
      <c r="V3149">
        <v>1</v>
      </c>
      <c r="W3149">
        <v>1</v>
      </c>
    </row>
    <row r="3150" spans="1:23" ht="148.19999999999999" x14ac:dyDescent="0.3">
      <c r="A3150" s="214">
        <v>43707</v>
      </c>
      <c r="B3150" s="214">
        <v>43707</v>
      </c>
      <c r="C3150" s="6">
        <v>8</v>
      </c>
      <c r="D3150" s="6">
        <v>1</v>
      </c>
      <c r="E3150" s="19">
        <v>2019</v>
      </c>
      <c r="F3150" s="15" t="s">
        <v>22</v>
      </c>
      <c r="G3150" s="18" t="s">
        <v>6256</v>
      </c>
      <c r="H3150" s="9" t="s">
        <v>72</v>
      </c>
      <c r="I3150" s="34" t="s">
        <v>657</v>
      </c>
      <c r="J3150" s="34" t="s">
        <v>5069</v>
      </c>
      <c r="K3150" s="40">
        <v>1</v>
      </c>
      <c r="L3150" s="235">
        <v>322</v>
      </c>
      <c r="M3150" s="35">
        <v>80</v>
      </c>
      <c r="N3150" s="35">
        <v>0</v>
      </c>
      <c r="O3150" s="35">
        <v>0</v>
      </c>
      <c r="P3150" s="35">
        <v>0</v>
      </c>
      <c r="Q3150" s="41">
        <v>0</v>
      </c>
      <c r="R3150" s="42">
        <v>0.1197141</v>
      </c>
      <c r="S3150" s="33" t="s">
        <v>115</v>
      </c>
      <c r="T3150" s="257">
        <f t="shared" si="105"/>
        <v>323</v>
      </c>
      <c r="U3150" s="257">
        <f t="shared" si="106"/>
        <v>80</v>
      </c>
      <c r="V3150">
        <v>1</v>
      </c>
      <c r="W3150">
        <v>1</v>
      </c>
    </row>
    <row r="3151" spans="1:23" ht="68.400000000000006" x14ac:dyDescent="0.3">
      <c r="A3151" s="214">
        <v>43712</v>
      </c>
      <c r="B3151" s="214">
        <v>43712</v>
      </c>
      <c r="C3151" s="6">
        <v>9</v>
      </c>
      <c r="D3151" s="6">
        <v>1</v>
      </c>
      <c r="E3151" s="19">
        <v>2019</v>
      </c>
      <c r="F3151" s="15" t="s">
        <v>22</v>
      </c>
      <c r="G3151" s="16" t="s">
        <v>6254</v>
      </c>
      <c r="H3151" s="9" t="s">
        <v>57</v>
      </c>
      <c r="I3151" s="34">
        <v>31</v>
      </c>
      <c r="J3151" s="34" t="s">
        <v>5070</v>
      </c>
      <c r="K3151" s="40">
        <v>1</v>
      </c>
      <c r="L3151" s="235">
        <v>3782139</v>
      </c>
      <c r="M3151" s="35">
        <v>3531</v>
      </c>
      <c r="N3151" s="35">
        <v>179</v>
      </c>
      <c r="O3151" s="35">
        <v>8</v>
      </c>
      <c r="P3151" s="35">
        <v>0</v>
      </c>
      <c r="Q3151" s="41">
        <v>0</v>
      </c>
      <c r="R3151" s="42">
        <v>861.17079932519994</v>
      </c>
      <c r="S3151" s="33" t="s">
        <v>5013</v>
      </c>
      <c r="T3151" s="257">
        <f t="shared" si="105"/>
        <v>3782140</v>
      </c>
      <c r="U3151" s="257">
        <f t="shared" si="106"/>
        <v>3718</v>
      </c>
      <c r="V3151">
        <v>5</v>
      </c>
      <c r="W3151">
        <v>2</v>
      </c>
    </row>
    <row r="3152" spans="1:23" ht="409.6" x14ac:dyDescent="0.3">
      <c r="A3152" s="214">
        <v>43714</v>
      </c>
      <c r="B3152" s="214">
        <v>43714</v>
      </c>
      <c r="C3152" s="6">
        <v>9</v>
      </c>
      <c r="D3152" s="6">
        <v>1</v>
      </c>
      <c r="E3152" s="19">
        <v>2019</v>
      </c>
      <c r="F3152" s="15" t="s">
        <v>22</v>
      </c>
      <c r="G3152" s="18" t="s">
        <v>6256</v>
      </c>
      <c r="H3152" s="9" t="s">
        <v>51</v>
      </c>
      <c r="I3152" s="34" t="s">
        <v>5071</v>
      </c>
      <c r="J3152" s="34" t="s">
        <v>5072</v>
      </c>
      <c r="K3152" s="40">
        <v>0</v>
      </c>
      <c r="L3152" s="235">
        <v>2</v>
      </c>
      <c r="M3152" s="35">
        <v>0</v>
      </c>
      <c r="N3152" s="35">
        <v>0</v>
      </c>
      <c r="O3152" s="35">
        <v>0</v>
      </c>
      <c r="P3152" s="35">
        <v>0</v>
      </c>
      <c r="Q3152" s="41">
        <v>0</v>
      </c>
      <c r="R3152" s="42">
        <v>0.17599999999999999</v>
      </c>
      <c r="S3152" s="33" t="s">
        <v>115</v>
      </c>
      <c r="T3152" s="257">
        <f t="shared" si="105"/>
        <v>2</v>
      </c>
      <c r="U3152" s="257">
        <f t="shared" si="106"/>
        <v>0</v>
      </c>
      <c r="V3152">
        <v>1</v>
      </c>
      <c r="W3152">
        <v>0</v>
      </c>
    </row>
    <row r="3153" spans="1:23" ht="102.6" x14ac:dyDescent="0.3">
      <c r="A3153" s="214">
        <v>43716</v>
      </c>
      <c r="B3153" s="214">
        <v>43716</v>
      </c>
      <c r="C3153" s="6">
        <v>9</v>
      </c>
      <c r="D3153" s="6">
        <v>1</v>
      </c>
      <c r="E3153" s="19">
        <v>2019</v>
      </c>
      <c r="F3153" s="15" t="s">
        <v>22</v>
      </c>
      <c r="G3153" s="18" t="s">
        <v>6256</v>
      </c>
      <c r="H3153" s="9" t="s">
        <v>51</v>
      </c>
      <c r="I3153" s="34" t="s">
        <v>1275</v>
      </c>
      <c r="J3153" s="34" t="s">
        <v>5074</v>
      </c>
      <c r="K3153" s="40">
        <v>4</v>
      </c>
      <c r="L3153" s="235">
        <v>8</v>
      </c>
      <c r="M3153" s="35">
        <v>0</v>
      </c>
      <c r="N3153" s="35">
        <v>0</v>
      </c>
      <c r="O3153" s="35">
        <v>0</v>
      </c>
      <c r="P3153" s="35">
        <v>0</v>
      </c>
      <c r="Q3153" s="41">
        <v>0</v>
      </c>
      <c r="R3153" s="42">
        <v>1.232</v>
      </c>
      <c r="S3153" s="33" t="s">
        <v>115</v>
      </c>
      <c r="T3153" s="257">
        <f t="shared" si="105"/>
        <v>12</v>
      </c>
      <c r="U3153" s="257">
        <f t="shared" si="106"/>
        <v>0</v>
      </c>
      <c r="V3153">
        <v>1</v>
      </c>
      <c r="W3153">
        <v>0</v>
      </c>
    </row>
    <row r="3154" spans="1:23" ht="22.8" x14ac:dyDescent="0.3">
      <c r="A3154" s="214">
        <v>43716</v>
      </c>
      <c r="B3154" s="214">
        <v>43716</v>
      </c>
      <c r="C3154" s="6">
        <v>9</v>
      </c>
      <c r="D3154" s="6">
        <v>1</v>
      </c>
      <c r="E3154" s="33">
        <v>2019</v>
      </c>
      <c r="F3154" s="15" t="s">
        <v>22</v>
      </c>
      <c r="G3154" s="16" t="s">
        <v>6256</v>
      </c>
      <c r="H3154" s="9" t="s">
        <v>74</v>
      </c>
      <c r="I3154" s="34"/>
      <c r="J3154" s="53" t="s">
        <v>5075</v>
      </c>
      <c r="K3154" s="40">
        <v>0</v>
      </c>
      <c r="L3154" s="235">
        <v>0</v>
      </c>
      <c r="M3154" s="35">
        <v>0</v>
      </c>
      <c r="N3154" s="35">
        <v>0</v>
      </c>
      <c r="O3154" s="35">
        <v>0</v>
      </c>
      <c r="P3154" s="35">
        <v>0</v>
      </c>
      <c r="Q3154" s="41">
        <v>0</v>
      </c>
      <c r="R3154" s="42">
        <v>1.5435949199999999</v>
      </c>
      <c r="S3154" s="33" t="s">
        <v>149</v>
      </c>
      <c r="T3154" s="257">
        <f t="shared" si="105"/>
        <v>0</v>
      </c>
      <c r="U3154" s="257">
        <f t="shared" si="106"/>
        <v>0</v>
      </c>
      <c r="V3154">
        <v>0</v>
      </c>
      <c r="W3154">
        <v>0</v>
      </c>
    </row>
    <row r="3155" spans="1:23" x14ac:dyDescent="0.3">
      <c r="A3155" s="214">
        <v>43724</v>
      </c>
      <c r="B3155" s="214">
        <v>43724</v>
      </c>
      <c r="C3155" s="6">
        <v>9</v>
      </c>
      <c r="D3155" s="6">
        <v>1</v>
      </c>
      <c r="E3155" s="19">
        <v>2019</v>
      </c>
      <c r="F3155" s="15" t="s">
        <v>22</v>
      </c>
      <c r="G3155" s="16" t="s">
        <v>6256</v>
      </c>
      <c r="H3155" s="9" t="s">
        <v>31</v>
      </c>
      <c r="I3155" s="34"/>
      <c r="J3155" s="53" t="s">
        <v>5076</v>
      </c>
      <c r="K3155" s="40">
        <v>0</v>
      </c>
      <c r="L3155" s="235">
        <v>0</v>
      </c>
      <c r="M3155" s="35">
        <v>0</v>
      </c>
      <c r="N3155" s="35">
        <v>0</v>
      </c>
      <c r="O3155" s="35">
        <v>0</v>
      </c>
      <c r="P3155" s="35">
        <v>0</v>
      </c>
      <c r="Q3155" s="41">
        <v>0</v>
      </c>
      <c r="R3155" s="42">
        <v>214.17729089060001</v>
      </c>
      <c r="S3155" s="33" t="s">
        <v>149</v>
      </c>
      <c r="T3155" s="257">
        <f t="shared" si="105"/>
        <v>0</v>
      </c>
      <c r="U3155" s="257">
        <f t="shared" si="106"/>
        <v>0</v>
      </c>
      <c r="V3155">
        <v>0</v>
      </c>
      <c r="W3155">
        <v>0</v>
      </c>
    </row>
    <row r="3156" spans="1:23" ht="273.60000000000002" x14ac:dyDescent="0.3">
      <c r="A3156" s="214">
        <v>43726</v>
      </c>
      <c r="B3156" s="214">
        <v>43726</v>
      </c>
      <c r="C3156" s="6">
        <v>9</v>
      </c>
      <c r="D3156" s="6">
        <v>1</v>
      </c>
      <c r="E3156" s="33">
        <v>2019</v>
      </c>
      <c r="F3156" s="15" t="s">
        <v>22</v>
      </c>
      <c r="G3156" s="18" t="s">
        <v>6256</v>
      </c>
      <c r="H3156" s="9" t="s">
        <v>39</v>
      </c>
      <c r="I3156" s="34" t="s">
        <v>2605</v>
      </c>
      <c r="J3156" s="34" t="s">
        <v>5077</v>
      </c>
      <c r="K3156" s="40">
        <v>0</v>
      </c>
      <c r="L3156" s="235">
        <v>104</v>
      </c>
      <c r="M3156" s="35">
        <v>10</v>
      </c>
      <c r="N3156" s="35">
        <v>0</v>
      </c>
      <c r="O3156" s="35">
        <v>0</v>
      </c>
      <c r="P3156" s="35">
        <v>0</v>
      </c>
      <c r="Q3156" s="41">
        <v>0</v>
      </c>
      <c r="R3156" s="42">
        <v>25.924668</v>
      </c>
      <c r="S3156" s="33" t="s">
        <v>131</v>
      </c>
      <c r="T3156" s="257">
        <f t="shared" si="105"/>
        <v>104</v>
      </c>
      <c r="U3156" s="257">
        <f t="shared" si="106"/>
        <v>10</v>
      </c>
      <c r="V3156">
        <v>1</v>
      </c>
      <c r="W3156">
        <v>1</v>
      </c>
    </row>
    <row r="3157" spans="1:23" x14ac:dyDescent="0.3">
      <c r="A3157" s="214">
        <v>43726</v>
      </c>
      <c r="B3157" s="214">
        <v>43726</v>
      </c>
      <c r="C3157" s="6">
        <v>9</v>
      </c>
      <c r="D3157" s="6">
        <v>1</v>
      </c>
      <c r="E3157" s="19">
        <v>2019</v>
      </c>
      <c r="F3157" s="15" t="s">
        <v>22</v>
      </c>
      <c r="G3157" s="16" t="s">
        <v>6256</v>
      </c>
      <c r="H3157" s="9" t="s">
        <v>31</v>
      </c>
      <c r="I3157" s="34"/>
      <c r="J3157" s="53" t="s">
        <v>5078</v>
      </c>
      <c r="K3157" s="40">
        <v>0</v>
      </c>
      <c r="L3157" s="235">
        <v>0</v>
      </c>
      <c r="M3157" s="35">
        <v>0</v>
      </c>
      <c r="N3157" s="35">
        <v>0</v>
      </c>
      <c r="O3157" s="35">
        <v>0</v>
      </c>
      <c r="P3157" s="35">
        <v>0</v>
      </c>
      <c r="Q3157" s="41">
        <v>0</v>
      </c>
      <c r="R3157" s="42">
        <v>227.78429667239999</v>
      </c>
      <c r="S3157" s="33" t="s">
        <v>149</v>
      </c>
      <c r="T3157" s="257">
        <f t="shared" si="105"/>
        <v>0</v>
      </c>
      <c r="U3157" s="257">
        <f t="shared" si="106"/>
        <v>0</v>
      </c>
      <c r="V3157">
        <v>0</v>
      </c>
      <c r="W3157">
        <v>0</v>
      </c>
    </row>
    <row r="3158" spans="1:23" ht="148.19999999999999" x14ac:dyDescent="0.3">
      <c r="A3158" s="214">
        <v>43727</v>
      </c>
      <c r="B3158" s="214">
        <v>43727</v>
      </c>
      <c r="C3158" s="6">
        <v>9</v>
      </c>
      <c r="D3158" s="6">
        <v>1</v>
      </c>
      <c r="E3158" s="19">
        <v>2019</v>
      </c>
      <c r="F3158" s="15" t="s">
        <v>22</v>
      </c>
      <c r="G3158" s="16" t="s">
        <v>6254</v>
      </c>
      <c r="H3158" s="9" t="s">
        <v>51</v>
      </c>
      <c r="I3158" s="34" t="s">
        <v>5079</v>
      </c>
      <c r="J3158" s="34" t="s">
        <v>5080</v>
      </c>
      <c r="K3158" s="40">
        <v>0</v>
      </c>
      <c r="L3158" s="235">
        <v>42820</v>
      </c>
      <c r="M3158" s="35">
        <v>39</v>
      </c>
      <c r="N3158" s="35">
        <v>9</v>
      </c>
      <c r="O3158" s="35">
        <v>0</v>
      </c>
      <c r="P3158" s="35">
        <v>0</v>
      </c>
      <c r="Q3158" s="35">
        <v>0</v>
      </c>
      <c r="R3158" s="42">
        <v>744.69518732000006</v>
      </c>
      <c r="S3158" s="33" t="s">
        <v>5013</v>
      </c>
      <c r="T3158" s="257">
        <f t="shared" si="105"/>
        <v>42820</v>
      </c>
      <c r="U3158" s="257">
        <f t="shared" si="106"/>
        <v>48</v>
      </c>
      <c r="V3158">
        <v>2</v>
      </c>
      <c r="W3158">
        <v>1</v>
      </c>
    </row>
    <row r="3159" spans="1:23" ht="22.8" x14ac:dyDescent="0.3">
      <c r="A3159" s="214">
        <v>43729</v>
      </c>
      <c r="B3159" s="214">
        <v>43729</v>
      </c>
      <c r="C3159" s="6">
        <v>9</v>
      </c>
      <c r="D3159" s="6">
        <v>1</v>
      </c>
      <c r="E3159" s="33">
        <v>2019</v>
      </c>
      <c r="F3159" s="15" t="s">
        <v>22</v>
      </c>
      <c r="G3159" s="18" t="s">
        <v>6256</v>
      </c>
      <c r="H3159" s="9" t="s">
        <v>74</v>
      </c>
      <c r="I3159" s="34"/>
      <c r="J3159" s="53" t="s">
        <v>5081</v>
      </c>
      <c r="K3159" s="40">
        <v>0</v>
      </c>
      <c r="L3159" s="235">
        <v>0</v>
      </c>
      <c r="M3159" s="35">
        <v>0</v>
      </c>
      <c r="N3159" s="35">
        <v>0</v>
      </c>
      <c r="O3159" s="35">
        <v>0</v>
      </c>
      <c r="P3159" s="35">
        <v>0</v>
      </c>
      <c r="Q3159" s="41">
        <v>0</v>
      </c>
      <c r="R3159" s="42">
        <v>27.553685410399993</v>
      </c>
      <c r="S3159" s="33" t="s">
        <v>149</v>
      </c>
      <c r="T3159" s="257">
        <f t="shared" si="105"/>
        <v>0</v>
      </c>
      <c r="U3159" s="257">
        <f t="shared" si="106"/>
        <v>0</v>
      </c>
      <c r="V3159">
        <v>0</v>
      </c>
      <c r="W3159">
        <v>0</v>
      </c>
    </row>
    <row r="3160" spans="1:23" ht="22.8" x14ac:dyDescent="0.3">
      <c r="A3160" s="129">
        <v>43728</v>
      </c>
      <c r="B3160" s="129">
        <v>43728</v>
      </c>
      <c r="C3160" s="6">
        <v>9</v>
      </c>
      <c r="D3160" s="6">
        <v>1</v>
      </c>
      <c r="E3160" s="33">
        <v>2019</v>
      </c>
      <c r="F3160" s="15" t="s">
        <v>22</v>
      </c>
      <c r="G3160" s="16" t="s">
        <v>6254</v>
      </c>
      <c r="H3160" s="9" t="s">
        <v>28</v>
      </c>
      <c r="I3160" s="34"/>
      <c r="J3160" s="53" t="s">
        <v>5082</v>
      </c>
      <c r="K3160" s="33">
        <v>0</v>
      </c>
      <c r="L3160" s="236">
        <v>0</v>
      </c>
      <c r="M3160" s="35">
        <v>0</v>
      </c>
      <c r="N3160" s="35">
        <v>0</v>
      </c>
      <c r="O3160" s="35">
        <v>0</v>
      </c>
      <c r="P3160" s="35">
        <v>0</v>
      </c>
      <c r="Q3160" s="35">
        <v>0</v>
      </c>
      <c r="R3160" s="42">
        <v>33.225004850000005</v>
      </c>
      <c r="S3160" s="33" t="s">
        <v>149</v>
      </c>
      <c r="T3160" s="257">
        <f t="shared" si="105"/>
        <v>0</v>
      </c>
      <c r="U3160" s="257">
        <f t="shared" si="106"/>
        <v>0</v>
      </c>
      <c r="V3160">
        <v>0</v>
      </c>
      <c r="W3160">
        <v>0</v>
      </c>
    </row>
    <row r="3161" spans="1:23" ht="22.8" x14ac:dyDescent="0.3">
      <c r="A3161" s="214">
        <v>43732</v>
      </c>
      <c r="B3161" s="214">
        <v>43733</v>
      </c>
      <c r="C3161" s="6">
        <v>9</v>
      </c>
      <c r="D3161" s="6">
        <v>2</v>
      </c>
      <c r="E3161" s="19">
        <v>2019</v>
      </c>
      <c r="F3161" s="15" t="s">
        <v>22</v>
      </c>
      <c r="G3161" s="18" t="s">
        <v>6256</v>
      </c>
      <c r="H3161" s="9" t="s">
        <v>74</v>
      </c>
      <c r="I3161" s="34"/>
      <c r="J3161" s="53" t="s">
        <v>5083</v>
      </c>
      <c r="K3161" s="33">
        <v>0</v>
      </c>
      <c r="L3161" s="236">
        <v>0</v>
      </c>
      <c r="M3161" s="35">
        <v>0</v>
      </c>
      <c r="N3161" s="35">
        <v>0</v>
      </c>
      <c r="O3161" s="35">
        <v>0</v>
      </c>
      <c r="P3161" s="35">
        <v>0</v>
      </c>
      <c r="Q3161" s="35">
        <v>0</v>
      </c>
      <c r="R3161" s="42">
        <v>22.274732255599986</v>
      </c>
      <c r="S3161" s="33" t="s">
        <v>149</v>
      </c>
      <c r="T3161" s="257">
        <f t="shared" si="105"/>
        <v>0</v>
      </c>
      <c r="U3161" s="257">
        <f t="shared" si="106"/>
        <v>0</v>
      </c>
      <c r="V3161">
        <v>0</v>
      </c>
      <c r="W3161">
        <v>0</v>
      </c>
    </row>
    <row r="3162" spans="1:23" ht="125.4" x14ac:dyDescent="0.3">
      <c r="A3162" s="214">
        <v>43733</v>
      </c>
      <c r="B3162" s="214">
        <v>43733</v>
      </c>
      <c r="C3162" s="6">
        <v>9</v>
      </c>
      <c r="D3162" s="6">
        <v>1</v>
      </c>
      <c r="E3162" s="33">
        <v>2019</v>
      </c>
      <c r="F3162" s="15" t="s">
        <v>22</v>
      </c>
      <c r="G3162" s="18" t="s">
        <v>6256</v>
      </c>
      <c r="H3162" s="9" t="s">
        <v>64</v>
      </c>
      <c r="I3162" s="34" t="s">
        <v>3519</v>
      </c>
      <c r="J3162" s="34" t="s">
        <v>5084</v>
      </c>
      <c r="K3162" s="40">
        <v>0</v>
      </c>
      <c r="L3162" s="235">
        <v>400</v>
      </c>
      <c r="M3162" s="35">
        <v>100</v>
      </c>
      <c r="N3162" s="35">
        <v>0</v>
      </c>
      <c r="O3162" s="35">
        <v>0</v>
      </c>
      <c r="P3162" s="35">
        <v>0</v>
      </c>
      <c r="Q3162" s="41">
        <v>0</v>
      </c>
      <c r="R3162" s="42">
        <v>0.29149999999999998</v>
      </c>
      <c r="S3162" s="33" t="s">
        <v>115</v>
      </c>
      <c r="T3162" s="257">
        <f t="shared" si="105"/>
        <v>400</v>
      </c>
      <c r="U3162" s="257">
        <f t="shared" si="106"/>
        <v>100</v>
      </c>
      <c r="V3162">
        <v>1</v>
      </c>
      <c r="W3162">
        <v>1</v>
      </c>
    </row>
    <row r="3163" spans="1:23" ht="45.6" x14ac:dyDescent="0.3">
      <c r="A3163" s="211">
        <v>43466</v>
      </c>
      <c r="B3163" s="211">
        <v>43708</v>
      </c>
      <c r="C3163" s="6">
        <v>1</v>
      </c>
      <c r="D3163" s="6">
        <v>243</v>
      </c>
      <c r="E3163" s="33">
        <v>2019</v>
      </c>
      <c r="F3163" s="15" t="s">
        <v>22</v>
      </c>
      <c r="G3163" s="16" t="s">
        <v>23</v>
      </c>
      <c r="H3163" s="9" t="s">
        <v>41</v>
      </c>
      <c r="I3163" s="20" t="s">
        <v>5085</v>
      </c>
      <c r="J3163" s="21" t="s">
        <v>5086</v>
      </c>
      <c r="K3163" s="40">
        <v>0</v>
      </c>
      <c r="L3163" s="235">
        <v>0</v>
      </c>
      <c r="M3163" s="35">
        <v>0</v>
      </c>
      <c r="N3163" s="35">
        <v>0</v>
      </c>
      <c r="O3163" s="35">
        <v>0</v>
      </c>
      <c r="P3163" s="35">
        <v>0</v>
      </c>
      <c r="Q3163" s="41">
        <v>1616</v>
      </c>
      <c r="R3163" s="42">
        <v>27.6978644</v>
      </c>
      <c r="S3163" s="33" t="s">
        <v>327</v>
      </c>
      <c r="T3163" s="257">
        <f t="shared" si="105"/>
        <v>0</v>
      </c>
      <c r="U3163" s="257">
        <f t="shared" si="106"/>
        <v>0</v>
      </c>
      <c r="V3163">
        <v>0</v>
      </c>
      <c r="W3163">
        <v>0</v>
      </c>
    </row>
    <row r="3164" spans="1:23" ht="182.4" x14ac:dyDescent="0.3">
      <c r="A3164" s="214">
        <v>43734</v>
      </c>
      <c r="B3164" s="214">
        <v>43734</v>
      </c>
      <c r="C3164" s="6">
        <v>9</v>
      </c>
      <c r="D3164" s="6">
        <v>1</v>
      </c>
      <c r="E3164" s="33">
        <v>2019</v>
      </c>
      <c r="F3164" s="15" t="s">
        <v>22</v>
      </c>
      <c r="G3164" s="18" t="s">
        <v>6256</v>
      </c>
      <c r="H3164" s="9" t="s">
        <v>31</v>
      </c>
      <c r="I3164" s="34" t="s">
        <v>4814</v>
      </c>
      <c r="J3164" s="34" t="s">
        <v>5087</v>
      </c>
      <c r="K3164" s="40">
        <v>0</v>
      </c>
      <c r="L3164" s="235">
        <v>560</v>
      </c>
      <c r="M3164" s="35">
        <v>140</v>
      </c>
      <c r="N3164" s="35">
        <v>0</v>
      </c>
      <c r="O3164" s="35">
        <v>0</v>
      </c>
      <c r="P3164" s="35">
        <v>0</v>
      </c>
      <c r="Q3164" s="41">
        <v>0</v>
      </c>
      <c r="R3164" s="42">
        <v>0.16170000000000001</v>
      </c>
      <c r="S3164" s="33" t="s">
        <v>115</v>
      </c>
      <c r="T3164" s="257">
        <f t="shared" si="105"/>
        <v>560</v>
      </c>
      <c r="U3164" s="257">
        <f t="shared" si="106"/>
        <v>140</v>
      </c>
      <c r="V3164">
        <v>1</v>
      </c>
      <c r="W3164">
        <v>1</v>
      </c>
    </row>
    <row r="3165" spans="1:23" ht="22.8" x14ac:dyDescent="0.3">
      <c r="A3165" s="214">
        <v>43736</v>
      </c>
      <c r="B3165" s="214">
        <v>43737</v>
      </c>
      <c r="C3165" s="6">
        <v>9</v>
      </c>
      <c r="D3165" s="6">
        <v>2</v>
      </c>
      <c r="E3165" s="19">
        <v>2019</v>
      </c>
      <c r="F3165" s="15" t="s">
        <v>22</v>
      </c>
      <c r="G3165" s="16" t="s">
        <v>6254</v>
      </c>
      <c r="H3165" s="9" t="s">
        <v>52</v>
      </c>
      <c r="I3165" s="34"/>
      <c r="J3165" s="53" t="s">
        <v>5088</v>
      </c>
      <c r="K3165" s="40">
        <v>0</v>
      </c>
      <c r="L3165" s="235">
        <v>0</v>
      </c>
      <c r="M3165" s="35">
        <v>0</v>
      </c>
      <c r="N3165" s="35">
        <v>0</v>
      </c>
      <c r="O3165" s="35">
        <v>0</v>
      </c>
      <c r="P3165" s="35">
        <v>0</v>
      </c>
      <c r="Q3165" s="41">
        <v>0</v>
      </c>
      <c r="R3165" s="42">
        <v>1.3387836000000002</v>
      </c>
      <c r="S3165" s="33" t="s">
        <v>149</v>
      </c>
      <c r="T3165" s="257">
        <f t="shared" si="105"/>
        <v>0</v>
      </c>
      <c r="U3165" s="257">
        <f t="shared" si="106"/>
        <v>0</v>
      </c>
      <c r="V3165">
        <v>0</v>
      </c>
      <c r="W3165">
        <v>0</v>
      </c>
    </row>
    <row r="3166" spans="1:23" ht="193.8" x14ac:dyDescent="0.3">
      <c r="A3166" s="214">
        <v>43737</v>
      </c>
      <c r="B3166" s="214">
        <v>43739</v>
      </c>
      <c r="C3166" s="6">
        <v>9</v>
      </c>
      <c r="D3166" s="6">
        <v>3</v>
      </c>
      <c r="E3166" s="33">
        <v>2019</v>
      </c>
      <c r="F3166" s="15" t="s">
        <v>22</v>
      </c>
      <c r="G3166" s="16" t="s">
        <v>6254</v>
      </c>
      <c r="H3166" s="9" t="s">
        <v>61</v>
      </c>
      <c r="I3166" s="34" t="s">
        <v>5089</v>
      </c>
      <c r="J3166" s="34" t="s">
        <v>5090</v>
      </c>
      <c r="K3166" s="40">
        <v>2</v>
      </c>
      <c r="L3166" s="235">
        <v>266</v>
      </c>
      <c r="M3166" s="35">
        <v>66</v>
      </c>
      <c r="N3166" s="35">
        <v>0</v>
      </c>
      <c r="O3166" s="35">
        <v>0</v>
      </c>
      <c r="P3166" s="35">
        <v>2</v>
      </c>
      <c r="Q3166" s="41">
        <v>0</v>
      </c>
      <c r="R3166" s="42">
        <v>826.85387122700001</v>
      </c>
      <c r="S3166" s="33" t="s">
        <v>131</v>
      </c>
      <c r="T3166" s="257">
        <f t="shared" si="105"/>
        <v>268</v>
      </c>
      <c r="U3166" s="257">
        <f t="shared" si="106"/>
        <v>68</v>
      </c>
      <c r="V3166">
        <v>1</v>
      </c>
      <c r="W3166">
        <v>1</v>
      </c>
    </row>
    <row r="3167" spans="1:23" ht="91.2" x14ac:dyDescent="0.3">
      <c r="A3167" s="212">
        <v>40676</v>
      </c>
      <c r="B3167" s="212">
        <v>40676</v>
      </c>
      <c r="C3167" s="6">
        <v>5</v>
      </c>
      <c r="D3167" s="6">
        <v>1</v>
      </c>
      <c r="E3167" s="6">
        <v>2011</v>
      </c>
      <c r="F3167" s="15" t="s">
        <v>22</v>
      </c>
      <c r="G3167" s="18" t="s">
        <v>6256</v>
      </c>
      <c r="H3167" s="9" t="s">
        <v>48</v>
      </c>
      <c r="I3167" s="53" t="s">
        <v>5091</v>
      </c>
      <c r="J3167" s="53" t="s">
        <v>5092</v>
      </c>
      <c r="K3167" s="13">
        <v>2</v>
      </c>
      <c r="L3167" s="233">
        <v>2</v>
      </c>
      <c r="M3167" s="13">
        <v>0</v>
      </c>
      <c r="N3167" s="13">
        <v>0</v>
      </c>
      <c r="O3167" s="13">
        <v>0</v>
      </c>
      <c r="P3167" s="13">
        <v>0</v>
      </c>
      <c r="Q3167" s="13">
        <v>0</v>
      </c>
      <c r="R3167" s="26">
        <v>0</v>
      </c>
      <c r="S3167" s="19" t="s">
        <v>115</v>
      </c>
      <c r="T3167" s="257">
        <f t="shared" si="105"/>
        <v>4</v>
      </c>
      <c r="U3167" s="257">
        <f t="shared" si="106"/>
        <v>0</v>
      </c>
      <c r="V3167">
        <v>1</v>
      </c>
      <c r="W3167">
        <v>0</v>
      </c>
    </row>
    <row r="3168" spans="1:23" ht="136.80000000000001" x14ac:dyDescent="0.3">
      <c r="A3168" s="214">
        <v>43738</v>
      </c>
      <c r="B3168" s="214">
        <v>43739</v>
      </c>
      <c r="C3168" s="6">
        <v>9</v>
      </c>
      <c r="D3168" s="6">
        <v>2</v>
      </c>
      <c r="E3168" s="33">
        <v>2019</v>
      </c>
      <c r="F3168" s="15" t="s">
        <v>22</v>
      </c>
      <c r="G3168" s="16" t="s">
        <v>6254</v>
      </c>
      <c r="H3168" s="9" t="s">
        <v>72</v>
      </c>
      <c r="I3168" s="34" t="s">
        <v>870</v>
      </c>
      <c r="J3168" s="34" t="s">
        <v>5093</v>
      </c>
      <c r="K3168" s="40">
        <v>0</v>
      </c>
      <c r="L3168" s="235">
        <v>329</v>
      </c>
      <c r="M3168" s="35">
        <v>0</v>
      </c>
      <c r="N3168" s="35">
        <v>0</v>
      </c>
      <c r="O3168" s="35">
        <v>0</v>
      </c>
      <c r="P3168" s="35">
        <v>1</v>
      </c>
      <c r="Q3168" s="41">
        <v>0</v>
      </c>
      <c r="R3168" s="42">
        <v>0</v>
      </c>
      <c r="S3168" s="33" t="s">
        <v>115</v>
      </c>
      <c r="T3168" s="257">
        <f t="shared" si="105"/>
        <v>329</v>
      </c>
      <c r="U3168" s="257">
        <f t="shared" si="106"/>
        <v>1</v>
      </c>
      <c r="V3168">
        <v>1</v>
      </c>
      <c r="W3168">
        <v>1</v>
      </c>
    </row>
    <row r="3169" spans="1:23" ht="136.80000000000001" x14ac:dyDescent="0.3">
      <c r="A3169" s="214">
        <v>43738</v>
      </c>
      <c r="B3169" s="214">
        <v>43739</v>
      </c>
      <c r="C3169" s="6">
        <v>9</v>
      </c>
      <c r="D3169" s="6">
        <v>2</v>
      </c>
      <c r="E3169" s="19">
        <v>2019</v>
      </c>
      <c r="F3169" s="15" t="s">
        <v>22</v>
      </c>
      <c r="G3169" s="16" t="s">
        <v>6254</v>
      </c>
      <c r="H3169" s="9" t="s">
        <v>56</v>
      </c>
      <c r="I3169" s="34" t="s">
        <v>5094</v>
      </c>
      <c r="J3169" s="34" t="s">
        <v>5095</v>
      </c>
      <c r="K3169" s="40">
        <v>0</v>
      </c>
      <c r="L3169" s="235">
        <v>51</v>
      </c>
      <c r="M3169" s="35">
        <v>8</v>
      </c>
      <c r="N3169" s="35">
        <v>0</v>
      </c>
      <c r="O3169" s="35">
        <v>0</v>
      </c>
      <c r="P3169" s="35">
        <v>0</v>
      </c>
      <c r="Q3169" s="41">
        <v>0</v>
      </c>
      <c r="R3169" s="42">
        <v>9.2399999999999999E-3</v>
      </c>
      <c r="S3169" s="33" t="s">
        <v>115</v>
      </c>
      <c r="T3169" s="257">
        <f t="shared" si="105"/>
        <v>51</v>
      </c>
      <c r="U3169" s="257">
        <f t="shared" si="106"/>
        <v>8</v>
      </c>
      <c r="V3169">
        <v>1</v>
      </c>
      <c r="W3169">
        <v>1</v>
      </c>
    </row>
    <row r="3170" spans="1:23" ht="136.80000000000001" x14ac:dyDescent="0.3">
      <c r="A3170" s="214">
        <v>43737</v>
      </c>
      <c r="B3170" s="214">
        <v>43737</v>
      </c>
      <c r="C3170" s="6">
        <v>9</v>
      </c>
      <c r="D3170" s="6">
        <v>1</v>
      </c>
      <c r="E3170" s="33">
        <v>2019</v>
      </c>
      <c r="F3170" s="15" t="s">
        <v>22</v>
      </c>
      <c r="G3170" s="82" t="s">
        <v>6254</v>
      </c>
      <c r="H3170" s="9" t="s">
        <v>51</v>
      </c>
      <c r="I3170" s="34" t="s">
        <v>5096</v>
      </c>
      <c r="J3170" s="34" t="s">
        <v>5097</v>
      </c>
      <c r="K3170" s="40">
        <v>1</v>
      </c>
      <c r="L3170" s="235">
        <v>4981</v>
      </c>
      <c r="M3170" s="35">
        <v>196</v>
      </c>
      <c r="N3170" s="35">
        <v>0</v>
      </c>
      <c r="O3170" s="35">
        <v>1</v>
      </c>
      <c r="P3170" s="35">
        <v>0</v>
      </c>
      <c r="Q3170" s="35">
        <v>0</v>
      </c>
      <c r="R3170" s="42">
        <v>1014.5009</v>
      </c>
      <c r="S3170" s="33" t="s">
        <v>5013</v>
      </c>
      <c r="T3170" s="257">
        <f t="shared" si="105"/>
        <v>4982</v>
      </c>
      <c r="U3170" s="257">
        <f t="shared" si="106"/>
        <v>197</v>
      </c>
      <c r="V3170">
        <v>1</v>
      </c>
      <c r="W3170">
        <v>1</v>
      </c>
    </row>
    <row r="3171" spans="1:23" ht="102.6" x14ac:dyDescent="0.3">
      <c r="A3171" s="214">
        <v>43737</v>
      </c>
      <c r="B3171" s="214">
        <v>43739</v>
      </c>
      <c r="C3171" s="6">
        <v>9</v>
      </c>
      <c r="D3171" s="6">
        <v>3</v>
      </c>
      <c r="E3171" s="19">
        <v>2019</v>
      </c>
      <c r="F3171" s="15" t="s">
        <v>22</v>
      </c>
      <c r="G3171" s="16" t="s">
        <v>6254</v>
      </c>
      <c r="H3171" s="9" t="s">
        <v>39</v>
      </c>
      <c r="I3171" s="34" t="s">
        <v>5098</v>
      </c>
      <c r="J3171" s="34" t="s">
        <v>5099</v>
      </c>
      <c r="K3171" s="40">
        <v>0</v>
      </c>
      <c r="L3171" s="235">
        <v>194</v>
      </c>
      <c r="M3171" s="35">
        <v>2</v>
      </c>
      <c r="N3171" s="35">
        <v>0</v>
      </c>
      <c r="O3171" s="35">
        <v>0</v>
      </c>
      <c r="P3171" s="35">
        <v>0</v>
      </c>
      <c r="Q3171" s="41">
        <v>0</v>
      </c>
      <c r="R3171" s="42">
        <v>574.93889394359996</v>
      </c>
      <c r="S3171" s="33" t="s">
        <v>131</v>
      </c>
      <c r="T3171" s="257">
        <f t="shared" si="105"/>
        <v>194</v>
      </c>
      <c r="U3171" s="257">
        <f t="shared" si="106"/>
        <v>2</v>
      </c>
      <c r="V3171">
        <v>1</v>
      </c>
      <c r="W3171">
        <v>1</v>
      </c>
    </row>
    <row r="3172" spans="1:23" ht="68.400000000000006" x14ac:dyDescent="0.3">
      <c r="A3172" s="214">
        <v>43740</v>
      </c>
      <c r="B3172" s="214">
        <v>43741</v>
      </c>
      <c r="C3172" s="6">
        <v>10</v>
      </c>
      <c r="D3172" s="6">
        <v>2</v>
      </c>
      <c r="E3172" s="19">
        <v>2019</v>
      </c>
      <c r="F3172" s="15" t="s">
        <v>22</v>
      </c>
      <c r="G3172" s="18" t="s">
        <v>6256</v>
      </c>
      <c r="H3172" s="9" t="s">
        <v>51</v>
      </c>
      <c r="I3172" s="34" t="s">
        <v>653</v>
      </c>
      <c r="J3172" s="34" t="s">
        <v>5100</v>
      </c>
      <c r="K3172" s="40">
        <v>1</v>
      </c>
      <c r="L3172" s="235">
        <v>1</v>
      </c>
      <c r="M3172" s="35">
        <v>0</v>
      </c>
      <c r="N3172" s="35">
        <v>0</v>
      </c>
      <c r="O3172" s="35">
        <v>0</v>
      </c>
      <c r="P3172" s="35">
        <v>0</v>
      </c>
      <c r="Q3172" s="41">
        <v>0</v>
      </c>
      <c r="R3172" s="42">
        <v>0</v>
      </c>
      <c r="S3172" s="33" t="s">
        <v>115</v>
      </c>
      <c r="T3172" s="257">
        <f t="shared" si="105"/>
        <v>2</v>
      </c>
      <c r="U3172" s="257">
        <f t="shared" si="106"/>
        <v>0</v>
      </c>
      <c r="V3172">
        <v>1</v>
      </c>
      <c r="W3172">
        <v>0</v>
      </c>
    </row>
    <row r="3173" spans="1:23" ht="148.19999999999999" x14ac:dyDescent="0.3">
      <c r="A3173" s="214">
        <v>43745</v>
      </c>
      <c r="B3173" s="214">
        <v>43745</v>
      </c>
      <c r="C3173" s="6">
        <v>10</v>
      </c>
      <c r="D3173" s="6">
        <v>1</v>
      </c>
      <c r="E3173" s="19">
        <v>2019</v>
      </c>
      <c r="F3173" s="7" t="s">
        <v>17</v>
      </c>
      <c r="G3173" s="8" t="s">
        <v>6261</v>
      </c>
      <c r="H3173" s="9" t="s">
        <v>31</v>
      </c>
      <c r="I3173" s="34" t="s">
        <v>2992</v>
      </c>
      <c r="J3173" s="34" t="s">
        <v>5102</v>
      </c>
      <c r="K3173" s="40">
        <v>0</v>
      </c>
      <c r="L3173" s="235">
        <v>5</v>
      </c>
      <c r="M3173" s="35">
        <v>1</v>
      </c>
      <c r="N3173" s="35">
        <v>0</v>
      </c>
      <c r="O3173" s="35">
        <v>0</v>
      </c>
      <c r="P3173" s="35">
        <v>0</v>
      </c>
      <c r="Q3173" s="41">
        <v>0</v>
      </c>
      <c r="R3173" s="42">
        <v>0</v>
      </c>
      <c r="S3173" s="33" t="s">
        <v>115</v>
      </c>
      <c r="T3173" s="257">
        <f t="shared" si="105"/>
        <v>5</v>
      </c>
      <c r="U3173" s="257">
        <f t="shared" si="106"/>
        <v>1</v>
      </c>
      <c r="V3173">
        <v>1</v>
      </c>
      <c r="W3173">
        <v>1</v>
      </c>
    </row>
    <row r="3174" spans="1:23" ht="114" x14ac:dyDescent="0.3">
      <c r="A3174" s="214">
        <v>43745</v>
      </c>
      <c r="B3174" s="214">
        <v>43745</v>
      </c>
      <c r="C3174" s="6">
        <v>10</v>
      </c>
      <c r="D3174" s="6">
        <v>1</v>
      </c>
      <c r="E3174" s="33">
        <v>2019</v>
      </c>
      <c r="F3174" s="15" t="s">
        <v>22</v>
      </c>
      <c r="G3174" s="18" t="s">
        <v>6256</v>
      </c>
      <c r="H3174" s="9" t="s">
        <v>31</v>
      </c>
      <c r="I3174" s="34" t="s">
        <v>4814</v>
      </c>
      <c r="J3174" s="34" t="s">
        <v>5103</v>
      </c>
      <c r="K3174" s="40">
        <v>0</v>
      </c>
      <c r="L3174" s="235">
        <v>450</v>
      </c>
      <c r="M3174" s="35">
        <v>100</v>
      </c>
      <c r="N3174" s="35">
        <v>0</v>
      </c>
      <c r="O3174" s="35">
        <v>0</v>
      </c>
      <c r="P3174" s="35">
        <v>0</v>
      </c>
      <c r="Q3174" s="41">
        <v>0</v>
      </c>
      <c r="R3174" s="42">
        <v>282.26911361979995</v>
      </c>
      <c r="S3174" s="33" t="s">
        <v>131</v>
      </c>
      <c r="T3174" s="257">
        <f t="shared" si="105"/>
        <v>450</v>
      </c>
      <c r="U3174" s="257">
        <f t="shared" si="106"/>
        <v>100</v>
      </c>
      <c r="V3174">
        <v>1</v>
      </c>
      <c r="W3174">
        <v>1</v>
      </c>
    </row>
    <row r="3175" spans="1:23" ht="125.4" x14ac:dyDescent="0.3">
      <c r="A3175" s="214">
        <v>43748</v>
      </c>
      <c r="B3175" s="214">
        <v>43748</v>
      </c>
      <c r="C3175" s="6">
        <v>10</v>
      </c>
      <c r="D3175" s="6">
        <v>1</v>
      </c>
      <c r="E3175" s="19">
        <v>2019</v>
      </c>
      <c r="F3175" s="15" t="s">
        <v>22</v>
      </c>
      <c r="G3175" s="18" t="s">
        <v>6256</v>
      </c>
      <c r="H3175" s="9" t="s">
        <v>31</v>
      </c>
      <c r="I3175" s="34" t="s">
        <v>5104</v>
      </c>
      <c r="J3175" s="34" t="s">
        <v>5105</v>
      </c>
      <c r="K3175" s="40">
        <v>0</v>
      </c>
      <c r="L3175" s="235">
        <v>280</v>
      </c>
      <c r="M3175" s="35">
        <v>70</v>
      </c>
      <c r="N3175" s="35">
        <v>0</v>
      </c>
      <c r="O3175" s="35">
        <v>0</v>
      </c>
      <c r="P3175" s="35">
        <v>0</v>
      </c>
      <c r="Q3175" s="41">
        <v>0</v>
      </c>
      <c r="R3175" s="42">
        <v>8.0850000000000005E-2</v>
      </c>
      <c r="S3175" s="33" t="s">
        <v>115</v>
      </c>
      <c r="T3175" s="257">
        <f t="shared" si="105"/>
        <v>280</v>
      </c>
      <c r="U3175" s="257">
        <f t="shared" si="106"/>
        <v>70</v>
      </c>
      <c r="V3175">
        <v>1</v>
      </c>
      <c r="W3175">
        <v>1</v>
      </c>
    </row>
    <row r="3176" spans="1:23" ht="193.8" x14ac:dyDescent="0.3">
      <c r="A3176" s="214">
        <v>43751</v>
      </c>
      <c r="B3176" s="214">
        <v>43751</v>
      </c>
      <c r="C3176" s="6">
        <v>10</v>
      </c>
      <c r="D3176" s="6">
        <v>1</v>
      </c>
      <c r="E3176" s="33">
        <v>2019</v>
      </c>
      <c r="F3176" s="15" t="s">
        <v>22</v>
      </c>
      <c r="G3176" s="18" t="s">
        <v>6256</v>
      </c>
      <c r="H3176" s="9" t="s">
        <v>28</v>
      </c>
      <c r="I3176" s="34" t="s">
        <v>5106</v>
      </c>
      <c r="J3176" s="34" t="s">
        <v>5107</v>
      </c>
      <c r="K3176" s="40">
        <v>1</v>
      </c>
      <c r="L3176" s="235">
        <v>13</v>
      </c>
      <c r="M3176" s="35">
        <v>0</v>
      </c>
      <c r="N3176" s="35">
        <v>0</v>
      </c>
      <c r="O3176" s="35">
        <v>0</v>
      </c>
      <c r="P3176" s="35">
        <v>0</v>
      </c>
      <c r="Q3176" s="41">
        <v>0</v>
      </c>
      <c r="R3176" s="42">
        <v>56.503639739999997</v>
      </c>
      <c r="S3176" s="33" t="s">
        <v>131</v>
      </c>
      <c r="T3176" s="257">
        <f t="shared" si="105"/>
        <v>14</v>
      </c>
      <c r="U3176" s="257">
        <f t="shared" si="106"/>
        <v>0</v>
      </c>
      <c r="V3176">
        <v>1</v>
      </c>
      <c r="W3176">
        <v>0</v>
      </c>
    </row>
    <row r="3177" spans="1:23" ht="239.4" x14ac:dyDescent="0.3">
      <c r="A3177" s="214">
        <v>43751</v>
      </c>
      <c r="B3177" s="214">
        <v>43751</v>
      </c>
      <c r="C3177" s="6">
        <v>10</v>
      </c>
      <c r="D3177" s="6">
        <v>1</v>
      </c>
      <c r="E3177" s="33">
        <v>2019</v>
      </c>
      <c r="F3177" s="15" t="s">
        <v>22</v>
      </c>
      <c r="G3177" s="16" t="s">
        <v>6256</v>
      </c>
      <c r="H3177" s="9" t="s">
        <v>174</v>
      </c>
      <c r="I3177" s="34" t="s">
        <v>5108</v>
      </c>
      <c r="J3177" s="34" t="s">
        <v>5109</v>
      </c>
      <c r="K3177" s="40">
        <v>0</v>
      </c>
      <c r="L3177" s="235">
        <v>3508</v>
      </c>
      <c r="M3177" s="35">
        <v>857</v>
      </c>
      <c r="N3177" s="35">
        <v>0</v>
      </c>
      <c r="O3177" s="35">
        <v>0</v>
      </c>
      <c r="P3177" s="35">
        <v>0</v>
      </c>
      <c r="Q3177" s="41">
        <v>0</v>
      </c>
      <c r="R3177" s="42">
        <v>169.77158800000001</v>
      </c>
      <c r="S3177" s="33" t="s">
        <v>131</v>
      </c>
      <c r="T3177" s="257">
        <f t="shared" si="105"/>
        <v>3508</v>
      </c>
      <c r="U3177" s="257">
        <f t="shared" si="106"/>
        <v>857</v>
      </c>
      <c r="V3177">
        <v>1</v>
      </c>
      <c r="W3177">
        <v>1</v>
      </c>
    </row>
    <row r="3178" spans="1:23" ht="22.8" x14ac:dyDescent="0.3">
      <c r="A3178" s="214">
        <v>43754</v>
      </c>
      <c r="B3178" s="214">
        <v>43755</v>
      </c>
      <c r="C3178" s="6">
        <v>10</v>
      </c>
      <c r="D3178" s="6">
        <v>2</v>
      </c>
      <c r="E3178" s="19">
        <v>2019</v>
      </c>
      <c r="F3178" s="15" t="s">
        <v>22</v>
      </c>
      <c r="G3178" s="18" t="s">
        <v>6256</v>
      </c>
      <c r="H3178" s="9" t="s">
        <v>61</v>
      </c>
      <c r="I3178" s="34"/>
      <c r="J3178" s="53" t="s">
        <v>5110</v>
      </c>
      <c r="K3178" s="40">
        <v>0</v>
      </c>
      <c r="L3178" s="235">
        <v>0</v>
      </c>
      <c r="M3178" s="35">
        <v>0</v>
      </c>
      <c r="N3178" s="35">
        <v>0</v>
      </c>
      <c r="O3178" s="35">
        <v>0</v>
      </c>
      <c r="P3178" s="35">
        <v>0</v>
      </c>
      <c r="Q3178" s="41">
        <v>0</v>
      </c>
      <c r="R3178" s="42">
        <v>20.157866086400002</v>
      </c>
      <c r="S3178" s="33" t="s">
        <v>149</v>
      </c>
      <c r="T3178" s="257">
        <f t="shared" si="105"/>
        <v>0</v>
      </c>
      <c r="U3178" s="257">
        <f t="shared" si="106"/>
        <v>0</v>
      </c>
      <c r="V3178">
        <v>0</v>
      </c>
      <c r="W3178">
        <v>0</v>
      </c>
    </row>
    <row r="3179" spans="1:23" ht="22.8" x14ac:dyDescent="0.3">
      <c r="A3179" s="214">
        <v>43761</v>
      </c>
      <c r="B3179" s="214">
        <v>43761</v>
      </c>
      <c r="C3179" s="6">
        <v>10</v>
      </c>
      <c r="D3179" s="6">
        <v>1</v>
      </c>
      <c r="E3179" s="33">
        <v>2019</v>
      </c>
      <c r="F3179" s="15" t="s">
        <v>22</v>
      </c>
      <c r="G3179" s="18" t="s">
        <v>6256</v>
      </c>
      <c r="H3179" s="9" t="s">
        <v>78</v>
      </c>
      <c r="I3179" s="34"/>
      <c r="J3179" s="53" t="s">
        <v>5111</v>
      </c>
      <c r="K3179" s="40">
        <v>0</v>
      </c>
      <c r="L3179" s="235">
        <v>0</v>
      </c>
      <c r="M3179" s="35">
        <v>0</v>
      </c>
      <c r="N3179" s="35">
        <v>0</v>
      </c>
      <c r="O3179" s="35">
        <v>0</v>
      </c>
      <c r="P3179" s="35">
        <v>0</v>
      </c>
      <c r="Q3179" s="41">
        <v>0</v>
      </c>
      <c r="R3179" s="42">
        <v>11.706338971799999</v>
      </c>
      <c r="S3179" s="33" t="s">
        <v>149</v>
      </c>
      <c r="T3179" s="257">
        <f t="shared" si="105"/>
        <v>0</v>
      </c>
      <c r="U3179" s="257">
        <f t="shared" si="106"/>
        <v>0</v>
      </c>
      <c r="V3179">
        <v>0</v>
      </c>
      <c r="W3179">
        <v>0</v>
      </c>
    </row>
    <row r="3180" spans="1:23" ht="79.8" x14ac:dyDescent="0.3">
      <c r="A3180" s="214">
        <v>43763</v>
      </c>
      <c r="B3180" s="214">
        <v>43764</v>
      </c>
      <c r="C3180" s="6">
        <v>10</v>
      </c>
      <c r="D3180" s="6">
        <v>2</v>
      </c>
      <c r="E3180" s="19">
        <v>2019</v>
      </c>
      <c r="F3180" s="15" t="s">
        <v>22</v>
      </c>
      <c r="G3180" s="18" t="s">
        <v>6256</v>
      </c>
      <c r="H3180" s="9" t="s">
        <v>31</v>
      </c>
      <c r="I3180" s="34" t="s">
        <v>5112</v>
      </c>
      <c r="J3180" s="34" t="s">
        <v>5113</v>
      </c>
      <c r="K3180" s="40">
        <v>0</v>
      </c>
      <c r="L3180" s="235">
        <v>140</v>
      </c>
      <c r="M3180" s="35">
        <v>35</v>
      </c>
      <c r="N3180" s="35">
        <v>0</v>
      </c>
      <c r="O3180" s="35">
        <v>0</v>
      </c>
      <c r="P3180" s="35">
        <v>0</v>
      </c>
      <c r="Q3180" s="41">
        <v>0</v>
      </c>
      <c r="R3180" s="42">
        <v>4.0425000000000003E-2</v>
      </c>
      <c r="S3180" s="33" t="s">
        <v>115</v>
      </c>
      <c r="T3180" s="257">
        <f t="shared" si="105"/>
        <v>140</v>
      </c>
      <c r="U3180" s="257">
        <f t="shared" si="106"/>
        <v>35</v>
      </c>
      <c r="V3180">
        <v>1</v>
      </c>
      <c r="W3180">
        <v>1</v>
      </c>
    </row>
    <row r="3181" spans="1:23" ht="182.4" x14ac:dyDescent="0.3">
      <c r="A3181" s="214">
        <v>43764</v>
      </c>
      <c r="B3181" s="214">
        <v>43764</v>
      </c>
      <c r="C3181" s="6">
        <v>10</v>
      </c>
      <c r="D3181" s="6">
        <v>1</v>
      </c>
      <c r="E3181" s="33">
        <v>2019</v>
      </c>
      <c r="F3181" s="15" t="s">
        <v>22</v>
      </c>
      <c r="G3181" s="18" t="s">
        <v>6256</v>
      </c>
      <c r="H3181" s="9" t="s">
        <v>46</v>
      </c>
      <c r="I3181" s="34" t="s">
        <v>2919</v>
      </c>
      <c r="J3181" s="34" t="s">
        <v>5114</v>
      </c>
      <c r="K3181" s="40">
        <v>0</v>
      </c>
      <c r="L3181" s="235">
        <v>24</v>
      </c>
      <c r="M3181" s="35">
        <v>4</v>
      </c>
      <c r="N3181" s="35">
        <v>0</v>
      </c>
      <c r="O3181" s="35">
        <v>0</v>
      </c>
      <c r="P3181" s="35">
        <v>0</v>
      </c>
      <c r="Q3181" s="41">
        <v>0</v>
      </c>
      <c r="R3181" s="42">
        <v>0.15176810000000002</v>
      </c>
      <c r="S3181" s="33" t="s">
        <v>115</v>
      </c>
      <c r="T3181" s="257">
        <f t="shared" si="105"/>
        <v>24</v>
      </c>
      <c r="U3181" s="257">
        <f t="shared" si="106"/>
        <v>4</v>
      </c>
      <c r="V3181">
        <v>1</v>
      </c>
      <c r="W3181">
        <v>1</v>
      </c>
    </row>
    <row r="3182" spans="1:23" ht="182.4" x14ac:dyDescent="0.3">
      <c r="A3182" s="214">
        <v>43763</v>
      </c>
      <c r="B3182" s="214">
        <v>43764</v>
      </c>
      <c r="C3182" s="6">
        <v>10</v>
      </c>
      <c r="D3182" s="6">
        <v>2</v>
      </c>
      <c r="E3182" s="33">
        <v>2019</v>
      </c>
      <c r="F3182" s="15" t="s">
        <v>22</v>
      </c>
      <c r="G3182" s="18" t="s">
        <v>6256</v>
      </c>
      <c r="H3182" s="9" t="s">
        <v>174</v>
      </c>
      <c r="I3182" s="34" t="s">
        <v>5115</v>
      </c>
      <c r="J3182" s="34" t="s">
        <v>5116</v>
      </c>
      <c r="K3182" s="40">
        <v>0</v>
      </c>
      <c r="L3182" s="235">
        <v>400</v>
      </c>
      <c r="M3182" s="35">
        <v>100</v>
      </c>
      <c r="N3182" s="35">
        <v>0</v>
      </c>
      <c r="O3182" s="35">
        <v>0</v>
      </c>
      <c r="P3182" s="35">
        <v>0</v>
      </c>
      <c r="Q3182" s="41">
        <v>0</v>
      </c>
      <c r="R3182" s="42">
        <v>1.9655721799999999</v>
      </c>
      <c r="S3182" s="33" t="s">
        <v>131</v>
      </c>
      <c r="T3182" s="257">
        <f t="shared" si="105"/>
        <v>400</v>
      </c>
      <c r="U3182" s="257">
        <f t="shared" si="106"/>
        <v>100</v>
      </c>
      <c r="V3182">
        <v>1</v>
      </c>
      <c r="W3182">
        <v>1</v>
      </c>
    </row>
    <row r="3183" spans="1:23" ht="57" x14ac:dyDescent="0.3">
      <c r="A3183" s="214">
        <v>43766</v>
      </c>
      <c r="B3183" s="214">
        <v>43766</v>
      </c>
      <c r="C3183" s="6">
        <v>10</v>
      </c>
      <c r="D3183" s="6">
        <v>1</v>
      </c>
      <c r="E3183" s="19">
        <v>2019</v>
      </c>
      <c r="F3183" s="15" t="s">
        <v>22</v>
      </c>
      <c r="G3183" s="18" t="s">
        <v>6256</v>
      </c>
      <c r="H3183" s="9" t="s">
        <v>84</v>
      </c>
      <c r="I3183" s="34" t="s">
        <v>5117</v>
      </c>
      <c r="J3183" s="34" t="s">
        <v>5118</v>
      </c>
      <c r="K3183" s="40">
        <v>0</v>
      </c>
      <c r="L3183" s="235">
        <v>45</v>
      </c>
      <c r="M3183" s="35">
        <v>11</v>
      </c>
      <c r="N3183" s="35">
        <v>0</v>
      </c>
      <c r="O3183" s="35">
        <v>0</v>
      </c>
      <c r="P3183" s="35">
        <v>0</v>
      </c>
      <c r="Q3183" s="35">
        <v>0</v>
      </c>
      <c r="R3183" s="42">
        <v>1.2704999999999999E-2</v>
      </c>
      <c r="S3183" s="33" t="s">
        <v>115</v>
      </c>
      <c r="T3183" s="257">
        <f t="shared" si="105"/>
        <v>45</v>
      </c>
      <c r="U3183" s="257">
        <f t="shared" si="106"/>
        <v>11</v>
      </c>
      <c r="V3183">
        <v>1</v>
      </c>
      <c r="W3183">
        <v>1</v>
      </c>
    </row>
    <row r="3184" spans="1:23" ht="409.6" x14ac:dyDescent="0.3">
      <c r="A3184" s="214">
        <v>43766</v>
      </c>
      <c r="B3184" s="214">
        <v>43767</v>
      </c>
      <c r="C3184" s="6">
        <v>10</v>
      </c>
      <c r="D3184" s="6">
        <v>2</v>
      </c>
      <c r="E3184" s="33">
        <v>2019</v>
      </c>
      <c r="F3184" s="15" t="s">
        <v>22</v>
      </c>
      <c r="G3184" s="18" t="s">
        <v>6256</v>
      </c>
      <c r="H3184" s="9" t="s">
        <v>55</v>
      </c>
      <c r="I3184" s="34" t="s">
        <v>1019</v>
      </c>
      <c r="J3184" s="34" t="s">
        <v>5119</v>
      </c>
      <c r="K3184" s="40">
        <v>0</v>
      </c>
      <c r="L3184" s="235">
        <v>232</v>
      </c>
      <c r="M3184" s="35">
        <v>58</v>
      </c>
      <c r="N3184" s="35">
        <v>1</v>
      </c>
      <c r="O3184" s="35">
        <v>0</v>
      </c>
      <c r="P3184" s="35">
        <v>0</v>
      </c>
      <c r="Q3184" s="35">
        <v>0</v>
      </c>
      <c r="R3184" s="42">
        <v>3.9115670000000007</v>
      </c>
      <c r="S3184" s="33" t="s">
        <v>115</v>
      </c>
      <c r="T3184" s="257">
        <f t="shared" si="105"/>
        <v>232</v>
      </c>
      <c r="U3184" s="257">
        <f t="shared" si="106"/>
        <v>59</v>
      </c>
      <c r="V3184">
        <v>1</v>
      </c>
      <c r="W3184">
        <v>1</v>
      </c>
    </row>
    <row r="3185" spans="1:23" ht="91.2" x14ac:dyDescent="0.3">
      <c r="A3185" s="214">
        <v>43765</v>
      </c>
      <c r="B3185" s="214">
        <v>43767</v>
      </c>
      <c r="C3185" s="6">
        <v>10</v>
      </c>
      <c r="D3185" s="6">
        <v>3</v>
      </c>
      <c r="E3185" s="19">
        <v>2019</v>
      </c>
      <c r="F3185" s="15" t="s">
        <v>22</v>
      </c>
      <c r="G3185" s="18" t="s">
        <v>6256</v>
      </c>
      <c r="H3185" s="9" t="s">
        <v>174</v>
      </c>
      <c r="I3185" s="34" t="s">
        <v>1369</v>
      </c>
      <c r="J3185" s="34" t="s">
        <v>5120</v>
      </c>
      <c r="K3185" s="40">
        <v>2</v>
      </c>
      <c r="L3185" s="235">
        <v>2</v>
      </c>
      <c r="M3185" s="35">
        <v>0</v>
      </c>
      <c r="N3185" s="35">
        <v>0</v>
      </c>
      <c r="O3185" s="35">
        <v>0</v>
      </c>
      <c r="P3185" s="35">
        <v>0</v>
      </c>
      <c r="Q3185" s="35">
        <v>0</v>
      </c>
      <c r="R3185" s="42">
        <v>0</v>
      </c>
      <c r="S3185" s="33" t="s">
        <v>115</v>
      </c>
      <c r="T3185" s="257">
        <f t="shared" si="105"/>
        <v>4</v>
      </c>
      <c r="U3185" s="257">
        <f t="shared" si="106"/>
        <v>0</v>
      </c>
      <c r="V3185">
        <v>1</v>
      </c>
      <c r="W3185">
        <v>0</v>
      </c>
    </row>
    <row r="3186" spans="1:23" ht="136.80000000000001" x14ac:dyDescent="0.3">
      <c r="A3186" s="214">
        <v>43769</v>
      </c>
      <c r="B3186" s="214">
        <v>43769</v>
      </c>
      <c r="C3186" s="6">
        <v>10</v>
      </c>
      <c r="D3186" s="6">
        <v>1</v>
      </c>
      <c r="E3186" s="33">
        <v>2019</v>
      </c>
      <c r="F3186" s="15" t="s">
        <v>22</v>
      </c>
      <c r="G3186" s="18" t="s">
        <v>6256</v>
      </c>
      <c r="H3186" s="9" t="s">
        <v>174</v>
      </c>
      <c r="I3186" s="34" t="s">
        <v>174</v>
      </c>
      <c r="J3186" s="34" t="s">
        <v>5121</v>
      </c>
      <c r="K3186" s="40">
        <v>1</v>
      </c>
      <c r="L3186" s="235">
        <v>2</v>
      </c>
      <c r="M3186" s="35">
        <v>3</v>
      </c>
      <c r="N3186" s="35">
        <v>0</v>
      </c>
      <c r="O3186" s="35">
        <v>0</v>
      </c>
      <c r="P3186" s="35">
        <v>0</v>
      </c>
      <c r="Q3186" s="35">
        <v>0</v>
      </c>
      <c r="R3186" s="42">
        <v>3.4650000000000002E-3</v>
      </c>
      <c r="S3186" s="33" t="s">
        <v>115</v>
      </c>
      <c r="T3186" s="257">
        <f t="shared" si="105"/>
        <v>3</v>
      </c>
      <c r="U3186" s="257">
        <f t="shared" si="106"/>
        <v>3</v>
      </c>
      <c r="V3186">
        <v>1</v>
      </c>
      <c r="W3186">
        <v>1</v>
      </c>
    </row>
    <row r="3187" spans="1:23" ht="136.80000000000001" x14ac:dyDescent="0.3">
      <c r="A3187" s="214">
        <v>43770</v>
      </c>
      <c r="B3187" s="214">
        <v>43770</v>
      </c>
      <c r="C3187" s="6">
        <v>11</v>
      </c>
      <c r="D3187" s="6">
        <v>1</v>
      </c>
      <c r="E3187" s="33">
        <v>2019</v>
      </c>
      <c r="F3187" s="15" t="s">
        <v>22</v>
      </c>
      <c r="G3187" s="18" t="s">
        <v>6256</v>
      </c>
      <c r="H3187" s="9" t="s">
        <v>52</v>
      </c>
      <c r="I3187" s="34" t="s">
        <v>4800</v>
      </c>
      <c r="J3187" s="34" t="s">
        <v>5122</v>
      </c>
      <c r="K3187" s="40">
        <v>0</v>
      </c>
      <c r="L3187" s="235">
        <v>20</v>
      </c>
      <c r="M3187" s="35">
        <v>3</v>
      </c>
      <c r="N3187" s="35">
        <v>0</v>
      </c>
      <c r="O3187" s="35">
        <v>1</v>
      </c>
      <c r="P3187" s="35">
        <v>0</v>
      </c>
      <c r="Q3187" s="35">
        <v>0</v>
      </c>
      <c r="R3187" s="42">
        <v>8.3599999999999994E-3</v>
      </c>
      <c r="S3187" s="33" t="s">
        <v>115</v>
      </c>
      <c r="T3187" s="257">
        <f t="shared" si="105"/>
        <v>20</v>
      </c>
      <c r="U3187" s="257">
        <f t="shared" si="106"/>
        <v>4</v>
      </c>
      <c r="V3187">
        <v>1</v>
      </c>
      <c r="W3187">
        <v>1</v>
      </c>
    </row>
    <row r="3188" spans="1:23" ht="285" x14ac:dyDescent="0.3">
      <c r="A3188" s="214">
        <v>43771</v>
      </c>
      <c r="B3188" s="214">
        <v>43771</v>
      </c>
      <c r="C3188" s="6">
        <v>11</v>
      </c>
      <c r="D3188" s="6">
        <v>1</v>
      </c>
      <c r="E3188" s="19">
        <v>2019</v>
      </c>
      <c r="F3188" s="15" t="s">
        <v>22</v>
      </c>
      <c r="G3188" s="18" t="s">
        <v>6256</v>
      </c>
      <c r="H3188" s="9" t="s">
        <v>174</v>
      </c>
      <c r="I3188" s="34" t="s">
        <v>5123</v>
      </c>
      <c r="J3188" s="34" t="s">
        <v>5124</v>
      </c>
      <c r="K3188" s="40">
        <v>3</v>
      </c>
      <c r="L3188" s="235">
        <v>18688</v>
      </c>
      <c r="M3188" s="35">
        <v>4374</v>
      </c>
      <c r="N3188" s="35">
        <v>20</v>
      </c>
      <c r="O3188" s="35">
        <v>0</v>
      </c>
      <c r="P3188" s="35">
        <v>0</v>
      </c>
      <c r="Q3188" s="35">
        <v>0</v>
      </c>
      <c r="R3188" s="42">
        <v>12.861058400000003</v>
      </c>
      <c r="S3188" s="33" t="s">
        <v>131</v>
      </c>
      <c r="T3188" s="257">
        <f t="shared" si="105"/>
        <v>18691</v>
      </c>
      <c r="U3188" s="257">
        <f t="shared" si="106"/>
        <v>4394</v>
      </c>
      <c r="V3188">
        <v>2</v>
      </c>
      <c r="W3188">
        <v>2</v>
      </c>
    </row>
    <row r="3189" spans="1:23" ht="22.8" x14ac:dyDescent="0.3">
      <c r="A3189" s="214">
        <v>43771</v>
      </c>
      <c r="B3189" s="214">
        <v>43774</v>
      </c>
      <c r="C3189" s="6">
        <v>11</v>
      </c>
      <c r="D3189" s="6">
        <v>4</v>
      </c>
      <c r="E3189" s="33">
        <v>2019</v>
      </c>
      <c r="F3189" s="15" t="s">
        <v>22</v>
      </c>
      <c r="G3189" s="18" t="s">
        <v>6256</v>
      </c>
      <c r="H3189" s="9" t="s">
        <v>174</v>
      </c>
      <c r="I3189" s="34"/>
      <c r="J3189" s="53" t="s">
        <v>5125</v>
      </c>
      <c r="K3189" s="40">
        <v>0</v>
      </c>
      <c r="L3189" s="235">
        <v>0</v>
      </c>
      <c r="M3189" s="35">
        <v>0</v>
      </c>
      <c r="N3189" s="35">
        <v>0</v>
      </c>
      <c r="O3189" s="35">
        <v>0</v>
      </c>
      <c r="P3189" s="35">
        <v>0</v>
      </c>
      <c r="Q3189" s="35">
        <v>0</v>
      </c>
      <c r="R3189" s="42">
        <v>0.76480000000000004</v>
      </c>
      <c r="S3189" s="33" t="s">
        <v>149</v>
      </c>
      <c r="T3189" s="257">
        <f t="shared" si="105"/>
        <v>0</v>
      </c>
      <c r="U3189" s="257">
        <f t="shared" si="106"/>
        <v>0</v>
      </c>
      <c r="V3189">
        <v>0</v>
      </c>
      <c r="W3189">
        <v>0</v>
      </c>
    </row>
    <row r="3190" spans="1:23" ht="228" x14ac:dyDescent="0.3">
      <c r="A3190" s="214">
        <v>43772</v>
      </c>
      <c r="B3190" s="214">
        <v>43773</v>
      </c>
      <c r="C3190" s="6">
        <v>11</v>
      </c>
      <c r="D3190" s="6">
        <v>2</v>
      </c>
      <c r="E3190" s="19">
        <v>2019</v>
      </c>
      <c r="F3190" s="15" t="s">
        <v>22</v>
      </c>
      <c r="G3190" s="18" t="s">
        <v>6256</v>
      </c>
      <c r="H3190" s="17" t="s">
        <v>565</v>
      </c>
      <c r="I3190" s="34" t="s">
        <v>2913</v>
      </c>
      <c r="J3190" s="34" t="s">
        <v>5126</v>
      </c>
      <c r="K3190" s="40">
        <v>0</v>
      </c>
      <c r="L3190" s="235">
        <v>10905</v>
      </c>
      <c r="M3190" s="35">
        <v>2361</v>
      </c>
      <c r="N3190" s="35">
        <v>0</v>
      </c>
      <c r="O3190" s="35">
        <v>0</v>
      </c>
      <c r="P3190" s="35">
        <v>0</v>
      </c>
      <c r="Q3190" s="35">
        <v>0</v>
      </c>
      <c r="R3190" s="42">
        <v>2.7269549999999998</v>
      </c>
      <c r="S3190" s="33" t="s">
        <v>115</v>
      </c>
      <c r="T3190" s="257">
        <f t="shared" si="105"/>
        <v>10905</v>
      </c>
      <c r="U3190" s="257">
        <f t="shared" si="106"/>
        <v>2361</v>
      </c>
      <c r="V3190">
        <v>2</v>
      </c>
      <c r="W3190">
        <v>2</v>
      </c>
    </row>
    <row r="3191" spans="1:23" ht="68.400000000000006" x14ac:dyDescent="0.3">
      <c r="A3191" s="214">
        <v>43783</v>
      </c>
      <c r="B3191" s="214">
        <v>43784</v>
      </c>
      <c r="C3191" s="6">
        <v>11</v>
      </c>
      <c r="D3191" s="6">
        <v>2</v>
      </c>
      <c r="E3191" s="19">
        <v>2019</v>
      </c>
      <c r="F3191" s="15" t="s">
        <v>22</v>
      </c>
      <c r="G3191" s="18" t="s">
        <v>6256</v>
      </c>
      <c r="H3191" s="17" t="s">
        <v>565</v>
      </c>
      <c r="I3191" s="34" t="s">
        <v>993</v>
      </c>
      <c r="J3191" s="34" t="s">
        <v>5127</v>
      </c>
      <c r="K3191" s="40">
        <v>0</v>
      </c>
      <c r="L3191" s="235">
        <v>15688</v>
      </c>
      <c r="M3191" s="35">
        <v>3922</v>
      </c>
      <c r="N3191" s="35">
        <v>0</v>
      </c>
      <c r="O3191" s="35">
        <v>0</v>
      </c>
      <c r="P3191" s="35">
        <v>0</v>
      </c>
      <c r="Q3191" s="35">
        <v>0</v>
      </c>
      <c r="R3191" s="42">
        <v>36.257340618800001</v>
      </c>
      <c r="S3191" s="33" t="s">
        <v>131</v>
      </c>
      <c r="T3191" s="257">
        <f t="shared" si="105"/>
        <v>15688</v>
      </c>
      <c r="U3191" s="257">
        <f t="shared" si="106"/>
        <v>3922</v>
      </c>
      <c r="V3191">
        <v>2</v>
      </c>
      <c r="W3191">
        <v>2</v>
      </c>
    </row>
    <row r="3192" spans="1:23" ht="409.6" x14ac:dyDescent="0.3">
      <c r="A3192" s="214">
        <v>43797</v>
      </c>
      <c r="B3192" s="214">
        <v>43797</v>
      </c>
      <c r="C3192" s="6">
        <v>11</v>
      </c>
      <c r="D3192" s="6">
        <v>1</v>
      </c>
      <c r="E3192" s="19">
        <v>2019</v>
      </c>
      <c r="F3192" s="15" t="s">
        <v>22</v>
      </c>
      <c r="G3192" s="18" t="s">
        <v>6256</v>
      </c>
      <c r="H3192" s="9" t="s">
        <v>41</v>
      </c>
      <c r="I3192" s="34" t="s">
        <v>5128</v>
      </c>
      <c r="J3192" s="34" t="s">
        <v>5129</v>
      </c>
      <c r="K3192" s="40">
        <v>0</v>
      </c>
      <c r="L3192" s="235">
        <v>1941</v>
      </c>
      <c r="M3192" s="35">
        <v>223</v>
      </c>
      <c r="N3192" s="35">
        <v>0</v>
      </c>
      <c r="O3192" s="35">
        <v>0</v>
      </c>
      <c r="P3192" s="35">
        <v>0</v>
      </c>
      <c r="Q3192" s="35">
        <v>0</v>
      </c>
      <c r="R3192" s="42">
        <v>393.19275185280003</v>
      </c>
      <c r="S3192" s="33" t="s">
        <v>131</v>
      </c>
      <c r="T3192" s="257">
        <f t="shared" si="105"/>
        <v>1941</v>
      </c>
      <c r="U3192" s="257">
        <f t="shared" si="106"/>
        <v>223</v>
      </c>
      <c r="V3192">
        <v>1</v>
      </c>
      <c r="W3192">
        <v>1</v>
      </c>
    </row>
    <row r="3193" spans="1:23" ht="114" x14ac:dyDescent="0.3">
      <c r="A3193" s="214">
        <v>43796</v>
      </c>
      <c r="B3193" s="214">
        <v>43797</v>
      </c>
      <c r="C3193" s="6">
        <v>11</v>
      </c>
      <c r="D3193" s="6">
        <v>2</v>
      </c>
      <c r="E3193" s="33">
        <v>2019</v>
      </c>
      <c r="F3193" s="15" t="s">
        <v>22</v>
      </c>
      <c r="G3193" s="18" t="s">
        <v>6256</v>
      </c>
      <c r="H3193" s="9" t="s">
        <v>34</v>
      </c>
      <c r="I3193" s="34" t="s">
        <v>5130</v>
      </c>
      <c r="J3193" s="34" t="s">
        <v>5131</v>
      </c>
      <c r="K3193" s="40">
        <v>0</v>
      </c>
      <c r="L3193" s="235">
        <v>7</v>
      </c>
      <c r="M3193" s="35">
        <v>0</v>
      </c>
      <c r="N3193" s="35">
        <v>0</v>
      </c>
      <c r="O3193" s="35">
        <v>0</v>
      </c>
      <c r="P3193" s="35">
        <v>0</v>
      </c>
      <c r="Q3193" s="35">
        <v>0</v>
      </c>
      <c r="R3193" s="42">
        <v>162.06441247999999</v>
      </c>
      <c r="S3193" s="33" t="s">
        <v>131</v>
      </c>
      <c r="T3193" s="257">
        <f t="shared" si="105"/>
        <v>7</v>
      </c>
      <c r="U3193" s="257">
        <f t="shared" si="106"/>
        <v>0</v>
      </c>
      <c r="V3193">
        <v>1</v>
      </c>
      <c r="W3193">
        <v>0</v>
      </c>
    </row>
    <row r="3194" spans="1:23" ht="57" x14ac:dyDescent="0.3">
      <c r="A3194" s="211">
        <v>43796</v>
      </c>
      <c r="B3194" s="211">
        <v>43798</v>
      </c>
      <c r="C3194" s="6">
        <v>11</v>
      </c>
      <c r="D3194" s="6">
        <v>3</v>
      </c>
      <c r="E3194" s="19">
        <v>2019</v>
      </c>
      <c r="F3194" s="15" t="s">
        <v>22</v>
      </c>
      <c r="G3194" s="16" t="s">
        <v>23</v>
      </c>
      <c r="H3194" s="9" t="s">
        <v>74</v>
      </c>
      <c r="I3194" s="20" t="s">
        <v>5132</v>
      </c>
      <c r="J3194" s="21" t="s">
        <v>5133</v>
      </c>
      <c r="K3194" s="40">
        <v>0</v>
      </c>
      <c r="L3194" s="235">
        <v>0</v>
      </c>
      <c r="M3194" s="35">
        <v>0</v>
      </c>
      <c r="N3194" s="35">
        <v>0</v>
      </c>
      <c r="O3194" s="35">
        <v>0</v>
      </c>
      <c r="P3194" s="35">
        <v>0</v>
      </c>
      <c r="Q3194" s="23">
        <v>3958</v>
      </c>
      <c r="R3194" s="42">
        <v>482.49742089999995</v>
      </c>
      <c r="S3194" s="103" t="s">
        <v>327</v>
      </c>
      <c r="T3194" s="257">
        <f t="shared" si="105"/>
        <v>0</v>
      </c>
      <c r="U3194" s="257">
        <f t="shared" si="106"/>
        <v>0</v>
      </c>
      <c r="V3194">
        <v>0</v>
      </c>
      <c r="W3194">
        <v>0</v>
      </c>
    </row>
    <row r="3195" spans="1:23" ht="22.8" x14ac:dyDescent="0.3">
      <c r="A3195" s="129">
        <v>43796</v>
      </c>
      <c r="B3195" s="214">
        <v>43797</v>
      </c>
      <c r="C3195" s="6">
        <v>11</v>
      </c>
      <c r="D3195" s="6">
        <v>2</v>
      </c>
      <c r="E3195" s="33">
        <v>2019</v>
      </c>
      <c r="F3195" s="15" t="s">
        <v>22</v>
      </c>
      <c r="G3195" s="18" t="s">
        <v>6256</v>
      </c>
      <c r="H3195" s="9" t="s">
        <v>28</v>
      </c>
      <c r="I3195" s="34"/>
      <c r="J3195" s="53" t="s">
        <v>5134</v>
      </c>
      <c r="K3195" s="33">
        <v>0</v>
      </c>
      <c r="L3195" s="236">
        <v>0</v>
      </c>
      <c r="M3195" s="35">
        <v>0</v>
      </c>
      <c r="N3195" s="35">
        <v>0</v>
      </c>
      <c r="O3195" s="35">
        <v>0</v>
      </c>
      <c r="P3195" s="35">
        <v>0</v>
      </c>
      <c r="Q3195" s="35">
        <v>0</v>
      </c>
      <c r="R3195" s="42">
        <v>13.098771390399998</v>
      </c>
      <c r="S3195" s="33" t="s">
        <v>149</v>
      </c>
      <c r="T3195" s="257">
        <f t="shared" si="105"/>
        <v>0</v>
      </c>
      <c r="U3195" s="257">
        <f t="shared" si="106"/>
        <v>0</v>
      </c>
      <c r="V3195">
        <v>0</v>
      </c>
      <c r="W3195">
        <v>0</v>
      </c>
    </row>
    <row r="3196" spans="1:23" ht="68.400000000000006" x14ac:dyDescent="0.3">
      <c r="A3196" s="214">
        <v>43797</v>
      </c>
      <c r="B3196" s="214">
        <v>43797</v>
      </c>
      <c r="C3196" s="6">
        <v>11</v>
      </c>
      <c r="D3196" s="6">
        <v>1</v>
      </c>
      <c r="E3196" s="19">
        <v>2019</v>
      </c>
      <c r="F3196" s="15" t="s">
        <v>22</v>
      </c>
      <c r="G3196" s="18" t="s">
        <v>6256</v>
      </c>
      <c r="H3196" s="9" t="s">
        <v>72</v>
      </c>
      <c r="I3196" s="34" t="s">
        <v>870</v>
      </c>
      <c r="J3196" s="34" t="s">
        <v>5135</v>
      </c>
      <c r="K3196" s="40">
        <v>0</v>
      </c>
      <c r="L3196" s="235">
        <v>600</v>
      </c>
      <c r="M3196" s="35">
        <v>150</v>
      </c>
      <c r="N3196" s="35">
        <v>0</v>
      </c>
      <c r="O3196" s="35">
        <v>0</v>
      </c>
      <c r="P3196" s="35">
        <v>0</v>
      </c>
      <c r="Q3196" s="35">
        <v>0</v>
      </c>
      <c r="R3196" s="42">
        <v>1.7982083999999992</v>
      </c>
      <c r="S3196" s="33" t="s">
        <v>131</v>
      </c>
      <c r="T3196" s="257">
        <f t="shared" si="105"/>
        <v>600</v>
      </c>
      <c r="U3196" s="257">
        <f t="shared" si="106"/>
        <v>150</v>
      </c>
      <c r="V3196">
        <v>1</v>
      </c>
      <c r="W3196">
        <v>1</v>
      </c>
    </row>
    <row r="3197" spans="1:23" ht="342" x14ac:dyDescent="0.3">
      <c r="A3197" s="214">
        <v>43797</v>
      </c>
      <c r="B3197" s="214">
        <v>43802</v>
      </c>
      <c r="C3197" s="6">
        <v>11</v>
      </c>
      <c r="D3197" s="6">
        <v>6</v>
      </c>
      <c r="E3197" s="19">
        <v>2019</v>
      </c>
      <c r="F3197" s="15" t="s">
        <v>22</v>
      </c>
      <c r="G3197" s="18" t="s">
        <v>6256</v>
      </c>
      <c r="H3197" s="9" t="s">
        <v>74</v>
      </c>
      <c r="I3197" s="34" t="s">
        <v>5136</v>
      </c>
      <c r="J3197" s="34" t="s">
        <v>5137</v>
      </c>
      <c r="K3197" s="40">
        <v>1</v>
      </c>
      <c r="L3197" s="235">
        <v>7725</v>
      </c>
      <c r="M3197" s="35">
        <v>0</v>
      </c>
      <c r="N3197" s="35">
        <v>146</v>
      </c>
      <c r="O3197" s="35">
        <v>0</v>
      </c>
      <c r="P3197" s="35">
        <v>0</v>
      </c>
      <c r="Q3197" s="35">
        <v>0</v>
      </c>
      <c r="R3197" s="42">
        <v>393.08512660700001</v>
      </c>
      <c r="S3197" s="33" t="s">
        <v>131</v>
      </c>
      <c r="T3197" s="257">
        <f t="shared" si="105"/>
        <v>7726</v>
      </c>
      <c r="U3197" s="257">
        <f t="shared" si="106"/>
        <v>146</v>
      </c>
      <c r="V3197">
        <v>1</v>
      </c>
      <c r="W3197">
        <v>1</v>
      </c>
    </row>
    <row r="3198" spans="1:23" x14ac:dyDescent="0.3">
      <c r="A3198" s="214">
        <v>43810</v>
      </c>
      <c r="B3198" s="214">
        <v>43810</v>
      </c>
      <c r="C3198" s="6">
        <v>12</v>
      </c>
      <c r="D3198" s="6">
        <v>1</v>
      </c>
      <c r="E3198" s="19">
        <v>2019</v>
      </c>
      <c r="F3198" s="15" t="s">
        <v>22</v>
      </c>
      <c r="G3198" s="18" t="s">
        <v>6256</v>
      </c>
      <c r="H3198" s="9" t="s">
        <v>31</v>
      </c>
      <c r="I3198" s="34"/>
      <c r="J3198" s="53" t="s">
        <v>5138</v>
      </c>
      <c r="K3198" s="40">
        <v>0</v>
      </c>
      <c r="L3198" s="235">
        <v>0</v>
      </c>
      <c r="M3198" s="35">
        <v>0</v>
      </c>
      <c r="N3198" s="35">
        <v>0</v>
      </c>
      <c r="O3198" s="35">
        <v>0</v>
      </c>
      <c r="P3198" s="35">
        <v>0</v>
      </c>
      <c r="Q3198" s="35">
        <v>0</v>
      </c>
      <c r="R3198" s="42">
        <v>10.617805008600001</v>
      </c>
      <c r="S3198" s="33" t="s">
        <v>149</v>
      </c>
      <c r="T3198" s="257">
        <f t="shared" si="105"/>
        <v>0</v>
      </c>
      <c r="U3198" s="257">
        <f t="shared" si="106"/>
        <v>0</v>
      </c>
      <c r="V3198">
        <v>0</v>
      </c>
      <c r="W3198">
        <v>0</v>
      </c>
    </row>
    <row r="3199" spans="1:23" ht="68.400000000000006" x14ac:dyDescent="0.3">
      <c r="A3199" s="214">
        <v>43817</v>
      </c>
      <c r="B3199" s="214">
        <v>43817</v>
      </c>
      <c r="C3199" s="6">
        <v>12</v>
      </c>
      <c r="D3199" s="6">
        <v>1</v>
      </c>
      <c r="E3199" s="19">
        <v>2019</v>
      </c>
      <c r="F3199" s="15" t="s">
        <v>22</v>
      </c>
      <c r="G3199" s="18" t="s">
        <v>6255</v>
      </c>
      <c r="H3199" s="9" t="s">
        <v>66</v>
      </c>
      <c r="I3199" s="34" t="s">
        <v>66</v>
      </c>
      <c r="J3199" s="34" t="s">
        <v>5139</v>
      </c>
      <c r="K3199" s="40">
        <v>1</v>
      </c>
      <c r="L3199" s="235">
        <v>1</v>
      </c>
      <c r="M3199" s="35">
        <v>0</v>
      </c>
      <c r="N3199" s="35">
        <v>0</v>
      </c>
      <c r="O3199" s="35">
        <v>0</v>
      </c>
      <c r="P3199" s="35">
        <v>0</v>
      </c>
      <c r="Q3199" s="35">
        <v>0</v>
      </c>
      <c r="R3199" s="42">
        <v>0</v>
      </c>
      <c r="S3199" s="33" t="s">
        <v>115</v>
      </c>
      <c r="T3199" s="257">
        <f t="shared" si="105"/>
        <v>2</v>
      </c>
      <c r="U3199" s="257">
        <f t="shared" si="106"/>
        <v>0</v>
      </c>
      <c r="V3199">
        <v>1</v>
      </c>
      <c r="W3199">
        <v>0</v>
      </c>
    </row>
    <row r="3200" spans="1:23" ht="57" x14ac:dyDescent="0.3">
      <c r="A3200" s="214">
        <v>43817</v>
      </c>
      <c r="B3200" s="214">
        <v>43817</v>
      </c>
      <c r="C3200" s="6">
        <v>12</v>
      </c>
      <c r="D3200" s="6">
        <v>1</v>
      </c>
      <c r="E3200" s="33">
        <v>2019</v>
      </c>
      <c r="F3200" s="15" t="s">
        <v>22</v>
      </c>
      <c r="G3200" s="18" t="s">
        <v>6255</v>
      </c>
      <c r="H3200" s="9" t="s">
        <v>37</v>
      </c>
      <c r="I3200" s="34" t="s">
        <v>360</v>
      </c>
      <c r="J3200" s="34" t="s">
        <v>5140</v>
      </c>
      <c r="K3200" s="40">
        <v>1</v>
      </c>
      <c r="L3200" s="235">
        <v>1</v>
      </c>
      <c r="M3200" s="35">
        <v>0</v>
      </c>
      <c r="N3200" s="35">
        <v>0</v>
      </c>
      <c r="O3200" s="35">
        <v>0</v>
      </c>
      <c r="P3200" s="35">
        <v>0</v>
      </c>
      <c r="Q3200" s="35">
        <v>0</v>
      </c>
      <c r="R3200" s="42">
        <v>0</v>
      </c>
      <c r="S3200" s="33" t="s">
        <v>115</v>
      </c>
      <c r="T3200" s="257">
        <f t="shared" si="105"/>
        <v>2</v>
      </c>
      <c r="U3200" s="257">
        <f t="shared" si="106"/>
        <v>0</v>
      </c>
      <c r="V3200">
        <v>1</v>
      </c>
      <c r="W3200">
        <v>0</v>
      </c>
    </row>
    <row r="3201" spans="1:23" x14ac:dyDescent="0.3">
      <c r="A3201" s="214">
        <v>43817</v>
      </c>
      <c r="B3201" s="214">
        <v>43817</v>
      </c>
      <c r="C3201" s="6">
        <v>12</v>
      </c>
      <c r="D3201" s="6">
        <v>1</v>
      </c>
      <c r="E3201" s="19">
        <v>2019</v>
      </c>
      <c r="F3201" s="15" t="s">
        <v>22</v>
      </c>
      <c r="G3201" s="18" t="s">
        <v>6256</v>
      </c>
      <c r="H3201" s="9" t="s">
        <v>31</v>
      </c>
      <c r="I3201" s="34"/>
      <c r="J3201" s="53" t="s">
        <v>5141</v>
      </c>
      <c r="K3201" s="40">
        <v>0</v>
      </c>
      <c r="L3201" s="235">
        <v>0</v>
      </c>
      <c r="M3201" s="35">
        <v>0</v>
      </c>
      <c r="N3201" s="35">
        <v>0</v>
      </c>
      <c r="O3201" s="35">
        <v>0</v>
      </c>
      <c r="P3201" s="35">
        <v>0</v>
      </c>
      <c r="Q3201" s="35">
        <v>0</v>
      </c>
      <c r="R3201" s="42">
        <v>17.521260800999993</v>
      </c>
      <c r="S3201" s="33" t="s">
        <v>149</v>
      </c>
      <c r="T3201" s="257">
        <f t="shared" si="105"/>
        <v>0</v>
      </c>
      <c r="U3201" s="257">
        <f t="shared" si="106"/>
        <v>0</v>
      </c>
      <c r="V3201">
        <v>0</v>
      </c>
      <c r="W3201">
        <v>0</v>
      </c>
    </row>
    <row r="3202" spans="1:23" ht="22.8" x14ac:dyDescent="0.3">
      <c r="A3202" s="232">
        <v>43466</v>
      </c>
      <c r="B3202" s="232">
        <v>43830</v>
      </c>
      <c r="C3202" s="6">
        <v>1</v>
      </c>
      <c r="D3202" s="6">
        <v>365</v>
      </c>
      <c r="E3202" s="33">
        <v>2019</v>
      </c>
      <c r="F3202" s="15" t="s">
        <v>22</v>
      </c>
      <c r="G3202" s="18" t="s">
        <v>6255</v>
      </c>
      <c r="H3202" s="9" t="s">
        <v>27</v>
      </c>
      <c r="I3202" s="20" t="s">
        <v>1109</v>
      </c>
      <c r="J3202" s="152" t="s">
        <v>5142</v>
      </c>
      <c r="K3202" s="40">
        <v>0</v>
      </c>
      <c r="L3202" s="235">
        <v>9</v>
      </c>
      <c r="M3202" s="35">
        <v>0</v>
      </c>
      <c r="N3202" s="35">
        <v>0</v>
      </c>
      <c r="O3202" s="35">
        <v>0</v>
      </c>
      <c r="P3202" s="35">
        <v>0</v>
      </c>
      <c r="Q3202" s="35">
        <v>0</v>
      </c>
      <c r="R3202" s="42">
        <v>0</v>
      </c>
      <c r="S3202" s="33" t="s">
        <v>1219</v>
      </c>
      <c r="T3202" s="257">
        <f t="shared" si="105"/>
        <v>9</v>
      </c>
      <c r="U3202" s="257">
        <f t="shared" si="106"/>
        <v>0</v>
      </c>
      <c r="V3202">
        <v>1</v>
      </c>
      <c r="W3202">
        <v>0</v>
      </c>
    </row>
    <row r="3203" spans="1:23" ht="34.200000000000003" x14ac:dyDescent="0.3">
      <c r="A3203" s="232">
        <v>43466</v>
      </c>
      <c r="B3203" s="232">
        <v>43830</v>
      </c>
      <c r="C3203" s="6">
        <v>1</v>
      </c>
      <c r="D3203" s="6">
        <v>365</v>
      </c>
      <c r="E3203" s="19">
        <v>2019</v>
      </c>
      <c r="F3203" s="15" t="s">
        <v>22</v>
      </c>
      <c r="G3203" s="18" t="s">
        <v>6255</v>
      </c>
      <c r="H3203" s="9" t="s">
        <v>34</v>
      </c>
      <c r="I3203" s="20" t="s">
        <v>1109</v>
      </c>
      <c r="J3203" s="152" t="s">
        <v>5143</v>
      </c>
      <c r="K3203" s="40">
        <v>18</v>
      </c>
      <c r="L3203" s="235">
        <v>148</v>
      </c>
      <c r="M3203" s="35">
        <v>0</v>
      </c>
      <c r="N3203" s="35">
        <v>0</v>
      </c>
      <c r="O3203" s="35">
        <v>0</v>
      </c>
      <c r="P3203" s="35">
        <v>0</v>
      </c>
      <c r="Q3203" s="35">
        <v>0</v>
      </c>
      <c r="R3203" s="42">
        <v>0</v>
      </c>
      <c r="S3203" s="33" t="s">
        <v>1219</v>
      </c>
      <c r="T3203" s="257">
        <f t="shared" ref="T3203:T3266" si="107">SUM(K3203:L3203)</f>
        <v>166</v>
      </c>
      <c r="U3203" s="257">
        <f t="shared" ref="U3203:U3266" si="108">SUM(M3203:P3203)</f>
        <v>0</v>
      </c>
      <c r="V3203">
        <v>1</v>
      </c>
      <c r="W3203">
        <v>0</v>
      </c>
    </row>
    <row r="3204" spans="1:23" ht="22.8" x14ac:dyDescent="0.3">
      <c r="A3204" s="232">
        <v>43466</v>
      </c>
      <c r="B3204" s="232">
        <v>43830</v>
      </c>
      <c r="C3204" s="6">
        <v>1</v>
      </c>
      <c r="D3204" s="6">
        <v>365</v>
      </c>
      <c r="E3204" s="33">
        <v>2019</v>
      </c>
      <c r="F3204" s="15" t="s">
        <v>22</v>
      </c>
      <c r="G3204" s="18" t="s">
        <v>6255</v>
      </c>
      <c r="H3204" s="9" t="s">
        <v>74</v>
      </c>
      <c r="I3204" s="20" t="s">
        <v>1109</v>
      </c>
      <c r="J3204" s="152" t="s">
        <v>5144</v>
      </c>
      <c r="K3204" s="40">
        <v>2</v>
      </c>
      <c r="L3204" s="235">
        <v>9</v>
      </c>
      <c r="M3204" s="35">
        <v>0</v>
      </c>
      <c r="N3204" s="35">
        <v>0</v>
      </c>
      <c r="O3204" s="35">
        <v>0</v>
      </c>
      <c r="P3204" s="35">
        <v>0</v>
      </c>
      <c r="Q3204" s="35">
        <v>0</v>
      </c>
      <c r="R3204" s="42">
        <v>0</v>
      </c>
      <c r="S3204" s="33" t="s">
        <v>1219</v>
      </c>
      <c r="T3204" s="257">
        <f t="shared" si="107"/>
        <v>11</v>
      </c>
      <c r="U3204" s="257">
        <f t="shared" si="108"/>
        <v>0</v>
      </c>
      <c r="V3204">
        <v>1</v>
      </c>
      <c r="W3204">
        <v>0</v>
      </c>
    </row>
    <row r="3205" spans="1:23" ht="34.200000000000003" x14ac:dyDescent="0.3">
      <c r="A3205" s="232">
        <v>43466</v>
      </c>
      <c r="B3205" s="232">
        <v>43830</v>
      </c>
      <c r="C3205" s="6">
        <v>1</v>
      </c>
      <c r="D3205" s="6">
        <v>365</v>
      </c>
      <c r="E3205" s="19">
        <v>2019</v>
      </c>
      <c r="F3205" s="15" t="s">
        <v>22</v>
      </c>
      <c r="G3205" s="18" t="s">
        <v>6255</v>
      </c>
      <c r="H3205" s="9" t="s">
        <v>41</v>
      </c>
      <c r="I3205" s="20" t="s">
        <v>1109</v>
      </c>
      <c r="J3205" s="152" t="s">
        <v>5145</v>
      </c>
      <c r="K3205" s="40">
        <v>4</v>
      </c>
      <c r="L3205" s="235">
        <v>11</v>
      </c>
      <c r="M3205" s="35">
        <v>0</v>
      </c>
      <c r="N3205" s="35">
        <v>0</v>
      </c>
      <c r="O3205" s="35">
        <v>0</v>
      </c>
      <c r="P3205" s="35">
        <v>0</v>
      </c>
      <c r="Q3205" s="35">
        <v>0</v>
      </c>
      <c r="R3205" s="42">
        <v>0</v>
      </c>
      <c r="S3205" s="33" t="s">
        <v>1219</v>
      </c>
      <c r="T3205" s="257">
        <f t="shared" si="107"/>
        <v>15</v>
      </c>
      <c r="U3205" s="257">
        <f t="shared" si="108"/>
        <v>0</v>
      </c>
      <c r="V3205">
        <v>1</v>
      </c>
      <c r="W3205">
        <v>0</v>
      </c>
    </row>
    <row r="3206" spans="1:23" x14ac:dyDescent="0.3">
      <c r="A3206" s="232">
        <v>43466</v>
      </c>
      <c r="B3206" s="232">
        <v>43830</v>
      </c>
      <c r="C3206" s="6">
        <v>1</v>
      </c>
      <c r="D3206" s="6">
        <v>365</v>
      </c>
      <c r="E3206" s="33">
        <v>2019</v>
      </c>
      <c r="F3206" s="15" t="s">
        <v>22</v>
      </c>
      <c r="G3206" s="18" t="s">
        <v>6255</v>
      </c>
      <c r="H3206" s="9" t="s">
        <v>57</v>
      </c>
      <c r="I3206" s="20" t="s">
        <v>1109</v>
      </c>
      <c r="J3206" s="152" t="s">
        <v>5146</v>
      </c>
      <c r="K3206" s="40">
        <v>0</v>
      </c>
      <c r="L3206" s="235">
        <v>2</v>
      </c>
      <c r="M3206" s="35">
        <v>0</v>
      </c>
      <c r="N3206" s="35">
        <v>0</v>
      </c>
      <c r="O3206" s="35">
        <v>0</v>
      </c>
      <c r="P3206" s="35">
        <v>0</v>
      </c>
      <c r="Q3206" s="35">
        <v>0</v>
      </c>
      <c r="R3206" s="42">
        <v>0</v>
      </c>
      <c r="S3206" s="33" t="s">
        <v>1219</v>
      </c>
      <c r="T3206" s="257">
        <f t="shared" si="107"/>
        <v>2</v>
      </c>
      <c r="U3206" s="257">
        <f t="shared" si="108"/>
        <v>0</v>
      </c>
      <c r="V3206">
        <v>1</v>
      </c>
      <c r="W3206">
        <v>0</v>
      </c>
    </row>
    <row r="3207" spans="1:23" ht="22.8" x14ac:dyDescent="0.3">
      <c r="A3207" s="232">
        <v>43466</v>
      </c>
      <c r="B3207" s="232">
        <v>43830</v>
      </c>
      <c r="C3207" s="6">
        <v>1</v>
      </c>
      <c r="D3207" s="6">
        <v>365</v>
      </c>
      <c r="E3207" s="19">
        <v>2019</v>
      </c>
      <c r="F3207" s="15" t="s">
        <v>22</v>
      </c>
      <c r="G3207" s="18" t="s">
        <v>6255</v>
      </c>
      <c r="H3207" s="9" t="s">
        <v>78</v>
      </c>
      <c r="I3207" s="20" t="s">
        <v>1109</v>
      </c>
      <c r="J3207" s="152" t="s">
        <v>5147</v>
      </c>
      <c r="K3207" s="40">
        <v>0</v>
      </c>
      <c r="L3207" s="235">
        <v>2</v>
      </c>
      <c r="M3207" s="35">
        <v>0</v>
      </c>
      <c r="N3207" s="35">
        <v>0</v>
      </c>
      <c r="O3207" s="35">
        <v>0</v>
      </c>
      <c r="P3207" s="35">
        <v>0</v>
      </c>
      <c r="Q3207" s="35">
        <v>0</v>
      </c>
      <c r="R3207" s="42">
        <v>0</v>
      </c>
      <c r="S3207" s="33" t="s">
        <v>1219</v>
      </c>
      <c r="T3207" s="257">
        <f t="shared" si="107"/>
        <v>2</v>
      </c>
      <c r="U3207" s="257">
        <f t="shared" si="108"/>
        <v>0</v>
      </c>
      <c r="V3207">
        <v>1</v>
      </c>
      <c r="W3207">
        <v>0</v>
      </c>
    </row>
    <row r="3208" spans="1:23" ht="22.8" x14ac:dyDescent="0.3">
      <c r="A3208" s="232">
        <v>43466</v>
      </c>
      <c r="B3208" s="232">
        <v>43830</v>
      </c>
      <c r="C3208" s="6">
        <v>1</v>
      </c>
      <c r="D3208" s="6">
        <v>365</v>
      </c>
      <c r="E3208" s="33">
        <v>2019</v>
      </c>
      <c r="F3208" s="15" t="s">
        <v>22</v>
      </c>
      <c r="G3208" s="18" t="s">
        <v>6255</v>
      </c>
      <c r="H3208" s="9" t="s">
        <v>70</v>
      </c>
      <c r="I3208" s="20" t="s">
        <v>1109</v>
      </c>
      <c r="J3208" s="152" t="s">
        <v>5148</v>
      </c>
      <c r="K3208" s="40">
        <v>2</v>
      </c>
      <c r="L3208" s="235">
        <v>14</v>
      </c>
      <c r="M3208" s="35">
        <v>0</v>
      </c>
      <c r="N3208" s="35">
        <v>0</v>
      </c>
      <c r="O3208" s="35">
        <v>0</v>
      </c>
      <c r="P3208" s="35">
        <v>0</v>
      </c>
      <c r="Q3208" s="35">
        <v>0</v>
      </c>
      <c r="R3208" s="42">
        <v>0</v>
      </c>
      <c r="S3208" s="33" t="s">
        <v>1219</v>
      </c>
      <c r="T3208" s="257">
        <f t="shared" si="107"/>
        <v>16</v>
      </c>
      <c r="U3208" s="257">
        <f t="shared" si="108"/>
        <v>0</v>
      </c>
      <c r="V3208">
        <v>1</v>
      </c>
      <c r="W3208">
        <v>0</v>
      </c>
    </row>
    <row r="3209" spans="1:23" ht="22.8" x14ac:dyDescent="0.3">
      <c r="A3209" s="232">
        <v>43466</v>
      </c>
      <c r="B3209" s="232">
        <v>43830</v>
      </c>
      <c r="C3209" s="6">
        <v>1</v>
      </c>
      <c r="D3209" s="6">
        <v>365</v>
      </c>
      <c r="E3209" s="19">
        <v>2019</v>
      </c>
      <c r="F3209" s="15" t="s">
        <v>22</v>
      </c>
      <c r="G3209" s="18" t="s">
        <v>6255</v>
      </c>
      <c r="H3209" s="9" t="s">
        <v>121</v>
      </c>
      <c r="I3209" s="20" t="s">
        <v>1109</v>
      </c>
      <c r="J3209" s="152" t="s">
        <v>5149</v>
      </c>
      <c r="K3209" s="40">
        <v>0</v>
      </c>
      <c r="L3209" s="235">
        <v>5</v>
      </c>
      <c r="M3209" s="35">
        <v>0</v>
      </c>
      <c r="N3209" s="35">
        <v>0</v>
      </c>
      <c r="O3209" s="35">
        <v>0</v>
      </c>
      <c r="P3209" s="35">
        <v>0</v>
      </c>
      <c r="Q3209" s="35">
        <v>0</v>
      </c>
      <c r="R3209" s="42">
        <v>0</v>
      </c>
      <c r="S3209" s="33" t="s">
        <v>1219</v>
      </c>
      <c r="T3209" s="257">
        <f t="shared" si="107"/>
        <v>5</v>
      </c>
      <c r="U3209" s="257">
        <f t="shared" si="108"/>
        <v>0</v>
      </c>
      <c r="V3209">
        <v>1</v>
      </c>
      <c r="W3209">
        <v>0</v>
      </c>
    </row>
    <row r="3210" spans="1:23" x14ac:dyDescent="0.3">
      <c r="A3210" s="232">
        <v>43466</v>
      </c>
      <c r="B3210" s="232">
        <v>43830</v>
      </c>
      <c r="C3210" s="6">
        <v>1</v>
      </c>
      <c r="D3210" s="6">
        <v>365</v>
      </c>
      <c r="E3210" s="33">
        <v>2019</v>
      </c>
      <c r="F3210" s="15" t="s">
        <v>22</v>
      </c>
      <c r="G3210" s="18" t="s">
        <v>6255</v>
      </c>
      <c r="H3210" s="9" t="s">
        <v>88</v>
      </c>
      <c r="I3210" s="20" t="s">
        <v>1109</v>
      </c>
      <c r="J3210" s="152" t="s">
        <v>5150</v>
      </c>
      <c r="K3210" s="40">
        <v>0</v>
      </c>
      <c r="L3210" s="235">
        <v>1</v>
      </c>
      <c r="M3210" s="35">
        <v>0</v>
      </c>
      <c r="N3210" s="35">
        <v>0</v>
      </c>
      <c r="O3210" s="35">
        <v>0</v>
      </c>
      <c r="P3210" s="35">
        <v>0</v>
      </c>
      <c r="Q3210" s="35">
        <v>0</v>
      </c>
      <c r="R3210" s="42">
        <v>0</v>
      </c>
      <c r="S3210" s="33" t="s">
        <v>1219</v>
      </c>
      <c r="T3210" s="257">
        <f t="shared" si="107"/>
        <v>1</v>
      </c>
      <c r="U3210" s="257">
        <f t="shared" si="108"/>
        <v>0</v>
      </c>
      <c r="V3210">
        <v>1</v>
      </c>
      <c r="W3210">
        <v>0</v>
      </c>
    </row>
    <row r="3211" spans="1:23" x14ac:dyDescent="0.3">
      <c r="A3211" s="232">
        <v>43466</v>
      </c>
      <c r="B3211" s="232">
        <v>43830</v>
      </c>
      <c r="C3211" s="6">
        <v>1</v>
      </c>
      <c r="D3211" s="6">
        <v>365</v>
      </c>
      <c r="E3211" s="19">
        <v>2019</v>
      </c>
      <c r="F3211" s="15" t="s">
        <v>22</v>
      </c>
      <c r="G3211" s="18" t="s">
        <v>6255</v>
      </c>
      <c r="H3211" s="9" t="s">
        <v>55</v>
      </c>
      <c r="I3211" s="20" t="s">
        <v>1109</v>
      </c>
      <c r="J3211" s="152" t="s">
        <v>5151</v>
      </c>
      <c r="K3211" s="40">
        <v>0</v>
      </c>
      <c r="L3211" s="235">
        <v>1</v>
      </c>
      <c r="M3211" s="35">
        <v>0</v>
      </c>
      <c r="N3211" s="35">
        <v>0</v>
      </c>
      <c r="O3211" s="35">
        <v>0</v>
      </c>
      <c r="P3211" s="35">
        <v>0</v>
      </c>
      <c r="Q3211" s="35">
        <v>0</v>
      </c>
      <c r="R3211" s="42">
        <v>0</v>
      </c>
      <c r="S3211" s="33" t="s">
        <v>1219</v>
      </c>
      <c r="T3211" s="257">
        <f t="shared" si="107"/>
        <v>1</v>
      </c>
      <c r="U3211" s="257">
        <f t="shared" si="108"/>
        <v>0</v>
      </c>
      <c r="V3211">
        <v>1</v>
      </c>
      <c r="W3211">
        <v>0</v>
      </c>
    </row>
    <row r="3212" spans="1:23" x14ac:dyDescent="0.3">
      <c r="A3212" s="232">
        <v>43466</v>
      </c>
      <c r="B3212" s="232">
        <v>43830</v>
      </c>
      <c r="C3212" s="6">
        <v>1</v>
      </c>
      <c r="D3212" s="6">
        <v>365</v>
      </c>
      <c r="E3212" s="33">
        <v>2019</v>
      </c>
      <c r="F3212" s="15" t="s">
        <v>22</v>
      </c>
      <c r="G3212" s="18" t="s">
        <v>6255</v>
      </c>
      <c r="H3212" s="9" t="s">
        <v>51</v>
      </c>
      <c r="I3212" s="20" t="s">
        <v>1109</v>
      </c>
      <c r="J3212" s="152" t="s">
        <v>5152</v>
      </c>
      <c r="K3212" s="40">
        <v>0</v>
      </c>
      <c r="L3212" s="235">
        <v>3</v>
      </c>
      <c r="M3212" s="35">
        <v>0</v>
      </c>
      <c r="N3212" s="35">
        <v>0</v>
      </c>
      <c r="O3212" s="35">
        <v>0</v>
      </c>
      <c r="P3212" s="35">
        <v>0</v>
      </c>
      <c r="Q3212" s="35">
        <v>0</v>
      </c>
      <c r="R3212" s="42">
        <v>0</v>
      </c>
      <c r="S3212" s="33" t="s">
        <v>1219</v>
      </c>
      <c r="T3212" s="257">
        <f t="shared" si="107"/>
        <v>3</v>
      </c>
      <c r="U3212" s="257">
        <f t="shared" si="108"/>
        <v>0</v>
      </c>
      <c r="V3212">
        <v>1</v>
      </c>
      <c r="W3212">
        <v>0</v>
      </c>
    </row>
    <row r="3213" spans="1:23" ht="45.6" x14ac:dyDescent="0.3">
      <c r="A3213" s="232">
        <v>43466</v>
      </c>
      <c r="B3213" s="232">
        <v>43830</v>
      </c>
      <c r="C3213" s="6">
        <v>1</v>
      </c>
      <c r="D3213" s="6">
        <v>365</v>
      </c>
      <c r="E3213" s="19">
        <v>2019</v>
      </c>
      <c r="F3213" s="15" t="s">
        <v>22</v>
      </c>
      <c r="G3213" s="9" t="s">
        <v>6258</v>
      </c>
      <c r="H3213" s="9" t="s">
        <v>74</v>
      </c>
      <c r="I3213" s="20" t="s">
        <v>1109</v>
      </c>
      <c r="J3213" s="152" t="s">
        <v>5153</v>
      </c>
      <c r="K3213" s="40">
        <v>10</v>
      </c>
      <c r="L3213" s="235">
        <v>337</v>
      </c>
      <c r="M3213" s="35">
        <v>0</v>
      </c>
      <c r="N3213" s="35">
        <v>0</v>
      </c>
      <c r="O3213" s="35">
        <v>0</v>
      </c>
      <c r="P3213" s="35">
        <v>0</v>
      </c>
      <c r="Q3213" s="35">
        <v>0</v>
      </c>
      <c r="R3213" s="42">
        <v>0</v>
      </c>
      <c r="S3213" s="33" t="s">
        <v>1219</v>
      </c>
      <c r="T3213" s="257">
        <f t="shared" si="107"/>
        <v>347</v>
      </c>
      <c r="U3213" s="257">
        <f t="shared" si="108"/>
        <v>0</v>
      </c>
      <c r="V3213">
        <v>1</v>
      </c>
      <c r="W3213">
        <v>0</v>
      </c>
    </row>
    <row r="3214" spans="1:23" ht="34.200000000000003" x14ac:dyDescent="0.3">
      <c r="A3214" s="232">
        <v>43466</v>
      </c>
      <c r="B3214" s="232">
        <v>43830</v>
      </c>
      <c r="C3214" s="6">
        <v>1</v>
      </c>
      <c r="D3214" s="6">
        <v>365</v>
      </c>
      <c r="E3214" s="33">
        <v>2019</v>
      </c>
      <c r="F3214" s="15" t="s">
        <v>22</v>
      </c>
      <c r="G3214" s="9" t="s">
        <v>6258</v>
      </c>
      <c r="H3214" s="17" t="s">
        <v>565</v>
      </c>
      <c r="I3214" s="20" t="s">
        <v>1109</v>
      </c>
      <c r="J3214" s="152" t="s">
        <v>5154</v>
      </c>
      <c r="K3214" s="40">
        <v>0</v>
      </c>
      <c r="L3214" s="235">
        <v>62</v>
      </c>
      <c r="M3214" s="35">
        <v>0</v>
      </c>
      <c r="N3214" s="35">
        <v>0</v>
      </c>
      <c r="O3214" s="35">
        <v>0</v>
      </c>
      <c r="P3214" s="35">
        <v>0</v>
      </c>
      <c r="Q3214" s="35">
        <v>0</v>
      </c>
      <c r="R3214" s="42">
        <v>0</v>
      </c>
      <c r="S3214" s="33" t="s">
        <v>1219</v>
      </c>
      <c r="T3214" s="257">
        <f t="shared" si="107"/>
        <v>62</v>
      </c>
      <c r="U3214" s="257">
        <f t="shared" si="108"/>
        <v>0</v>
      </c>
      <c r="V3214">
        <v>1</v>
      </c>
      <c r="W3214">
        <v>0</v>
      </c>
    </row>
    <row r="3215" spans="1:23" ht="34.200000000000003" x14ac:dyDescent="0.3">
      <c r="A3215" s="232">
        <v>43466</v>
      </c>
      <c r="B3215" s="232">
        <v>43830</v>
      </c>
      <c r="C3215" s="6">
        <v>1</v>
      </c>
      <c r="D3215" s="6">
        <v>365</v>
      </c>
      <c r="E3215" s="19">
        <v>2019</v>
      </c>
      <c r="F3215" s="15" t="s">
        <v>22</v>
      </c>
      <c r="G3215" s="9" t="s">
        <v>6258</v>
      </c>
      <c r="H3215" s="9" t="s">
        <v>174</v>
      </c>
      <c r="I3215" s="20" t="s">
        <v>1109</v>
      </c>
      <c r="J3215" s="152" t="s">
        <v>5155</v>
      </c>
      <c r="K3215" s="40">
        <v>0</v>
      </c>
      <c r="L3215" s="235">
        <v>56</v>
      </c>
      <c r="M3215" s="35">
        <v>0</v>
      </c>
      <c r="N3215" s="35">
        <v>0</v>
      </c>
      <c r="O3215" s="35">
        <v>0</v>
      </c>
      <c r="P3215" s="35">
        <v>0</v>
      </c>
      <c r="Q3215" s="35">
        <v>0</v>
      </c>
      <c r="R3215" s="42">
        <v>0</v>
      </c>
      <c r="S3215" s="33" t="s">
        <v>1219</v>
      </c>
      <c r="T3215" s="257">
        <f t="shared" si="107"/>
        <v>56</v>
      </c>
      <c r="U3215" s="257">
        <f t="shared" si="108"/>
        <v>0</v>
      </c>
      <c r="V3215">
        <v>1</v>
      </c>
      <c r="W3215">
        <v>0</v>
      </c>
    </row>
    <row r="3216" spans="1:23" ht="45.6" x14ac:dyDescent="0.3">
      <c r="A3216" s="232">
        <v>43466</v>
      </c>
      <c r="B3216" s="232">
        <v>43830</v>
      </c>
      <c r="C3216" s="6">
        <v>1</v>
      </c>
      <c r="D3216" s="6">
        <v>365</v>
      </c>
      <c r="E3216" s="33">
        <v>2019</v>
      </c>
      <c r="F3216" s="15" t="s">
        <v>22</v>
      </c>
      <c r="G3216" s="9" t="s">
        <v>6258</v>
      </c>
      <c r="H3216" s="9" t="s">
        <v>27</v>
      </c>
      <c r="I3216" s="20" t="s">
        <v>1109</v>
      </c>
      <c r="J3216" s="152" t="s">
        <v>5156</v>
      </c>
      <c r="K3216" s="40">
        <v>13</v>
      </c>
      <c r="L3216" s="235">
        <v>69</v>
      </c>
      <c r="M3216" s="35">
        <v>0</v>
      </c>
      <c r="N3216" s="35">
        <v>0</v>
      </c>
      <c r="O3216" s="35">
        <v>0</v>
      </c>
      <c r="P3216" s="35">
        <v>0</v>
      </c>
      <c r="Q3216" s="35">
        <v>0</v>
      </c>
      <c r="R3216" s="42">
        <v>0</v>
      </c>
      <c r="S3216" s="33" t="s">
        <v>1219</v>
      </c>
      <c r="T3216" s="257">
        <f t="shared" si="107"/>
        <v>82</v>
      </c>
      <c r="U3216" s="257">
        <f t="shared" si="108"/>
        <v>0</v>
      </c>
      <c r="V3216">
        <v>1</v>
      </c>
      <c r="W3216">
        <v>0</v>
      </c>
    </row>
    <row r="3217" spans="1:23" ht="45.6" x14ac:dyDescent="0.3">
      <c r="A3217" s="232">
        <v>43466</v>
      </c>
      <c r="B3217" s="232">
        <v>43830</v>
      </c>
      <c r="C3217" s="6">
        <v>1</v>
      </c>
      <c r="D3217" s="6">
        <v>365</v>
      </c>
      <c r="E3217" s="19">
        <v>2019</v>
      </c>
      <c r="F3217" s="15" t="s">
        <v>22</v>
      </c>
      <c r="G3217" s="9" t="s">
        <v>6258</v>
      </c>
      <c r="H3217" s="9" t="s">
        <v>34</v>
      </c>
      <c r="I3217" s="20" t="s">
        <v>1109</v>
      </c>
      <c r="J3217" s="152" t="s">
        <v>5157</v>
      </c>
      <c r="K3217" s="40">
        <v>1</v>
      </c>
      <c r="L3217" s="235">
        <v>56</v>
      </c>
      <c r="M3217" s="35">
        <v>0</v>
      </c>
      <c r="N3217" s="35">
        <v>0</v>
      </c>
      <c r="O3217" s="35">
        <v>0</v>
      </c>
      <c r="P3217" s="35">
        <v>0</v>
      </c>
      <c r="Q3217" s="35">
        <v>0</v>
      </c>
      <c r="R3217" s="42">
        <v>0</v>
      </c>
      <c r="S3217" s="33" t="s">
        <v>1219</v>
      </c>
      <c r="T3217" s="257">
        <f t="shared" si="107"/>
        <v>57</v>
      </c>
      <c r="U3217" s="257">
        <f t="shared" si="108"/>
        <v>0</v>
      </c>
      <c r="V3217">
        <v>1</v>
      </c>
      <c r="W3217">
        <v>0</v>
      </c>
    </row>
    <row r="3218" spans="1:23" ht="45.6" x14ac:dyDescent="0.3">
      <c r="A3218" s="232">
        <v>43466</v>
      </c>
      <c r="B3218" s="232">
        <v>43830</v>
      </c>
      <c r="C3218" s="6">
        <v>1</v>
      </c>
      <c r="D3218" s="6">
        <v>365</v>
      </c>
      <c r="E3218" s="33">
        <v>2019</v>
      </c>
      <c r="F3218" s="15" t="s">
        <v>22</v>
      </c>
      <c r="G3218" s="9" t="s">
        <v>6258</v>
      </c>
      <c r="H3218" s="9" t="s">
        <v>78</v>
      </c>
      <c r="I3218" s="20" t="s">
        <v>1109</v>
      </c>
      <c r="J3218" s="152" t="s">
        <v>5158</v>
      </c>
      <c r="K3218" s="40">
        <v>1</v>
      </c>
      <c r="L3218" s="235">
        <v>49</v>
      </c>
      <c r="M3218" s="35">
        <v>0</v>
      </c>
      <c r="N3218" s="35">
        <v>0</v>
      </c>
      <c r="O3218" s="35">
        <v>0</v>
      </c>
      <c r="P3218" s="35">
        <v>0</v>
      </c>
      <c r="Q3218" s="35">
        <v>0</v>
      </c>
      <c r="R3218" s="42">
        <v>0</v>
      </c>
      <c r="S3218" s="33" t="s">
        <v>1219</v>
      </c>
      <c r="T3218" s="257">
        <f t="shared" si="107"/>
        <v>50</v>
      </c>
      <c r="U3218" s="257">
        <f t="shared" si="108"/>
        <v>0</v>
      </c>
      <c r="V3218">
        <v>1</v>
      </c>
      <c r="W3218">
        <v>0</v>
      </c>
    </row>
    <row r="3219" spans="1:23" ht="45.6" x14ac:dyDescent="0.3">
      <c r="A3219" s="232">
        <v>43466</v>
      </c>
      <c r="B3219" s="232">
        <v>43830</v>
      </c>
      <c r="C3219" s="6">
        <v>1</v>
      </c>
      <c r="D3219" s="6">
        <v>365</v>
      </c>
      <c r="E3219" s="19">
        <v>2019</v>
      </c>
      <c r="F3219" s="15" t="s">
        <v>22</v>
      </c>
      <c r="G3219" s="9" t="s">
        <v>6258</v>
      </c>
      <c r="H3219" s="9" t="s">
        <v>61</v>
      </c>
      <c r="I3219" s="20" t="s">
        <v>1109</v>
      </c>
      <c r="J3219" s="152" t="s">
        <v>5159</v>
      </c>
      <c r="K3219" s="40">
        <v>2</v>
      </c>
      <c r="L3219" s="235">
        <v>49</v>
      </c>
      <c r="M3219" s="35">
        <v>0</v>
      </c>
      <c r="N3219" s="35">
        <v>0</v>
      </c>
      <c r="O3219" s="35">
        <v>0</v>
      </c>
      <c r="P3219" s="35">
        <v>0</v>
      </c>
      <c r="Q3219" s="35">
        <v>0</v>
      </c>
      <c r="R3219" s="42">
        <v>0</v>
      </c>
      <c r="S3219" s="33" t="s">
        <v>1219</v>
      </c>
      <c r="T3219" s="257">
        <f t="shared" si="107"/>
        <v>51</v>
      </c>
      <c r="U3219" s="257">
        <f t="shared" si="108"/>
        <v>0</v>
      </c>
      <c r="V3219">
        <v>1</v>
      </c>
      <c r="W3219">
        <v>0</v>
      </c>
    </row>
    <row r="3220" spans="1:23" ht="45.6" x14ac:dyDescent="0.3">
      <c r="A3220" s="232">
        <v>43466</v>
      </c>
      <c r="B3220" s="232">
        <v>43830</v>
      </c>
      <c r="C3220" s="6">
        <v>1</v>
      </c>
      <c r="D3220" s="6">
        <v>365</v>
      </c>
      <c r="E3220" s="33">
        <v>2019</v>
      </c>
      <c r="F3220" s="15" t="s">
        <v>22</v>
      </c>
      <c r="G3220" s="9" t="s">
        <v>6258</v>
      </c>
      <c r="H3220" s="9" t="s">
        <v>72</v>
      </c>
      <c r="I3220" s="20" t="s">
        <v>1109</v>
      </c>
      <c r="J3220" s="152" t="s">
        <v>5160</v>
      </c>
      <c r="K3220" s="40">
        <v>1</v>
      </c>
      <c r="L3220" s="235">
        <v>42</v>
      </c>
      <c r="M3220" s="35">
        <v>0</v>
      </c>
      <c r="N3220" s="35">
        <v>0</v>
      </c>
      <c r="O3220" s="35">
        <v>0</v>
      </c>
      <c r="P3220" s="35">
        <v>0</v>
      </c>
      <c r="Q3220" s="35">
        <v>0</v>
      </c>
      <c r="R3220" s="42">
        <v>0</v>
      </c>
      <c r="S3220" s="33" t="s">
        <v>1219</v>
      </c>
      <c r="T3220" s="257">
        <f t="shared" si="107"/>
        <v>43</v>
      </c>
      <c r="U3220" s="257">
        <f t="shared" si="108"/>
        <v>0</v>
      </c>
      <c r="V3220">
        <v>1</v>
      </c>
      <c r="W3220">
        <v>0</v>
      </c>
    </row>
    <row r="3221" spans="1:23" ht="45.6" x14ac:dyDescent="0.3">
      <c r="A3221" s="232">
        <v>43466</v>
      </c>
      <c r="B3221" s="232">
        <v>43830</v>
      </c>
      <c r="C3221" s="6">
        <v>1</v>
      </c>
      <c r="D3221" s="6">
        <v>365</v>
      </c>
      <c r="E3221" s="19">
        <v>2019</v>
      </c>
      <c r="F3221" s="15" t="s">
        <v>22</v>
      </c>
      <c r="G3221" s="9" t="s">
        <v>6258</v>
      </c>
      <c r="H3221" s="9" t="s">
        <v>69</v>
      </c>
      <c r="I3221" s="20" t="s">
        <v>1109</v>
      </c>
      <c r="J3221" s="152" t="s">
        <v>5161</v>
      </c>
      <c r="K3221" s="40">
        <v>7</v>
      </c>
      <c r="L3221" s="235">
        <v>36</v>
      </c>
      <c r="M3221" s="35">
        <v>0</v>
      </c>
      <c r="N3221" s="35">
        <v>0</v>
      </c>
      <c r="O3221" s="35">
        <v>0</v>
      </c>
      <c r="P3221" s="35">
        <v>0</v>
      </c>
      <c r="Q3221" s="35">
        <v>0</v>
      </c>
      <c r="R3221" s="42">
        <v>0</v>
      </c>
      <c r="S3221" s="33" t="s">
        <v>1219</v>
      </c>
      <c r="T3221" s="257">
        <f t="shared" si="107"/>
        <v>43</v>
      </c>
      <c r="U3221" s="257">
        <f t="shared" si="108"/>
        <v>0</v>
      </c>
      <c r="V3221">
        <v>1</v>
      </c>
      <c r="W3221">
        <v>0</v>
      </c>
    </row>
    <row r="3222" spans="1:23" ht="45.6" x14ac:dyDescent="0.3">
      <c r="A3222" s="232">
        <v>43466</v>
      </c>
      <c r="B3222" s="232">
        <v>43830</v>
      </c>
      <c r="C3222" s="6">
        <v>1</v>
      </c>
      <c r="D3222" s="6">
        <v>365</v>
      </c>
      <c r="E3222" s="33">
        <v>2019</v>
      </c>
      <c r="F3222" s="15" t="s">
        <v>22</v>
      </c>
      <c r="G3222" s="9" t="s">
        <v>6258</v>
      </c>
      <c r="H3222" s="9" t="s">
        <v>70</v>
      </c>
      <c r="I3222" s="20" t="s">
        <v>1109</v>
      </c>
      <c r="J3222" s="152" t="s">
        <v>5162</v>
      </c>
      <c r="K3222" s="40">
        <v>1</v>
      </c>
      <c r="L3222" s="235">
        <v>24</v>
      </c>
      <c r="M3222" s="35">
        <v>0</v>
      </c>
      <c r="N3222" s="35">
        <v>0</v>
      </c>
      <c r="O3222" s="35">
        <v>0</v>
      </c>
      <c r="P3222" s="35">
        <v>0</v>
      </c>
      <c r="Q3222" s="35">
        <v>0</v>
      </c>
      <c r="R3222" s="42">
        <v>0</v>
      </c>
      <c r="S3222" s="33" t="s">
        <v>1219</v>
      </c>
      <c r="T3222" s="257">
        <f t="shared" si="107"/>
        <v>25</v>
      </c>
      <c r="U3222" s="257">
        <f t="shared" si="108"/>
        <v>0</v>
      </c>
      <c r="V3222">
        <v>1</v>
      </c>
      <c r="W3222">
        <v>0</v>
      </c>
    </row>
    <row r="3223" spans="1:23" ht="34.200000000000003" x14ac:dyDescent="0.3">
      <c r="A3223" s="232">
        <v>43466</v>
      </c>
      <c r="B3223" s="232">
        <v>43830</v>
      </c>
      <c r="C3223" s="6">
        <v>1</v>
      </c>
      <c r="D3223" s="6">
        <v>365</v>
      </c>
      <c r="E3223" s="19">
        <v>2019</v>
      </c>
      <c r="F3223" s="15" t="s">
        <v>22</v>
      </c>
      <c r="G3223" s="9" t="s">
        <v>6258</v>
      </c>
      <c r="H3223" s="9" t="s">
        <v>51</v>
      </c>
      <c r="I3223" s="20" t="s">
        <v>1109</v>
      </c>
      <c r="J3223" s="152" t="s">
        <v>5163</v>
      </c>
      <c r="K3223" s="40">
        <v>0</v>
      </c>
      <c r="L3223" s="235">
        <v>19</v>
      </c>
      <c r="M3223" s="35">
        <v>0</v>
      </c>
      <c r="N3223" s="35">
        <v>0</v>
      </c>
      <c r="O3223" s="35">
        <v>0</v>
      </c>
      <c r="P3223" s="35">
        <v>0</v>
      </c>
      <c r="Q3223" s="35">
        <v>0</v>
      </c>
      <c r="R3223" s="42">
        <v>0</v>
      </c>
      <c r="S3223" s="33" t="s">
        <v>1219</v>
      </c>
      <c r="T3223" s="257">
        <f t="shared" si="107"/>
        <v>19</v>
      </c>
      <c r="U3223" s="257">
        <f t="shared" si="108"/>
        <v>0</v>
      </c>
      <c r="V3223">
        <v>1</v>
      </c>
      <c r="W3223">
        <v>0</v>
      </c>
    </row>
    <row r="3224" spans="1:23" ht="34.200000000000003" x14ac:dyDescent="0.3">
      <c r="A3224" s="232">
        <v>43466</v>
      </c>
      <c r="B3224" s="232">
        <v>43830</v>
      </c>
      <c r="C3224" s="6">
        <v>1</v>
      </c>
      <c r="D3224" s="6">
        <v>365</v>
      </c>
      <c r="E3224" s="33">
        <v>2019</v>
      </c>
      <c r="F3224" s="15" t="s">
        <v>22</v>
      </c>
      <c r="G3224" s="9" t="s">
        <v>6258</v>
      </c>
      <c r="H3224" s="9" t="s">
        <v>124</v>
      </c>
      <c r="I3224" s="20" t="s">
        <v>1109</v>
      </c>
      <c r="J3224" s="152" t="s">
        <v>5164</v>
      </c>
      <c r="K3224" s="40">
        <v>1</v>
      </c>
      <c r="L3224" s="235">
        <v>18</v>
      </c>
      <c r="M3224" s="35">
        <v>0</v>
      </c>
      <c r="N3224" s="35">
        <v>0</v>
      </c>
      <c r="O3224" s="35">
        <v>0</v>
      </c>
      <c r="P3224" s="35">
        <v>0</v>
      </c>
      <c r="Q3224" s="35">
        <v>0</v>
      </c>
      <c r="R3224" s="42">
        <v>0</v>
      </c>
      <c r="S3224" s="33" t="s">
        <v>1219</v>
      </c>
      <c r="T3224" s="257">
        <f t="shared" si="107"/>
        <v>19</v>
      </c>
      <c r="U3224" s="257">
        <f t="shared" si="108"/>
        <v>0</v>
      </c>
      <c r="V3224">
        <v>1</v>
      </c>
      <c r="W3224">
        <v>0</v>
      </c>
    </row>
    <row r="3225" spans="1:23" ht="45.6" x14ac:dyDescent="0.3">
      <c r="A3225" s="232">
        <v>43466</v>
      </c>
      <c r="B3225" s="232">
        <v>43830</v>
      </c>
      <c r="C3225" s="6">
        <v>1</v>
      </c>
      <c r="D3225" s="6">
        <v>365</v>
      </c>
      <c r="E3225" s="19">
        <v>2019</v>
      </c>
      <c r="F3225" s="15" t="s">
        <v>22</v>
      </c>
      <c r="G3225" s="9" t="s">
        <v>6258</v>
      </c>
      <c r="H3225" s="9" t="s">
        <v>28</v>
      </c>
      <c r="I3225" s="20" t="s">
        <v>1109</v>
      </c>
      <c r="J3225" s="152" t="s">
        <v>5165</v>
      </c>
      <c r="K3225" s="40">
        <v>2</v>
      </c>
      <c r="L3225" s="235">
        <v>16</v>
      </c>
      <c r="M3225" s="35">
        <v>0</v>
      </c>
      <c r="N3225" s="35">
        <v>0</v>
      </c>
      <c r="O3225" s="35">
        <v>0</v>
      </c>
      <c r="P3225" s="35">
        <v>0</v>
      </c>
      <c r="Q3225" s="35">
        <v>0</v>
      </c>
      <c r="R3225" s="42">
        <v>0</v>
      </c>
      <c r="S3225" s="33" t="s">
        <v>1219</v>
      </c>
      <c r="T3225" s="257">
        <f t="shared" si="107"/>
        <v>18</v>
      </c>
      <c r="U3225" s="257">
        <f t="shared" si="108"/>
        <v>0</v>
      </c>
      <c r="V3225">
        <v>1</v>
      </c>
      <c r="W3225">
        <v>0</v>
      </c>
    </row>
    <row r="3226" spans="1:23" ht="34.200000000000003" x14ac:dyDescent="0.3">
      <c r="A3226" s="232">
        <v>43466</v>
      </c>
      <c r="B3226" s="232">
        <v>43830</v>
      </c>
      <c r="C3226" s="6">
        <v>1</v>
      </c>
      <c r="D3226" s="6">
        <v>365</v>
      </c>
      <c r="E3226" s="33">
        <v>2019</v>
      </c>
      <c r="F3226" s="15" t="s">
        <v>22</v>
      </c>
      <c r="G3226" s="9" t="s">
        <v>6258</v>
      </c>
      <c r="H3226" s="9" t="s">
        <v>52</v>
      </c>
      <c r="I3226" s="20" t="s">
        <v>1109</v>
      </c>
      <c r="J3226" s="152" t="s">
        <v>5166</v>
      </c>
      <c r="K3226" s="40">
        <v>1</v>
      </c>
      <c r="L3226" s="235">
        <v>12</v>
      </c>
      <c r="M3226" s="35">
        <v>0</v>
      </c>
      <c r="N3226" s="35">
        <v>0</v>
      </c>
      <c r="O3226" s="35">
        <v>0</v>
      </c>
      <c r="P3226" s="35">
        <v>0</v>
      </c>
      <c r="Q3226" s="35">
        <v>0</v>
      </c>
      <c r="R3226" s="42">
        <v>0</v>
      </c>
      <c r="S3226" s="33" t="s">
        <v>1219</v>
      </c>
      <c r="T3226" s="257">
        <f t="shared" si="107"/>
        <v>13</v>
      </c>
      <c r="U3226" s="257">
        <f t="shared" si="108"/>
        <v>0</v>
      </c>
      <c r="V3226">
        <v>1</v>
      </c>
      <c r="W3226">
        <v>0</v>
      </c>
    </row>
    <row r="3227" spans="1:23" ht="34.200000000000003" x14ac:dyDescent="0.3">
      <c r="A3227" s="232">
        <v>43466</v>
      </c>
      <c r="B3227" s="232">
        <v>43830</v>
      </c>
      <c r="C3227" s="6">
        <v>1</v>
      </c>
      <c r="D3227" s="6">
        <v>365</v>
      </c>
      <c r="E3227" s="19">
        <v>2019</v>
      </c>
      <c r="F3227" s="15" t="s">
        <v>22</v>
      </c>
      <c r="G3227" s="9" t="s">
        <v>6258</v>
      </c>
      <c r="H3227" s="9" t="s">
        <v>56</v>
      </c>
      <c r="I3227" s="20" t="s">
        <v>1109</v>
      </c>
      <c r="J3227" s="152" t="s">
        <v>5167</v>
      </c>
      <c r="K3227" s="40">
        <v>0</v>
      </c>
      <c r="L3227" s="235">
        <v>7</v>
      </c>
      <c r="M3227" s="35">
        <v>0</v>
      </c>
      <c r="N3227" s="35">
        <v>0</v>
      </c>
      <c r="O3227" s="35">
        <v>0</v>
      </c>
      <c r="P3227" s="35">
        <v>0</v>
      </c>
      <c r="Q3227" s="35">
        <v>0</v>
      </c>
      <c r="R3227" s="42">
        <v>0</v>
      </c>
      <c r="S3227" s="33" t="s">
        <v>1219</v>
      </c>
      <c r="T3227" s="257">
        <f t="shared" si="107"/>
        <v>7</v>
      </c>
      <c r="U3227" s="257">
        <f t="shared" si="108"/>
        <v>0</v>
      </c>
      <c r="V3227">
        <v>1</v>
      </c>
      <c r="W3227">
        <v>0</v>
      </c>
    </row>
    <row r="3228" spans="1:23" x14ac:dyDescent="0.3">
      <c r="A3228" s="232">
        <v>43466</v>
      </c>
      <c r="B3228" s="232">
        <v>43830</v>
      </c>
      <c r="C3228" s="6">
        <v>1</v>
      </c>
      <c r="D3228" s="6">
        <v>365</v>
      </c>
      <c r="E3228" s="33">
        <v>2019</v>
      </c>
      <c r="F3228" s="15" t="s">
        <v>22</v>
      </c>
      <c r="G3228" s="9" t="s">
        <v>6258</v>
      </c>
      <c r="H3228" s="9" t="s">
        <v>31</v>
      </c>
      <c r="I3228" s="20" t="s">
        <v>1109</v>
      </c>
      <c r="J3228" s="152" t="s">
        <v>5168</v>
      </c>
      <c r="K3228" s="40">
        <v>0</v>
      </c>
      <c r="L3228" s="235">
        <v>5</v>
      </c>
      <c r="M3228" s="35">
        <v>0</v>
      </c>
      <c r="N3228" s="35">
        <v>0</v>
      </c>
      <c r="O3228" s="35">
        <v>0</v>
      </c>
      <c r="P3228" s="35">
        <v>0</v>
      </c>
      <c r="Q3228" s="35">
        <v>0</v>
      </c>
      <c r="R3228" s="42">
        <v>0</v>
      </c>
      <c r="S3228" s="33" t="s">
        <v>1219</v>
      </c>
      <c r="T3228" s="257">
        <f t="shared" si="107"/>
        <v>5</v>
      </c>
      <c r="U3228" s="257">
        <f t="shared" si="108"/>
        <v>0</v>
      </c>
      <c r="V3228">
        <v>1</v>
      </c>
      <c r="W3228">
        <v>0</v>
      </c>
    </row>
    <row r="3229" spans="1:23" ht="22.8" x14ac:dyDescent="0.3">
      <c r="A3229" s="232">
        <v>43466</v>
      </c>
      <c r="B3229" s="232">
        <v>43830</v>
      </c>
      <c r="C3229" s="6">
        <v>1</v>
      </c>
      <c r="D3229" s="6">
        <v>365</v>
      </c>
      <c r="E3229" s="19">
        <v>2019</v>
      </c>
      <c r="F3229" s="15" t="s">
        <v>22</v>
      </c>
      <c r="G3229" s="9" t="s">
        <v>6258</v>
      </c>
      <c r="H3229" s="9" t="s">
        <v>57</v>
      </c>
      <c r="I3229" s="20" t="s">
        <v>1109</v>
      </c>
      <c r="J3229" s="152" t="s">
        <v>5169</v>
      </c>
      <c r="K3229" s="40">
        <v>3</v>
      </c>
      <c r="L3229" s="235">
        <v>7</v>
      </c>
      <c r="M3229" s="35">
        <v>0</v>
      </c>
      <c r="N3229" s="35">
        <v>0</v>
      </c>
      <c r="O3229" s="35">
        <v>0</v>
      </c>
      <c r="P3229" s="35">
        <v>0</v>
      </c>
      <c r="Q3229" s="35">
        <v>0</v>
      </c>
      <c r="R3229" s="42">
        <v>0</v>
      </c>
      <c r="S3229" s="33" t="s">
        <v>1219</v>
      </c>
      <c r="T3229" s="257">
        <f t="shared" si="107"/>
        <v>10</v>
      </c>
      <c r="U3229" s="257">
        <f t="shared" si="108"/>
        <v>0</v>
      </c>
      <c r="V3229">
        <v>1</v>
      </c>
      <c r="W3229">
        <v>0</v>
      </c>
    </row>
    <row r="3230" spans="1:23" ht="45.6" x14ac:dyDescent="0.3">
      <c r="A3230" s="211">
        <v>41078</v>
      </c>
      <c r="B3230" s="211">
        <v>41078</v>
      </c>
      <c r="C3230" s="6">
        <v>6</v>
      </c>
      <c r="D3230" s="6">
        <v>1</v>
      </c>
      <c r="E3230" s="19">
        <v>2012</v>
      </c>
      <c r="F3230" s="15" t="s">
        <v>22</v>
      </c>
      <c r="G3230" s="18" t="s">
        <v>6256</v>
      </c>
      <c r="H3230" s="9" t="s">
        <v>48</v>
      </c>
      <c r="I3230" s="20" t="s">
        <v>4989</v>
      </c>
      <c r="J3230" s="21" t="s">
        <v>5170</v>
      </c>
      <c r="K3230" s="43">
        <v>2</v>
      </c>
      <c r="L3230" s="234">
        <v>2</v>
      </c>
      <c r="M3230" s="23">
        <v>0</v>
      </c>
      <c r="N3230" s="23">
        <v>0</v>
      </c>
      <c r="O3230" s="23">
        <v>0</v>
      </c>
      <c r="P3230" s="23">
        <v>0</v>
      </c>
      <c r="Q3230" s="23">
        <v>0</v>
      </c>
      <c r="R3230" s="24">
        <v>0</v>
      </c>
      <c r="S3230" s="6" t="s">
        <v>115</v>
      </c>
      <c r="T3230" s="257">
        <f t="shared" si="107"/>
        <v>4</v>
      </c>
      <c r="U3230" s="257">
        <f t="shared" si="108"/>
        <v>0</v>
      </c>
      <c r="V3230">
        <v>1</v>
      </c>
      <c r="W3230">
        <v>0</v>
      </c>
    </row>
    <row r="3231" spans="1:23" ht="34.200000000000003" x14ac:dyDescent="0.3">
      <c r="A3231" s="232">
        <v>43466</v>
      </c>
      <c r="B3231" s="232">
        <v>43830</v>
      </c>
      <c r="C3231" s="6">
        <v>1</v>
      </c>
      <c r="D3231" s="6">
        <v>365</v>
      </c>
      <c r="E3231" s="19">
        <v>2019</v>
      </c>
      <c r="F3231" s="15" t="s">
        <v>22</v>
      </c>
      <c r="G3231" s="9" t="s">
        <v>6258</v>
      </c>
      <c r="H3231" s="9" t="s">
        <v>121</v>
      </c>
      <c r="I3231" s="20" t="s">
        <v>1109</v>
      </c>
      <c r="J3231" s="152" t="s">
        <v>5171</v>
      </c>
      <c r="K3231" s="40">
        <v>0</v>
      </c>
      <c r="L3231" s="235">
        <v>3</v>
      </c>
      <c r="M3231" s="35">
        <v>0</v>
      </c>
      <c r="N3231" s="35">
        <v>0</v>
      </c>
      <c r="O3231" s="35">
        <v>0</v>
      </c>
      <c r="P3231" s="35">
        <v>0</v>
      </c>
      <c r="Q3231" s="35">
        <v>0</v>
      </c>
      <c r="R3231" s="42">
        <v>0</v>
      </c>
      <c r="S3231" s="33" t="s">
        <v>1219</v>
      </c>
      <c r="T3231" s="257">
        <f t="shared" si="107"/>
        <v>3</v>
      </c>
      <c r="U3231" s="257">
        <f t="shared" si="108"/>
        <v>0</v>
      </c>
      <c r="V3231">
        <v>1</v>
      </c>
      <c r="W3231">
        <v>0</v>
      </c>
    </row>
    <row r="3232" spans="1:23" ht="34.200000000000003" x14ac:dyDescent="0.3">
      <c r="A3232" s="232">
        <v>43466</v>
      </c>
      <c r="B3232" s="232">
        <v>43830</v>
      </c>
      <c r="C3232" s="6">
        <v>1</v>
      </c>
      <c r="D3232" s="6">
        <v>365</v>
      </c>
      <c r="E3232" s="33">
        <v>2019</v>
      </c>
      <c r="F3232" s="15" t="s">
        <v>22</v>
      </c>
      <c r="G3232" s="9" t="s">
        <v>6258</v>
      </c>
      <c r="H3232" s="9" t="s">
        <v>46</v>
      </c>
      <c r="I3232" s="20" t="s">
        <v>1109</v>
      </c>
      <c r="J3232" s="152" t="s">
        <v>5172</v>
      </c>
      <c r="K3232" s="40">
        <v>0</v>
      </c>
      <c r="L3232" s="235">
        <v>3</v>
      </c>
      <c r="M3232" s="35">
        <v>0</v>
      </c>
      <c r="N3232" s="35">
        <v>0</v>
      </c>
      <c r="O3232" s="35">
        <v>0</v>
      </c>
      <c r="P3232" s="35">
        <v>0</v>
      </c>
      <c r="Q3232" s="35">
        <v>0</v>
      </c>
      <c r="R3232" s="42">
        <v>0</v>
      </c>
      <c r="S3232" s="33" t="s">
        <v>1219</v>
      </c>
      <c r="T3232" s="257">
        <f t="shared" si="107"/>
        <v>3</v>
      </c>
      <c r="U3232" s="257">
        <f t="shared" si="108"/>
        <v>0</v>
      </c>
      <c r="V3232">
        <v>1</v>
      </c>
      <c r="W3232">
        <v>0</v>
      </c>
    </row>
    <row r="3233" spans="1:23" ht="34.200000000000003" x14ac:dyDescent="0.3">
      <c r="A3233" s="232">
        <v>43466</v>
      </c>
      <c r="B3233" s="232">
        <v>43830</v>
      </c>
      <c r="C3233" s="6">
        <v>1</v>
      </c>
      <c r="D3233" s="6">
        <v>365</v>
      </c>
      <c r="E3233" s="19">
        <v>2019</v>
      </c>
      <c r="F3233" s="15" t="s">
        <v>22</v>
      </c>
      <c r="G3233" s="9" t="s">
        <v>6258</v>
      </c>
      <c r="H3233" s="9" t="s">
        <v>112</v>
      </c>
      <c r="I3233" s="20" t="s">
        <v>1109</v>
      </c>
      <c r="J3233" s="152" t="s">
        <v>5173</v>
      </c>
      <c r="K3233" s="40">
        <v>0</v>
      </c>
      <c r="L3233" s="235">
        <v>3</v>
      </c>
      <c r="M3233" s="35">
        <v>0</v>
      </c>
      <c r="N3233" s="35">
        <v>0</v>
      </c>
      <c r="O3233" s="35">
        <v>0</v>
      </c>
      <c r="P3233" s="35">
        <v>0</v>
      </c>
      <c r="Q3233" s="35">
        <v>0</v>
      </c>
      <c r="R3233" s="42">
        <v>0</v>
      </c>
      <c r="S3233" s="33" t="s">
        <v>1219</v>
      </c>
      <c r="T3233" s="257">
        <f t="shared" si="107"/>
        <v>3</v>
      </c>
      <c r="U3233" s="257">
        <f t="shared" si="108"/>
        <v>0</v>
      </c>
      <c r="V3233">
        <v>1</v>
      </c>
      <c r="W3233">
        <v>0</v>
      </c>
    </row>
    <row r="3234" spans="1:23" x14ac:dyDescent="0.3">
      <c r="A3234" s="232">
        <v>43466</v>
      </c>
      <c r="B3234" s="232">
        <v>43830</v>
      </c>
      <c r="C3234" s="6">
        <v>1</v>
      </c>
      <c r="D3234" s="6">
        <v>365</v>
      </c>
      <c r="E3234" s="33">
        <v>2019</v>
      </c>
      <c r="F3234" s="15" t="s">
        <v>22</v>
      </c>
      <c r="G3234" s="9" t="s">
        <v>6258</v>
      </c>
      <c r="H3234" s="9" t="s">
        <v>118</v>
      </c>
      <c r="I3234" s="20" t="s">
        <v>1109</v>
      </c>
      <c r="J3234" s="152" t="s">
        <v>5174</v>
      </c>
      <c r="K3234" s="40">
        <v>0</v>
      </c>
      <c r="L3234" s="235">
        <v>1</v>
      </c>
      <c r="M3234" s="35">
        <v>0</v>
      </c>
      <c r="N3234" s="35">
        <v>0</v>
      </c>
      <c r="O3234" s="35">
        <v>0</v>
      </c>
      <c r="P3234" s="35">
        <v>0</v>
      </c>
      <c r="Q3234" s="35">
        <v>0</v>
      </c>
      <c r="R3234" s="42">
        <v>0</v>
      </c>
      <c r="S3234" s="33" t="s">
        <v>1219</v>
      </c>
      <c r="T3234" s="257">
        <f t="shared" si="107"/>
        <v>1</v>
      </c>
      <c r="U3234" s="257">
        <f t="shared" si="108"/>
        <v>0</v>
      </c>
      <c r="V3234">
        <v>1</v>
      </c>
      <c r="W3234">
        <v>0</v>
      </c>
    </row>
    <row r="3235" spans="1:23" x14ac:dyDescent="0.3">
      <c r="A3235" s="232">
        <v>43466</v>
      </c>
      <c r="B3235" s="232">
        <v>43830</v>
      </c>
      <c r="C3235" s="6">
        <v>1</v>
      </c>
      <c r="D3235" s="6">
        <v>365</v>
      </c>
      <c r="E3235" s="19">
        <v>2019</v>
      </c>
      <c r="F3235" s="15" t="s">
        <v>22</v>
      </c>
      <c r="G3235" s="9" t="s">
        <v>6258</v>
      </c>
      <c r="H3235" s="9" t="s">
        <v>84</v>
      </c>
      <c r="I3235" s="20" t="s">
        <v>1109</v>
      </c>
      <c r="J3235" s="152" t="s">
        <v>5174</v>
      </c>
      <c r="K3235" s="40">
        <v>0</v>
      </c>
      <c r="L3235" s="235">
        <v>1</v>
      </c>
      <c r="M3235" s="35">
        <v>0</v>
      </c>
      <c r="N3235" s="35">
        <v>0</v>
      </c>
      <c r="O3235" s="35">
        <v>0</v>
      </c>
      <c r="P3235" s="35">
        <v>0</v>
      </c>
      <c r="Q3235" s="35">
        <v>0</v>
      </c>
      <c r="R3235" s="42">
        <v>0</v>
      </c>
      <c r="S3235" s="33" t="s">
        <v>1219</v>
      </c>
      <c r="T3235" s="257">
        <f t="shared" si="107"/>
        <v>1</v>
      </c>
      <c r="U3235" s="257">
        <f t="shared" si="108"/>
        <v>0</v>
      </c>
      <c r="V3235">
        <v>1</v>
      </c>
      <c r="W3235">
        <v>0</v>
      </c>
    </row>
    <row r="3236" spans="1:23" ht="22.8" x14ac:dyDescent="0.3">
      <c r="A3236" s="232">
        <v>43466</v>
      </c>
      <c r="B3236" s="232">
        <v>43830</v>
      </c>
      <c r="C3236" s="6">
        <v>1</v>
      </c>
      <c r="D3236" s="6">
        <v>365</v>
      </c>
      <c r="E3236" s="33">
        <v>2019</v>
      </c>
      <c r="F3236" s="15" t="s">
        <v>22</v>
      </c>
      <c r="G3236" s="9" t="s">
        <v>6258</v>
      </c>
      <c r="H3236" s="9" t="s">
        <v>64</v>
      </c>
      <c r="I3236" s="20" t="s">
        <v>1109</v>
      </c>
      <c r="J3236" s="152" t="s">
        <v>5175</v>
      </c>
      <c r="K3236" s="40">
        <v>0</v>
      </c>
      <c r="L3236" s="235">
        <v>1</v>
      </c>
      <c r="M3236" s="35">
        <v>0</v>
      </c>
      <c r="N3236" s="35">
        <v>0</v>
      </c>
      <c r="O3236" s="35">
        <v>0</v>
      </c>
      <c r="P3236" s="35">
        <v>0</v>
      </c>
      <c r="Q3236" s="35">
        <v>0</v>
      </c>
      <c r="R3236" s="42">
        <v>0</v>
      </c>
      <c r="S3236" s="33" t="s">
        <v>1219</v>
      </c>
      <c r="T3236" s="257">
        <f t="shared" si="107"/>
        <v>1</v>
      </c>
      <c r="U3236" s="257">
        <f t="shared" si="108"/>
        <v>0</v>
      </c>
      <c r="V3236">
        <v>1</v>
      </c>
      <c r="W3236">
        <v>0</v>
      </c>
    </row>
    <row r="3237" spans="1:23" ht="22.8" x14ac:dyDescent="0.3">
      <c r="A3237" s="232">
        <v>43466</v>
      </c>
      <c r="B3237" s="232">
        <v>43830</v>
      </c>
      <c r="C3237" s="6">
        <v>1</v>
      </c>
      <c r="D3237" s="6">
        <v>365</v>
      </c>
      <c r="E3237" s="19">
        <v>2019</v>
      </c>
      <c r="F3237" s="15" t="s">
        <v>22</v>
      </c>
      <c r="G3237" s="9" t="s">
        <v>6258</v>
      </c>
      <c r="H3237" s="9" t="s">
        <v>55</v>
      </c>
      <c r="I3237" s="20" t="s">
        <v>1109</v>
      </c>
      <c r="J3237" s="152" t="s">
        <v>5175</v>
      </c>
      <c r="K3237" s="40">
        <v>0</v>
      </c>
      <c r="L3237" s="235">
        <v>1</v>
      </c>
      <c r="M3237" s="35">
        <v>0</v>
      </c>
      <c r="N3237" s="35">
        <v>0</v>
      </c>
      <c r="O3237" s="35">
        <v>0</v>
      </c>
      <c r="P3237" s="35">
        <v>0</v>
      </c>
      <c r="Q3237" s="35">
        <v>0</v>
      </c>
      <c r="R3237" s="42">
        <v>0</v>
      </c>
      <c r="S3237" s="33" t="s">
        <v>1219</v>
      </c>
      <c r="T3237" s="257">
        <f t="shared" si="107"/>
        <v>1</v>
      </c>
      <c r="U3237" s="257">
        <f t="shared" si="108"/>
        <v>0</v>
      </c>
      <c r="V3237">
        <v>1</v>
      </c>
      <c r="W3237">
        <v>0</v>
      </c>
    </row>
    <row r="3238" spans="1:23" ht="22.8" x14ac:dyDescent="0.3">
      <c r="A3238" s="232">
        <v>43466</v>
      </c>
      <c r="B3238" s="232">
        <v>43830</v>
      </c>
      <c r="C3238" s="6">
        <v>1</v>
      </c>
      <c r="D3238" s="6">
        <v>365</v>
      </c>
      <c r="E3238" s="33">
        <v>2019</v>
      </c>
      <c r="F3238" s="15" t="s">
        <v>22</v>
      </c>
      <c r="G3238" s="9" t="s">
        <v>6258</v>
      </c>
      <c r="H3238" s="9" t="s">
        <v>37</v>
      </c>
      <c r="I3238" s="20" t="s">
        <v>1109</v>
      </c>
      <c r="J3238" s="152" t="s">
        <v>5176</v>
      </c>
      <c r="K3238" s="40">
        <v>1</v>
      </c>
      <c r="L3238" s="235">
        <v>1</v>
      </c>
      <c r="M3238" s="35">
        <v>0</v>
      </c>
      <c r="N3238" s="35">
        <v>0</v>
      </c>
      <c r="O3238" s="35">
        <v>0</v>
      </c>
      <c r="P3238" s="35">
        <v>0</v>
      </c>
      <c r="Q3238" s="35">
        <v>0</v>
      </c>
      <c r="R3238" s="42">
        <v>0</v>
      </c>
      <c r="S3238" s="33" t="s">
        <v>1219</v>
      </c>
      <c r="T3238" s="257">
        <f t="shared" si="107"/>
        <v>2</v>
      </c>
      <c r="U3238" s="257">
        <f t="shared" si="108"/>
        <v>0</v>
      </c>
      <c r="V3238">
        <v>1</v>
      </c>
      <c r="W3238">
        <v>0</v>
      </c>
    </row>
    <row r="3239" spans="1:23" ht="22.8" x14ac:dyDescent="0.3">
      <c r="A3239" s="232">
        <v>43466</v>
      </c>
      <c r="B3239" s="232">
        <v>43830</v>
      </c>
      <c r="C3239" s="6">
        <v>1</v>
      </c>
      <c r="D3239" s="6">
        <v>365</v>
      </c>
      <c r="E3239" s="19">
        <v>2019</v>
      </c>
      <c r="F3239" s="15" t="s">
        <v>22</v>
      </c>
      <c r="G3239" s="9" t="s">
        <v>6258</v>
      </c>
      <c r="H3239" s="9" t="s">
        <v>24</v>
      </c>
      <c r="I3239" s="20" t="s">
        <v>1109</v>
      </c>
      <c r="J3239" s="152" t="s">
        <v>5175</v>
      </c>
      <c r="K3239" s="40">
        <v>0</v>
      </c>
      <c r="L3239" s="235">
        <v>1</v>
      </c>
      <c r="M3239" s="35">
        <v>0</v>
      </c>
      <c r="N3239" s="35">
        <v>0</v>
      </c>
      <c r="O3239" s="35">
        <v>0</v>
      </c>
      <c r="P3239" s="35">
        <v>0</v>
      </c>
      <c r="Q3239" s="35">
        <v>0</v>
      </c>
      <c r="R3239" s="42">
        <v>0</v>
      </c>
      <c r="S3239" s="33" t="s">
        <v>1219</v>
      </c>
      <c r="T3239" s="257">
        <f t="shared" si="107"/>
        <v>1</v>
      </c>
      <c r="U3239" s="257">
        <f t="shared" si="108"/>
        <v>0</v>
      </c>
      <c r="V3239">
        <v>1</v>
      </c>
      <c r="W3239">
        <v>0</v>
      </c>
    </row>
    <row r="3240" spans="1:23" ht="22.8" x14ac:dyDescent="0.3">
      <c r="A3240" s="214">
        <v>43830</v>
      </c>
      <c r="B3240" s="214">
        <v>43832</v>
      </c>
      <c r="C3240" s="6">
        <v>12</v>
      </c>
      <c r="D3240" s="6">
        <v>3</v>
      </c>
      <c r="E3240" s="33">
        <v>2020</v>
      </c>
      <c r="F3240" s="15" t="s">
        <v>22</v>
      </c>
      <c r="G3240" s="18" t="s">
        <v>6255</v>
      </c>
      <c r="H3240" s="9" t="s">
        <v>41</v>
      </c>
      <c r="I3240" s="152" t="s">
        <v>25</v>
      </c>
      <c r="J3240" s="53" t="s">
        <v>5177</v>
      </c>
      <c r="K3240" s="33">
        <v>0</v>
      </c>
      <c r="L3240" s="235">
        <v>1180</v>
      </c>
      <c r="M3240" s="35">
        <v>0</v>
      </c>
      <c r="N3240" s="35">
        <v>0</v>
      </c>
      <c r="O3240" s="35">
        <v>0</v>
      </c>
      <c r="P3240" s="35">
        <v>0</v>
      </c>
      <c r="Q3240" s="41">
        <v>0</v>
      </c>
      <c r="R3240" s="42">
        <v>14.285515326000001</v>
      </c>
      <c r="S3240" s="33" t="s">
        <v>131</v>
      </c>
      <c r="T3240" s="257">
        <f t="shared" si="107"/>
        <v>1180</v>
      </c>
      <c r="U3240" s="257">
        <f t="shared" si="108"/>
        <v>0</v>
      </c>
      <c r="V3240">
        <v>1</v>
      </c>
      <c r="W3240">
        <v>0</v>
      </c>
    </row>
    <row r="3241" spans="1:23" ht="22.8" x14ac:dyDescent="0.3">
      <c r="A3241" s="232">
        <v>43831</v>
      </c>
      <c r="B3241" s="232">
        <v>44196</v>
      </c>
      <c r="C3241" s="6">
        <v>1</v>
      </c>
      <c r="D3241" s="6">
        <v>366</v>
      </c>
      <c r="E3241" s="33">
        <v>2020</v>
      </c>
      <c r="F3241" s="15" t="s">
        <v>22</v>
      </c>
      <c r="G3241" s="18" t="s">
        <v>6255</v>
      </c>
      <c r="H3241" s="9" t="s">
        <v>27</v>
      </c>
      <c r="I3241" s="152" t="s">
        <v>25</v>
      </c>
      <c r="J3241" s="152" t="s">
        <v>5178</v>
      </c>
      <c r="K3241" s="177">
        <v>0</v>
      </c>
      <c r="L3241" s="235">
        <v>6</v>
      </c>
      <c r="M3241" s="35">
        <v>0</v>
      </c>
      <c r="N3241" s="35">
        <v>0</v>
      </c>
      <c r="O3241" s="35">
        <v>0</v>
      </c>
      <c r="P3241" s="35">
        <v>0</v>
      </c>
      <c r="Q3241" s="41">
        <v>0</v>
      </c>
      <c r="R3241" s="42">
        <v>0</v>
      </c>
      <c r="S3241" s="33" t="s">
        <v>1219</v>
      </c>
      <c r="T3241" s="257">
        <f t="shared" si="107"/>
        <v>6</v>
      </c>
      <c r="U3241" s="257">
        <f t="shared" si="108"/>
        <v>0</v>
      </c>
      <c r="V3241">
        <v>1</v>
      </c>
      <c r="W3241">
        <v>0</v>
      </c>
    </row>
    <row r="3242" spans="1:23" ht="45.6" x14ac:dyDescent="0.3">
      <c r="A3242" s="232">
        <v>43831</v>
      </c>
      <c r="B3242" s="232">
        <v>44196</v>
      </c>
      <c r="C3242" s="6">
        <v>1</v>
      </c>
      <c r="D3242" s="6">
        <v>366</v>
      </c>
      <c r="E3242" s="33">
        <v>2020</v>
      </c>
      <c r="F3242" s="15" t="s">
        <v>22</v>
      </c>
      <c r="G3242" s="18" t="s">
        <v>6255</v>
      </c>
      <c r="H3242" s="9" t="s">
        <v>34</v>
      </c>
      <c r="I3242" s="152" t="s">
        <v>25</v>
      </c>
      <c r="J3242" s="152" t="s">
        <v>5179</v>
      </c>
      <c r="K3242" s="33">
        <v>7</v>
      </c>
      <c r="L3242" s="235">
        <v>79</v>
      </c>
      <c r="M3242" s="35">
        <v>0</v>
      </c>
      <c r="N3242" s="35">
        <v>0</v>
      </c>
      <c r="O3242" s="35">
        <v>0</v>
      </c>
      <c r="P3242" s="35">
        <v>0</v>
      </c>
      <c r="Q3242" s="41">
        <v>0</v>
      </c>
      <c r="R3242" s="42">
        <v>0</v>
      </c>
      <c r="S3242" s="33" t="s">
        <v>1219</v>
      </c>
      <c r="T3242" s="257">
        <f t="shared" si="107"/>
        <v>86</v>
      </c>
      <c r="U3242" s="257">
        <f t="shared" si="108"/>
        <v>0</v>
      </c>
      <c r="V3242">
        <v>1</v>
      </c>
      <c r="W3242">
        <v>0</v>
      </c>
    </row>
    <row r="3243" spans="1:23" ht="45.6" x14ac:dyDescent="0.3">
      <c r="A3243" s="232">
        <v>43831</v>
      </c>
      <c r="B3243" s="232">
        <v>44196</v>
      </c>
      <c r="C3243" s="6">
        <v>1</v>
      </c>
      <c r="D3243" s="6">
        <v>366</v>
      </c>
      <c r="E3243" s="33">
        <v>2020</v>
      </c>
      <c r="F3243" s="15" t="s">
        <v>22</v>
      </c>
      <c r="G3243" s="18" t="s">
        <v>6255</v>
      </c>
      <c r="H3243" s="9" t="s">
        <v>74</v>
      </c>
      <c r="I3243" s="152" t="s">
        <v>25</v>
      </c>
      <c r="J3243" s="152" t="s">
        <v>5180</v>
      </c>
      <c r="K3243" s="33">
        <v>8</v>
      </c>
      <c r="L3243" s="235">
        <v>68</v>
      </c>
      <c r="M3243" s="35">
        <v>0</v>
      </c>
      <c r="N3243" s="35">
        <v>0</v>
      </c>
      <c r="O3243" s="35">
        <v>0</v>
      </c>
      <c r="P3243" s="35">
        <v>0</v>
      </c>
      <c r="Q3243" s="41">
        <v>0</v>
      </c>
      <c r="R3243" s="42">
        <v>0</v>
      </c>
      <c r="S3243" s="33" t="s">
        <v>1219</v>
      </c>
      <c r="T3243" s="257">
        <f t="shared" si="107"/>
        <v>76</v>
      </c>
      <c r="U3243" s="257">
        <f t="shared" si="108"/>
        <v>0</v>
      </c>
      <c r="V3243">
        <v>1</v>
      </c>
      <c r="W3243">
        <v>0</v>
      </c>
    </row>
    <row r="3244" spans="1:23" x14ac:dyDescent="0.3">
      <c r="A3244" s="232">
        <v>43831</v>
      </c>
      <c r="B3244" s="232">
        <v>44196</v>
      </c>
      <c r="C3244" s="6">
        <v>1</v>
      </c>
      <c r="D3244" s="6">
        <v>366</v>
      </c>
      <c r="E3244" s="33">
        <v>2020</v>
      </c>
      <c r="F3244" s="15" t="s">
        <v>22</v>
      </c>
      <c r="G3244" s="18" t="s">
        <v>6255</v>
      </c>
      <c r="H3244" s="9" t="s">
        <v>41</v>
      </c>
      <c r="I3244" s="152" t="s">
        <v>25</v>
      </c>
      <c r="J3244" s="152" t="s">
        <v>5181</v>
      </c>
      <c r="K3244" s="33">
        <v>0</v>
      </c>
      <c r="L3244" s="235">
        <v>3</v>
      </c>
      <c r="M3244" s="35">
        <v>0</v>
      </c>
      <c r="N3244" s="35">
        <v>0</v>
      </c>
      <c r="O3244" s="35">
        <v>0</v>
      </c>
      <c r="P3244" s="35">
        <v>0</v>
      </c>
      <c r="Q3244" s="41">
        <v>0</v>
      </c>
      <c r="R3244" s="42">
        <v>0</v>
      </c>
      <c r="S3244" s="33" t="s">
        <v>1219</v>
      </c>
      <c r="T3244" s="257">
        <f t="shared" si="107"/>
        <v>3</v>
      </c>
      <c r="U3244" s="257">
        <f t="shared" si="108"/>
        <v>0</v>
      </c>
      <c r="V3244">
        <v>1</v>
      </c>
      <c r="W3244">
        <v>0</v>
      </c>
    </row>
    <row r="3245" spans="1:23" x14ac:dyDescent="0.3">
      <c r="A3245" s="232">
        <v>43831</v>
      </c>
      <c r="B3245" s="232">
        <v>44196</v>
      </c>
      <c r="C3245" s="6">
        <v>1</v>
      </c>
      <c r="D3245" s="6">
        <v>366</v>
      </c>
      <c r="E3245" s="33">
        <v>2020</v>
      </c>
      <c r="F3245" s="15" t="s">
        <v>22</v>
      </c>
      <c r="G3245" s="18" t="s">
        <v>6255</v>
      </c>
      <c r="H3245" s="9" t="s">
        <v>78</v>
      </c>
      <c r="I3245" s="152" t="s">
        <v>25</v>
      </c>
      <c r="J3245" s="152" t="s">
        <v>5182</v>
      </c>
      <c r="K3245" s="33">
        <v>0</v>
      </c>
      <c r="L3245" s="235">
        <v>2</v>
      </c>
      <c r="M3245" s="35">
        <v>0</v>
      </c>
      <c r="N3245" s="35">
        <v>0</v>
      </c>
      <c r="O3245" s="35">
        <v>0</v>
      </c>
      <c r="P3245" s="35">
        <v>0</v>
      </c>
      <c r="Q3245" s="41">
        <v>0</v>
      </c>
      <c r="R3245" s="42">
        <v>0</v>
      </c>
      <c r="S3245" s="33" t="s">
        <v>1219</v>
      </c>
      <c r="T3245" s="257">
        <f t="shared" si="107"/>
        <v>2</v>
      </c>
      <c r="U3245" s="257">
        <f t="shared" si="108"/>
        <v>0</v>
      </c>
      <c r="V3245">
        <v>1</v>
      </c>
      <c r="W3245">
        <v>0</v>
      </c>
    </row>
    <row r="3246" spans="1:23" ht="22.8" x14ac:dyDescent="0.3">
      <c r="A3246" s="232">
        <v>43831</v>
      </c>
      <c r="B3246" s="232">
        <v>44196</v>
      </c>
      <c r="C3246" s="6">
        <v>1</v>
      </c>
      <c r="D3246" s="6">
        <v>366</v>
      </c>
      <c r="E3246" s="33">
        <v>2020</v>
      </c>
      <c r="F3246" s="15" t="s">
        <v>22</v>
      </c>
      <c r="G3246" s="18" t="s">
        <v>6255</v>
      </c>
      <c r="H3246" s="9" t="s">
        <v>121</v>
      </c>
      <c r="I3246" s="152" t="s">
        <v>25</v>
      </c>
      <c r="J3246" s="152" t="s">
        <v>5183</v>
      </c>
      <c r="K3246" s="33">
        <v>1</v>
      </c>
      <c r="L3246" s="235">
        <v>5</v>
      </c>
      <c r="M3246" s="35">
        <v>0</v>
      </c>
      <c r="N3246" s="35">
        <v>0</v>
      </c>
      <c r="O3246" s="35">
        <v>0</v>
      </c>
      <c r="P3246" s="35">
        <v>0</v>
      </c>
      <c r="Q3246" s="41">
        <v>0</v>
      </c>
      <c r="R3246" s="42">
        <v>0</v>
      </c>
      <c r="S3246" s="33" t="s">
        <v>1219</v>
      </c>
      <c r="T3246" s="257">
        <f t="shared" si="107"/>
        <v>6</v>
      </c>
      <c r="U3246" s="257">
        <f t="shared" si="108"/>
        <v>0</v>
      </c>
      <c r="V3246">
        <v>1</v>
      </c>
      <c r="W3246">
        <v>0</v>
      </c>
    </row>
    <row r="3247" spans="1:23" ht="22.8" x14ac:dyDescent="0.3">
      <c r="A3247" s="232">
        <v>43831</v>
      </c>
      <c r="B3247" s="232">
        <v>44196</v>
      </c>
      <c r="C3247" s="6">
        <v>1</v>
      </c>
      <c r="D3247" s="6">
        <v>366</v>
      </c>
      <c r="E3247" s="33">
        <v>2020</v>
      </c>
      <c r="F3247" s="15" t="s">
        <v>22</v>
      </c>
      <c r="G3247" s="18" t="s">
        <v>6255</v>
      </c>
      <c r="H3247" s="9" t="s">
        <v>88</v>
      </c>
      <c r="I3247" s="152" t="s">
        <v>25</v>
      </c>
      <c r="J3247" s="152" t="s">
        <v>5184</v>
      </c>
      <c r="K3247" s="33">
        <v>0</v>
      </c>
      <c r="L3247" s="235">
        <v>3</v>
      </c>
      <c r="M3247" s="35">
        <v>0</v>
      </c>
      <c r="N3247" s="35">
        <v>0</v>
      </c>
      <c r="O3247" s="35">
        <v>0</v>
      </c>
      <c r="P3247" s="35">
        <v>0</v>
      </c>
      <c r="Q3247" s="41">
        <v>0</v>
      </c>
      <c r="R3247" s="42">
        <v>0</v>
      </c>
      <c r="S3247" s="33" t="s">
        <v>1219</v>
      </c>
      <c r="T3247" s="257">
        <f t="shared" si="107"/>
        <v>3</v>
      </c>
      <c r="U3247" s="257">
        <f t="shared" si="108"/>
        <v>0</v>
      </c>
      <c r="V3247">
        <v>1</v>
      </c>
      <c r="W3247">
        <v>0</v>
      </c>
    </row>
    <row r="3248" spans="1:23" x14ac:dyDescent="0.3">
      <c r="A3248" s="232">
        <v>43831</v>
      </c>
      <c r="B3248" s="232">
        <v>44196</v>
      </c>
      <c r="C3248" s="6">
        <v>1</v>
      </c>
      <c r="D3248" s="6">
        <v>366</v>
      </c>
      <c r="E3248" s="33">
        <v>2020</v>
      </c>
      <c r="F3248" s="15" t="s">
        <v>22</v>
      </c>
      <c r="G3248" s="18" t="s">
        <v>6255</v>
      </c>
      <c r="H3248" s="9" t="s">
        <v>61</v>
      </c>
      <c r="I3248" s="152" t="s">
        <v>25</v>
      </c>
      <c r="J3248" s="152" t="s">
        <v>5185</v>
      </c>
      <c r="K3248" s="33">
        <v>0</v>
      </c>
      <c r="L3248" s="235">
        <v>2</v>
      </c>
      <c r="M3248" s="35">
        <v>0</v>
      </c>
      <c r="N3248" s="35">
        <v>0</v>
      </c>
      <c r="O3248" s="35">
        <v>0</v>
      </c>
      <c r="P3248" s="35">
        <v>0</v>
      </c>
      <c r="Q3248" s="41">
        <v>0</v>
      </c>
      <c r="R3248" s="42">
        <v>0</v>
      </c>
      <c r="S3248" s="33" t="s">
        <v>1219</v>
      </c>
      <c r="T3248" s="257">
        <f t="shared" si="107"/>
        <v>2</v>
      </c>
      <c r="U3248" s="257">
        <f t="shared" si="108"/>
        <v>0</v>
      </c>
      <c r="V3248">
        <v>1</v>
      </c>
      <c r="W3248">
        <v>0</v>
      </c>
    </row>
    <row r="3249" spans="1:23" ht="22.8" x14ac:dyDescent="0.3">
      <c r="A3249" s="232">
        <v>43831</v>
      </c>
      <c r="B3249" s="232">
        <v>44196</v>
      </c>
      <c r="C3249" s="6">
        <v>1</v>
      </c>
      <c r="D3249" s="6">
        <v>366</v>
      </c>
      <c r="E3249" s="33">
        <v>2020</v>
      </c>
      <c r="F3249" s="15" t="s">
        <v>22</v>
      </c>
      <c r="G3249" s="18" t="s">
        <v>6255</v>
      </c>
      <c r="H3249" s="9" t="s">
        <v>64</v>
      </c>
      <c r="I3249" s="152" t="s">
        <v>25</v>
      </c>
      <c r="J3249" s="152" t="s">
        <v>5186</v>
      </c>
      <c r="K3249" s="33">
        <v>3</v>
      </c>
      <c r="L3249" s="235">
        <v>23</v>
      </c>
      <c r="M3249" s="35">
        <v>0</v>
      </c>
      <c r="N3249" s="35">
        <v>0</v>
      </c>
      <c r="O3249" s="35">
        <v>0</v>
      </c>
      <c r="P3249" s="35">
        <v>0</v>
      </c>
      <c r="Q3249" s="41">
        <v>0</v>
      </c>
      <c r="R3249" s="42">
        <v>0</v>
      </c>
      <c r="S3249" s="33" t="s">
        <v>1219</v>
      </c>
      <c r="T3249" s="257">
        <f t="shared" si="107"/>
        <v>26</v>
      </c>
      <c r="U3249" s="257">
        <f t="shared" si="108"/>
        <v>0</v>
      </c>
      <c r="V3249">
        <v>1</v>
      </c>
      <c r="W3249">
        <v>0</v>
      </c>
    </row>
    <row r="3250" spans="1:23" x14ac:dyDescent="0.3">
      <c r="A3250" s="232">
        <v>43831</v>
      </c>
      <c r="B3250" s="232">
        <v>44196</v>
      </c>
      <c r="C3250" s="6">
        <v>1</v>
      </c>
      <c r="D3250" s="6">
        <v>366</v>
      </c>
      <c r="E3250" s="33">
        <v>2020</v>
      </c>
      <c r="F3250" s="15" t="s">
        <v>22</v>
      </c>
      <c r="G3250" s="18" t="s">
        <v>6255</v>
      </c>
      <c r="H3250" s="9" t="s">
        <v>37</v>
      </c>
      <c r="I3250" s="152" t="s">
        <v>25</v>
      </c>
      <c r="J3250" s="152" t="s">
        <v>5187</v>
      </c>
      <c r="K3250" s="33">
        <v>0</v>
      </c>
      <c r="L3250" s="235">
        <v>1</v>
      </c>
      <c r="M3250" s="35">
        <v>0</v>
      </c>
      <c r="N3250" s="35">
        <v>0</v>
      </c>
      <c r="O3250" s="35">
        <v>0</v>
      </c>
      <c r="P3250" s="35">
        <v>0</v>
      </c>
      <c r="Q3250" s="41">
        <v>0</v>
      </c>
      <c r="R3250" s="42">
        <v>0</v>
      </c>
      <c r="S3250" s="33" t="s">
        <v>1219</v>
      </c>
      <c r="T3250" s="257">
        <f t="shared" si="107"/>
        <v>1</v>
      </c>
      <c r="U3250" s="257">
        <f t="shared" si="108"/>
        <v>0</v>
      </c>
      <c r="V3250">
        <v>1</v>
      </c>
      <c r="W3250">
        <v>0</v>
      </c>
    </row>
    <row r="3251" spans="1:23" ht="45.6" x14ac:dyDescent="0.3">
      <c r="A3251" s="232">
        <v>43831</v>
      </c>
      <c r="B3251" s="232">
        <v>44196</v>
      </c>
      <c r="C3251" s="6">
        <v>1</v>
      </c>
      <c r="D3251" s="6">
        <v>366</v>
      </c>
      <c r="E3251" s="33">
        <v>2020</v>
      </c>
      <c r="F3251" s="15" t="s">
        <v>22</v>
      </c>
      <c r="G3251" s="9" t="s">
        <v>6258</v>
      </c>
      <c r="H3251" s="9" t="s">
        <v>27</v>
      </c>
      <c r="I3251" s="152" t="s">
        <v>25</v>
      </c>
      <c r="J3251" s="152" t="s">
        <v>5188</v>
      </c>
      <c r="K3251" s="33">
        <v>12</v>
      </c>
      <c r="L3251" s="235">
        <v>57</v>
      </c>
      <c r="M3251" s="35">
        <v>0</v>
      </c>
      <c r="N3251" s="35">
        <v>0</v>
      </c>
      <c r="O3251" s="35">
        <v>0</v>
      </c>
      <c r="P3251" s="35">
        <v>0</v>
      </c>
      <c r="Q3251" s="41">
        <v>0</v>
      </c>
      <c r="R3251" s="42">
        <v>0</v>
      </c>
      <c r="S3251" s="33" t="s">
        <v>1219</v>
      </c>
      <c r="T3251" s="257">
        <f t="shared" si="107"/>
        <v>69</v>
      </c>
      <c r="U3251" s="257">
        <f t="shared" si="108"/>
        <v>0</v>
      </c>
      <c r="V3251">
        <v>1</v>
      </c>
      <c r="W3251">
        <v>0</v>
      </c>
    </row>
    <row r="3252" spans="1:23" ht="22.8" x14ac:dyDescent="0.3">
      <c r="A3252" s="232">
        <v>43831</v>
      </c>
      <c r="B3252" s="232">
        <v>44196</v>
      </c>
      <c r="C3252" s="6">
        <v>1</v>
      </c>
      <c r="D3252" s="6">
        <v>366</v>
      </c>
      <c r="E3252" s="33">
        <v>2020</v>
      </c>
      <c r="F3252" s="15" t="s">
        <v>22</v>
      </c>
      <c r="G3252" s="9" t="s">
        <v>6258</v>
      </c>
      <c r="H3252" s="9" t="s">
        <v>28</v>
      </c>
      <c r="I3252" s="152" t="s">
        <v>25</v>
      </c>
      <c r="J3252" s="152" t="s">
        <v>5189</v>
      </c>
      <c r="K3252" s="33">
        <v>0</v>
      </c>
      <c r="L3252" s="235">
        <v>3</v>
      </c>
      <c r="M3252" s="35">
        <v>0</v>
      </c>
      <c r="N3252" s="35">
        <v>0</v>
      </c>
      <c r="O3252" s="35">
        <v>0</v>
      </c>
      <c r="P3252" s="35">
        <v>0</v>
      </c>
      <c r="Q3252" s="41">
        <v>0</v>
      </c>
      <c r="R3252" s="42">
        <v>0</v>
      </c>
      <c r="S3252" s="33" t="s">
        <v>1219</v>
      </c>
      <c r="T3252" s="257">
        <f t="shared" si="107"/>
        <v>3</v>
      </c>
      <c r="U3252" s="257">
        <f t="shared" si="108"/>
        <v>0</v>
      </c>
      <c r="V3252">
        <v>1</v>
      </c>
      <c r="W3252">
        <v>0</v>
      </c>
    </row>
    <row r="3253" spans="1:23" x14ac:dyDescent="0.3">
      <c r="A3253" s="232">
        <v>43831</v>
      </c>
      <c r="B3253" s="232">
        <v>44196</v>
      </c>
      <c r="C3253" s="6">
        <v>1</v>
      </c>
      <c r="D3253" s="6">
        <v>366</v>
      </c>
      <c r="E3253" s="33">
        <v>2020</v>
      </c>
      <c r="F3253" s="15" t="s">
        <v>22</v>
      </c>
      <c r="G3253" s="9" t="s">
        <v>6258</v>
      </c>
      <c r="H3253" s="9" t="s">
        <v>112</v>
      </c>
      <c r="I3253" s="152" t="s">
        <v>25</v>
      </c>
      <c r="J3253" s="152" t="s">
        <v>5190</v>
      </c>
      <c r="K3253" s="33">
        <v>0</v>
      </c>
      <c r="L3253" s="235">
        <v>1</v>
      </c>
      <c r="M3253" s="35">
        <v>0</v>
      </c>
      <c r="N3253" s="35">
        <v>0</v>
      </c>
      <c r="O3253" s="35">
        <v>0</v>
      </c>
      <c r="P3253" s="35">
        <v>0</v>
      </c>
      <c r="Q3253" s="41">
        <v>0</v>
      </c>
      <c r="R3253" s="42">
        <v>0</v>
      </c>
      <c r="S3253" s="33" t="s">
        <v>1219</v>
      </c>
      <c r="T3253" s="257">
        <f t="shared" si="107"/>
        <v>1</v>
      </c>
      <c r="U3253" s="257">
        <f t="shared" si="108"/>
        <v>0</v>
      </c>
      <c r="V3253">
        <v>1</v>
      </c>
      <c r="W3253">
        <v>0</v>
      </c>
    </row>
    <row r="3254" spans="1:23" x14ac:dyDescent="0.3">
      <c r="A3254" s="232">
        <v>43831</v>
      </c>
      <c r="B3254" s="232">
        <v>44196</v>
      </c>
      <c r="C3254" s="6">
        <v>1</v>
      </c>
      <c r="D3254" s="6">
        <v>366</v>
      </c>
      <c r="E3254" s="33">
        <v>2020</v>
      </c>
      <c r="F3254" s="15" t="s">
        <v>22</v>
      </c>
      <c r="G3254" s="9" t="s">
        <v>6258</v>
      </c>
      <c r="H3254" s="9" t="s">
        <v>31</v>
      </c>
      <c r="I3254" s="152" t="s">
        <v>25</v>
      </c>
      <c r="J3254" s="152" t="s">
        <v>5190</v>
      </c>
      <c r="K3254" s="33">
        <v>0</v>
      </c>
      <c r="L3254" s="235">
        <v>1</v>
      </c>
      <c r="M3254" s="35">
        <v>0</v>
      </c>
      <c r="N3254" s="35">
        <v>0</v>
      </c>
      <c r="O3254" s="35">
        <v>0</v>
      </c>
      <c r="P3254" s="35">
        <v>0</v>
      </c>
      <c r="Q3254" s="41">
        <v>0</v>
      </c>
      <c r="R3254" s="42">
        <v>0</v>
      </c>
      <c r="S3254" s="33" t="s">
        <v>1219</v>
      </c>
      <c r="T3254" s="257">
        <f t="shared" si="107"/>
        <v>1</v>
      </c>
      <c r="U3254" s="257">
        <f t="shared" si="108"/>
        <v>0</v>
      </c>
      <c r="V3254">
        <v>1</v>
      </c>
      <c r="W3254">
        <v>0</v>
      </c>
    </row>
    <row r="3255" spans="1:23" ht="34.200000000000003" x14ac:dyDescent="0.3">
      <c r="A3255" s="232">
        <v>43831</v>
      </c>
      <c r="B3255" s="232">
        <v>44196</v>
      </c>
      <c r="C3255" s="6">
        <v>1</v>
      </c>
      <c r="D3255" s="6">
        <v>366</v>
      </c>
      <c r="E3255" s="33">
        <v>2020</v>
      </c>
      <c r="F3255" s="15" t="s">
        <v>22</v>
      </c>
      <c r="G3255" s="9" t="s">
        <v>6258</v>
      </c>
      <c r="H3255" s="9" t="s">
        <v>34</v>
      </c>
      <c r="I3255" s="152" t="s">
        <v>25</v>
      </c>
      <c r="J3255" s="152" t="s">
        <v>5191</v>
      </c>
      <c r="K3255" s="33">
        <v>4</v>
      </c>
      <c r="L3255" s="235">
        <v>19</v>
      </c>
      <c r="M3255" s="35">
        <v>0</v>
      </c>
      <c r="N3255" s="35">
        <v>0</v>
      </c>
      <c r="O3255" s="35">
        <v>0</v>
      </c>
      <c r="P3255" s="35">
        <v>0</v>
      </c>
      <c r="Q3255" s="41">
        <v>0</v>
      </c>
      <c r="R3255" s="42">
        <v>0</v>
      </c>
      <c r="S3255" s="33" t="s">
        <v>1219</v>
      </c>
      <c r="T3255" s="257">
        <f t="shared" si="107"/>
        <v>23</v>
      </c>
      <c r="U3255" s="257">
        <f t="shared" si="108"/>
        <v>0</v>
      </c>
      <c r="V3255">
        <v>1</v>
      </c>
      <c r="W3255">
        <v>0</v>
      </c>
    </row>
    <row r="3256" spans="1:23" x14ac:dyDescent="0.3">
      <c r="A3256" s="232">
        <v>43831</v>
      </c>
      <c r="B3256" s="232">
        <v>44196</v>
      </c>
      <c r="C3256" s="6">
        <v>1</v>
      </c>
      <c r="D3256" s="6">
        <v>366</v>
      </c>
      <c r="E3256" s="33">
        <v>2020</v>
      </c>
      <c r="F3256" s="15" t="s">
        <v>22</v>
      </c>
      <c r="G3256" s="9" t="s">
        <v>6258</v>
      </c>
      <c r="H3256" s="9" t="s">
        <v>37</v>
      </c>
      <c r="I3256" s="152" t="s">
        <v>25</v>
      </c>
      <c r="J3256" s="152" t="s">
        <v>5192</v>
      </c>
      <c r="K3256" s="33">
        <v>0</v>
      </c>
      <c r="L3256" s="235">
        <v>1</v>
      </c>
      <c r="M3256" s="35">
        <v>0</v>
      </c>
      <c r="N3256" s="35">
        <v>0</v>
      </c>
      <c r="O3256" s="35">
        <v>0</v>
      </c>
      <c r="P3256" s="35">
        <v>0</v>
      </c>
      <c r="Q3256" s="41">
        <v>0</v>
      </c>
      <c r="R3256" s="42">
        <v>0</v>
      </c>
      <c r="S3256" s="33" t="s">
        <v>1219</v>
      </c>
      <c r="T3256" s="257">
        <f t="shared" si="107"/>
        <v>1</v>
      </c>
      <c r="U3256" s="257">
        <f t="shared" si="108"/>
        <v>0</v>
      </c>
      <c r="V3256">
        <v>1</v>
      </c>
      <c r="W3256">
        <v>0</v>
      </c>
    </row>
    <row r="3257" spans="1:23" ht="22.8" x14ac:dyDescent="0.3">
      <c r="A3257" s="232">
        <v>43831</v>
      </c>
      <c r="B3257" s="232">
        <v>44196</v>
      </c>
      <c r="C3257" s="6">
        <v>1</v>
      </c>
      <c r="D3257" s="6">
        <v>366</v>
      </c>
      <c r="E3257" s="33">
        <v>2020</v>
      </c>
      <c r="F3257" s="15" t="s">
        <v>22</v>
      </c>
      <c r="G3257" s="9" t="s">
        <v>6258</v>
      </c>
      <c r="H3257" s="9" t="s">
        <v>51</v>
      </c>
      <c r="I3257" s="152" t="s">
        <v>25</v>
      </c>
      <c r="J3257" s="152" t="s">
        <v>5193</v>
      </c>
      <c r="K3257" s="33">
        <v>0</v>
      </c>
      <c r="L3257" s="235">
        <v>4</v>
      </c>
      <c r="M3257" s="35">
        <v>0</v>
      </c>
      <c r="N3257" s="35">
        <v>0</v>
      </c>
      <c r="O3257" s="35">
        <v>0</v>
      </c>
      <c r="P3257" s="35">
        <v>0</v>
      </c>
      <c r="Q3257" s="41">
        <v>0</v>
      </c>
      <c r="R3257" s="42">
        <v>0</v>
      </c>
      <c r="S3257" s="33" t="s">
        <v>1219</v>
      </c>
      <c r="T3257" s="257">
        <f t="shared" si="107"/>
        <v>4</v>
      </c>
      <c r="U3257" s="257">
        <f t="shared" si="108"/>
        <v>0</v>
      </c>
      <c r="V3257">
        <v>1</v>
      </c>
      <c r="W3257">
        <v>0</v>
      </c>
    </row>
    <row r="3258" spans="1:23" ht="34.200000000000003" x14ac:dyDescent="0.3">
      <c r="A3258" s="232">
        <v>43831</v>
      </c>
      <c r="B3258" s="232">
        <v>44196</v>
      </c>
      <c r="C3258" s="6">
        <v>1</v>
      </c>
      <c r="D3258" s="6">
        <v>366</v>
      </c>
      <c r="E3258" s="33">
        <v>2020</v>
      </c>
      <c r="F3258" s="15" t="s">
        <v>22</v>
      </c>
      <c r="G3258" s="9" t="s">
        <v>6258</v>
      </c>
      <c r="H3258" s="9" t="s">
        <v>56</v>
      </c>
      <c r="I3258" s="152" t="s">
        <v>25</v>
      </c>
      <c r="J3258" s="152" t="s">
        <v>5194</v>
      </c>
      <c r="K3258" s="33">
        <v>0</v>
      </c>
      <c r="L3258" s="235">
        <v>9</v>
      </c>
      <c r="M3258" s="35">
        <v>0</v>
      </c>
      <c r="N3258" s="35">
        <v>0</v>
      </c>
      <c r="O3258" s="35">
        <v>0</v>
      </c>
      <c r="P3258" s="35">
        <v>0</v>
      </c>
      <c r="Q3258" s="41">
        <v>0</v>
      </c>
      <c r="R3258" s="42">
        <v>0</v>
      </c>
      <c r="S3258" s="33" t="s">
        <v>1219</v>
      </c>
      <c r="T3258" s="257">
        <f t="shared" si="107"/>
        <v>9</v>
      </c>
      <c r="U3258" s="257">
        <f t="shared" si="108"/>
        <v>0</v>
      </c>
      <c r="V3258">
        <v>1</v>
      </c>
      <c r="W3258">
        <v>0</v>
      </c>
    </row>
    <row r="3259" spans="1:23" x14ac:dyDescent="0.3">
      <c r="A3259" s="232">
        <v>43831</v>
      </c>
      <c r="B3259" s="232">
        <v>44196</v>
      </c>
      <c r="C3259" s="6">
        <v>1</v>
      </c>
      <c r="D3259" s="6">
        <v>366</v>
      </c>
      <c r="E3259" s="33">
        <v>2020</v>
      </c>
      <c r="F3259" s="15" t="s">
        <v>22</v>
      </c>
      <c r="G3259" s="9" t="s">
        <v>6258</v>
      </c>
      <c r="H3259" s="9" t="s">
        <v>57</v>
      </c>
      <c r="I3259" s="152" t="s">
        <v>25</v>
      </c>
      <c r="J3259" s="152" t="s">
        <v>5192</v>
      </c>
      <c r="K3259" s="33">
        <v>0</v>
      </c>
      <c r="L3259" s="235">
        <v>1</v>
      </c>
      <c r="M3259" s="35">
        <v>0</v>
      </c>
      <c r="N3259" s="35">
        <v>0</v>
      </c>
      <c r="O3259" s="35">
        <v>0</v>
      </c>
      <c r="P3259" s="35">
        <v>0</v>
      </c>
      <c r="Q3259" s="41">
        <v>0</v>
      </c>
      <c r="R3259" s="42">
        <v>0</v>
      </c>
      <c r="S3259" s="33" t="s">
        <v>1219</v>
      </c>
      <c r="T3259" s="257">
        <f t="shared" si="107"/>
        <v>1</v>
      </c>
      <c r="U3259" s="257">
        <f t="shared" si="108"/>
        <v>0</v>
      </c>
      <c r="V3259">
        <v>1</v>
      </c>
      <c r="W3259">
        <v>0</v>
      </c>
    </row>
    <row r="3260" spans="1:23" ht="45.6" x14ac:dyDescent="0.3">
      <c r="A3260" s="232">
        <v>43831</v>
      </c>
      <c r="B3260" s="232">
        <v>44196</v>
      </c>
      <c r="C3260" s="6">
        <v>1</v>
      </c>
      <c r="D3260" s="6">
        <v>366</v>
      </c>
      <c r="E3260" s="33">
        <v>2020</v>
      </c>
      <c r="F3260" s="15" t="s">
        <v>22</v>
      </c>
      <c r="G3260" s="9" t="s">
        <v>6258</v>
      </c>
      <c r="H3260" s="9" t="s">
        <v>69</v>
      </c>
      <c r="I3260" s="152" t="s">
        <v>25</v>
      </c>
      <c r="J3260" s="152" t="s">
        <v>5195</v>
      </c>
      <c r="K3260" s="33">
        <v>3</v>
      </c>
      <c r="L3260" s="235">
        <v>13</v>
      </c>
      <c r="M3260" s="35">
        <v>0</v>
      </c>
      <c r="N3260" s="35">
        <v>0</v>
      </c>
      <c r="O3260" s="35">
        <v>0</v>
      </c>
      <c r="P3260" s="35">
        <v>0</v>
      </c>
      <c r="Q3260" s="41">
        <v>0</v>
      </c>
      <c r="R3260" s="42">
        <v>0</v>
      </c>
      <c r="S3260" s="33" t="s">
        <v>1219</v>
      </c>
      <c r="T3260" s="257">
        <f t="shared" si="107"/>
        <v>16</v>
      </c>
      <c r="U3260" s="257">
        <f t="shared" si="108"/>
        <v>0</v>
      </c>
      <c r="V3260">
        <v>1</v>
      </c>
      <c r="W3260">
        <v>0</v>
      </c>
    </row>
    <row r="3261" spans="1:23" x14ac:dyDescent="0.3">
      <c r="A3261" s="232">
        <v>43831</v>
      </c>
      <c r="B3261" s="232">
        <v>44196</v>
      </c>
      <c r="C3261" s="6">
        <v>1</v>
      </c>
      <c r="D3261" s="6">
        <v>366</v>
      </c>
      <c r="E3261" s="33">
        <v>2020</v>
      </c>
      <c r="F3261" s="15" t="s">
        <v>22</v>
      </c>
      <c r="G3261" s="9" t="s">
        <v>6258</v>
      </c>
      <c r="H3261" s="9" t="s">
        <v>70</v>
      </c>
      <c r="I3261" s="152" t="s">
        <v>25</v>
      </c>
      <c r="J3261" s="152" t="s">
        <v>5192</v>
      </c>
      <c r="K3261" s="33">
        <v>0</v>
      </c>
      <c r="L3261" s="235">
        <v>1</v>
      </c>
      <c r="M3261" s="35">
        <v>0</v>
      </c>
      <c r="N3261" s="35">
        <v>0</v>
      </c>
      <c r="O3261" s="35">
        <v>0</v>
      </c>
      <c r="P3261" s="35">
        <v>0</v>
      </c>
      <c r="Q3261" s="41">
        <v>0</v>
      </c>
      <c r="R3261" s="42">
        <v>0</v>
      </c>
      <c r="S3261" s="33" t="s">
        <v>1219</v>
      </c>
      <c r="T3261" s="257">
        <f t="shared" si="107"/>
        <v>1</v>
      </c>
      <c r="U3261" s="257">
        <f t="shared" si="108"/>
        <v>0</v>
      </c>
      <c r="V3261">
        <v>1</v>
      </c>
      <c r="W3261">
        <v>0</v>
      </c>
    </row>
    <row r="3262" spans="1:23" ht="22.8" x14ac:dyDescent="0.3">
      <c r="A3262" s="232">
        <v>43831</v>
      </c>
      <c r="B3262" s="232">
        <v>44196</v>
      </c>
      <c r="C3262" s="6">
        <v>1</v>
      </c>
      <c r="D3262" s="6">
        <v>366</v>
      </c>
      <c r="E3262" s="33">
        <v>2020</v>
      </c>
      <c r="F3262" s="15" t="s">
        <v>22</v>
      </c>
      <c r="G3262" s="9" t="s">
        <v>6258</v>
      </c>
      <c r="H3262" s="9" t="s">
        <v>72</v>
      </c>
      <c r="I3262" s="152" t="s">
        <v>25</v>
      </c>
      <c r="J3262" s="152" t="s">
        <v>5196</v>
      </c>
      <c r="K3262" s="33">
        <v>0</v>
      </c>
      <c r="L3262" s="235">
        <v>4</v>
      </c>
      <c r="M3262" s="35">
        <v>0</v>
      </c>
      <c r="N3262" s="35">
        <v>0</v>
      </c>
      <c r="O3262" s="35">
        <v>0</v>
      </c>
      <c r="P3262" s="35">
        <v>0</v>
      </c>
      <c r="Q3262" s="41">
        <v>0</v>
      </c>
      <c r="R3262" s="42">
        <v>0</v>
      </c>
      <c r="S3262" s="33" t="s">
        <v>1219</v>
      </c>
      <c r="T3262" s="257">
        <f t="shared" si="107"/>
        <v>4</v>
      </c>
      <c r="U3262" s="257">
        <f t="shared" si="108"/>
        <v>0</v>
      </c>
      <c r="V3262">
        <v>1</v>
      </c>
      <c r="W3262">
        <v>0</v>
      </c>
    </row>
    <row r="3263" spans="1:23" ht="34.200000000000003" x14ac:dyDescent="0.3">
      <c r="A3263" s="232">
        <v>43831</v>
      </c>
      <c r="B3263" s="232">
        <v>44196</v>
      </c>
      <c r="C3263" s="6">
        <v>1</v>
      </c>
      <c r="D3263" s="6">
        <v>366</v>
      </c>
      <c r="E3263" s="33">
        <v>2020</v>
      </c>
      <c r="F3263" s="15" t="s">
        <v>22</v>
      </c>
      <c r="G3263" s="9" t="s">
        <v>6258</v>
      </c>
      <c r="H3263" s="9" t="s">
        <v>74</v>
      </c>
      <c r="I3263" s="152" t="s">
        <v>25</v>
      </c>
      <c r="J3263" s="152" t="s">
        <v>5197</v>
      </c>
      <c r="K3263" s="33">
        <v>16</v>
      </c>
      <c r="L3263" s="235">
        <v>88</v>
      </c>
      <c r="M3263" s="35">
        <v>0</v>
      </c>
      <c r="N3263" s="35">
        <v>0</v>
      </c>
      <c r="O3263" s="35">
        <v>0</v>
      </c>
      <c r="P3263" s="35">
        <v>0</v>
      </c>
      <c r="Q3263" s="41">
        <v>0</v>
      </c>
      <c r="R3263" s="42">
        <v>0</v>
      </c>
      <c r="S3263" s="33" t="s">
        <v>1219</v>
      </c>
      <c r="T3263" s="257">
        <f t="shared" si="107"/>
        <v>104</v>
      </c>
      <c r="U3263" s="257">
        <f t="shared" si="108"/>
        <v>0</v>
      </c>
      <c r="V3263">
        <v>1</v>
      </c>
      <c r="W3263">
        <v>0</v>
      </c>
    </row>
    <row r="3264" spans="1:23" ht="22.8" x14ac:dyDescent="0.3">
      <c r="A3264" s="232">
        <v>43831</v>
      </c>
      <c r="B3264" s="232">
        <v>44196</v>
      </c>
      <c r="C3264" s="6">
        <v>1</v>
      </c>
      <c r="D3264" s="6">
        <v>366</v>
      </c>
      <c r="E3264" s="33">
        <v>2020</v>
      </c>
      <c r="F3264" s="15" t="s">
        <v>22</v>
      </c>
      <c r="G3264" s="9" t="s">
        <v>6258</v>
      </c>
      <c r="H3264" s="17" t="s">
        <v>565</v>
      </c>
      <c r="I3264" s="152" t="s">
        <v>25</v>
      </c>
      <c r="J3264" s="152" t="s">
        <v>5198</v>
      </c>
      <c r="K3264" s="33">
        <v>1</v>
      </c>
      <c r="L3264" s="235">
        <v>4</v>
      </c>
      <c r="M3264" s="35">
        <v>0</v>
      </c>
      <c r="N3264" s="35">
        <v>0</v>
      </c>
      <c r="O3264" s="35">
        <v>0</v>
      </c>
      <c r="P3264" s="35">
        <v>0</v>
      </c>
      <c r="Q3264" s="41">
        <v>0</v>
      </c>
      <c r="R3264" s="42">
        <v>0</v>
      </c>
      <c r="S3264" s="33" t="s">
        <v>1219</v>
      </c>
      <c r="T3264" s="257">
        <f t="shared" si="107"/>
        <v>5</v>
      </c>
      <c r="U3264" s="257">
        <f t="shared" si="108"/>
        <v>0</v>
      </c>
      <c r="V3264">
        <v>1</v>
      </c>
      <c r="W3264">
        <v>0</v>
      </c>
    </row>
    <row r="3265" spans="1:23" ht="22.8" x14ac:dyDescent="0.3">
      <c r="A3265" s="232">
        <v>43831</v>
      </c>
      <c r="B3265" s="232">
        <v>44196</v>
      </c>
      <c r="C3265" s="6">
        <v>1</v>
      </c>
      <c r="D3265" s="6">
        <v>366</v>
      </c>
      <c r="E3265" s="33">
        <v>2020</v>
      </c>
      <c r="F3265" s="15" t="s">
        <v>22</v>
      </c>
      <c r="G3265" s="9" t="s">
        <v>6258</v>
      </c>
      <c r="H3265" s="9" t="s">
        <v>78</v>
      </c>
      <c r="I3265" s="152" t="s">
        <v>25</v>
      </c>
      <c r="J3265" s="152" t="s">
        <v>5199</v>
      </c>
      <c r="K3265" s="33">
        <v>0</v>
      </c>
      <c r="L3265" s="235">
        <v>2</v>
      </c>
      <c r="M3265" s="35">
        <v>0</v>
      </c>
      <c r="N3265" s="35">
        <v>0</v>
      </c>
      <c r="O3265" s="35">
        <v>0</v>
      </c>
      <c r="P3265" s="35">
        <v>0</v>
      </c>
      <c r="Q3265" s="41">
        <v>0</v>
      </c>
      <c r="R3265" s="42">
        <v>0</v>
      </c>
      <c r="S3265" s="33" t="s">
        <v>1219</v>
      </c>
      <c r="T3265" s="257">
        <f t="shared" si="107"/>
        <v>2</v>
      </c>
      <c r="U3265" s="257">
        <f t="shared" si="108"/>
        <v>0</v>
      </c>
      <c r="V3265">
        <v>1</v>
      </c>
      <c r="W3265">
        <v>0</v>
      </c>
    </row>
    <row r="3266" spans="1:23" ht="34.200000000000003" x14ac:dyDescent="0.3">
      <c r="A3266" s="232">
        <v>43831</v>
      </c>
      <c r="B3266" s="232">
        <v>44196</v>
      </c>
      <c r="C3266" s="6">
        <v>1</v>
      </c>
      <c r="D3266" s="6">
        <v>366</v>
      </c>
      <c r="E3266" s="33">
        <v>2020</v>
      </c>
      <c r="F3266" s="15" t="s">
        <v>22</v>
      </c>
      <c r="G3266" s="9" t="s">
        <v>6258</v>
      </c>
      <c r="H3266" s="9" t="s">
        <v>174</v>
      </c>
      <c r="I3266" s="152" t="s">
        <v>25</v>
      </c>
      <c r="J3266" s="152" t="s">
        <v>5200</v>
      </c>
      <c r="K3266" s="33">
        <v>0</v>
      </c>
      <c r="L3266" s="235">
        <v>18</v>
      </c>
      <c r="M3266" s="35">
        <v>0</v>
      </c>
      <c r="N3266" s="35">
        <v>0</v>
      </c>
      <c r="O3266" s="35">
        <v>0</v>
      </c>
      <c r="P3266" s="35">
        <v>0</v>
      </c>
      <c r="Q3266" s="41">
        <v>0</v>
      </c>
      <c r="R3266" s="42">
        <v>0</v>
      </c>
      <c r="S3266" s="33" t="s">
        <v>1219</v>
      </c>
      <c r="T3266" s="257">
        <f t="shared" si="107"/>
        <v>18</v>
      </c>
      <c r="U3266" s="257">
        <f t="shared" si="108"/>
        <v>0</v>
      </c>
      <c r="V3266">
        <v>1</v>
      </c>
      <c r="W3266">
        <v>0</v>
      </c>
    </row>
    <row r="3267" spans="1:23" ht="22.8" x14ac:dyDescent="0.3">
      <c r="A3267" s="232">
        <v>43831</v>
      </c>
      <c r="B3267" s="232">
        <v>44196</v>
      </c>
      <c r="C3267" s="6">
        <v>1</v>
      </c>
      <c r="D3267" s="6">
        <v>366</v>
      </c>
      <c r="E3267" s="33">
        <v>2020</v>
      </c>
      <c r="F3267" s="15" t="s">
        <v>22</v>
      </c>
      <c r="G3267" s="9" t="s">
        <v>6258</v>
      </c>
      <c r="H3267" s="9" t="s">
        <v>124</v>
      </c>
      <c r="I3267" s="152" t="s">
        <v>25</v>
      </c>
      <c r="J3267" s="152" t="s">
        <v>5198</v>
      </c>
      <c r="K3267" s="33">
        <v>1</v>
      </c>
      <c r="L3267" s="235">
        <v>4</v>
      </c>
      <c r="M3267" s="35">
        <v>0</v>
      </c>
      <c r="N3267" s="35">
        <v>0</v>
      </c>
      <c r="O3267" s="35">
        <v>0</v>
      </c>
      <c r="P3267" s="35">
        <v>0</v>
      </c>
      <c r="Q3267" s="41">
        <v>0</v>
      </c>
      <c r="R3267" s="42">
        <v>0</v>
      </c>
      <c r="S3267" s="33" t="s">
        <v>1219</v>
      </c>
      <c r="T3267" s="257">
        <f t="shared" ref="T3267:T3330" si="109">SUM(K3267:L3267)</f>
        <v>5</v>
      </c>
      <c r="U3267" s="257">
        <f t="shared" ref="U3267:U3330" si="110">SUM(M3267:P3267)</f>
        <v>0</v>
      </c>
      <c r="V3267">
        <v>1</v>
      </c>
      <c r="W3267">
        <v>0</v>
      </c>
    </row>
    <row r="3268" spans="1:23" x14ac:dyDescent="0.3">
      <c r="A3268" s="214">
        <v>43833</v>
      </c>
      <c r="B3268" s="214">
        <v>43835</v>
      </c>
      <c r="C3268" s="6">
        <v>1</v>
      </c>
      <c r="D3268" s="6">
        <v>3</v>
      </c>
      <c r="E3268" s="33">
        <v>2020</v>
      </c>
      <c r="F3268" s="15" t="s">
        <v>22</v>
      </c>
      <c r="G3268" s="18" t="s">
        <v>6255</v>
      </c>
      <c r="H3268" s="9" t="s">
        <v>34</v>
      </c>
      <c r="I3268" s="152" t="s">
        <v>25</v>
      </c>
      <c r="J3268" s="53" t="s">
        <v>5201</v>
      </c>
      <c r="K3268" s="33">
        <v>0</v>
      </c>
      <c r="L3268" s="235">
        <v>5463</v>
      </c>
      <c r="M3268" s="35">
        <v>0</v>
      </c>
      <c r="N3268" s="35">
        <v>0</v>
      </c>
      <c r="O3268" s="35">
        <v>0</v>
      </c>
      <c r="P3268" s="35">
        <v>0</v>
      </c>
      <c r="Q3268" s="41">
        <v>0</v>
      </c>
      <c r="R3268" s="42">
        <v>3.8564660000000002</v>
      </c>
      <c r="S3268" s="33" t="s">
        <v>131</v>
      </c>
      <c r="T3268" s="257">
        <f t="shared" si="109"/>
        <v>5463</v>
      </c>
      <c r="U3268" s="257">
        <f t="shared" si="110"/>
        <v>0</v>
      </c>
      <c r="V3268">
        <v>1</v>
      </c>
      <c r="W3268">
        <v>0</v>
      </c>
    </row>
    <row r="3269" spans="1:23" ht="91.2" x14ac:dyDescent="0.3">
      <c r="A3269" s="214">
        <v>43834</v>
      </c>
      <c r="B3269" s="214">
        <v>43834</v>
      </c>
      <c r="C3269" s="6">
        <v>1</v>
      </c>
      <c r="D3269" s="6">
        <v>1</v>
      </c>
      <c r="E3269" s="33">
        <v>2020</v>
      </c>
      <c r="F3269" s="7" t="s">
        <v>17</v>
      </c>
      <c r="G3269" s="16" t="s">
        <v>6260</v>
      </c>
      <c r="H3269" s="9" t="s">
        <v>31</v>
      </c>
      <c r="I3269" s="34" t="s">
        <v>1366</v>
      </c>
      <c r="J3269" s="34" t="s">
        <v>5202</v>
      </c>
      <c r="K3269" s="33">
        <v>0</v>
      </c>
      <c r="L3269" s="235">
        <v>0</v>
      </c>
      <c r="M3269" s="35">
        <v>0</v>
      </c>
      <c r="N3269" s="35">
        <v>0</v>
      </c>
      <c r="O3269" s="35">
        <v>0</v>
      </c>
      <c r="P3269" s="35">
        <v>0</v>
      </c>
      <c r="Q3269" s="41">
        <v>0</v>
      </c>
      <c r="R3269" s="42">
        <v>0</v>
      </c>
      <c r="S3269" s="33" t="s">
        <v>115</v>
      </c>
      <c r="T3269" s="257">
        <f t="shared" si="109"/>
        <v>0</v>
      </c>
      <c r="U3269" s="257">
        <f t="shared" si="110"/>
        <v>0</v>
      </c>
      <c r="V3269">
        <v>0</v>
      </c>
      <c r="W3269">
        <v>0</v>
      </c>
    </row>
    <row r="3270" spans="1:23" ht="228" x14ac:dyDescent="0.3">
      <c r="A3270" s="214">
        <v>43834</v>
      </c>
      <c r="B3270" s="214">
        <v>43834</v>
      </c>
      <c r="C3270" s="6">
        <v>1</v>
      </c>
      <c r="D3270" s="6">
        <v>1</v>
      </c>
      <c r="E3270" s="33">
        <v>2020</v>
      </c>
      <c r="F3270" s="7" t="s">
        <v>17</v>
      </c>
      <c r="G3270" s="16" t="s">
        <v>6260</v>
      </c>
      <c r="H3270" s="9" t="s">
        <v>61</v>
      </c>
      <c r="I3270" s="34" t="s">
        <v>5203</v>
      </c>
      <c r="J3270" s="34" t="s">
        <v>5204</v>
      </c>
      <c r="K3270" s="33">
        <v>0</v>
      </c>
      <c r="L3270" s="235">
        <v>1068</v>
      </c>
      <c r="M3270" s="35">
        <v>7</v>
      </c>
      <c r="N3270" s="35">
        <v>0</v>
      </c>
      <c r="O3270" s="35">
        <v>1</v>
      </c>
      <c r="P3270" s="35">
        <v>0</v>
      </c>
      <c r="Q3270" s="41">
        <v>0</v>
      </c>
      <c r="R3270" s="42">
        <v>13.358869197400001</v>
      </c>
      <c r="S3270" s="33" t="s">
        <v>131</v>
      </c>
      <c r="T3270" s="257">
        <f t="shared" si="109"/>
        <v>1068</v>
      </c>
      <c r="U3270" s="257">
        <f t="shared" si="110"/>
        <v>8</v>
      </c>
      <c r="V3270">
        <v>1</v>
      </c>
      <c r="W3270">
        <v>1</v>
      </c>
    </row>
    <row r="3271" spans="1:23" ht="205.2" x14ac:dyDescent="0.3">
      <c r="A3271" s="214">
        <v>43846</v>
      </c>
      <c r="B3271" s="214">
        <v>43846</v>
      </c>
      <c r="C3271" s="6">
        <v>1</v>
      </c>
      <c r="D3271" s="6">
        <v>1</v>
      </c>
      <c r="E3271" s="33">
        <v>2020</v>
      </c>
      <c r="F3271" s="7" t="s">
        <v>17</v>
      </c>
      <c r="G3271" s="16" t="s">
        <v>6260</v>
      </c>
      <c r="H3271" s="9" t="s">
        <v>61</v>
      </c>
      <c r="I3271" s="34" t="s">
        <v>5206</v>
      </c>
      <c r="J3271" s="34" t="s">
        <v>5207</v>
      </c>
      <c r="K3271" s="33">
        <v>0</v>
      </c>
      <c r="L3271" s="235">
        <v>873</v>
      </c>
      <c r="M3271" s="35">
        <v>5</v>
      </c>
      <c r="N3271" s="35">
        <v>1</v>
      </c>
      <c r="O3271" s="35">
        <v>1</v>
      </c>
      <c r="P3271" s="35">
        <v>0</v>
      </c>
      <c r="Q3271" s="41">
        <v>0</v>
      </c>
      <c r="R3271" s="42">
        <v>26.138120089171998</v>
      </c>
      <c r="S3271" s="33" t="s">
        <v>131</v>
      </c>
      <c r="T3271" s="257">
        <f t="shared" si="109"/>
        <v>873</v>
      </c>
      <c r="U3271" s="257">
        <f t="shared" si="110"/>
        <v>7</v>
      </c>
      <c r="V3271">
        <v>1</v>
      </c>
      <c r="W3271">
        <v>1</v>
      </c>
    </row>
    <row r="3272" spans="1:23" ht="79.8" x14ac:dyDescent="0.3">
      <c r="A3272" s="214">
        <v>43864</v>
      </c>
      <c r="B3272" s="214">
        <v>43864</v>
      </c>
      <c r="C3272" s="6">
        <v>2</v>
      </c>
      <c r="D3272" s="6">
        <v>1</v>
      </c>
      <c r="E3272" s="33">
        <v>2020</v>
      </c>
      <c r="F3272" s="7" t="s">
        <v>17</v>
      </c>
      <c r="G3272" s="8" t="s">
        <v>6261</v>
      </c>
      <c r="H3272" s="9" t="s">
        <v>61</v>
      </c>
      <c r="I3272" s="34" t="s">
        <v>61</v>
      </c>
      <c r="J3272" s="34" t="s">
        <v>5208</v>
      </c>
      <c r="K3272" s="33">
        <v>0</v>
      </c>
      <c r="L3272" s="235">
        <v>6</v>
      </c>
      <c r="M3272" s="35">
        <v>0</v>
      </c>
      <c r="N3272" s="35">
        <v>0</v>
      </c>
      <c r="O3272" s="35">
        <v>0</v>
      </c>
      <c r="P3272" s="35">
        <v>0</v>
      </c>
      <c r="Q3272" s="41">
        <v>0</v>
      </c>
      <c r="R3272" s="42">
        <v>3.5574000000000001E-2</v>
      </c>
      <c r="S3272" s="33" t="s">
        <v>115</v>
      </c>
      <c r="T3272" s="257">
        <f t="shared" si="109"/>
        <v>6</v>
      </c>
      <c r="U3272" s="257">
        <f t="shared" si="110"/>
        <v>0</v>
      </c>
      <c r="V3272">
        <v>1</v>
      </c>
      <c r="W3272">
        <v>0</v>
      </c>
    </row>
    <row r="3273" spans="1:23" ht="22.8" x14ac:dyDescent="0.3">
      <c r="A3273" s="214">
        <v>43866</v>
      </c>
      <c r="B3273" s="214">
        <v>43871</v>
      </c>
      <c r="C3273" s="6">
        <v>2</v>
      </c>
      <c r="D3273" s="6">
        <v>6</v>
      </c>
      <c r="E3273" s="33">
        <v>2020</v>
      </c>
      <c r="F3273" s="15" t="s">
        <v>22</v>
      </c>
      <c r="G3273" s="18" t="s">
        <v>6255</v>
      </c>
      <c r="H3273" s="9" t="s">
        <v>74</v>
      </c>
      <c r="I3273" s="152" t="s">
        <v>25</v>
      </c>
      <c r="J3273" s="53" t="s">
        <v>5209</v>
      </c>
      <c r="K3273" s="33">
        <v>0</v>
      </c>
      <c r="L3273" s="235">
        <v>2483</v>
      </c>
      <c r="M3273" s="35">
        <v>0</v>
      </c>
      <c r="N3273" s="35">
        <v>0</v>
      </c>
      <c r="O3273" s="35">
        <v>0</v>
      </c>
      <c r="P3273" s="35">
        <v>0</v>
      </c>
      <c r="Q3273" s="41">
        <v>0</v>
      </c>
      <c r="R3273" s="42">
        <v>1.87090216</v>
      </c>
      <c r="S3273" s="33" t="s">
        <v>131</v>
      </c>
      <c r="T3273" s="257">
        <f t="shared" si="109"/>
        <v>2483</v>
      </c>
      <c r="U3273" s="257">
        <f t="shared" si="110"/>
        <v>0</v>
      </c>
      <c r="V3273">
        <v>1</v>
      </c>
      <c r="W3273">
        <v>0</v>
      </c>
    </row>
    <row r="3274" spans="1:23" ht="171" x14ac:dyDescent="0.3">
      <c r="A3274" s="214">
        <v>43867</v>
      </c>
      <c r="B3274" s="214">
        <v>43867</v>
      </c>
      <c r="C3274" s="6">
        <v>2</v>
      </c>
      <c r="D3274" s="6">
        <v>1</v>
      </c>
      <c r="E3274" s="33">
        <v>2020</v>
      </c>
      <c r="F3274" s="15" t="s">
        <v>22</v>
      </c>
      <c r="G3274" s="9" t="s">
        <v>6257</v>
      </c>
      <c r="H3274" s="9" t="s">
        <v>57</v>
      </c>
      <c r="I3274" s="34" t="s">
        <v>5210</v>
      </c>
      <c r="J3274" s="34" t="s">
        <v>5211</v>
      </c>
      <c r="K3274" s="33">
        <v>0</v>
      </c>
      <c r="L3274" s="235">
        <v>117</v>
      </c>
      <c r="M3274" s="35">
        <v>0</v>
      </c>
      <c r="N3274" s="35">
        <v>0</v>
      </c>
      <c r="O3274" s="35">
        <v>0</v>
      </c>
      <c r="P3274" s="35">
        <v>1</v>
      </c>
      <c r="Q3274" s="41">
        <v>0</v>
      </c>
      <c r="R3274" s="42">
        <v>0.10680000000000001</v>
      </c>
      <c r="S3274" s="33" t="s">
        <v>115</v>
      </c>
      <c r="T3274" s="257">
        <f t="shared" si="109"/>
        <v>117</v>
      </c>
      <c r="U3274" s="257">
        <f t="shared" si="110"/>
        <v>1</v>
      </c>
      <c r="V3274">
        <v>1</v>
      </c>
      <c r="W3274">
        <v>1</v>
      </c>
    </row>
    <row r="3275" spans="1:23" ht="22.8" x14ac:dyDescent="0.3">
      <c r="A3275" s="214">
        <v>43902</v>
      </c>
      <c r="B3275" s="214">
        <v>43903</v>
      </c>
      <c r="C3275" s="6">
        <v>3</v>
      </c>
      <c r="D3275" s="6">
        <v>2</v>
      </c>
      <c r="E3275" s="33">
        <v>2020</v>
      </c>
      <c r="F3275" s="15" t="s">
        <v>22</v>
      </c>
      <c r="G3275" s="18" t="s">
        <v>6256</v>
      </c>
      <c r="H3275" s="9" t="s">
        <v>28</v>
      </c>
      <c r="I3275" s="152" t="s">
        <v>25</v>
      </c>
      <c r="J3275" s="53" t="s">
        <v>5212</v>
      </c>
      <c r="K3275" s="33">
        <v>0</v>
      </c>
      <c r="L3275" s="235">
        <v>3724</v>
      </c>
      <c r="M3275" s="35">
        <v>0</v>
      </c>
      <c r="N3275" s="35">
        <v>0</v>
      </c>
      <c r="O3275" s="35">
        <v>0</v>
      </c>
      <c r="P3275" s="35">
        <v>0</v>
      </c>
      <c r="Q3275" s="41">
        <v>0</v>
      </c>
      <c r="R3275" s="42">
        <v>5.4695720719999992</v>
      </c>
      <c r="S3275" s="33" t="s">
        <v>131</v>
      </c>
      <c r="T3275" s="257">
        <f t="shared" si="109"/>
        <v>3724</v>
      </c>
      <c r="U3275" s="257">
        <f t="shared" si="110"/>
        <v>0</v>
      </c>
      <c r="V3275">
        <v>1</v>
      </c>
      <c r="W3275">
        <v>0</v>
      </c>
    </row>
    <row r="3276" spans="1:23" ht="22.8" x14ac:dyDescent="0.3">
      <c r="A3276" s="214">
        <v>43902</v>
      </c>
      <c r="B3276" s="214">
        <v>43910</v>
      </c>
      <c r="C3276" s="6">
        <v>3</v>
      </c>
      <c r="D3276" s="6">
        <v>9</v>
      </c>
      <c r="E3276" s="33">
        <v>2020</v>
      </c>
      <c r="F3276" s="15" t="s">
        <v>22</v>
      </c>
      <c r="G3276" s="18" t="s">
        <v>6256</v>
      </c>
      <c r="H3276" s="9" t="s">
        <v>74</v>
      </c>
      <c r="I3276" s="152" t="s">
        <v>25</v>
      </c>
      <c r="J3276" s="53" t="s">
        <v>5213</v>
      </c>
      <c r="K3276" s="33">
        <v>0</v>
      </c>
      <c r="L3276" s="235">
        <v>3546</v>
      </c>
      <c r="M3276" s="35">
        <v>0</v>
      </c>
      <c r="N3276" s="35">
        <v>0</v>
      </c>
      <c r="O3276" s="35">
        <v>0</v>
      </c>
      <c r="P3276" s="35">
        <v>0</v>
      </c>
      <c r="Q3276" s="41">
        <v>0</v>
      </c>
      <c r="R3276" s="42">
        <v>5.7657457999999995</v>
      </c>
      <c r="S3276" s="33" t="s">
        <v>131</v>
      </c>
      <c r="T3276" s="257">
        <f t="shared" si="109"/>
        <v>3546</v>
      </c>
      <c r="U3276" s="257">
        <f t="shared" si="110"/>
        <v>0</v>
      </c>
      <c r="V3276">
        <v>1</v>
      </c>
      <c r="W3276">
        <v>0</v>
      </c>
    </row>
    <row r="3277" spans="1:23" ht="193.8" x14ac:dyDescent="0.3">
      <c r="A3277" s="214">
        <v>43906</v>
      </c>
      <c r="B3277" s="214">
        <v>43907</v>
      </c>
      <c r="C3277" s="6">
        <v>3</v>
      </c>
      <c r="D3277" s="6">
        <v>2</v>
      </c>
      <c r="E3277" s="33">
        <v>2020</v>
      </c>
      <c r="F3277" s="15" t="s">
        <v>22</v>
      </c>
      <c r="G3277" s="18" t="s">
        <v>6256</v>
      </c>
      <c r="H3277" s="9" t="s">
        <v>70</v>
      </c>
      <c r="I3277" s="34" t="s">
        <v>5214</v>
      </c>
      <c r="J3277" s="34" t="s">
        <v>5215</v>
      </c>
      <c r="K3277" s="33">
        <v>0</v>
      </c>
      <c r="L3277" s="235">
        <v>350</v>
      </c>
      <c r="M3277" s="35">
        <v>250</v>
      </c>
      <c r="N3277" s="35">
        <v>0</v>
      </c>
      <c r="O3277" s="35">
        <v>0</v>
      </c>
      <c r="P3277" s="35">
        <v>0</v>
      </c>
      <c r="Q3277" s="41">
        <v>0</v>
      </c>
      <c r="R3277" s="42">
        <v>0.3999875</v>
      </c>
      <c r="S3277" s="33" t="s">
        <v>115</v>
      </c>
      <c r="T3277" s="257">
        <f t="shared" si="109"/>
        <v>350</v>
      </c>
      <c r="U3277" s="257">
        <f t="shared" si="110"/>
        <v>250</v>
      </c>
      <c r="V3277">
        <v>1</v>
      </c>
      <c r="W3277">
        <v>1</v>
      </c>
    </row>
    <row r="3278" spans="1:23" ht="148.19999999999999" x14ac:dyDescent="0.3">
      <c r="A3278" s="214">
        <v>43911</v>
      </c>
      <c r="B3278" s="214">
        <v>43911</v>
      </c>
      <c r="C3278" s="6">
        <v>3</v>
      </c>
      <c r="D3278" s="6">
        <v>1</v>
      </c>
      <c r="E3278" s="33">
        <v>2020</v>
      </c>
      <c r="F3278" s="15" t="s">
        <v>22</v>
      </c>
      <c r="G3278" s="82" t="s">
        <v>6256</v>
      </c>
      <c r="H3278" s="9" t="s">
        <v>118</v>
      </c>
      <c r="I3278" s="34" t="s">
        <v>170</v>
      </c>
      <c r="J3278" s="34" t="s">
        <v>5216</v>
      </c>
      <c r="K3278" s="33">
        <v>0</v>
      </c>
      <c r="L3278" s="235">
        <v>6</v>
      </c>
      <c r="M3278" s="35">
        <v>0</v>
      </c>
      <c r="N3278" s="35">
        <v>0</v>
      </c>
      <c r="O3278" s="35">
        <v>0</v>
      </c>
      <c r="P3278" s="35">
        <v>2000</v>
      </c>
      <c r="Q3278" s="41">
        <v>0</v>
      </c>
      <c r="R3278" s="42">
        <v>20.006533999999998</v>
      </c>
      <c r="S3278" s="33" t="s">
        <v>115</v>
      </c>
      <c r="T3278" s="257">
        <f t="shared" si="109"/>
        <v>6</v>
      </c>
      <c r="U3278" s="257">
        <f t="shared" si="110"/>
        <v>2000</v>
      </c>
      <c r="V3278">
        <v>1</v>
      </c>
      <c r="W3278">
        <v>2</v>
      </c>
    </row>
    <row r="3279" spans="1:23" ht="136.80000000000001" x14ac:dyDescent="0.3">
      <c r="A3279" s="214">
        <v>43923</v>
      </c>
      <c r="B3279" s="214">
        <v>43923</v>
      </c>
      <c r="C3279" s="6">
        <v>4</v>
      </c>
      <c r="D3279" s="6">
        <v>1</v>
      </c>
      <c r="E3279" s="33">
        <v>2020</v>
      </c>
      <c r="F3279" s="15" t="s">
        <v>22</v>
      </c>
      <c r="G3279" s="82" t="s">
        <v>6256</v>
      </c>
      <c r="H3279" s="9" t="s">
        <v>43</v>
      </c>
      <c r="I3279" s="34" t="s">
        <v>5217</v>
      </c>
      <c r="J3279" s="34" t="s">
        <v>5218</v>
      </c>
      <c r="K3279" s="33">
        <v>0</v>
      </c>
      <c r="L3279" s="235">
        <v>48</v>
      </c>
      <c r="M3279" s="35">
        <v>12</v>
      </c>
      <c r="N3279" s="35">
        <v>0</v>
      </c>
      <c r="O3279" s="35">
        <v>0</v>
      </c>
      <c r="P3279" s="35">
        <v>1</v>
      </c>
      <c r="Q3279" s="41">
        <v>0</v>
      </c>
      <c r="R3279" s="42">
        <v>1.6660500000000002E-2</v>
      </c>
      <c r="S3279" s="33" t="s">
        <v>115</v>
      </c>
      <c r="T3279" s="257">
        <f t="shared" si="109"/>
        <v>48</v>
      </c>
      <c r="U3279" s="257">
        <f t="shared" si="110"/>
        <v>13</v>
      </c>
      <c r="V3279">
        <v>1</v>
      </c>
      <c r="W3279">
        <v>1</v>
      </c>
    </row>
    <row r="3280" spans="1:23" ht="285" x14ac:dyDescent="0.3">
      <c r="A3280" s="214">
        <v>43945</v>
      </c>
      <c r="B3280" s="214">
        <v>43946</v>
      </c>
      <c r="C3280" s="6">
        <v>4</v>
      </c>
      <c r="D3280" s="6">
        <v>2</v>
      </c>
      <c r="E3280" s="33">
        <v>2020</v>
      </c>
      <c r="F3280" s="15" t="s">
        <v>22</v>
      </c>
      <c r="G3280" s="18" t="s">
        <v>6256</v>
      </c>
      <c r="H3280" s="9" t="s">
        <v>64</v>
      </c>
      <c r="I3280" s="34" t="s">
        <v>4324</v>
      </c>
      <c r="J3280" s="34" t="s">
        <v>5219</v>
      </c>
      <c r="K3280" s="33">
        <v>0</v>
      </c>
      <c r="L3280" s="235">
        <v>200</v>
      </c>
      <c r="M3280" s="35">
        <v>50</v>
      </c>
      <c r="N3280" s="35">
        <v>1</v>
      </c>
      <c r="O3280" s="35">
        <v>0</v>
      </c>
      <c r="P3280" s="35">
        <v>0</v>
      </c>
      <c r="Q3280" s="41">
        <v>0</v>
      </c>
      <c r="R3280" s="42">
        <v>0.19393605000000003</v>
      </c>
      <c r="S3280" s="33" t="s">
        <v>115</v>
      </c>
      <c r="T3280" s="257">
        <f t="shared" si="109"/>
        <v>200</v>
      </c>
      <c r="U3280" s="257">
        <f t="shared" si="110"/>
        <v>51</v>
      </c>
      <c r="V3280">
        <v>1</v>
      </c>
      <c r="W3280">
        <v>1</v>
      </c>
    </row>
    <row r="3281" spans="1:23" ht="22.8" x14ac:dyDescent="0.3">
      <c r="A3281" s="214">
        <v>43952</v>
      </c>
      <c r="B3281" s="214">
        <v>44165</v>
      </c>
      <c r="C3281" s="6">
        <v>5</v>
      </c>
      <c r="D3281" s="6">
        <v>214</v>
      </c>
      <c r="E3281" s="33">
        <v>2020</v>
      </c>
      <c r="F3281" s="15" t="s">
        <v>22</v>
      </c>
      <c r="G3281" s="16" t="s">
        <v>23</v>
      </c>
      <c r="H3281" s="9" t="s">
        <v>34</v>
      </c>
      <c r="I3281" s="152" t="s">
        <v>25</v>
      </c>
      <c r="J3281" s="34" t="s">
        <v>5220</v>
      </c>
      <c r="K3281" s="33">
        <v>0</v>
      </c>
      <c r="L3281" s="235">
        <v>0</v>
      </c>
      <c r="M3281" s="35">
        <v>0</v>
      </c>
      <c r="N3281" s="35">
        <v>0</v>
      </c>
      <c r="O3281" s="35">
        <v>0</v>
      </c>
      <c r="P3281" s="35">
        <v>0</v>
      </c>
      <c r="Q3281" s="41">
        <v>0</v>
      </c>
      <c r="R3281" s="42">
        <v>28.990589</v>
      </c>
      <c r="S3281" s="33" t="s">
        <v>131</v>
      </c>
      <c r="T3281" s="257">
        <f t="shared" si="109"/>
        <v>0</v>
      </c>
      <c r="U3281" s="257">
        <f t="shared" si="110"/>
        <v>0</v>
      </c>
      <c r="V3281">
        <v>0</v>
      </c>
      <c r="W3281">
        <v>0</v>
      </c>
    </row>
    <row r="3282" spans="1:23" x14ac:dyDescent="0.3">
      <c r="A3282" s="214">
        <v>43952</v>
      </c>
      <c r="B3282" s="214">
        <v>44165</v>
      </c>
      <c r="C3282" s="6">
        <v>5</v>
      </c>
      <c r="D3282" s="6">
        <v>214</v>
      </c>
      <c r="E3282" s="33">
        <v>2020</v>
      </c>
      <c r="F3282" s="15" t="s">
        <v>22</v>
      </c>
      <c r="G3282" s="16" t="s">
        <v>23</v>
      </c>
      <c r="H3282" s="9" t="s">
        <v>41</v>
      </c>
      <c r="I3282" s="152" t="s">
        <v>25</v>
      </c>
      <c r="J3282" s="34" t="s">
        <v>5221</v>
      </c>
      <c r="K3282" s="33">
        <v>0</v>
      </c>
      <c r="L3282" s="235">
        <v>0</v>
      </c>
      <c r="M3282" s="35">
        <v>0</v>
      </c>
      <c r="N3282" s="35">
        <v>0</v>
      </c>
      <c r="O3282" s="35">
        <v>0</v>
      </c>
      <c r="P3282" s="35">
        <v>0</v>
      </c>
      <c r="Q3282" s="41">
        <v>0</v>
      </c>
      <c r="R3282" s="42">
        <v>60.754877</v>
      </c>
      <c r="S3282" s="33" t="s">
        <v>131</v>
      </c>
      <c r="T3282" s="257">
        <f t="shared" si="109"/>
        <v>0</v>
      </c>
      <c r="U3282" s="257">
        <f t="shared" si="110"/>
        <v>0</v>
      </c>
      <c r="V3282">
        <v>0</v>
      </c>
      <c r="W3282">
        <v>0</v>
      </c>
    </row>
    <row r="3283" spans="1:23" x14ac:dyDescent="0.3">
      <c r="A3283" s="214">
        <v>43952</v>
      </c>
      <c r="B3283" s="214">
        <v>44165</v>
      </c>
      <c r="C3283" s="6">
        <v>5</v>
      </c>
      <c r="D3283" s="6">
        <v>214</v>
      </c>
      <c r="E3283" s="33">
        <v>2020</v>
      </c>
      <c r="F3283" s="15" t="s">
        <v>22</v>
      </c>
      <c r="G3283" s="16" t="s">
        <v>23</v>
      </c>
      <c r="H3283" s="9" t="s">
        <v>72</v>
      </c>
      <c r="I3283" s="152" t="s">
        <v>25</v>
      </c>
      <c r="J3283" s="34" t="s">
        <v>5221</v>
      </c>
      <c r="K3283" s="33">
        <v>0</v>
      </c>
      <c r="L3283" s="235">
        <v>0</v>
      </c>
      <c r="M3283" s="35">
        <v>0</v>
      </c>
      <c r="N3283" s="35">
        <v>0</v>
      </c>
      <c r="O3283" s="35">
        <v>0</v>
      </c>
      <c r="P3283" s="35">
        <v>0</v>
      </c>
      <c r="Q3283" s="41">
        <v>0</v>
      </c>
      <c r="R3283" s="42">
        <v>139.24199999999999</v>
      </c>
      <c r="S3283" s="33" t="s">
        <v>131</v>
      </c>
      <c r="T3283" s="257">
        <f t="shared" si="109"/>
        <v>0</v>
      </c>
      <c r="U3283" s="257">
        <f t="shared" si="110"/>
        <v>0</v>
      </c>
      <c r="V3283">
        <v>0</v>
      </c>
      <c r="W3283">
        <v>0</v>
      </c>
    </row>
    <row r="3284" spans="1:23" x14ac:dyDescent="0.3">
      <c r="A3284" s="214">
        <v>43952</v>
      </c>
      <c r="B3284" s="214">
        <v>44165</v>
      </c>
      <c r="C3284" s="6">
        <v>5</v>
      </c>
      <c r="D3284" s="6">
        <v>214</v>
      </c>
      <c r="E3284" s="33">
        <v>2020</v>
      </c>
      <c r="F3284" s="15" t="s">
        <v>22</v>
      </c>
      <c r="G3284" s="16" t="s">
        <v>23</v>
      </c>
      <c r="H3284" s="9" t="s">
        <v>74</v>
      </c>
      <c r="I3284" s="152" t="s">
        <v>25</v>
      </c>
      <c r="J3284" s="34" t="s">
        <v>5221</v>
      </c>
      <c r="K3284" s="33">
        <v>0</v>
      </c>
      <c r="L3284" s="235">
        <v>0</v>
      </c>
      <c r="M3284" s="35">
        <v>0</v>
      </c>
      <c r="N3284" s="35">
        <v>0</v>
      </c>
      <c r="O3284" s="35">
        <v>0</v>
      </c>
      <c r="P3284" s="35">
        <v>0</v>
      </c>
      <c r="Q3284" s="41">
        <v>0</v>
      </c>
      <c r="R3284" s="42">
        <v>97.719830000000002</v>
      </c>
      <c r="S3284" s="33" t="s">
        <v>131</v>
      </c>
      <c r="T3284" s="257">
        <f t="shared" si="109"/>
        <v>0</v>
      </c>
      <c r="U3284" s="257">
        <f t="shared" si="110"/>
        <v>0</v>
      </c>
      <c r="V3284">
        <v>0</v>
      </c>
      <c r="W3284">
        <v>0</v>
      </c>
    </row>
    <row r="3285" spans="1:23" ht="216.6" x14ac:dyDescent="0.3">
      <c r="A3285" s="214">
        <v>43956</v>
      </c>
      <c r="B3285" s="214">
        <v>43957</v>
      </c>
      <c r="C3285" s="6">
        <v>5</v>
      </c>
      <c r="D3285" s="6">
        <v>2</v>
      </c>
      <c r="E3285" s="33">
        <v>2020</v>
      </c>
      <c r="F3285" s="15" t="s">
        <v>22</v>
      </c>
      <c r="G3285" s="18" t="s">
        <v>6256</v>
      </c>
      <c r="H3285" s="9" t="s">
        <v>64</v>
      </c>
      <c r="I3285" s="34" t="s">
        <v>5222</v>
      </c>
      <c r="J3285" s="34" t="s">
        <v>5223</v>
      </c>
      <c r="K3285" s="33">
        <v>1</v>
      </c>
      <c r="L3285" s="235">
        <v>96</v>
      </c>
      <c r="M3285" s="35">
        <v>23</v>
      </c>
      <c r="N3285" s="35">
        <v>0</v>
      </c>
      <c r="O3285" s="35">
        <v>0</v>
      </c>
      <c r="P3285" s="35">
        <v>1</v>
      </c>
      <c r="Q3285" s="41">
        <v>0</v>
      </c>
      <c r="R3285" s="42">
        <v>3.7893250000000003E-2</v>
      </c>
      <c r="S3285" s="33" t="s">
        <v>115</v>
      </c>
      <c r="T3285" s="257">
        <f t="shared" si="109"/>
        <v>97</v>
      </c>
      <c r="U3285" s="257">
        <f t="shared" si="110"/>
        <v>24</v>
      </c>
      <c r="V3285">
        <v>1</v>
      </c>
      <c r="W3285">
        <v>1</v>
      </c>
    </row>
    <row r="3286" spans="1:23" ht="409.6" x14ac:dyDescent="0.3">
      <c r="A3286" s="214">
        <v>43959</v>
      </c>
      <c r="B3286" s="214">
        <v>43959</v>
      </c>
      <c r="C3286" s="6">
        <v>5</v>
      </c>
      <c r="D3286" s="6">
        <v>1</v>
      </c>
      <c r="E3286" s="33">
        <v>2020</v>
      </c>
      <c r="F3286" s="15" t="s">
        <v>22</v>
      </c>
      <c r="G3286" s="18" t="s">
        <v>6256</v>
      </c>
      <c r="H3286" s="9" t="s">
        <v>57</v>
      </c>
      <c r="I3286" s="34" t="s">
        <v>5224</v>
      </c>
      <c r="J3286" s="34" t="s">
        <v>5225</v>
      </c>
      <c r="K3286" s="33">
        <v>2</v>
      </c>
      <c r="L3286" s="235">
        <v>102</v>
      </c>
      <c r="M3286" s="35">
        <v>0</v>
      </c>
      <c r="N3286" s="35">
        <v>0</v>
      </c>
      <c r="O3286" s="35">
        <v>0</v>
      </c>
      <c r="P3286" s="35">
        <v>0</v>
      </c>
      <c r="Q3286" s="41">
        <v>0</v>
      </c>
      <c r="R3286" s="42">
        <v>1.7396684109302325</v>
      </c>
      <c r="S3286" s="33" t="s">
        <v>115</v>
      </c>
      <c r="T3286" s="257">
        <f t="shared" si="109"/>
        <v>104</v>
      </c>
      <c r="U3286" s="257">
        <f t="shared" si="110"/>
        <v>0</v>
      </c>
      <c r="V3286">
        <v>1</v>
      </c>
      <c r="W3286">
        <v>0</v>
      </c>
    </row>
    <row r="3287" spans="1:23" ht="114" x14ac:dyDescent="0.3">
      <c r="A3287" s="214">
        <v>43961</v>
      </c>
      <c r="B3287" s="214">
        <v>43961</v>
      </c>
      <c r="C3287" s="6">
        <v>5</v>
      </c>
      <c r="D3287" s="6">
        <v>1</v>
      </c>
      <c r="E3287" s="33">
        <v>2020</v>
      </c>
      <c r="F3287" s="15" t="s">
        <v>22</v>
      </c>
      <c r="G3287" s="18" t="s">
        <v>6256</v>
      </c>
      <c r="H3287" s="9" t="s">
        <v>70</v>
      </c>
      <c r="I3287" s="34" t="s">
        <v>673</v>
      </c>
      <c r="J3287" s="34" t="s">
        <v>5226</v>
      </c>
      <c r="K3287" s="33">
        <v>5</v>
      </c>
      <c r="L3287" s="235">
        <v>5</v>
      </c>
      <c r="M3287" s="35">
        <v>0</v>
      </c>
      <c r="N3287" s="35">
        <v>0</v>
      </c>
      <c r="O3287" s="35">
        <v>0</v>
      </c>
      <c r="P3287" s="35">
        <v>0</v>
      </c>
      <c r="Q3287" s="41">
        <v>0</v>
      </c>
      <c r="R3287" s="42">
        <v>0</v>
      </c>
      <c r="S3287" s="178" t="s">
        <v>5227</v>
      </c>
      <c r="T3287" s="257">
        <f t="shared" si="109"/>
        <v>10</v>
      </c>
      <c r="U3287" s="257">
        <f t="shared" si="110"/>
        <v>0</v>
      </c>
      <c r="V3287">
        <v>1</v>
      </c>
      <c r="W3287">
        <v>0</v>
      </c>
    </row>
    <row r="3288" spans="1:23" ht="159.6" x14ac:dyDescent="0.3">
      <c r="A3288" s="214">
        <v>43970</v>
      </c>
      <c r="B3288" s="214">
        <v>43971</v>
      </c>
      <c r="C3288" s="6">
        <v>5</v>
      </c>
      <c r="D3288" s="6">
        <v>2</v>
      </c>
      <c r="E3288" s="33">
        <v>2020</v>
      </c>
      <c r="F3288" s="15" t="s">
        <v>22</v>
      </c>
      <c r="G3288" s="82" t="s">
        <v>6254</v>
      </c>
      <c r="H3288" s="9" t="s">
        <v>31</v>
      </c>
      <c r="I3288" s="34" t="s">
        <v>5228</v>
      </c>
      <c r="J3288" s="34" t="s">
        <v>5229</v>
      </c>
      <c r="K3288" s="33">
        <v>1</v>
      </c>
      <c r="L3288" s="235">
        <v>5071</v>
      </c>
      <c r="M3288" s="35">
        <v>9</v>
      </c>
      <c r="N3288" s="35">
        <v>0</v>
      </c>
      <c r="O3288" s="35">
        <v>0</v>
      </c>
      <c r="P3288" s="35">
        <v>0</v>
      </c>
      <c r="Q3288" s="41">
        <v>0</v>
      </c>
      <c r="R3288" s="42">
        <v>15.587234012280001</v>
      </c>
      <c r="S3288" s="33" t="s">
        <v>131</v>
      </c>
      <c r="T3288" s="257">
        <f t="shared" si="109"/>
        <v>5072</v>
      </c>
      <c r="U3288" s="257">
        <f t="shared" si="110"/>
        <v>9</v>
      </c>
      <c r="V3288">
        <v>1</v>
      </c>
      <c r="W3288">
        <v>1</v>
      </c>
    </row>
    <row r="3289" spans="1:23" ht="239.4" x14ac:dyDescent="0.3">
      <c r="A3289" s="214">
        <v>43972</v>
      </c>
      <c r="B3289" s="214">
        <v>43973</v>
      </c>
      <c r="C3289" s="6">
        <v>5</v>
      </c>
      <c r="D3289" s="6">
        <v>2</v>
      </c>
      <c r="E3289" s="33">
        <v>2020</v>
      </c>
      <c r="F3289" s="15" t="s">
        <v>22</v>
      </c>
      <c r="G3289" s="18" t="s">
        <v>6256</v>
      </c>
      <c r="H3289" s="9" t="s">
        <v>174</v>
      </c>
      <c r="I3289" s="34" t="s">
        <v>5230</v>
      </c>
      <c r="J3289" s="34" t="s">
        <v>5231</v>
      </c>
      <c r="K3289" s="33">
        <v>0</v>
      </c>
      <c r="L3289" s="235">
        <v>8211</v>
      </c>
      <c r="M3289" s="35">
        <v>286</v>
      </c>
      <c r="N3289" s="35">
        <v>1</v>
      </c>
      <c r="O3289" s="35">
        <v>0</v>
      </c>
      <c r="P3289" s="35">
        <v>0</v>
      </c>
      <c r="Q3289" s="41">
        <v>0</v>
      </c>
      <c r="R3289" s="42">
        <v>2.7680322000000004</v>
      </c>
      <c r="S3289" s="33" t="s">
        <v>131</v>
      </c>
      <c r="T3289" s="257">
        <f t="shared" si="109"/>
        <v>8211</v>
      </c>
      <c r="U3289" s="257">
        <f t="shared" si="110"/>
        <v>287</v>
      </c>
      <c r="V3289">
        <v>1</v>
      </c>
      <c r="W3289">
        <v>1</v>
      </c>
    </row>
    <row r="3290" spans="1:23" ht="57" x14ac:dyDescent="0.3">
      <c r="A3290" s="211">
        <v>41108</v>
      </c>
      <c r="B3290" s="211">
        <v>41108</v>
      </c>
      <c r="C3290" s="6">
        <v>7</v>
      </c>
      <c r="D3290" s="6">
        <v>1</v>
      </c>
      <c r="E3290" s="19">
        <v>2012</v>
      </c>
      <c r="F3290" s="15" t="s">
        <v>22</v>
      </c>
      <c r="G3290" s="82" t="s">
        <v>6256</v>
      </c>
      <c r="H3290" s="9" t="s">
        <v>48</v>
      </c>
      <c r="I3290" s="20" t="s">
        <v>2744</v>
      </c>
      <c r="J3290" s="21" t="s">
        <v>5232</v>
      </c>
      <c r="K3290" s="43">
        <v>0</v>
      </c>
      <c r="L3290" s="234">
        <v>3</v>
      </c>
      <c r="M3290" s="23">
        <v>0</v>
      </c>
      <c r="N3290" s="23">
        <v>0</v>
      </c>
      <c r="O3290" s="23">
        <v>0</v>
      </c>
      <c r="P3290" s="23">
        <v>0</v>
      </c>
      <c r="Q3290" s="23">
        <v>0</v>
      </c>
      <c r="R3290" s="24">
        <v>0</v>
      </c>
      <c r="S3290" s="6" t="s">
        <v>115</v>
      </c>
      <c r="T3290" s="257">
        <f t="shared" si="109"/>
        <v>3</v>
      </c>
      <c r="U3290" s="257">
        <f t="shared" si="110"/>
        <v>0</v>
      </c>
      <c r="V3290">
        <v>1</v>
      </c>
      <c r="W3290">
        <v>0</v>
      </c>
    </row>
    <row r="3291" spans="1:23" ht="91.2" x14ac:dyDescent="0.3">
      <c r="A3291" s="214">
        <v>43981</v>
      </c>
      <c r="B3291" s="214">
        <v>43987</v>
      </c>
      <c r="C3291" s="6">
        <v>5</v>
      </c>
      <c r="D3291" s="6">
        <v>7</v>
      </c>
      <c r="E3291" s="33">
        <v>2020</v>
      </c>
      <c r="F3291" s="15" t="s">
        <v>22</v>
      </c>
      <c r="G3291" s="16" t="s">
        <v>6254</v>
      </c>
      <c r="H3291" s="9" t="s">
        <v>112</v>
      </c>
      <c r="I3291" s="34" t="s">
        <v>5233</v>
      </c>
      <c r="J3291" s="34" t="s">
        <v>5234</v>
      </c>
      <c r="K3291" s="33">
        <v>1</v>
      </c>
      <c r="L3291" s="235">
        <v>28484</v>
      </c>
      <c r="M3291" s="35">
        <v>251</v>
      </c>
      <c r="N3291" s="35">
        <v>0</v>
      </c>
      <c r="O3291" s="35">
        <v>1</v>
      </c>
      <c r="P3291" s="35">
        <v>0</v>
      </c>
      <c r="Q3291" s="41">
        <v>0</v>
      </c>
      <c r="R3291" s="42">
        <v>596.7856411603999</v>
      </c>
      <c r="S3291" s="33" t="s">
        <v>131</v>
      </c>
      <c r="T3291" s="257">
        <f t="shared" si="109"/>
        <v>28485</v>
      </c>
      <c r="U3291" s="257">
        <f t="shared" si="110"/>
        <v>252</v>
      </c>
      <c r="V3291">
        <v>2</v>
      </c>
      <c r="W3291">
        <v>1</v>
      </c>
    </row>
    <row r="3292" spans="1:23" ht="91.2" x14ac:dyDescent="0.3">
      <c r="A3292" s="214">
        <v>43981</v>
      </c>
      <c r="B3292" s="214">
        <v>43987</v>
      </c>
      <c r="C3292" s="6">
        <v>5</v>
      </c>
      <c r="D3292" s="6">
        <v>7</v>
      </c>
      <c r="E3292" s="33">
        <v>2020</v>
      </c>
      <c r="F3292" s="15" t="s">
        <v>22</v>
      </c>
      <c r="G3292" s="16" t="s">
        <v>6254</v>
      </c>
      <c r="H3292" s="17" t="s">
        <v>565</v>
      </c>
      <c r="I3292" s="34" t="s">
        <v>5235</v>
      </c>
      <c r="J3292" s="34" t="s">
        <v>5236</v>
      </c>
      <c r="K3292" s="33">
        <v>0</v>
      </c>
      <c r="L3292" s="235">
        <v>8000</v>
      </c>
      <c r="M3292" s="35">
        <v>600</v>
      </c>
      <c r="N3292" s="35">
        <v>0</v>
      </c>
      <c r="O3292" s="35">
        <v>2</v>
      </c>
      <c r="P3292" s="35">
        <v>0</v>
      </c>
      <c r="Q3292" s="41">
        <v>0</v>
      </c>
      <c r="R3292" s="42">
        <v>449.34327714860001</v>
      </c>
      <c r="S3292" s="33" t="s">
        <v>131</v>
      </c>
      <c r="T3292" s="257">
        <f t="shared" si="109"/>
        <v>8000</v>
      </c>
      <c r="U3292" s="257">
        <f t="shared" si="110"/>
        <v>602</v>
      </c>
      <c r="V3292">
        <v>1</v>
      </c>
      <c r="W3292">
        <v>1</v>
      </c>
    </row>
    <row r="3293" spans="1:23" ht="182.4" x14ac:dyDescent="0.3">
      <c r="A3293" s="214">
        <v>43981</v>
      </c>
      <c r="B3293" s="214">
        <v>43987</v>
      </c>
      <c r="C3293" s="6">
        <v>5</v>
      </c>
      <c r="D3293" s="6">
        <v>7</v>
      </c>
      <c r="E3293" s="33">
        <v>2020</v>
      </c>
      <c r="F3293" s="15" t="s">
        <v>22</v>
      </c>
      <c r="G3293" s="16" t="s">
        <v>6254</v>
      </c>
      <c r="H3293" s="9" t="s">
        <v>31</v>
      </c>
      <c r="I3293" s="34" t="s">
        <v>5237</v>
      </c>
      <c r="J3293" s="34" t="s">
        <v>5238</v>
      </c>
      <c r="K3293" s="33">
        <v>0</v>
      </c>
      <c r="L3293" s="235">
        <v>66941</v>
      </c>
      <c r="M3293" s="35">
        <v>137</v>
      </c>
      <c r="N3293" s="35">
        <v>0</v>
      </c>
      <c r="O3293" s="35">
        <v>0</v>
      </c>
      <c r="P3293" s="35">
        <v>0</v>
      </c>
      <c r="Q3293" s="41">
        <v>0</v>
      </c>
      <c r="R3293" s="42">
        <v>529.66006976970004</v>
      </c>
      <c r="S3293" s="33" t="s">
        <v>131</v>
      </c>
      <c r="T3293" s="257">
        <f t="shared" si="109"/>
        <v>66941</v>
      </c>
      <c r="U3293" s="257">
        <f t="shared" si="110"/>
        <v>137</v>
      </c>
      <c r="V3293">
        <v>2</v>
      </c>
      <c r="W3293">
        <v>1</v>
      </c>
    </row>
    <row r="3294" spans="1:23" ht="91.2" x14ac:dyDescent="0.3">
      <c r="A3294" s="214">
        <v>43981</v>
      </c>
      <c r="B3294" s="214">
        <v>43987</v>
      </c>
      <c r="C3294" s="6">
        <v>5</v>
      </c>
      <c r="D3294" s="6">
        <v>7</v>
      </c>
      <c r="E3294" s="33">
        <v>2020</v>
      </c>
      <c r="F3294" s="15" t="s">
        <v>22</v>
      </c>
      <c r="G3294" s="16" t="s">
        <v>6254</v>
      </c>
      <c r="H3294" s="9" t="s">
        <v>124</v>
      </c>
      <c r="I3294" s="34" t="s">
        <v>5239</v>
      </c>
      <c r="J3294" s="34" t="s">
        <v>5240</v>
      </c>
      <c r="K3294" s="33">
        <v>0</v>
      </c>
      <c r="L3294" s="235">
        <v>104060</v>
      </c>
      <c r="M3294" s="35">
        <v>110</v>
      </c>
      <c r="N3294" s="35">
        <v>0</v>
      </c>
      <c r="O3294" s="35">
        <v>0</v>
      </c>
      <c r="P3294" s="35">
        <v>0</v>
      </c>
      <c r="Q3294" s="41">
        <v>0</v>
      </c>
      <c r="R3294" s="42">
        <v>560.09348593387995</v>
      </c>
      <c r="S3294" s="33" t="s">
        <v>131</v>
      </c>
      <c r="T3294" s="257">
        <f t="shared" si="109"/>
        <v>104060</v>
      </c>
      <c r="U3294" s="257">
        <f t="shared" si="110"/>
        <v>110</v>
      </c>
      <c r="V3294">
        <v>3</v>
      </c>
      <c r="W3294">
        <v>1</v>
      </c>
    </row>
    <row r="3295" spans="1:23" ht="68.400000000000006" x14ac:dyDescent="0.3">
      <c r="A3295" s="214">
        <v>43981</v>
      </c>
      <c r="B3295" s="214">
        <v>43987</v>
      </c>
      <c r="C3295" s="6">
        <v>5</v>
      </c>
      <c r="D3295" s="6">
        <v>7</v>
      </c>
      <c r="E3295" s="33">
        <v>2020</v>
      </c>
      <c r="F3295" s="15" t="s">
        <v>22</v>
      </c>
      <c r="G3295" s="16" t="s">
        <v>6254</v>
      </c>
      <c r="H3295" s="9" t="s">
        <v>69</v>
      </c>
      <c r="I3295" s="34" t="s">
        <v>5241</v>
      </c>
      <c r="J3295" s="34" t="s">
        <v>5242</v>
      </c>
      <c r="K3295" s="33">
        <v>0</v>
      </c>
      <c r="L3295" s="235">
        <v>6536</v>
      </c>
      <c r="M3295" s="35">
        <v>1634</v>
      </c>
      <c r="N3295" s="35">
        <v>0</v>
      </c>
      <c r="O3295" s="35">
        <v>0</v>
      </c>
      <c r="P3295" s="35">
        <v>0</v>
      </c>
      <c r="Q3295" s="41">
        <v>0</v>
      </c>
      <c r="R3295" s="42">
        <v>376.41637109684001</v>
      </c>
      <c r="S3295" s="33" t="s">
        <v>131</v>
      </c>
      <c r="T3295" s="257">
        <f t="shared" si="109"/>
        <v>6536</v>
      </c>
      <c r="U3295" s="257">
        <f t="shared" si="110"/>
        <v>1634</v>
      </c>
      <c r="V3295">
        <v>1</v>
      </c>
      <c r="W3295">
        <v>2</v>
      </c>
    </row>
    <row r="3296" spans="1:23" ht="376.2" x14ac:dyDescent="0.3">
      <c r="A3296" s="214">
        <v>43981</v>
      </c>
      <c r="B3296" s="214">
        <v>43983</v>
      </c>
      <c r="C3296" s="6">
        <v>5</v>
      </c>
      <c r="D3296" s="6">
        <v>3</v>
      </c>
      <c r="E3296" s="33">
        <v>2020</v>
      </c>
      <c r="F3296" s="15" t="s">
        <v>22</v>
      </c>
      <c r="G3296" s="18" t="s">
        <v>6256</v>
      </c>
      <c r="H3296" s="9" t="s">
        <v>46</v>
      </c>
      <c r="I3296" s="34" t="s">
        <v>843</v>
      </c>
      <c r="J3296" s="34" t="s">
        <v>5243</v>
      </c>
      <c r="K3296" s="33">
        <v>0</v>
      </c>
      <c r="L3296" s="235">
        <v>154</v>
      </c>
      <c r="M3296" s="35">
        <v>25</v>
      </c>
      <c r="N3296" s="35">
        <v>0</v>
      </c>
      <c r="O3296" s="35">
        <v>0</v>
      </c>
      <c r="P3296" s="35">
        <v>1</v>
      </c>
      <c r="Q3296" s="41">
        <v>0</v>
      </c>
      <c r="R3296" s="42">
        <v>0.38500000000000001</v>
      </c>
      <c r="S3296" s="33" t="s">
        <v>115</v>
      </c>
      <c r="T3296" s="257">
        <f t="shared" si="109"/>
        <v>154</v>
      </c>
      <c r="U3296" s="257">
        <f t="shared" si="110"/>
        <v>26</v>
      </c>
      <c r="V3296">
        <v>1</v>
      </c>
      <c r="W3296">
        <v>1</v>
      </c>
    </row>
    <row r="3297" spans="1:23" ht="68.400000000000006" x14ac:dyDescent="0.3">
      <c r="A3297" s="214">
        <v>43988</v>
      </c>
      <c r="B3297" s="214">
        <v>43988</v>
      </c>
      <c r="C3297" s="6">
        <v>6</v>
      </c>
      <c r="D3297" s="6">
        <v>1</v>
      </c>
      <c r="E3297" s="33">
        <v>2020</v>
      </c>
      <c r="F3297" s="7" t="s">
        <v>17</v>
      </c>
      <c r="G3297" s="8" t="s">
        <v>6261</v>
      </c>
      <c r="H3297" s="9" t="s">
        <v>118</v>
      </c>
      <c r="I3297" s="34" t="s">
        <v>639</v>
      </c>
      <c r="J3297" s="34" t="s">
        <v>5244</v>
      </c>
      <c r="K3297" s="33">
        <v>0</v>
      </c>
      <c r="L3297" s="235">
        <v>22</v>
      </c>
      <c r="M3297" s="35">
        <v>0</v>
      </c>
      <c r="N3297" s="35">
        <v>0</v>
      </c>
      <c r="O3297" s="35">
        <v>0</v>
      </c>
      <c r="P3297" s="35">
        <v>0</v>
      </c>
      <c r="Q3297" s="41">
        <v>0</v>
      </c>
      <c r="R3297" s="42">
        <v>1.2127500000000001E-3</v>
      </c>
      <c r="S3297" s="33" t="s">
        <v>115</v>
      </c>
      <c r="T3297" s="257">
        <f t="shared" si="109"/>
        <v>22</v>
      </c>
      <c r="U3297" s="257">
        <f t="shared" si="110"/>
        <v>0</v>
      </c>
      <c r="V3297">
        <v>1</v>
      </c>
      <c r="W3297">
        <v>0</v>
      </c>
    </row>
    <row r="3298" spans="1:23" ht="285" x14ac:dyDescent="0.3">
      <c r="A3298" s="214">
        <v>43993</v>
      </c>
      <c r="B3298" s="214">
        <v>43993</v>
      </c>
      <c r="C3298" s="6">
        <v>6</v>
      </c>
      <c r="D3298" s="6">
        <v>1</v>
      </c>
      <c r="E3298" s="33">
        <v>2020</v>
      </c>
      <c r="F3298" s="15" t="s">
        <v>22</v>
      </c>
      <c r="G3298" s="18" t="s">
        <v>6256</v>
      </c>
      <c r="H3298" s="9" t="s">
        <v>174</v>
      </c>
      <c r="I3298" s="34" t="s">
        <v>5245</v>
      </c>
      <c r="J3298" s="34" t="s">
        <v>5246</v>
      </c>
      <c r="K3298" s="33">
        <v>1</v>
      </c>
      <c r="L3298" s="235">
        <v>3888</v>
      </c>
      <c r="M3298" s="35">
        <v>1</v>
      </c>
      <c r="N3298" s="35">
        <v>0</v>
      </c>
      <c r="O3298" s="35">
        <v>0</v>
      </c>
      <c r="P3298" s="35">
        <v>0</v>
      </c>
      <c r="Q3298" s="41">
        <v>0</v>
      </c>
      <c r="R3298" s="42">
        <v>2.0547361019999997</v>
      </c>
      <c r="S3298" s="33" t="s">
        <v>131</v>
      </c>
      <c r="T3298" s="257">
        <f t="shared" si="109"/>
        <v>3889</v>
      </c>
      <c r="U3298" s="257">
        <f t="shared" si="110"/>
        <v>1</v>
      </c>
      <c r="V3298">
        <v>1</v>
      </c>
      <c r="W3298">
        <v>1</v>
      </c>
    </row>
    <row r="3299" spans="1:23" x14ac:dyDescent="0.3">
      <c r="A3299" s="214">
        <v>43993</v>
      </c>
      <c r="B3299" s="214">
        <v>43993</v>
      </c>
      <c r="C3299" s="6">
        <v>6</v>
      </c>
      <c r="D3299" s="6">
        <v>1</v>
      </c>
      <c r="E3299" s="33">
        <v>2020</v>
      </c>
      <c r="F3299" s="15" t="s">
        <v>22</v>
      </c>
      <c r="G3299" s="18" t="s">
        <v>6256</v>
      </c>
      <c r="H3299" s="9" t="s">
        <v>61</v>
      </c>
      <c r="I3299" s="152" t="s">
        <v>25</v>
      </c>
      <c r="J3299" s="53" t="s">
        <v>5247</v>
      </c>
      <c r="K3299" s="33">
        <v>0</v>
      </c>
      <c r="L3299" s="235">
        <v>26125</v>
      </c>
      <c r="M3299" s="35">
        <v>0</v>
      </c>
      <c r="N3299" s="35">
        <v>0</v>
      </c>
      <c r="O3299" s="35">
        <v>0</v>
      </c>
      <c r="P3299" s="35">
        <v>0</v>
      </c>
      <c r="Q3299" s="41">
        <v>0</v>
      </c>
      <c r="R3299" s="42">
        <v>1.628385</v>
      </c>
      <c r="S3299" s="33" t="s">
        <v>131</v>
      </c>
      <c r="T3299" s="257">
        <f t="shared" si="109"/>
        <v>26125</v>
      </c>
      <c r="U3299" s="257">
        <f t="shared" si="110"/>
        <v>0</v>
      </c>
      <c r="V3299">
        <v>2</v>
      </c>
      <c r="W3299">
        <v>0</v>
      </c>
    </row>
    <row r="3300" spans="1:23" ht="409.6" x14ac:dyDescent="0.3">
      <c r="A3300" s="214">
        <v>44005</v>
      </c>
      <c r="B3300" s="214">
        <v>44005</v>
      </c>
      <c r="C3300" s="6">
        <v>6</v>
      </c>
      <c r="D3300" s="6">
        <v>1</v>
      </c>
      <c r="E3300" s="33">
        <v>2020</v>
      </c>
      <c r="F3300" s="7" t="s">
        <v>17</v>
      </c>
      <c r="G3300" s="16" t="s">
        <v>6260</v>
      </c>
      <c r="H3300" s="9" t="s">
        <v>61</v>
      </c>
      <c r="I3300" s="34" t="s">
        <v>5248</v>
      </c>
      <c r="J3300" s="34" t="s">
        <v>5249</v>
      </c>
      <c r="K3300" s="33">
        <v>7</v>
      </c>
      <c r="L3300" s="235">
        <v>7160</v>
      </c>
      <c r="M3300" s="35">
        <v>2072</v>
      </c>
      <c r="N3300" s="35">
        <v>59</v>
      </c>
      <c r="O3300" s="35">
        <v>19</v>
      </c>
      <c r="P3300" s="35">
        <v>2</v>
      </c>
      <c r="Q3300" s="41">
        <v>0</v>
      </c>
      <c r="R3300" s="42">
        <v>2227.8411994472999</v>
      </c>
      <c r="S3300" s="33" t="s">
        <v>131</v>
      </c>
      <c r="T3300" s="257">
        <f t="shared" si="109"/>
        <v>7167</v>
      </c>
      <c r="U3300" s="257">
        <f t="shared" si="110"/>
        <v>2152</v>
      </c>
      <c r="V3300">
        <v>1</v>
      </c>
      <c r="W3300">
        <v>2</v>
      </c>
    </row>
    <row r="3301" spans="1:23" ht="250.8" x14ac:dyDescent="0.3">
      <c r="A3301" s="214">
        <v>44005</v>
      </c>
      <c r="B3301" s="214">
        <v>44005</v>
      </c>
      <c r="C3301" s="6">
        <v>6</v>
      </c>
      <c r="D3301" s="6">
        <v>1</v>
      </c>
      <c r="E3301" s="33">
        <v>2020</v>
      </c>
      <c r="F3301" s="7" t="s">
        <v>17</v>
      </c>
      <c r="G3301" s="16" t="s">
        <v>6260</v>
      </c>
      <c r="H3301" s="9" t="s">
        <v>118</v>
      </c>
      <c r="I3301" s="34" t="s">
        <v>5250</v>
      </c>
      <c r="J3301" s="34" t="s">
        <v>5251</v>
      </c>
      <c r="K3301" s="33">
        <v>0</v>
      </c>
      <c r="L3301" s="235">
        <v>160</v>
      </c>
      <c r="M3301" s="35">
        <v>33</v>
      </c>
      <c r="N3301" s="35">
        <v>0</v>
      </c>
      <c r="O3301" s="35">
        <v>0</v>
      </c>
      <c r="P3301" s="35">
        <v>0</v>
      </c>
      <c r="Q3301" s="41">
        <v>0</v>
      </c>
      <c r="R3301" s="42">
        <v>0.17740800000000001</v>
      </c>
      <c r="S3301" s="33" t="s">
        <v>115</v>
      </c>
      <c r="T3301" s="257">
        <f t="shared" si="109"/>
        <v>160</v>
      </c>
      <c r="U3301" s="257">
        <f t="shared" si="110"/>
        <v>33</v>
      </c>
      <c r="V3301">
        <v>1</v>
      </c>
      <c r="W3301">
        <v>1</v>
      </c>
    </row>
    <row r="3302" spans="1:23" ht="182.4" x14ac:dyDescent="0.3">
      <c r="A3302" s="214">
        <v>44006</v>
      </c>
      <c r="B3302" s="214">
        <v>44007</v>
      </c>
      <c r="C3302" s="6">
        <v>6</v>
      </c>
      <c r="D3302" s="6">
        <v>2</v>
      </c>
      <c r="E3302" s="33">
        <v>2020</v>
      </c>
      <c r="F3302" s="15" t="s">
        <v>22</v>
      </c>
      <c r="G3302" s="18" t="s">
        <v>6256</v>
      </c>
      <c r="H3302" s="9" t="s">
        <v>78</v>
      </c>
      <c r="I3302" s="34" t="s">
        <v>586</v>
      </c>
      <c r="J3302" s="34" t="s">
        <v>5252</v>
      </c>
      <c r="K3302" s="33">
        <v>0</v>
      </c>
      <c r="L3302" s="235">
        <v>94</v>
      </c>
      <c r="M3302" s="35">
        <v>20</v>
      </c>
      <c r="N3302" s="35">
        <v>0</v>
      </c>
      <c r="O3302" s="35">
        <v>0</v>
      </c>
      <c r="P3302" s="35">
        <v>0</v>
      </c>
      <c r="Q3302" s="41">
        <v>0</v>
      </c>
      <c r="R3302" s="42">
        <v>1.1858550000000001</v>
      </c>
      <c r="S3302" s="33" t="s">
        <v>115</v>
      </c>
      <c r="T3302" s="257">
        <f t="shared" si="109"/>
        <v>94</v>
      </c>
      <c r="U3302" s="257">
        <f t="shared" si="110"/>
        <v>20</v>
      </c>
      <c r="V3302">
        <v>1</v>
      </c>
      <c r="W3302">
        <v>1</v>
      </c>
    </row>
    <row r="3303" spans="1:23" x14ac:dyDescent="0.3">
      <c r="A3303" s="214">
        <v>44006</v>
      </c>
      <c r="B3303" s="214">
        <v>44007</v>
      </c>
      <c r="C3303" s="6">
        <v>6</v>
      </c>
      <c r="D3303" s="6">
        <v>2</v>
      </c>
      <c r="E3303" s="33">
        <v>2020</v>
      </c>
      <c r="F3303" s="15" t="s">
        <v>22</v>
      </c>
      <c r="G3303" s="18" t="s">
        <v>6256</v>
      </c>
      <c r="H3303" s="9" t="s">
        <v>31</v>
      </c>
      <c r="I3303" s="152" t="s">
        <v>25</v>
      </c>
      <c r="J3303" s="53" t="s">
        <v>5253</v>
      </c>
      <c r="K3303" s="33">
        <v>0</v>
      </c>
      <c r="L3303" s="235">
        <v>1222</v>
      </c>
      <c r="M3303" s="35">
        <v>0</v>
      </c>
      <c r="N3303" s="35">
        <v>0</v>
      </c>
      <c r="O3303" s="35">
        <v>0</v>
      </c>
      <c r="P3303" s="35">
        <v>0</v>
      </c>
      <c r="Q3303" s="41">
        <v>0</v>
      </c>
      <c r="R3303" s="42">
        <v>0.52976642399999996</v>
      </c>
      <c r="S3303" s="33" t="s">
        <v>131</v>
      </c>
      <c r="T3303" s="257">
        <f t="shared" si="109"/>
        <v>1222</v>
      </c>
      <c r="U3303" s="257">
        <f t="shared" si="110"/>
        <v>0</v>
      </c>
      <c r="V3303">
        <v>1</v>
      </c>
      <c r="W3303">
        <v>0</v>
      </c>
    </row>
    <row r="3304" spans="1:23" ht="22.8" x14ac:dyDescent="0.3">
      <c r="A3304" s="214">
        <v>44006</v>
      </c>
      <c r="B3304" s="214">
        <v>44006</v>
      </c>
      <c r="C3304" s="6">
        <v>6</v>
      </c>
      <c r="D3304" s="6">
        <v>1</v>
      </c>
      <c r="E3304" s="33">
        <v>2020</v>
      </c>
      <c r="F3304" s="15" t="s">
        <v>22</v>
      </c>
      <c r="G3304" s="18" t="s">
        <v>6256</v>
      </c>
      <c r="H3304" s="9" t="s">
        <v>174</v>
      </c>
      <c r="I3304" s="152" t="s">
        <v>25</v>
      </c>
      <c r="J3304" s="34" t="s">
        <v>5254</v>
      </c>
      <c r="K3304" s="33">
        <v>0</v>
      </c>
      <c r="L3304" s="235">
        <v>6960</v>
      </c>
      <c r="M3304" s="35">
        <v>0</v>
      </c>
      <c r="N3304" s="35">
        <v>0</v>
      </c>
      <c r="O3304" s="35">
        <v>0</v>
      </c>
      <c r="P3304" s="35">
        <v>0</v>
      </c>
      <c r="Q3304" s="41">
        <v>0</v>
      </c>
      <c r="R3304" s="42">
        <v>5.4834650080000005</v>
      </c>
      <c r="S3304" s="33" t="s">
        <v>131</v>
      </c>
      <c r="T3304" s="257">
        <f t="shared" si="109"/>
        <v>6960</v>
      </c>
      <c r="U3304" s="257">
        <f t="shared" si="110"/>
        <v>0</v>
      </c>
      <c r="V3304">
        <v>1</v>
      </c>
      <c r="W3304">
        <v>0</v>
      </c>
    </row>
    <row r="3305" spans="1:23" ht="114" x14ac:dyDescent="0.3">
      <c r="A3305" s="214">
        <v>44007</v>
      </c>
      <c r="B3305" s="214">
        <v>44007</v>
      </c>
      <c r="C3305" s="6">
        <v>6</v>
      </c>
      <c r="D3305" s="6">
        <v>1</v>
      </c>
      <c r="E3305" s="33">
        <v>2020</v>
      </c>
      <c r="F3305" s="15" t="s">
        <v>22</v>
      </c>
      <c r="G3305" s="18" t="s">
        <v>6256</v>
      </c>
      <c r="H3305" s="9" t="s">
        <v>57</v>
      </c>
      <c r="I3305" s="34" t="s">
        <v>1098</v>
      </c>
      <c r="J3305" s="34" t="s">
        <v>5255</v>
      </c>
      <c r="K3305" s="33">
        <v>4</v>
      </c>
      <c r="L3305" s="235">
        <v>6</v>
      </c>
      <c r="M3305" s="35">
        <v>0</v>
      </c>
      <c r="N3305" s="35">
        <v>0</v>
      </c>
      <c r="O3305" s="35">
        <v>0</v>
      </c>
      <c r="P3305" s="35">
        <v>0</v>
      </c>
      <c r="Q3305" s="41">
        <v>0</v>
      </c>
      <c r="R3305" s="42">
        <v>0.19836487000000003</v>
      </c>
      <c r="S3305" s="33" t="s">
        <v>115</v>
      </c>
      <c r="T3305" s="257">
        <f t="shared" si="109"/>
        <v>10</v>
      </c>
      <c r="U3305" s="257">
        <f t="shared" si="110"/>
        <v>0</v>
      </c>
      <c r="V3305">
        <v>1</v>
      </c>
      <c r="W3305">
        <v>0</v>
      </c>
    </row>
    <row r="3306" spans="1:23" ht="125.4" x14ac:dyDescent="0.3">
      <c r="A3306" s="214">
        <v>44013</v>
      </c>
      <c r="B3306" s="214">
        <v>44013</v>
      </c>
      <c r="C3306" s="6">
        <v>7</v>
      </c>
      <c r="D3306" s="6">
        <v>1</v>
      </c>
      <c r="E3306" s="33">
        <v>2020</v>
      </c>
      <c r="F3306" s="15" t="s">
        <v>22</v>
      </c>
      <c r="G3306" s="18" t="s">
        <v>6256</v>
      </c>
      <c r="H3306" s="9" t="s">
        <v>46</v>
      </c>
      <c r="I3306" s="34" t="s">
        <v>1023</v>
      </c>
      <c r="J3306" s="34" t="s">
        <v>5256</v>
      </c>
      <c r="K3306" s="33">
        <v>0</v>
      </c>
      <c r="L3306" s="235">
        <v>336</v>
      </c>
      <c r="M3306" s="35">
        <v>84</v>
      </c>
      <c r="N3306" s="35">
        <v>0</v>
      </c>
      <c r="O3306" s="35">
        <v>0</v>
      </c>
      <c r="P3306" s="35">
        <v>0</v>
      </c>
      <c r="Q3306" s="41">
        <v>0</v>
      </c>
      <c r="R3306" s="42">
        <v>0.45733380000000007</v>
      </c>
      <c r="S3306" s="33" t="s">
        <v>115</v>
      </c>
      <c r="T3306" s="257">
        <f t="shared" si="109"/>
        <v>336</v>
      </c>
      <c r="U3306" s="257">
        <f t="shared" si="110"/>
        <v>84</v>
      </c>
      <c r="V3306">
        <v>1</v>
      </c>
      <c r="W3306">
        <v>1</v>
      </c>
    </row>
    <row r="3307" spans="1:23" ht="91.2" x14ac:dyDescent="0.3">
      <c r="A3307" s="214">
        <v>44013</v>
      </c>
      <c r="B3307" s="214">
        <v>44013</v>
      </c>
      <c r="C3307" s="6">
        <v>7</v>
      </c>
      <c r="D3307" s="6">
        <v>1</v>
      </c>
      <c r="E3307" s="33">
        <v>2020</v>
      </c>
      <c r="F3307" s="15" t="s">
        <v>22</v>
      </c>
      <c r="G3307" s="18" t="s">
        <v>6256</v>
      </c>
      <c r="H3307" s="9" t="s">
        <v>121</v>
      </c>
      <c r="I3307" s="34" t="s">
        <v>5257</v>
      </c>
      <c r="J3307" s="34" t="s">
        <v>5258</v>
      </c>
      <c r="K3307" s="33">
        <v>0</v>
      </c>
      <c r="L3307" s="235">
        <v>170</v>
      </c>
      <c r="M3307" s="35">
        <v>42</v>
      </c>
      <c r="N3307" s="35">
        <v>0</v>
      </c>
      <c r="O3307" s="35">
        <v>0</v>
      </c>
      <c r="P3307" s="35">
        <v>0</v>
      </c>
      <c r="Q3307" s="41">
        <v>0</v>
      </c>
      <c r="R3307" s="42">
        <v>0.63</v>
      </c>
      <c r="S3307" s="33" t="s">
        <v>115</v>
      </c>
      <c r="T3307" s="257">
        <f t="shared" si="109"/>
        <v>170</v>
      </c>
      <c r="U3307" s="257">
        <f t="shared" si="110"/>
        <v>42</v>
      </c>
      <c r="V3307">
        <v>1</v>
      </c>
      <c r="W3307">
        <v>1</v>
      </c>
    </row>
    <row r="3308" spans="1:23" ht="102.6" x14ac:dyDescent="0.3">
      <c r="A3308" s="214">
        <v>44014</v>
      </c>
      <c r="B3308" s="214">
        <v>44014</v>
      </c>
      <c r="C3308" s="6">
        <v>7</v>
      </c>
      <c r="D3308" s="6">
        <v>1</v>
      </c>
      <c r="E3308" s="33">
        <v>2020</v>
      </c>
      <c r="F3308" s="15" t="s">
        <v>22</v>
      </c>
      <c r="G3308" s="18" t="s">
        <v>6256</v>
      </c>
      <c r="H3308" s="9" t="s">
        <v>37</v>
      </c>
      <c r="I3308" s="34" t="s">
        <v>223</v>
      </c>
      <c r="J3308" s="34" t="s">
        <v>5259</v>
      </c>
      <c r="K3308" s="33">
        <v>0</v>
      </c>
      <c r="L3308" s="235">
        <v>156</v>
      </c>
      <c r="M3308" s="35">
        <v>39</v>
      </c>
      <c r="N3308" s="35">
        <v>0</v>
      </c>
      <c r="O3308" s="35">
        <v>0</v>
      </c>
      <c r="P3308" s="35">
        <v>0</v>
      </c>
      <c r="Q3308" s="41">
        <v>0</v>
      </c>
      <c r="R3308" s="42">
        <v>5.1740535000000004E-2</v>
      </c>
      <c r="S3308" s="33" t="s">
        <v>115</v>
      </c>
      <c r="T3308" s="257">
        <f t="shared" si="109"/>
        <v>156</v>
      </c>
      <c r="U3308" s="257">
        <f t="shared" si="110"/>
        <v>39</v>
      </c>
      <c r="V3308">
        <v>1</v>
      </c>
      <c r="W3308">
        <v>1</v>
      </c>
    </row>
    <row r="3309" spans="1:23" ht="125.4" x14ac:dyDescent="0.3">
      <c r="A3309" s="214">
        <v>44018</v>
      </c>
      <c r="B3309" s="214">
        <v>44019</v>
      </c>
      <c r="C3309" s="6">
        <v>7</v>
      </c>
      <c r="D3309" s="6">
        <v>2</v>
      </c>
      <c r="E3309" s="33">
        <v>2020</v>
      </c>
      <c r="F3309" s="15" t="s">
        <v>22</v>
      </c>
      <c r="G3309" s="82" t="s">
        <v>6256</v>
      </c>
      <c r="H3309" s="9" t="s">
        <v>41</v>
      </c>
      <c r="I3309" s="34" t="s">
        <v>5260</v>
      </c>
      <c r="J3309" s="34" t="s">
        <v>5261</v>
      </c>
      <c r="K3309" s="33">
        <v>0</v>
      </c>
      <c r="L3309" s="235">
        <v>4127</v>
      </c>
      <c r="M3309" s="35">
        <v>40</v>
      </c>
      <c r="N3309" s="35">
        <v>0</v>
      </c>
      <c r="O3309" s="35">
        <v>0</v>
      </c>
      <c r="P3309" s="35">
        <v>0</v>
      </c>
      <c r="Q3309" s="41">
        <v>0</v>
      </c>
      <c r="R3309" s="42">
        <v>1.30890912</v>
      </c>
      <c r="S3309" s="33" t="s">
        <v>131</v>
      </c>
      <c r="T3309" s="257">
        <f t="shared" si="109"/>
        <v>4127</v>
      </c>
      <c r="U3309" s="257">
        <f t="shared" si="110"/>
        <v>40</v>
      </c>
      <c r="V3309">
        <v>1</v>
      </c>
      <c r="W3309">
        <v>1</v>
      </c>
    </row>
    <row r="3310" spans="1:23" ht="148.19999999999999" x14ac:dyDescent="0.3">
      <c r="A3310" s="214">
        <v>44019</v>
      </c>
      <c r="B3310" s="214">
        <v>44019</v>
      </c>
      <c r="C3310" s="6">
        <v>7</v>
      </c>
      <c r="D3310" s="6">
        <v>1</v>
      </c>
      <c r="E3310" s="33">
        <v>2020</v>
      </c>
      <c r="F3310" s="15" t="s">
        <v>22</v>
      </c>
      <c r="G3310" s="18" t="s">
        <v>6256</v>
      </c>
      <c r="H3310" s="9" t="s">
        <v>55</v>
      </c>
      <c r="I3310" s="34" t="s">
        <v>5262</v>
      </c>
      <c r="J3310" s="34" t="s">
        <v>5263</v>
      </c>
      <c r="K3310" s="33">
        <v>0</v>
      </c>
      <c r="L3310" s="235">
        <v>35</v>
      </c>
      <c r="M3310" s="35">
        <v>14</v>
      </c>
      <c r="N3310" s="35">
        <v>0</v>
      </c>
      <c r="O3310" s="35">
        <v>0</v>
      </c>
      <c r="P3310" s="35">
        <v>0</v>
      </c>
      <c r="Q3310" s="41">
        <v>0</v>
      </c>
      <c r="R3310" s="42">
        <v>0.28918449000000002</v>
      </c>
      <c r="S3310" s="33" t="s">
        <v>115</v>
      </c>
      <c r="T3310" s="257">
        <f t="shared" si="109"/>
        <v>35</v>
      </c>
      <c r="U3310" s="257">
        <f t="shared" si="110"/>
        <v>14</v>
      </c>
      <c r="V3310">
        <v>1</v>
      </c>
      <c r="W3310">
        <v>1</v>
      </c>
    </row>
    <row r="3311" spans="1:23" ht="148.19999999999999" x14ac:dyDescent="0.3">
      <c r="A3311" s="214">
        <v>44024</v>
      </c>
      <c r="B3311" s="214">
        <v>44024</v>
      </c>
      <c r="C3311" s="6">
        <v>7</v>
      </c>
      <c r="D3311" s="6">
        <v>1</v>
      </c>
      <c r="E3311" s="33">
        <v>2020</v>
      </c>
      <c r="F3311" s="15" t="s">
        <v>22</v>
      </c>
      <c r="G3311" s="18" t="s">
        <v>6256</v>
      </c>
      <c r="H3311" s="9" t="s">
        <v>61</v>
      </c>
      <c r="I3311" s="34" t="s">
        <v>5264</v>
      </c>
      <c r="J3311" s="34" t="s">
        <v>5265</v>
      </c>
      <c r="K3311" s="33">
        <v>2</v>
      </c>
      <c r="L3311" s="235">
        <v>861</v>
      </c>
      <c r="M3311" s="35">
        <v>33</v>
      </c>
      <c r="N3311" s="35">
        <v>0</v>
      </c>
      <c r="O3311" s="35">
        <v>0</v>
      </c>
      <c r="P3311" s="35">
        <v>0</v>
      </c>
      <c r="Q3311" s="41">
        <v>0</v>
      </c>
      <c r="R3311" s="42">
        <v>2.8576199099999999</v>
      </c>
      <c r="S3311" s="33" t="s">
        <v>131</v>
      </c>
      <c r="T3311" s="257">
        <f t="shared" si="109"/>
        <v>863</v>
      </c>
      <c r="U3311" s="257">
        <f t="shared" si="110"/>
        <v>33</v>
      </c>
      <c r="V3311">
        <v>1</v>
      </c>
      <c r="W3311">
        <v>1</v>
      </c>
    </row>
    <row r="3312" spans="1:23" ht="79.8" x14ac:dyDescent="0.3">
      <c r="A3312" s="214">
        <v>44024</v>
      </c>
      <c r="B3312" s="214">
        <v>44024</v>
      </c>
      <c r="C3312" s="6">
        <v>7</v>
      </c>
      <c r="D3312" s="6">
        <v>1</v>
      </c>
      <c r="E3312" s="33">
        <v>2020</v>
      </c>
      <c r="F3312" s="15" t="s">
        <v>22</v>
      </c>
      <c r="G3312" s="18" t="s">
        <v>6256</v>
      </c>
      <c r="H3312" s="9" t="s">
        <v>56</v>
      </c>
      <c r="I3312" s="34" t="s">
        <v>1385</v>
      </c>
      <c r="J3312" s="34" t="s">
        <v>5266</v>
      </c>
      <c r="K3312" s="33">
        <v>1</v>
      </c>
      <c r="L3312" s="235">
        <v>13</v>
      </c>
      <c r="M3312" s="35">
        <v>3</v>
      </c>
      <c r="N3312" s="35">
        <v>0</v>
      </c>
      <c r="O3312" s="35">
        <v>0</v>
      </c>
      <c r="P3312" s="35">
        <v>1</v>
      </c>
      <c r="Q3312" s="41">
        <v>0</v>
      </c>
      <c r="R3312" s="42">
        <v>1.3638249999999999E-2</v>
      </c>
      <c r="S3312" s="33" t="s">
        <v>115</v>
      </c>
      <c r="T3312" s="257">
        <f t="shared" si="109"/>
        <v>14</v>
      </c>
      <c r="U3312" s="257">
        <f t="shared" si="110"/>
        <v>4</v>
      </c>
      <c r="V3312">
        <v>1</v>
      </c>
      <c r="W3312">
        <v>1</v>
      </c>
    </row>
    <row r="3313" spans="1:23" ht="102.6" x14ac:dyDescent="0.3">
      <c r="A3313" s="214">
        <v>44025</v>
      </c>
      <c r="B3313" s="214">
        <v>44025</v>
      </c>
      <c r="C3313" s="6">
        <v>7</v>
      </c>
      <c r="D3313" s="6">
        <v>1</v>
      </c>
      <c r="E3313" s="33">
        <v>2020</v>
      </c>
      <c r="F3313" s="7" t="s">
        <v>17</v>
      </c>
      <c r="G3313" s="8" t="s">
        <v>6261</v>
      </c>
      <c r="H3313" s="9" t="s">
        <v>61</v>
      </c>
      <c r="I3313" s="34" t="s">
        <v>4364</v>
      </c>
      <c r="J3313" s="34" t="s">
        <v>5267</v>
      </c>
      <c r="K3313" s="33">
        <v>2</v>
      </c>
      <c r="L3313" s="235">
        <v>886</v>
      </c>
      <c r="M3313" s="35">
        <v>5</v>
      </c>
      <c r="N3313" s="35">
        <v>0</v>
      </c>
      <c r="O3313" s="35">
        <v>0</v>
      </c>
      <c r="P3313" s="35">
        <v>0</v>
      </c>
      <c r="Q3313" s="41">
        <v>0</v>
      </c>
      <c r="R3313" s="42">
        <v>9.639634513459999</v>
      </c>
      <c r="S3313" s="33" t="s">
        <v>131</v>
      </c>
      <c r="T3313" s="257">
        <f t="shared" si="109"/>
        <v>888</v>
      </c>
      <c r="U3313" s="257">
        <f t="shared" si="110"/>
        <v>5</v>
      </c>
      <c r="V3313">
        <v>1</v>
      </c>
      <c r="W3313">
        <v>1</v>
      </c>
    </row>
    <row r="3314" spans="1:23" ht="68.400000000000006" x14ac:dyDescent="0.3">
      <c r="A3314" s="214">
        <v>44025</v>
      </c>
      <c r="B3314" s="214">
        <v>44026</v>
      </c>
      <c r="C3314" s="6">
        <v>7</v>
      </c>
      <c r="D3314" s="6">
        <v>2</v>
      </c>
      <c r="E3314" s="33">
        <v>2020</v>
      </c>
      <c r="F3314" s="15" t="s">
        <v>22</v>
      </c>
      <c r="G3314" s="18" t="s">
        <v>6256</v>
      </c>
      <c r="H3314" s="9" t="s">
        <v>31</v>
      </c>
      <c r="I3314" s="34" t="s">
        <v>687</v>
      </c>
      <c r="J3314" s="34" t="s">
        <v>5268</v>
      </c>
      <c r="K3314" s="33">
        <v>0</v>
      </c>
      <c r="L3314" s="235">
        <v>40</v>
      </c>
      <c r="M3314" s="35">
        <v>10</v>
      </c>
      <c r="N3314" s="35">
        <v>0</v>
      </c>
      <c r="O3314" s="35">
        <v>0</v>
      </c>
      <c r="P3314" s="35">
        <v>0</v>
      </c>
      <c r="Q3314" s="41">
        <v>0</v>
      </c>
      <c r="R3314" s="42">
        <v>1.6362499999999999E-2</v>
      </c>
      <c r="S3314" s="33" t="s">
        <v>115</v>
      </c>
      <c r="T3314" s="257">
        <f t="shared" si="109"/>
        <v>40</v>
      </c>
      <c r="U3314" s="257">
        <f t="shared" si="110"/>
        <v>10</v>
      </c>
      <c r="V3314">
        <v>1</v>
      </c>
      <c r="W3314">
        <v>1</v>
      </c>
    </row>
    <row r="3315" spans="1:23" x14ac:dyDescent="0.3">
      <c r="A3315" s="214">
        <v>44026</v>
      </c>
      <c r="B3315" s="214">
        <v>44026</v>
      </c>
      <c r="C3315" s="6">
        <v>7</v>
      </c>
      <c r="D3315" s="6">
        <v>1</v>
      </c>
      <c r="E3315" s="33">
        <v>2020</v>
      </c>
      <c r="F3315" s="15" t="s">
        <v>22</v>
      </c>
      <c r="G3315" s="82" t="s">
        <v>6256</v>
      </c>
      <c r="H3315" s="9" t="s">
        <v>88</v>
      </c>
      <c r="I3315" s="152" t="s">
        <v>25</v>
      </c>
      <c r="J3315" s="53" t="s">
        <v>5269</v>
      </c>
      <c r="K3315" s="33">
        <v>0</v>
      </c>
      <c r="L3315" s="235">
        <v>556</v>
      </c>
      <c r="M3315" s="35">
        <v>0</v>
      </c>
      <c r="N3315" s="35">
        <v>0</v>
      </c>
      <c r="O3315" s="35">
        <v>0</v>
      </c>
      <c r="P3315" s="35">
        <v>0</v>
      </c>
      <c r="Q3315" s="41">
        <v>0</v>
      </c>
      <c r="R3315" s="42">
        <v>0.85497803999999999</v>
      </c>
      <c r="S3315" s="33" t="s">
        <v>131</v>
      </c>
      <c r="T3315" s="257">
        <f t="shared" si="109"/>
        <v>556</v>
      </c>
      <c r="U3315" s="257">
        <f t="shared" si="110"/>
        <v>0</v>
      </c>
      <c r="V3315">
        <v>1</v>
      </c>
      <c r="W3315">
        <v>0</v>
      </c>
    </row>
    <row r="3316" spans="1:23" ht="364.8" x14ac:dyDescent="0.3">
      <c r="A3316" s="214">
        <v>44027</v>
      </c>
      <c r="B3316" s="214">
        <v>44027</v>
      </c>
      <c r="C3316" s="6">
        <v>7</v>
      </c>
      <c r="D3316" s="6">
        <v>1</v>
      </c>
      <c r="E3316" s="33">
        <v>2020</v>
      </c>
      <c r="F3316" s="15" t="s">
        <v>22</v>
      </c>
      <c r="G3316" s="9" t="s">
        <v>6257</v>
      </c>
      <c r="H3316" s="9" t="s">
        <v>66</v>
      </c>
      <c r="I3316" s="34" t="s">
        <v>1383</v>
      </c>
      <c r="J3316" s="34" t="s">
        <v>5270</v>
      </c>
      <c r="K3316" s="33">
        <v>0</v>
      </c>
      <c r="L3316" s="235">
        <v>0</v>
      </c>
      <c r="M3316" s="35">
        <v>0</v>
      </c>
      <c r="N3316" s="35">
        <v>1</v>
      </c>
      <c r="O3316" s="35">
        <v>0</v>
      </c>
      <c r="P3316" s="35">
        <v>0</v>
      </c>
      <c r="Q3316" s="41">
        <v>0</v>
      </c>
      <c r="R3316" s="42">
        <v>27.261166391896417</v>
      </c>
      <c r="S3316" s="33" t="s">
        <v>115</v>
      </c>
      <c r="T3316" s="257">
        <f t="shared" si="109"/>
        <v>0</v>
      </c>
      <c r="U3316" s="257">
        <f t="shared" si="110"/>
        <v>1</v>
      </c>
      <c r="V3316">
        <v>0</v>
      </c>
      <c r="W3316">
        <v>1</v>
      </c>
    </row>
    <row r="3317" spans="1:23" ht="273.60000000000002" x14ac:dyDescent="0.3">
      <c r="A3317" s="214">
        <v>44027</v>
      </c>
      <c r="B3317" s="214">
        <v>44027</v>
      </c>
      <c r="C3317" s="6">
        <v>7</v>
      </c>
      <c r="D3317" s="6">
        <v>1</v>
      </c>
      <c r="E3317" s="33">
        <v>2020</v>
      </c>
      <c r="F3317" s="15" t="s">
        <v>22</v>
      </c>
      <c r="G3317" s="82" t="s">
        <v>6256</v>
      </c>
      <c r="H3317" s="9" t="s">
        <v>31</v>
      </c>
      <c r="I3317" s="34" t="s">
        <v>636</v>
      </c>
      <c r="J3317" s="34" t="s">
        <v>5271</v>
      </c>
      <c r="K3317" s="33">
        <v>0</v>
      </c>
      <c r="L3317" s="235">
        <v>24607</v>
      </c>
      <c r="M3317" s="35">
        <v>170</v>
      </c>
      <c r="N3317" s="35">
        <v>0</v>
      </c>
      <c r="O3317" s="35">
        <v>0</v>
      </c>
      <c r="P3317" s="35">
        <v>0</v>
      </c>
      <c r="Q3317" s="41">
        <v>0</v>
      </c>
      <c r="R3317" s="42">
        <v>40.899408414400014</v>
      </c>
      <c r="S3317" s="33" t="s">
        <v>131</v>
      </c>
      <c r="T3317" s="257">
        <f t="shared" si="109"/>
        <v>24607</v>
      </c>
      <c r="U3317" s="257">
        <f t="shared" si="110"/>
        <v>170</v>
      </c>
      <c r="V3317">
        <v>2</v>
      </c>
      <c r="W3317">
        <v>1</v>
      </c>
    </row>
    <row r="3318" spans="1:23" ht="68.400000000000006" x14ac:dyDescent="0.3">
      <c r="A3318" s="214">
        <v>44031</v>
      </c>
      <c r="B3318" s="214">
        <v>44032</v>
      </c>
      <c r="C3318" s="6">
        <v>7</v>
      </c>
      <c r="D3318" s="6">
        <v>2</v>
      </c>
      <c r="E3318" s="33">
        <v>2020</v>
      </c>
      <c r="F3318" s="15" t="s">
        <v>22</v>
      </c>
      <c r="G3318" s="18" t="s">
        <v>6256</v>
      </c>
      <c r="H3318" s="9" t="s">
        <v>84</v>
      </c>
      <c r="I3318" s="34" t="s">
        <v>84</v>
      </c>
      <c r="J3318" s="34" t="s">
        <v>5272</v>
      </c>
      <c r="K3318" s="33">
        <v>0</v>
      </c>
      <c r="L3318" s="235">
        <v>32</v>
      </c>
      <c r="M3318" s="35">
        <v>8</v>
      </c>
      <c r="N3318" s="35">
        <v>0</v>
      </c>
      <c r="O3318" s="35">
        <v>0</v>
      </c>
      <c r="P3318" s="35">
        <v>0</v>
      </c>
      <c r="Q3318" s="41">
        <v>0</v>
      </c>
      <c r="R3318" s="42">
        <v>0</v>
      </c>
      <c r="S3318" s="33" t="s">
        <v>115</v>
      </c>
      <c r="T3318" s="257">
        <f t="shared" si="109"/>
        <v>32</v>
      </c>
      <c r="U3318" s="257">
        <f t="shared" si="110"/>
        <v>8</v>
      </c>
      <c r="V3318">
        <v>1</v>
      </c>
      <c r="W3318">
        <v>1</v>
      </c>
    </row>
    <row r="3319" spans="1:23" x14ac:dyDescent="0.3">
      <c r="A3319" s="214">
        <v>44034</v>
      </c>
      <c r="B3319" s="214">
        <v>44034</v>
      </c>
      <c r="C3319" s="6">
        <v>7</v>
      </c>
      <c r="D3319" s="6">
        <v>1</v>
      </c>
      <c r="E3319" s="33">
        <v>2020</v>
      </c>
      <c r="F3319" s="15" t="s">
        <v>22</v>
      </c>
      <c r="G3319" s="18" t="s">
        <v>6256</v>
      </c>
      <c r="H3319" s="9" t="s">
        <v>37</v>
      </c>
      <c r="I3319" s="152" t="s">
        <v>25</v>
      </c>
      <c r="J3319" s="53" t="s">
        <v>5273</v>
      </c>
      <c r="K3319" s="33">
        <v>0</v>
      </c>
      <c r="L3319" s="235">
        <v>398</v>
      </c>
      <c r="M3319" s="35">
        <v>0</v>
      </c>
      <c r="N3319" s="35">
        <v>0</v>
      </c>
      <c r="O3319" s="35">
        <v>0</v>
      </c>
      <c r="P3319" s="35">
        <v>0</v>
      </c>
      <c r="Q3319" s="41">
        <v>0</v>
      </c>
      <c r="R3319" s="42">
        <v>2.7305522568000007</v>
      </c>
      <c r="S3319" s="33" t="s">
        <v>131</v>
      </c>
      <c r="T3319" s="257">
        <f t="shared" si="109"/>
        <v>398</v>
      </c>
      <c r="U3319" s="257">
        <f t="shared" si="110"/>
        <v>0</v>
      </c>
      <c r="V3319">
        <v>1</v>
      </c>
      <c r="W3319">
        <v>0</v>
      </c>
    </row>
    <row r="3320" spans="1:23" ht="114" x14ac:dyDescent="0.3">
      <c r="A3320" s="214">
        <v>44036</v>
      </c>
      <c r="B3320" s="214">
        <v>44040</v>
      </c>
      <c r="C3320" s="6">
        <v>7</v>
      </c>
      <c r="D3320" s="6">
        <v>5</v>
      </c>
      <c r="E3320" s="33">
        <v>2020</v>
      </c>
      <c r="F3320" s="15" t="s">
        <v>22</v>
      </c>
      <c r="G3320" s="16" t="s">
        <v>6254</v>
      </c>
      <c r="H3320" s="9" t="s">
        <v>41</v>
      </c>
      <c r="I3320" s="34" t="s">
        <v>686</v>
      </c>
      <c r="J3320" s="34" t="s">
        <v>5274</v>
      </c>
      <c r="K3320" s="33">
        <v>0</v>
      </c>
      <c r="L3320" s="235">
        <v>1758</v>
      </c>
      <c r="M3320" s="35">
        <v>50</v>
      </c>
      <c r="N3320" s="35">
        <v>0</v>
      </c>
      <c r="O3320" s="35">
        <v>0</v>
      </c>
      <c r="P3320" s="35">
        <v>0</v>
      </c>
      <c r="Q3320" s="41">
        <v>0</v>
      </c>
      <c r="R3320" s="42">
        <v>30.8879132892</v>
      </c>
      <c r="S3320" s="33" t="s">
        <v>131</v>
      </c>
      <c r="T3320" s="257">
        <f t="shared" si="109"/>
        <v>1758</v>
      </c>
      <c r="U3320" s="257">
        <f t="shared" si="110"/>
        <v>50</v>
      </c>
      <c r="V3320">
        <v>1</v>
      </c>
      <c r="W3320">
        <v>1</v>
      </c>
    </row>
    <row r="3321" spans="1:23" ht="114" x14ac:dyDescent="0.3">
      <c r="A3321" s="214">
        <v>44037</v>
      </c>
      <c r="B3321" s="214">
        <v>44038</v>
      </c>
      <c r="C3321" s="6">
        <v>7</v>
      </c>
      <c r="D3321" s="6">
        <v>2</v>
      </c>
      <c r="E3321" s="33">
        <v>2020</v>
      </c>
      <c r="F3321" s="15" t="s">
        <v>22</v>
      </c>
      <c r="G3321" s="18" t="s">
        <v>6256</v>
      </c>
      <c r="H3321" s="9" t="s">
        <v>51</v>
      </c>
      <c r="I3321" s="34" t="s">
        <v>5275</v>
      </c>
      <c r="J3321" s="34" t="s">
        <v>5276</v>
      </c>
      <c r="K3321" s="33">
        <v>0</v>
      </c>
      <c r="L3321" s="235">
        <v>48</v>
      </c>
      <c r="M3321" s="35">
        <v>12</v>
      </c>
      <c r="N3321" s="35">
        <v>0</v>
      </c>
      <c r="O3321" s="35">
        <v>0</v>
      </c>
      <c r="P3321" s="35">
        <v>0</v>
      </c>
      <c r="Q3321" s="41">
        <v>0</v>
      </c>
      <c r="R3321" s="42">
        <v>0.491753</v>
      </c>
      <c r="S3321" s="33" t="s">
        <v>115</v>
      </c>
      <c r="T3321" s="257">
        <f t="shared" si="109"/>
        <v>48</v>
      </c>
      <c r="U3321" s="257">
        <f t="shared" si="110"/>
        <v>12</v>
      </c>
      <c r="V3321">
        <v>1</v>
      </c>
      <c r="W3321">
        <v>1</v>
      </c>
    </row>
    <row r="3322" spans="1:23" ht="91.2" x14ac:dyDescent="0.3">
      <c r="A3322" s="214">
        <v>44038</v>
      </c>
      <c r="B3322" s="214">
        <v>44038</v>
      </c>
      <c r="C3322" s="6">
        <v>7</v>
      </c>
      <c r="D3322" s="6">
        <v>1</v>
      </c>
      <c r="E3322" s="33">
        <v>2020</v>
      </c>
      <c r="F3322" s="15" t="s">
        <v>22</v>
      </c>
      <c r="G3322" s="16" t="s">
        <v>6254</v>
      </c>
      <c r="H3322" s="9" t="s">
        <v>37</v>
      </c>
      <c r="I3322" s="34" t="s">
        <v>223</v>
      </c>
      <c r="J3322" s="34" t="s">
        <v>5277</v>
      </c>
      <c r="K3322" s="33">
        <v>3</v>
      </c>
      <c r="L3322" s="235">
        <v>7645</v>
      </c>
      <c r="M3322" s="35">
        <v>14</v>
      </c>
      <c r="N3322" s="35">
        <v>0</v>
      </c>
      <c r="O3322" s="35">
        <v>0</v>
      </c>
      <c r="P3322" s="35">
        <v>1</v>
      </c>
      <c r="Q3322" s="41">
        <v>0</v>
      </c>
      <c r="R3322" s="42">
        <v>21.719174118159987</v>
      </c>
      <c r="S3322" s="33" t="s">
        <v>131</v>
      </c>
      <c r="T3322" s="257">
        <f t="shared" si="109"/>
        <v>7648</v>
      </c>
      <c r="U3322" s="257">
        <f t="shared" si="110"/>
        <v>15</v>
      </c>
      <c r="V3322">
        <v>1</v>
      </c>
      <c r="W3322">
        <v>1</v>
      </c>
    </row>
    <row r="3323" spans="1:23" ht="239.4" x14ac:dyDescent="0.3">
      <c r="A3323" s="214">
        <v>44038</v>
      </c>
      <c r="B3323" s="214">
        <v>44038</v>
      </c>
      <c r="C3323" s="6">
        <v>7</v>
      </c>
      <c r="D3323" s="6">
        <v>1</v>
      </c>
      <c r="E3323" s="33">
        <v>2020</v>
      </c>
      <c r="F3323" s="15" t="s">
        <v>22</v>
      </c>
      <c r="G3323" s="16" t="s">
        <v>6254</v>
      </c>
      <c r="H3323" s="9" t="s">
        <v>78</v>
      </c>
      <c r="I3323" s="34" t="s">
        <v>1262</v>
      </c>
      <c r="J3323" s="34" t="s">
        <v>5278</v>
      </c>
      <c r="K3323" s="33">
        <v>1</v>
      </c>
      <c r="L3323" s="235">
        <v>40505</v>
      </c>
      <c r="M3323" s="35">
        <v>0</v>
      </c>
      <c r="N3323" s="35">
        <v>0</v>
      </c>
      <c r="O3323" s="35">
        <v>1</v>
      </c>
      <c r="P3323" s="35">
        <v>0</v>
      </c>
      <c r="Q3323" s="41">
        <v>0</v>
      </c>
      <c r="R3323" s="42">
        <v>183.67203872695995</v>
      </c>
      <c r="S3323" s="33" t="s">
        <v>131</v>
      </c>
      <c r="T3323" s="257">
        <f t="shared" si="109"/>
        <v>40506</v>
      </c>
      <c r="U3323" s="257">
        <f t="shared" si="110"/>
        <v>1</v>
      </c>
      <c r="V3323">
        <v>2</v>
      </c>
      <c r="W3323">
        <v>1</v>
      </c>
    </row>
    <row r="3324" spans="1:23" ht="22.8" x14ac:dyDescent="0.3">
      <c r="A3324" s="214">
        <v>44039</v>
      </c>
      <c r="B3324" s="214">
        <v>44039</v>
      </c>
      <c r="C3324" s="6">
        <v>7</v>
      </c>
      <c r="D3324" s="6">
        <v>1</v>
      </c>
      <c r="E3324" s="33">
        <v>2020</v>
      </c>
      <c r="F3324" s="15" t="s">
        <v>22</v>
      </c>
      <c r="G3324" s="16" t="s">
        <v>6254</v>
      </c>
      <c r="H3324" s="9" t="s">
        <v>88</v>
      </c>
      <c r="I3324" s="152" t="s">
        <v>25</v>
      </c>
      <c r="J3324" s="53" t="s">
        <v>5279</v>
      </c>
      <c r="K3324" s="33">
        <v>0</v>
      </c>
      <c r="L3324" s="235">
        <v>3890</v>
      </c>
      <c r="M3324" s="35">
        <v>0</v>
      </c>
      <c r="N3324" s="35">
        <v>0</v>
      </c>
      <c r="O3324" s="35">
        <v>0</v>
      </c>
      <c r="P3324" s="35">
        <v>0</v>
      </c>
      <c r="Q3324" s="41">
        <v>0</v>
      </c>
      <c r="R3324" s="42">
        <v>5.1268490800000004</v>
      </c>
      <c r="S3324" s="33" t="s">
        <v>131</v>
      </c>
      <c r="T3324" s="257">
        <f t="shared" si="109"/>
        <v>3890</v>
      </c>
      <c r="U3324" s="257">
        <f t="shared" si="110"/>
        <v>0</v>
      </c>
      <c r="V3324">
        <v>1</v>
      </c>
      <c r="W3324">
        <v>0</v>
      </c>
    </row>
    <row r="3325" spans="1:23" ht="205.2" x14ac:dyDescent="0.3">
      <c r="A3325" s="214">
        <v>44040</v>
      </c>
      <c r="B3325" s="214">
        <v>44040</v>
      </c>
      <c r="C3325" s="6">
        <v>7</v>
      </c>
      <c r="D3325" s="6">
        <v>1</v>
      </c>
      <c r="E3325" s="33">
        <v>2020</v>
      </c>
      <c r="F3325" s="15" t="s">
        <v>22</v>
      </c>
      <c r="G3325" s="18" t="s">
        <v>6256</v>
      </c>
      <c r="H3325" s="9" t="s">
        <v>174</v>
      </c>
      <c r="I3325" s="34" t="s">
        <v>5280</v>
      </c>
      <c r="J3325" s="34" t="s">
        <v>5281</v>
      </c>
      <c r="K3325" s="33">
        <v>0</v>
      </c>
      <c r="L3325" s="235">
        <v>170</v>
      </c>
      <c r="M3325" s="35">
        <v>42</v>
      </c>
      <c r="N3325" s="35">
        <v>0</v>
      </c>
      <c r="O3325" s="35">
        <v>0</v>
      </c>
      <c r="P3325" s="35">
        <v>0</v>
      </c>
      <c r="Q3325" s="41">
        <v>0</v>
      </c>
      <c r="R3325" s="42">
        <v>6.2370000000000002E-2</v>
      </c>
      <c r="S3325" s="33" t="s">
        <v>115</v>
      </c>
      <c r="T3325" s="257">
        <f t="shared" si="109"/>
        <v>170</v>
      </c>
      <c r="U3325" s="257">
        <f t="shared" si="110"/>
        <v>42</v>
      </c>
      <c r="V3325">
        <v>1</v>
      </c>
      <c r="W3325">
        <v>1</v>
      </c>
    </row>
    <row r="3326" spans="1:23" ht="114" x14ac:dyDescent="0.3">
      <c r="A3326" s="214">
        <v>44040</v>
      </c>
      <c r="B3326" s="214">
        <v>44040</v>
      </c>
      <c r="C3326" s="6">
        <v>7</v>
      </c>
      <c r="D3326" s="6">
        <v>1</v>
      </c>
      <c r="E3326" s="33">
        <v>2020</v>
      </c>
      <c r="F3326" s="15" t="s">
        <v>22</v>
      </c>
      <c r="G3326" s="16" t="s">
        <v>6254</v>
      </c>
      <c r="H3326" s="9" t="s">
        <v>57</v>
      </c>
      <c r="I3326" s="34" t="s">
        <v>1276</v>
      </c>
      <c r="J3326" s="34" t="s">
        <v>5282</v>
      </c>
      <c r="K3326" s="33">
        <v>2</v>
      </c>
      <c r="L3326" s="235">
        <v>30267</v>
      </c>
      <c r="M3326" s="35">
        <v>55</v>
      </c>
      <c r="N3326" s="35">
        <v>0</v>
      </c>
      <c r="O3326" s="35">
        <v>0</v>
      </c>
      <c r="P3326" s="35">
        <v>0</v>
      </c>
      <c r="Q3326" s="41">
        <v>0</v>
      </c>
      <c r="R3326" s="42">
        <v>539.76067399999999</v>
      </c>
      <c r="S3326" s="33" t="s">
        <v>131</v>
      </c>
      <c r="T3326" s="257">
        <f t="shared" si="109"/>
        <v>30269</v>
      </c>
      <c r="U3326" s="257">
        <f t="shared" si="110"/>
        <v>55</v>
      </c>
      <c r="V3326">
        <v>2</v>
      </c>
      <c r="W3326">
        <v>1</v>
      </c>
    </row>
    <row r="3327" spans="1:23" x14ac:dyDescent="0.3">
      <c r="A3327" s="214">
        <v>44040</v>
      </c>
      <c r="B3327" s="214">
        <v>44040</v>
      </c>
      <c r="C3327" s="6">
        <v>7</v>
      </c>
      <c r="D3327" s="6">
        <v>1</v>
      </c>
      <c r="E3327" s="33">
        <v>2020</v>
      </c>
      <c r="F3327" s="15" t="s">
        <v>22</v>
      </c>
      <c r="G3327" s="16" t="s">
        <v>6256</v>
      </c>
      <c r="H3327" s="9" t="s">
        <v>61</v>
      </c>
      <c r="I3327" s="152" t="s">
        <v>25</v>
      </c>
      <c r="J3327" s="53" t="s">
        <v>5283</v>
      </c>
      <c r="K3327" s="33">
        <v>0</v>
      </c>
      <c r="L3327" s="235">
        <v>943</v>
      </c>
      <c r="M3327" s="35">
        <v>0</v>
      </c>
      <c r="N3327" s="35">
        <v>0</v>
      </c>
      <c r="O3327" s="35">
        <v>0</v>
      </c>
      <c r="P3327" s="35">
        <v>0</v>
      </c>
      <c r="Q3327" s="41">
        <v>0</v>
      </c>
      <c r="R3327" s="42">
        <v>3.4662797745600002</v>
      </c>
      <c r="S3327" s="33" t="s">
        <v>131</v>
      </c>
      <c r="T3327" s="257">
        <f t="shared" si="109"/>
        <v>943</v>
      </c>
      <c r="U3327" s="257">
        <f t="shared" si="110"/>
        <v>0</v>
      </c>
      <c r="V3327">
        <v>1</v>
      </c>
      <c r="W3327">
        <v>0</v>
      </c>
    </row>
    <row r="3328" spans="1:23" ht="22.8" x14ac:dyDescent="0.3">
      <c r="A3328" s="214">
        <v>44042</v>
      </c>
      <c r="B3328" s="214">
        <v>44044</v>
      </c>
      <c r="C3328" s="6">
        <v>7</v>
      </c>
      <c r="D3328" s="6">
        <v>3</v>
      </c>
      <c r="E3328" s="33">
        <v>2020</v>
      </c>
      <c r="F3328" s="15" t="s">
        <v>22</v>
      </c>
      <c r="G3328" s="18" t="s">
        <v>6256</v>
      </c>
      <c r="H3328" s="9" t="s">
        <v>41</v>
      </c>
      <c r="I3328" s="152" t="s">
        <v>25</v>
      </c>
      <c r="J3328" s="34" t="s">
        <v>5284</v>
      </c>
      <c r="K3328" s="33">
        <v>0</v>
      </c>
      <c r="L3328" s="235">
        <v>12110</v>
      </c>
      <c r="M3328" s="35">
        <v>0</v>
      </c>
      <c r="N3328" s="35">
        <v>0</v>
      </c>
      <c r="O3328" s="35">
        <v>0</v>
      </c>
      <c r="P3328" s="35">
        <v>0</v>
      </c>
      <c r="Q3328" s="41">
        <v>0</v>
      </c>
      <c r="R3328" s="42">
        <v>347.61479958049603</v>
      </c>
      <c r="S3328" s="33" t="s">
        <v>131</v>
      </c>
      <c r="T3328" s="257">
        <f t="shared" si="109"/>
        <v>12110</v>
      </c>
      <c r="U3328" s="257">
        <f t="shared" si="110"/>
        <v>0</v>
      </c>
      <c r="V3328">
        <v>2</v>
      </c>
      <c r="W3328">
        <v>0</v>
      </c>
    </row>
    <row r="3329" spans="1:23" ht="239.4" x14ac:dyDescent="0.3">
      <c r="A3329" s="214">
        <v>44046</v>
      </c>
      <c r="B3329" s="214">
        <v>44046</v>
      </c>
      <c r="C3329" s="6">
        <v>8</v>
      </c>
      <c r="D3329" s="6">
        <v>1</v>
      </c>
      <c r="E3329" s="33">
        <v>2020</v>
      </c>
      <c r="F3329" s="15" t="s">
        <v>22</v>
      </c>
      <c r="G3329" s="18" t="s">
        <v>6256</v>
      </c>
      <c r="H3329" s="9" t="s">
        <v>43</v>
      </c>
      <c r="I3329" s="34" t="s">
        <v>5285</v>
      </c>
      <c r="J3329" s="34" t="s">
        <v>5286</v>
      </c>
      <c r="K3329" s="33">
        <v>0</v>
      </c>
      <c r="L3329" s="235">
        <v>120</v>
      </c>
      <c r="M3329" s="35">
        <v>30</v>
      </c>
      <c r="N3329" s="35">
        <v>0</v>
      </c>
      <c r="O3329" s="35">
        <v>0</v>
      </c>
      <c r="P3329" s="35">
        <v>0</v>
      </c>
      <c r="Q3329" s="41">
        <v>0</v>
      </c>
      <c r="R3329" s="42">
        <v>3.6382499999999998E-2</v>
      </c>
      <c r="S3329" s="33" t="s">
        <v>115</v>
      </c>
      <c r="T3329" s="257">
        <f t="shared" si="109"/>
        <v>120</v>
      </c>
      <c r="U3329" s="257">
        <f t="shared" si="110"/>
        <v>30</v>
      </c>
      <c r="V3329">
        <v>1</v>
      </c>
      <c r="W3329">
        <v>1</v>
      </c>
    </row>
    <row r="3330" spans="1:23" ht="136.80000000000001" x14ac:dyDescent="0.3">
      <c r="A3330" s="214">
        <v>44047</v>
      </c>
      <c r="B3330" s="214">
        <v>44048</v>
      </c>
      <c r="C3330" s="6">
        <v>8</v>
      </c>
      <c r="D3330" s="6">
        <v>2</v>
      </c>
      <c r="E3330" s="33">
        <v>2020</v>
      </c>
      <c r="F3330" s="7" t="s">
        <v>17</v>
      </c>
      <c r="G3330" s="8" t="s">
        <v>6261</v>
      </c>
      <c r="H3330" s="9" t="s">
        <v>118</v>
      </c>
      <c r="I3330" s="34" t="s">
        <v>302</v>
      </c>
      <c r="J3330" s="34" t="s">
        <v>5287</v>
      </c>
      <c r="K3330" s="33">
        <v>0</v>
      </c>
      <c r="L3330" s="235">
        <v>144</v>
      </c>
      <c r="M3330" s="35">
        <v>37</v>
      </c>
      <c r="N3330" s="35">
        <v>0</v>
      </c>
      <c r="O3330" s="35">
        <v>0</v>
      </c>
      <c r="P3330" s="35">
        <v>0</v>
      </c>
      <c r="Q3330" s="41">
        <v>0</v>
      </c>
      <c r="R3330" s="42">
        <v>4.9315035E-2</v>
      </c>
      <c r="S3330" s="33" t="s">
        <v>115</v>
      </c>
      <c r="T3330" s="257">
        <f t="shared" si="109"/>
        <v>144</v>
      </c>
      <c r="U3330" s="257">
        <f t="shared" si="110"/>
        <v>37</v>
      </c>
      <c r="V3330">
        <v>1</v>
      </c>
      <c r="W3330">
        <v>1</v>
      </c>
    </row>
    <row r="3331" spans="1:23" ht="114" x14ac:dyDescent="0.3">
      <c r="A3331" s="211">
        <v>41107</v>
      </c>
      <c r="B3331" s="211">
        <v>41107</v>
      </c>
      <c r="C3331" s="6">
        <v>7</v>
      </c>
      <c r="D3331" s="6">
        <v>1</v>
      </c>
      <c r="E3331" s="19">
        <v>2012</v>
      </c>
      <c r="F3331" s="15" t="s">
        <v>22</v>
      </c>
      <c r="G3331" s="82" t="s">
        <v>6256</v>
      </c>
      <c r="H3331" s="9" t="s">
        <v>48</v>
      </c>
      <c r="I3331" s="20" t="s">
        <v>5288</v>
      </c>
      <c r="J3331" s="21" t="s">
        <v>5289</v>
      </c>
      <c r="K3331" s="43">
        <v>3</v>
      </c>
      <c r="L3331" s="234">
        <v>9</v>
      </c>
      <c r="M3331" s="23">
        <v>0</v>
      </c>
      <c r="N3331" s="23">
        <v>0</v>
      </c>
      <c r="O3331" s="23">
        <v>0</v>
      </c>
      <c r="P3331" s="23">
        <v>0</v>
      </c>
      <c r="Q3331" s="23">
        <v>0</v>
      </c>
      <c r="R3331" s="24">
        <v>0</v>
      </c>
      <c r="S3331" s="6" t="s">
        <v>115</v>
      </c>
      <c r="T3331" s="257">
        <f t="shared" ref="T3331:T3394" si="111">SUM(K3331:L3331)</f>
        <v>12</v>
      </c>
      <c r="U3331" s="257">
        <f t="shared" ref="U3331:U3394" si="112">SUM(M3331:P3331)</f>
        <v>0</v>
      </c>
      <c r="V3331">
        <v>1</v>
      </c>
      <c r="W3331">
        <v>0</v>
      </c>
    </row>
    <row r="3332" spans="1:23" ht="262.2" x14ac:dyDescent="0.3">
      <c r="A3332" s="214">
        <v>44048</v>
      </c>
      <c r="B3332" s="214">
        <v>44048</v>
      </c>
      <c r="C3332" s="6">
        <v>8</v>
      </c>
      <c r="D3332" s="6">
        <v>1</v>
      </c>
      <c r="E3332" s="33">
        <v>2020</v>
      </c>
      <c r="F3332" s="15" t="s">
        <v>22</v>
      </c>
      <c r="G3332" s="18" t="s">
        <v>6256</v>
      </c>
      <c r="H3332" s="9" t="s">
        <v>51</v>
      </c>
      <c r="I3332" s="34" t="s">
        <v>2599</v>
      </c>
      <c r="J3332" s="34" t="s">
        <v>5290</v>
      </c>
      <c r="K3332" s="33">
        <v>0</v>
      </c>
      <c r="L3332" s="235">
        <v>60</v>
      </c>
      <c r="M3332" s="35">
        <v>15</v>
      </c>
      <c r="N3332" s="35">
        <v>0</v>
      </c>
      <c r="O3332" s="35">
        <v>0</v>
      </c>
      <c r="P3332" s="35">
        <v>0</v>
      </c>
      <c r="Q3332" s="41">
        <v>0</v>
      </c>
      <c r="R3332" s="42">
        <v>0.22819125000000001</v>
      </c>
      <c r="S3332" s="33" t="s">
        <v>115</v>
      </c>
      <c r="T3332" s="257">
        <f t="shared" si="111"/>
        <v>60</v>
      </c>
      <c r="U3332" s="257">
        <f t="shared" si="112"/>
        <v>15</v>
      </c>
      <c r="V3332">
        <v>1</v>
      </c>
      <c r="W3332">
        <v>1</v>
      </c>
    </row>
    <row r="3333" spans="1:23" ht="102.6" x14ac:dyDescent="0.3">
      <c r="A3333" s="214">
        <v>44049</v>
      </c>
      <c r="B3333" s="214">
        <v>44050</v>
      </c>
      <c r="C3333" s="6">
        <v>8</v>
      </c>
      <c r="D3333" s="6">
        <v>2</v>
      </c>
      <c r="E3333" s="33">
        <v>2020</v>
      </c>
      <c r="F3333" s="15" t="s">
        <v>22</v>
      </c>
      <c r="G3333" s="18" t="s">
        <v>6256</v>
      </c>
      <c r="H3333" s="9" t="s">
        <v>112</v>
      </c>
      <c r="I3333" s="34" t="s">
        <v>892</v>
      </c>
      <c r="J3333" s="34" t="s">
        <v>5291</v>
      </c>
      <c r="K3333" s="33">
        <v>1</v>
      </c>
      <c r="L3333" s="235">
        <v>1</v>
      </c>
      <c r="M3333" s="35">
        <v>0</v>
      </c>
      <c r="N3333" s="35">
        <v>0</v>
      </c>
      <c r="O3333" s="35">
        <v>0</v>
      </c>
      <c r="P3333" s="35">
        <v>0</v>
      </c>
      <c r="Q3333" s="41">
        <v>0</v>
      </c>
      <c r="R3333" s="42">
        <v>1.0890000000000001E-3</v>
      </c>
      <c r="S3333" s="33" t="s">
        <v>115</v>
      </c>
      <c r="T3333" s="257">
        <f t="shared" si="111"/>
        <v>2</v>
      </c>
      <c r="U3333" s="257">
        <f t="shared" si="112"/>
        <v>0</v>
      </c>
      <c r="V3333">
        <v>1</v>
      </c>
      <c r="W3333">
        <v>0</v>
      </c>
    </row>
    <row r="3334" spans="1:23" x14ac:dyDescent="0.3">
      <c r="A3334" s="214">
        <v>44050</v>
      </c>
      <c r="B3334" s="214">
        <v>44053</v>
      </c>
      <c r="C3334" s="6">
        <v>8</v>
      </c>
      <c r="D3334" s="6">
        <v>4</v>
      </c>
      <c r="E3334" s="33">
        <v>2020</v>
      </c>
      <c r="F3334" s="7" t="s">
        <v>17</v>
      </c>
      <c r="G3334" s="8" t="s">
        <v>6261</v>
      </c>
      <c r="H3334" s="9" t="s">
        <v>174</v>
      </c>
      <c r="I3334" s="152" t="s">
        <v>25</v>
      </c>
      <c r="J3334" s="34" t="s">
        <v>5292</v>
      </c>
      <c r="K3334" s="33">
        <v>0</v>
      </c>
      <c r="L3334" s="235">
        <v>0</v>
      </c>
      <c r="M3334" s="35">
        <v>0</v>
      </c>
      <c r="N3334" s="35">
        <v>0</v>
      </c>
      <c r="O3334" s="35">
        <v>0</v>
      </c>
      <c r="P3334" s="35">
        <v>0</v>
      </c>
      <c r="Q3334" s="41">
        <v>0</v>
      </c>
      <c r="R3334" s="42">
        <v>58.337519999999998</v>
      </c>
      <c r="S3334" s="33" t="s">
        <v>131</v>
      </c>
      <c r="T3334" s="257">
        <f t="shared" si="111"/>
        <v>0</v>
      </c>
      <c r="U3334" s="257">
        <f t="shared" si="112"/>
        <v>0</v>
      </c>
      <c r="V3334">
        <v>0</v>
      </c>
      <c r="W3334">
        <v>0</v>
      </c>
    </row>
    <row r="3335" spans="1:23" ht="22.8" x14ac:dyDescent="0.3">
      <c r="A3335" s="214">
        <v>44050</v>
      </c>
      <c r="B3335" s="214">
        <v>44053</v>
      </c>
      <c r="C3335" s="6">
        <v>8</v>
      </c>
      <c r="D3335" s="6">
        <v>4</v>
      </c>
      <c r="E3335" s="33">
        <v>2020</v>
      </c>
      <c r="F3335" s="15" t="s">
        <v>22</v>
      </c>
      <c r="G3335" s="16" t="s">
        <v>6256</v>
      </c>
      <c r="H3335" s="9" t="s">
        <v>174</v>
      </c>
      <c r="I3335" s="152" t="s">
        <v>25</v>
      </c>
      <c r="J3335" s="53" t="s">
        <v>5293</v>
      </c>
      <c r="K3335" s="33">
        <v>0</v>
      </c>
      <c r="L3335" s="235">
        <v>17569</v>
      </c>
      <c r="M3335" s="35">
        <v>0</v>
      </c>
      <c r="N3335" s="35">
        <v>0</v>
      </c>
      <c r="O3335" s="35">
        <v>0</v>
      </c>
      <c r="P3335" s="35">
        <v>0</v>
      </c>
      <c r="Q3335" s="41">
        <v>0</v>
      </c>
      <c r="R3335" s="42">
        <v>7.6152617039999999</v>
      </c>
      <c r="S3335" s="33" t="s">
        <v>131</v>
      </c>
      <c r="T3335" s="257">
        <f t="shared" si="111"/>
        <v>17569</v>
      </c>
      <c r="U3335" s="257">
        <f t="shared" si="112"/>
        <v>0</v>
      </c>
      <c r="V3335">
        <v>2</v>
      </c>
      <c r="W3335">
        <v>0</v>
      </c>
    </row>
    <row r="3336" spans="1:23" ht="216.6" x14ac:dyDescent="0.3">
      <c r="A3336" s="214">
        <v>44051</v>
      </c>
      <c r="B3336" s="214">
        <v>44051</v>
      </c>
      <c r="C3336" s="6">
        <v>8</v>
      </c>
      <c r="D3336" s="6">
        <v>1</v>
      </c>
      <c r="E3336" s="33">
        <v>2020</v>
      </c>
      <c r="F3336" s="15" t="s">
        <v>22</v>
      </c>
      <c r="G3336" s="18" t="s">
        <v>6256</v>
      </c>
      <c r="H3336" s="9" t="s">
        <v>64</v>
      </c>
      <c r="I3336" s="34" t="s">
        <v>5294</v>
      </c>
      <c r="J3336" s="34" t="s">
        <v>5295</v>
      </c>
      <c r="K3336" s="33">
        <v>0</v>
      </c>
      <c r="L3336" s="235">
        <v>372</v>
      </c>
      <c r="M3336" s="35">
        <v>93</v>
      </c>
      <c r="N3336" s="35">
        <v>0</v>
      </c>
      <c r="O3336" s="35">
        <v>0</v>
      </c>
      <c r="P3336" s="35">
        <v>1</v>
      </c>
      <c r="Q3336" s="41">
        <v>0</v>
      </c>
      <c r="R3336" s="42">
        <v>0.12278575</v>
      </c>
      <c r="S3336" s="33" t="s">
        <v>115</v>
      </c>
      <c r="T3336" s="257">
        <f t="shared" si="111"/>
        <v>372</v>
      </c>
      <c r="U3336" s="257">
        <f t="shared" si="112"/>
        <v>94</v>
      </c>
      <c r="V3336">
        <v>1</v>
      </c>
      <c r="W3336">
        <v>1</v>
      </c>
    </row>
    <row r="3337" spans="1:23" ht="409.6" x14ac:dyDescent="0.3">
      <c r="A3337" s="214">
        <v>44051</v>
      </c>
      <c r="B3337" s="214">
        <v>44052</v>
      </c>
      <c r="C3337" s="6">
        <v>8</v>
      </c>
      <c r="D3337" s="6">
        <v>2</v>
      </c>
      <c r="E3337" s="33">
        <v>2020</v>
      </c>
      <c r="F3337" s="15" t="s">
        <v>22</v>
      </c>
      <c r="G3337" s="18" t="s">
        <v>6256</v>
      </c>
      <c r="H3337" s="9" t="s">
        <v>174</v>
      </c>
      <c r="I3337" s="34" t="s">
        <v>5296</v>
      </c>
      <c r="J3337" s="34" t="s">
        <v>5297</v>
      </c>
      <c r="K3337" s="33">
        <v>3</v>
      </c>
      <c r="L3337" s="235">
        <v>6892</v>
      </c>
      <c r="M3337" s="35">
        <v>1721</v>
      </c>
      <c r="N3337" s="35">
        <v>7</v>
      </c>
      <c r="O3337" s="35">
        <v>0</v>
      </c>
      <c r="P3337" s="35">
        <v>0</v>
      </c>
      <c r="Q3337" s="41">
        <v>0</v>
      </c>
      <c r="R3337" s="42">
        <v>82.616881770000006</v>
      </c>
      <c r="S3337" s="33" t="s">
        <v>131</v>
      </c>
      <c r="T3337" s="257">
        <f t="shared" si="111"/>
        <v>6895</v>
      </c>
      <c r="U3337" s="257">
        <f t="shared" si="112"/>
        <v>1728</v>
      </c>
      <c r="V3337">
        <v>1</v>
      </c>
      <c r="W3337">
        <v>2</v>
      </c>
    </row>
    <row r="3338" spans="1:23" ht="57" x14ac:dyDescent="0.3">
      <c r="A3338" s="214">
        <v>44052</v>
      </c>
      <c r="B3338" s="214">
        <v>44052</v>
      </c>
      <c r="C3338" s="6">
        <v>8</v>
      </c>
      <c r="D3338" s="6">
        <v>1</v>
      </c>
      <c r="E3338" s="33">
        <v>2020</v>
      </c>
      <c r="F3338" s="15" t="s">
        <v>22</v>
      </c>
      <c r="G3338" s="18" t="s">
        <v>6256</v>
      </c>
      <c r="H3338" s="9" t="s">
        <v>61</v>
      </c>
      <c r="I3338" s="34" t="s">
        <v>5298</v>
      </c>
      <c r="J3338" s="34" t="s">
        <v>5299</v>
      </c>
      <c r="K3338" s="33">
        <v>0</v>
      </c>
      <c r="L3338" s="235">
        <v>2890</v>
      </c>
      <c r="M3338" s="35">
        <v>50</v>
      </c>
      <c r="N3338" s="35">
        <v>0</v>
      </c>
      <c r="O3338" s="35">
        <v>0</v>
      </c>
      <c r="P3338" s="35">
        <v>0</v>
      </c>
      <c r="Q3338" s="41">
        <v>0</v>
      </c>
      <c r="R3338" s="42">
        <v>14.339695158999996</v>
      </c>
      <c r="S3338" s="33" t="s">
        <v>131</v>
      </c>
      <c r="T3338" s="257">
        <f t="shared" si="111"/>
        <v>2890</v>
      </c>
      <c r="U3338" s="257">
        <f t="shared" si="112"/>
        <v>50</v>
      </c>
      <c r="V3338">
        <v>1</v>
      </c>
      <c r="W3338">
        <v>1</v>
      </c>
    </row>
    <row r="3339" spans="1:23" ht="136.80000000000001" x14ac:dyDescent="0.3">
      <c r="A3339" s="214">
        <v>44054</v>
      </c>
      <c r="B3339" s="214">
        <v>44054</v>
      </c>
      <c r="C3339" s="6">
        <v>8</v>
      </c>
      <c r="D3339" s="6">
        <v>1</v>
      </c>
      <c r="E3339" s="33">
        <v>2020</v>
      </c>
      <c r="F3339" s="15" t="s">
        <v>22</v>
      </c>
      <c r="G3339" s="18" t="s">
        <v>6256</v>
      </c>
      <c r="H3339" s="9" t="s">
        <v>39</v>
      </c>
      <c r="I3339" s="34" t="s">
        <v>5300</v>
      </c>
      <c r="J3339" s="34" t="s">
        <v>5301</v>
      </c>
      <c r="K3339" s="33">
        <v>0</v>
      </c>
      <c r="L3339" s="235">
        <v>24</v>
      </c>
      <c r="M3339" s="35">
        <v>6</v>
      </c>
      <c r="N3339" s="35">
        <v>0</v>
      </c>
      <c r="O3339" s="35">
        <v>0</v>
      </c>
      <c r="P3339" s="35">
        <v>0</v>
      </c>
      <c r="Q3339" s="41">
        <v>0</v>
      </c>
      <c r="R3339" s="42">
        <v>0.15247649999999999</v>
      </c>
      <c r="S3339" s="33" t="s">
        <v>115</v>
      </c>
      <c r="T3339" s="257">
        <f t="shared" si="111"/>
        <v>24</v>
      </c>
      <c r="U3339" s="257">
        <f t="shared" si="112"/>
        <v>6</v>
      </c>
      <c r="V3339">
        <v>1</v>
      </c>
      <c r="W3339">
        <v>1</v>
      </c>
    </row>
    <row r="3340" spans="1:23" ht="22.8" x14ac:dyDescent="0.3">
      <c r="A3340" s="214">
        <v>44054</v>
      </c>
      <c r="B3340" s="214">
        <v>44054</v>
      </c>
      <c r="C3340" s="6">
        <v>8</v>
      </c>
      <c r="D3340" s="6">
        <v>1</v>
      </c>
      <c r="E3340" s="33">
        <v>2020</v>
      </c>
      <c r="F3340" s="15" t="s">
        <v>22</v>
      </c>
      <c r="G3340" s="18" t="s">
        <v>6256</v>
      </c>
      <c r="H3340" s="9" t="s">
        <v>61</v>
      </c>
      <c r="I3340" s="152" t="s">
        <v>25</v>
      </c>
      <c r="J3340" s="53" t="s">
        <v>5302</v>
      </c>
      <c r="K3340" s="33">
        <v>0</v>
      </c>
      <c r="L3340" s="235">
        <v>3362</v>
      </c>
      <c r="M3340" s="35">
        <v>0</v>
      </c>
      <c r="N3340" s="35">
        <v>0</v>
      </c>
      <c r="O3340" s="35">
        <v>0</v>
      </c>
      <c r="P3340" s="35">
        <v>0</v>
      </c>
      <c r="Q3340" s="41">
        <v>0</v>
      </c>
      <c r="R3340" s="42">
        <v>19.487812727199994</v>
      </c>
      <c r="S3340" s="33" t="s">
        <v>131</v>
      </c>
      <c r="T3340" s="257">
        <f t="shared" si="111"/>
        <v>3362</v>
      </c>
      <c r="U3340" s="257">
        <f t="shared" si="112"/>
        <v>0</v>
      </c>
      <c r="V3340">
        <v>1</v>
      </c>
      <c r="W3340">
        <v>0</v>
      </c>
    </row>
    <row r="3341" spans="1:23" ht="136.80000000000001" x14ac:dyDescent="0.3">
      <c r="A3341" s="214">
        <v>44056</v>
      </c>
      <c r="B3341" s="214">
        <v>44056</v>
      </c>
      <c r="C3341" s="6">
        <v>8</v>
      </c>
      <c r="D3341" s="6">
        <v>1</v>
      </c>
      <c r="E3341" s="33">
        <v>2020</v>
      </c>
      <c r="F3341" s="15" t="s">
        <v>22</v>
      </c>
      <c r="G3341" s="18" t="s">
        <v>6256</v>
      </c>
      <c r="H3341" s="9" t="s">
        <v>174</v>
      </c>
      <c r="I3341" s="34" t="s">
        <v>2965</v>
      </c>
      <c r="J3341" s="34" t="s">
        <v>5303</v>
      </c>
      <c r="K3341" s="33">
        <v>0</v>
      </c>
      <c r="L3341" s="235">
        <v>60</v>
      </c>
      <c r="M3341" s="35">
        <v>15</v>
      </c>
      <c r="N3341" s="35">
        <v>0</v>
      </c>
      <c r="O3341" s="35">
        <v>0</v>
      </c>
      <c r="P3341" s="35">
        <v>0</v>
      </c>
      <c r="Q3341" s="41">
        <v>0</v>
      </c>
      <c r="R3341" s="42">
        <v>1.8191249999999999E-2</v>
      </c>
      <c r="S3341" s="33" t="s">
        <v>115</v>
      </c>
      <c r="T3341" s="257">
        <f t="shared" si="111"/>
        <v>60</v>
      </c>
      <c r="U3341" s="257">
        <f t="shared" si="112"/>
        <v>15</v>
      </c>
      <c r="V3341">
        <v>1</v>
      </c>
      <c r="W3341">
        <v>1</v>
      </c>
    </row>
    <row r="3342" spans="1:23" ht="102.6" x14ac:dyDescent="0.3">
      <c r="A3342" s="214">
        <v>44062</v>
      </c>
      <c r="B3342" s="214">
        <v>44063</v>
      </c>
      <c r="C3342" s="6">
        <v>8</v>
      </c>
      <c r="D3342" s="6">
        <v>2</v>
      </c>
      <c r="E3342" s="33">
        <v>2020</v>
      </c>
      <c r="F3342" s="15" t="s">
        <v>22</v>
      </c>
      <c r="G3342" s="18" t="s">
        <v>6256</v>
      </c>
      <c r="H3342" s="9" t="s">
        <v>64</v>
      </c>
      <c r="I3342" s="34" t="s">
        <v>5304</v>
      </c>
      <c r="J3342" s="34" t="s">
        <v>5305</v>
      </c>
      <c r="K3342" s="33">
        <v>1</v>
      </c>
      <c r="L3342" s="235">
        <v>0</v>
      </c>
      <c r="M3342" s="35">
        <v>0</v>
      </c>
      <c r="N3342" s="35">
        <v>0</v>
      </c>
      <c r="O3342" s="35">
        <v>0</v>
      </c>
      <c r="P3342" s="35">
        <v>0</v>
      </c>
      <c r="Q3342" s="41">
        <v>0</v>
      </c>
      <c r="R3342" s="42">
        <v>0.19836487000000003</v>
      </c>
      <c r="S3342" s="33" t="s">
        <v>115</v>
      </c>
      <c r="T3342" s="257">
        <f t="shared" si="111"/>
        <v>1</v>
      </c>
      <c r="U3342" s="257">
        <f t="shared" si="112"/>
        <v>0</v>
      </c>
      <c r="V3342">
        <v>1</v>
      </c>
      <c r="W3342">
        <v>0</v>
      </c>
    </row>
    <row r="3343" spans="1:23" ht="205.2" x14ac:dyDescent="0.3">
      <c r="A3343" s="214">
        <v>44062</v>
      </c>
      <c r="B3343" s="214">
        <v>44063</v>
      </c>
      <c r="C3343" s="6">
        <v>8</v>
      </c>
      <c r="D3343" s="6">
        <v>2</v>
      </c>
      <c r="E3343" s="33">
        <v>2020</v>
      </c>
      <c r="F3343" s="15" t="s">
        <v>22</v>
      </c>
      <c r="G3343" s="18" t="s">
        <v>6256</v>
      </c>
      <c r="H3343" s="9" t="s">
        <v>46</v>
      </c>
      <c r="I3343" s="34" t="s">
        <v>5306</v>
      </c>
      <c r="J3343" s="34" t="s">
        <v>5307</v>
      </c>
      <c r="K3343" s="33">
        <v>0</v>
      </c>
      <c r="L3343" s="235">
        <v>148</v>
      </c>
      <c r="M3343" s="35">
        <v>37</v>
      </c>
      <c r="N3343" s="35">
        <v>0</v>
      </c>
      <c r="O3343" s="35">
        <v>0</v>
      </c>
      <c r="P3343" s="35">
        <v>0</v>
      </c>
      <c r="Q3343" s="41">
        <v>0</v>
      </c>
      <c r="R3343" s="42">
        <v>0.23847175000000001</v>
      </c>
      <c r="S3343" s="33" t="s">
        <v>115</v>
      </c>
      <c r="T3343" s="257">
        <f t="shared" si="111"/>
        <v>148</v>
      </c>
      <c r="U3343" s="257">
        <f t="shared" si="112"/>
        <v>37</v>
      </c>
      <c r="V3343">
        <v>1</v>
      </c>
      <c r="W3343">
        <v>1</v>
      </c>
    </row>
    <row r="3344" spans="1:23" ht="171" x14ac:dyDescent="0.3">
      <c r="A3344" s="214">
        <v>44062</v>
      </c>
      <c r="B3344" s="214">
        <v>44062</v>
      </c>
      <c r="C3344" s="6">
        <v>8</v>
      </c>
      <c r="D3344" s="6">
        <v>1</v>
      </c>
      <c r="E3344" s="33">
        <v>2020</v>
      </c>
      <c r="F3344" s="15" t="s">
        <v>22</v>
      </c>
      <c r="G3344" s="16" t="s">
        <v>6254</v>
      </c>
      <c r="H3344" s="9" t="s">
        <v>28</v>
      </c>
      <c r="I3344" s="34"/>
      <c r="J3344" s="34" t="s">
        <v>5308</v>
      </c>
      <c r="K3344" s="33">
        <v>2</v>
      </c>
      <c r="L3344" s="235">
        <v>1336</v>
      </c>
      <c r="M3344" s="35">
        <v>0</v>
      </c>
      <c r="N3344" s="35">
        <v>0</v>
      </c>
      <c r="O3344" s="35">
        <v>0</v>
      </c>
      <c r="P3344" s="35">
        <v>0</v>
      </c>
      <c r="Q3344" s="41">
        <v>0</v>
      </c>
      <c r="R3344" s="42">
        <v>23.831992947999996</v>
      </c>
      <c r="S3344" s="33" t="s">
        <v>131</v>
      </c>
      <c r="T3344" s="257">
        <f t="shared" si="111"/>
        <v>1338</v>
      </c>
      <c r="U3344" s="257">
        <f t="shared" si="112"/>
        <v>0</v>
      </c>
      <c r="V3344">
        <v>1</v>
      </c>
      <c r="W3344">
        <v>0</v>
      </c>
    </row>
    <row r="3345" spans="1:23" ht="68.400000000000006" x14ac:dyDescent="0.3">
      <c r="A3345" s="214">
        <v>44062</v>
      </c>
      <c r="B3345" s="214">
        <v>44062</v>
      </c>
      <c r="C3345" s="6">
        <v>8</v>
      </c>
      <c r="D3345" s="6">
        <v>1</v>
      </c>
      <c r="E3345" s="33">
        <v>2020</v>
      </c>
      <c r="F3345" s="15" t="s">
        <v>22</v>
      </c>
      <c r="G3345" s="16" t="s">
        <v>6254</v>
      </c>
      <c r="H3345" s="9" t="s">
        <v>61</v>
      </c>
      <c r="I3345" s="34" t="s">
        <v>5309</v>
      </c>
      <c r="J3345" s="34" t="s">
        <v>5310</v>
      </c>
      <c r="K3345" s="33">
        <v>4</v>
      </c>
      <c r="L3345" s="235">
        <v>862</v>
      </c>
      <c r="M3345" s="35">
        <v>0</v>
      </c>
      <c r="N3345" s="35">
        <v>0</v>
      </c>
      <c r="O3345" s="35">
        <v>0</v>
      </c>
      <c r="P3345" s="35">
        <v>0</v>
      </c>
      <c r="Q3345" s="41">
        <v>0</v>
      </c>
      <c r="R3345" s="42">
        <v>1.8353186000000001</v>
      </c>
      <c r="S3345" s="33" t="s">
        <v>131</v>
      </c>
      <c r="T3345" s="257">
        <f t="shared" si="111"/>
        <v>866</v>
      </c>
      <c r="U3345" s="257">
        <f t="shared" si="112"/>
        <v>0</v>
      </c>
      <c r="V3345">
        <v>1</v>
      </c>
      <c r="W3345">
        <v>0</v>
      </c>
    </row>
    <row r="3346" spans="1:23" ht="114" x14ac:dyDescent="0.3">
      <c r="A3346" s="214">
        <v>44066</v>
      </c>
      <c r="B3346" s="214">
        <v>44066</v>
      </c>
      <c r="C3346" s="6">
        <v>8</v>
      </c>
      <c r="D3346" s="6">
        <v>1</v>
      </c>
      <c r="E3346" s="33">
        <v>2020</v>
      </c>
      <c r="F3346" s="15" t="s">
        <v>22</v>
      </c>
      <c r="G3346" s="18" t="s">
        <v>6256</v>
      </c>
      <c r="H3346" s="9" t="s">
        <v>174</v>
      </c>
      <c r="I3346" s="34" t="s">
        <v>1258</v>
      </c>
      <c r="J3346" s="34" t="s">
        <v>5311</v>
      </c>
      <c r="K3346" s="33">
        <v>0</v>
      </c>
      <c r="L3346" s="235">
        <v>40</v>
      </c>
      <c r="M3346" s="35">
        <v>10</v>
      </c>
      <c r="N3346" s="35">
        <v>0</v>
      </c>
      <c r="O3346" s="35">
        <v>1</v>
      </c>
      <c r="P3346" s="35">
        <v>0</v>
      </c>
      <c r="Q3346" s="41">
        <v>0</v>
      </c>
      <c r="R3346" s="42">
        <v>1.2127499999999999E-2</v>
      </c>
      <c r="S3346" s="33" t="s">
        <v>115</v>
      </c>
      <c r="T3346" s="257">
        <f t="shared" si="111"/>
        <v>40</v>
      </c>
      <c r="U3346" s="257">
        <f t="shared" si="112"/>
        <v>11</v>
      </c>
      <c r="V3346">
        <v>1</v>
      </c>
      <c r="W3346">
        <v>1</v>
      </c>
    </row>
    <row r="3347" spans="1:23" ht="102.6" x14ac:dyDescent="0.3">
      <c r="A3347" s="214">
        <v>44066</v>
      </c>
      <c r="B3347" s="214">
        <v>44067</v>
      </c>
      <c r="C3347" s="6">
        <v>8</v>
      </c>
      <c r="D3347" s="6">
        <v>2</v>
      </c>
      <c r="E3347" s="33">
        <v>2020</v>
      </c>
      <c r="F3347" s="15" t="s">
        <v>22</v>
      </c>
      <c r="G3347" s="18" t="s">
        <v>6256</v>
      </c>
      <c r="H3347" s="9" t="s">
        <v>61</v>
      </c>
      <c r="I3347" s="34" t="s">
        <v>5312</v>
      </c>
      <c r="J3347" s="34" t="s">
        <v>5313</v>
      </c>
      <c r="K3347" s="33">
        <v>0</v>
      </c>
      <c r="L3347" s="235">
        <v>545</v>
      </c>
      <c r="M3347" s="35">
        <v>15</v>
      </c>
      <c r="N3347" s="35">
        <v>0</v>
      </c>
      <c r="O3347" s="35">
        <v>0</v>
      </c>
      <c r="P3347" s="35">
        <v>0</v>
      </c>
      <c r="Q3347" s="41">
        <v>0</v>
      </c>
      <c r="R3347" s="42">
        <v>17.954960011840004</v>
      </c>
      <c r="S3347" s="33" t="s">
        <v>131</v>
      </c>
      <c r="T3347" s="257">
        <f t="shared" si="111"/>
        <v>545</v>
      </c>
      <c r="U3347" s="257">
        <f t="shared" si="112"/>
        <v>15</v>
      </c>
      <c r="V3347">
        <v>1</v>
      </c>
      <c r="W3347">
        <v>1</v>
      </c>
    </row>
    <row r="3348" spans="1:23" ht="57" x14ac:dyDescent="0.3">
      <c r="A3348" s="214">
        <v>44066</v>
      </c>
      <c r="B3348" s="214">
        <v>44066</v>
      </c>
      <c r="C3348" s="6">
        <v>8</v>
      </c>
      <c r="D3348" s="6">
        <v>1</v>
      </c>
      <c r="E3348" s="33">
        <v>2020</v>
      </c>
      <c r="F3348" s="15" t="s">
        <v>22</v>
      </c>
      <c r="G3348" s="18" t="s">
        <v>6256</v>
      </c>
      <c r="H3348" s="9" t="s">
        <v>31</v>
      </c>
      <c r="I3348" s="34" t="s">
        <v>5314</v>
      </c>
      <c r="J3348" s="34" t="s">
        <v>5315</v>
      </c>
      <c r="K3348" s="33">
        <v>1</v>
      </c>
      <c r="L3348" s="235">
        <v>49106</v>
      </c>
      <c r="M3348" s="35">
        <v>471</v>
      </c>
      <c r="N3348" s="35">
        <v>0</v>
      </c>
      <c r="O3348" s="35">
        <v>0</v>
      </c>
      <c r="P3348" s="35">
        <v>0</v>
      </c>
      <c r="Q3348" s="41">
        <v>0</v>
      </c>
      <c r="R3348" s="42">
        <v>30.253107147399998</v>
      </c>
      <c r="S3348" s="33" t="s">
        <v>131</v>
      </c>
      <c r="T3348" s="257">
        <f t="shared" si="111"/>
        <v>49107</v>
      </c>
      <c r="U3348" s="257">
        <f t="shared" si="112"/>
        <v>471</v>
      </c>
      <c r="V3348">
        <v>2</v>
      </c>
      <c r="W3348">
        <v>1</v>
      </c>
    </row>
    <row r="3349" spans="1:23" ht="125.4" x14ac:dyDescent="0.3">
      <c r="A3349" s="211">
        <v>41110</v>
      </c>
      <c r="B3349" s="211">
        <v>41110</v>
      </c>
      <c r="C3349" s="6">
        <v>7</v>
      </c>
      <c r="D3349" s="6">
        <v>1</v>
      </c>
      <c r="E3349" s="19">
        <v>2012</v>
      </c>
      <c r="F3349" s="15" t="s">
        <v>22</v>
      </c>
      <c r="G3349" s="82" t="s">
        <v>6256</v>
      </c>
      <c r="H3349" s="9" t="s">
        <v>48</v>
      </c>
      <c r="I3349" s="20" t="s">
        <v>3457</v>
      </c>
      <c r="J3349" s="21" t="s">
        <v>5316</v>
      </c>
      <c r="K3349" s="43">
        <v>1</v>
      </c>
      <c r="L3349" s="234">
        <v>1</v>
      </c>
      <c r="M3349" s="23">
        <v>0</v>
      </c>
      <c r="N3349" s="23">
        <v>0</v>
      </c>
      <c r="O3349" s="23">
        <v>0</v>
      </c>
      <c r="P3349" s="23">
        <v>0</v>
      </c>
      <c r="Q3349" s="23">
        <v>0</v>
      </c>
      <c r="R3349" s="24">
        <v>0</v>
      </c>
      <c r="S3349" s="6" t="s">
        <v>115</v>
      </c>
      <c r="T3349" s="257">
        <f t="shared" si="111"/>
        <v>2</v>
      </c>
      <c r="U3349" s="257">
        <f t="shared" si="112"/>
        <v>0</v>
      </c>
      <c r="V3349">
        <v>1</v>
      </c>
      <c r="W3349">
        <v>0</v>
      </c>
    </row>
    <row r="3350" spans="1:23" ht="22.8" x14ac:dyDescent="0.3">
      <c r="A3350" s="214">
        <v>44069</v>
      </c>
      <c r="B3350" s="214">
        <v>44071</v>
      </c>
      <c r="C3350" s="6">
        <v>8</v>
      </c>
      <c r="D3350" s="6">
        <v>3</v>
      </c>
      <c r="E3350" s="33">
        <v>2020</v>
      </c>
      <c r="F3350" s="15" t="s">
        <v>22</v>
      </c>
      <c r="G3350" s="18" t="s">
        <v>6256</v>
      </c>
      <c r="H3350" s="9" t="s">
        <v>39</v>
      </c>
      <c r="I3350" s="152" t="s">
        <v>25</v>
      </c>
      <c r="J3350" s="34" t="s">
        <v>5317</v>
      </c>
      <c r="K3350" s="33">
        <v>0</v>
      </c>
      <c r="L3350" s="235">
        <v>3081</v>
      </c>
      <c r="M3350" s="35">
        <v>0</v>
      </c>
      <c r="N3350" s="35">
        <v>0</v>
      </c>
      <c r="O3350" s="35">
        <v>0</v>
      </c>
      <c r="P3350" s="35">
        <v>0</v>
      </c>
      <c r="Q3350" s="41">
        <v>0</v>
      </c>
      <c r="R3350" s="42">
        <v>128.35135891039999</v>
      </c>
      <c r="S3350" s="33" t="s">
        <v>131</v>
      </c>
      <c r="T3350" s="257">
        <f t="shared" si="111"/>
        <v>3081</v>
      </c>
      <c r="U3350" s="257">
        <f t="shared" si="112"/>
        <v>0</v>
      </c>
      <c r="V3350">
        <v>1</v>
      </c>
      <c r="W3350">
        <v>0</v>
      </c>
    </row>
    <row r="3351" spans="1:23" ht="22.8" x14ac:dyDescent="0.3">
      <c r="A3351" s="214">
        <v>44070</v>
      </c>
      <c r="B3351" s="214">
        <v>44071</v>
      </c>
      <c r="C3351" s="6">
        <v>8</v>
      </c>
      <c r="D3351" s="6">
        <v>2</v>
      </c>
      <c r="E3351" s="33">
        <v>2020</v>
      </c>
      <c r="F3351" s="15" t="s">
        <v>22</v>
      </c>
      <c r="G3351" s="18" t="s">
        <v>6256</v>
      </c>
      <c r="H3351" s="9" t="s">
        <v>61</v>
      </c>
      <c r="I3351" s="152" t="s">
        <v>25</v>
      </c>
      <c r="J3351" s="34" t="s">
        <v>5318</v>
      </c>
      <c r="K3351" s="33">
        <v>0</v>
      </c>
      <c r="L3351" s="235">
        <v>1455</v>
      </c>
      <c r="M3351" s="35">
        <v>0</v>
      </c>
      <c r="N3351" s="35">
        <v>0</v>
      </c>
      <c r="O3351" s="35">
        <v>0</v>
      </c>
      <c r="P3351" s="35">
        <v>0</v>
      </c>
      <c r="Q3351" s="41">
        <v>0</v>
      </c>
      <c r="R3351" s="42">
        <v>547.96022053760009</v>
      </c>
      <c r="S3351" s="33" t="s">
        <v>131</v>
      </c>
      <c r="T3351" s="257">
        <f t="shared" si="111"/>
        <v>1455</v>
      </c>
      <c r="U3351" s="257">
        <f t="shared" si="112"/>
        <v>0</v>
      </c>
      <c r="V3351">
        <v>1</v>
      </c>
      <c r="W3351">
        <v>0</v>
      </c>
    </row>
    <row r="3352" spans="1:23" ht="148.19999999999999" x14ac:dyDescent="0.3">
      <c r="A3352" s="214">
        <v>44071</v>
      </c>
      <c r="B3352" s="214">
        <v>44071</v>
      </c>
      <c r="C3352" s="6">
        <v>8</v>
      </c>
      <c r="D3352" s="6">
        <v>1</v>
      </c>
      <c r="E3352" s="33">
        <v>2020</v>
      </c>
      <c r="F3352" s="15" t="s">
        <v>22</v>
      </c>
      <c r="G3352" s="16" t="s">
        <v>6254</v>
      </c>
      <c r="H3352" s="9" t="s">
        <v>51</v>
      </c>
      <c r="I3352" s="34" t="s">
        <v>5319</v>
      </c>
      <c r="J3352" s="34" t="s">
        <v>5320</v>
      </c>
      <c r="K3352" s="33">
        <v>0</v>
      </c>
      <c r="L3352" s="235">
        <v>19958</v>
      </c>
      <c r="M3352" s="35">
        <v>5</v>
      </c>
      <c r="N3352" s="35">
        <v>0</v>
      </c>
      <c r="O3352" s="35">
        <v>0</v>
      </c>
      <c r="P3352" s="35">
        <v>0</v>
      </c>
      <c r="Q3352" s="41">
        <v>0</v>
      </c>
      <c r="R3352" s="42">
        <v>470.42596141600001</v>
      </c>
      <c r="S3352" s="33" t="s">
        <v>131</v>
      </c>
      <c r="T3352" s="257">
        <f t="shared" si="111"/>
        <v>19958</v>
      </c>
      <c r="U3352" s="257">
        <f t="shared" si="112"/>
        <v>5</v>
      </c>
      <c r="V3352">
        <v>2</v>
      </c>
      <c r="W3352">
        <v>1</v>
      </c>
    </row>
    <row r="3353" spans="1:23" ht="91.2" x14ac:dyDescent="0.3">
      <c r="A3353" s="214">
        <v>44072</v>
      </c>
      <c r="B3353" s="214">
        <v>44072</v>
      </c>
      <c r="C3353" s="6">
        <v>8</v>
      </c>
      <c r="D3353" s="6">
        <v>1</v>
      </c>
      <c r="E3353" s="33">
        <v>2020</v>
      </c>
      <c r="F3353" s="15" t="s">
        <v>22</v>
      </c>
      <c r="G3353" s="18" t="s">
        <v>6256</v>
      </c>
      <c r="H3353" s="9" t="s">
        <v>52</v>
      </c>
      <c r="I3353" s="34" t="s">
        <v>5321</v>
      </c>
      <c r="J3353" s="34" t="s">
        <v>5322</v>
      </c>
      <c r="K3353" s="33">
        <v>0</v>
      </c>
      <c r="L3353" s="235">
        <v>24</v>
      </c>
      <c r="M3353" s="35">
        <v>10</v>
      </c>
      <c r="N3353" s="35">
        <v>0</v>
      </c>
      <c r="O3353" s="35">
        <v>0</v>
      </c>
      <c r="P3353" s="35">
        <v>0</v>
      </c>
      <c r="Q3353" s="41">
        <v>0</v>
      </c>
      <c r="R3353" s="42">
        <v>0.16212750000000001</v>
      </c>
      <c r="S3353" s="33" t="s">
        <v>115</v>
      </c>
      <c r="T3353" s="257">
        <f t="shared" si="111"/>
        <v>24</v>
      </c>
      <c r="U3353" s="257">
        <f t="shared" si="112"/>
        <v>10</v>
      </c>
      <c r="V3353">
        <v>1</v>
      </c>
      <c r="W3353">
        <v>1</v>
      </c>
    </row>
    <row r="3354" spans="1:23" ht="205.2" x14ac:dyDescent="0.3">
      <c r="A3354" s="214">
        <v>44078</v>
      </c>
      <c r="B3354" s="214">
        <v>44078</v>
      </c>
      <c r="C3354" s="6">
        <v>9</v>
      </c>
      <c r="D3354" s="6">
        <v>1</v>
      </c>
      <c r="E3354" s="33">
        <v>2020</v>
      </c>
      <c r="F3354" s="15" t="s">
        <v>22</v>
      </c>
      <c r="G3354" s="18" t="s">
        <v>6256</v>
      </c>
      <c r="H3354" s="9" t="s">
        <v>61</v>
      </c>
      <c r="I3354" s="34" t="s">
        <v>5323</v>
      </c>
      <c r="J3354" s="34" t="s">
        <v>5324</v>
      </c>
      <c r="K3354" s="33">
        <v>0</v>
      </c>
      <c r="L3354" s="235">
        <v>216</v>
      </c>
      <c r="M3354" s="35">
        <v>54</v>
      </c>
      <c r="N3354" s="35">
        <v>0</v>
      </c>
      <c r="O3354" s="35">
        <v>0</v>
      </c>
      <c r="P3354" s="35">
        <v>0</v>
      </c>
      <c r="Q3354" s="41">
        <v>0</v>
      </c>
      <c r="R3354" s="42">
        <v>6.5488500000000005E-2</v>
      </c>
      <c r="S3354" s="33" t="s">
        <v>115</v>
      </c>
      <c r="T3354" s="257">
        <f t="shared" si="111"/>
        <v>216</v>
      </c>
      <c r="U3354" s="257">
        <f t="shared" si="112"/>
        <v>54</v>
      </c>
      <c r="V3354">
        <v>1</v>
      </c>
      <c r="W3354">
        <v>1</v>
      </c>
    </row>
    <row r="3355" spans="1:23" ht="22.8" x14ac:dyDescent="0.3">
      <c r="A3355" s="214">
        <v>44079</v>
      </c>
      <c r="B3355" s="214">
        <v>44081</v>
      </c>
      <c r="C3355" s="6">
        <v>9</v>
      </c>
      <c r="D3355" s="6">
        <v>3</v>
      </c>
      <c r="E3355" s="33">
        <v>2020</v>
      </c>
      <c r="F3355" s="15" t="s">
        <v>22</v>
      </c>
      <c r="G3355" s="18" t="s">
        <v>6256</v>
      </c>
      <c r="H3355" s="9" t="s">
        <v>174</v>
      </c>
      <c r="I3355" s="152" t="s">
        <v>25</v>
      </c>
      <c r="J3355" s="34" t="s">
        <v>5325</v>
      </c>
      <c r="K3355" s="33">
        <v>0</v>
      </c>
      <c r="L3355" s="235">
        <v>2168</v>
      </c>
      <c r="M3355" s="35">
        <v>0</v>
      </c>
      <c r="N3355" s="35">
        <v>0</v>
      </c>
      <c r="O3355" s="35">
        <v>0</v>
      </c>
      <c r="P3355" s="35">
        <v>0</v>
      </c>
      <c r="Q3355" s="41">
        <v>0</v>
      </c>
      <c r="R3355" s="42">
        <v>3.6752306152000003</v>
      </c>
      <c r="S3355" s="33" t="s">
        <v>131</v>
      </c>
      <c r="T3355" s="257">
        <f t="shared" si="111"/>
        <v>2168</v>
      </c>
      <c r="U3355" s="257">
        <f t="shared" si="112"/>
        <v>0</v>
      </c>
      <c r="V3355">
        <v>1</v>
      </c>
      <c r="W3355">
        <v>0</v>
      </c>
    </row>
    <row r="3356" spans="1:23" x14ac:dyDescent="0.3">
      <c r="A3356" s="214">
        <v>44079</v>
      </c>
      <c r="B3356" s="214">
        <v>44081</v>
      </c>
      <c r="C3356" s="6">
        <v>9</v>
      </c>
      <c r="D3356" s="6">
        <v>3</v>
      </c>
      <c r="E3356" s="33">
        <v>2020</v>
      </c>
      <c r="F3356" s="7" t="s">
        <v>17</v>
      </c>
      <c r="G3356" s="8" t="s">
        <v>6261</v>
      </c>
      <c r="H3356" s="9" t="s">
        <v>61</v>
      </c>
      <c r="I3356" s="152" t="s">
        <v>25</v>
      </c>
      <c r="J3356" s="34" t="s">
        <v>5326</v>
      </c>
      <c r="K3356" s="33">
        <v>0</v>
      </c>
      <c r="L3356" s="235">
        <v>401</v>
      </c>
      <c r="M3356" s="35">
        <v>0</v>
      </c>
      <c r="N3356" s="35">
        <v>0</v>
      </c>
      <c r="O3356" s="35">
        <v>0</v>
      </c>
      <c r="P3356" s="35">
        <v>0</v>
      </c>
      <c r="Q3356" s="41">
        <v>0</v>
      </c>
      <c r="R3356" s="42">
        <v>126.840822344</v>
      </c>
      <c r="S3356" s="33" t="s">
        <v>131</v>
      </c>
      <c r="T3356" s="257">
        <f t="shared" si="111"/>
        <v>401</v>
      </c>
      <c r="U3356" s="257">
        <f t="shared" si="112"/>
        <v>0</v>
      </c>
      <c r="V3356">
        <v>1</v>
      </c>
      <c r="W3356">
        <v>0</v>
      </c>
    </row>
    <row r="3357" spans="1:23" ht="22.8" x14ac:dyDescent="0.3">
      <c r="A3357" s="214">
        <v>44079</v>
      </c>
      <c r="B3357" s="214">
        <v>44081</v>
      </c>
      <c r="C3357" s="6">
        <v>9</v>
      </c>
      <c r="D3357" s="6">
        <v>3</v>
      </c>
      <c r="E3357" s="33">
        <v>2020</v>
      </c>
      <c r="F3357" s="15" t="s">
        <v>22</v>
      </c>
      <c r="G3357" s="18" t="s">
        <v>6256</v>
      </c>
      <c r="H3357" s="9" t="s">
        <v>61</v>
      </c>
      <c r="I3357" s="152" t="s">
        <v>25</v>
      </c>
      <c r="J3357" s="34" t="s">
        <v>5327</v>
      </c>
      <c r="K3357" s="33">
        <v>0</v>
      </c>
      <c r="L3357" s="235">
        <v>0</v>
      </c>
      <c r="M3357" s="35">
        <v>0</v>
      </c>
      <c r="N3357" s="35">
        <v>0</v>
      </c>
      <c r="O3357" s="35">
        <v>0</v>
      </c>
      <c r="P3357" s="35">
        <v>0</v>
      </c>
      <c r="Q3357" s="41">
        <v>0</v>
      </c>
      <c r="R3357" s="42">
        <v>240.4331</v>
      </c>
      <c r="S3357" s="33" t="s">
        <v>131</v>
      </c>
      <c r="T3357" s="257">
        <f t="shared" si="111"/>
        <v>0</v>
      </c>
      <c r="U3357" s="257">
        <f t="shared" si="112"/>
        <v>0</v>
      </c>
      <c r="V3357">
        <v>0</v>
      </c>
      <c r="W3357">
        <v>0</v>
      </c>
    </row>
    <row r="3358" spans="1:23" ht="57" x14ac:dyDescent="0.3">
      <c r="A3358" s="211">
        <v>41127</v>
      </c>
      <c r="B3358" s="211">
        <v>41127</v>
      </c>
      <c r="C3358" s="6">
        <v>8</v>
      </c>
      <c r="D3358" s="6">
        <v>1</v>
      </c>
      <c r="E3358" s="19">
        <v>2012</v>
      </c>
      <c r="F3358" s="15" t="s">
        <v>22</v>
      </c>
      <c r="G3358" s="82" t="s">
        <v>6256</v>
      </c>
      <c r="H3358" s="9" t="s">
        <v>48</v>
      </c>
      <c r="I3358" s="20" t="s">
        <v>3457</v>
      </c>
      <c r="J3358" s="21" t="s">
        <v>5328</v>
      </c>
      <c r="K3358" s="43">
        <v>1</v>
      </c>
      <c r="L3358" s="234">
        <v>1</v>
      </c>
      <c r="M3358" s="23">
        <v>0</v>
      </c>
      <c r="N3358" s="23">
        <v>0</v>
      </c>
      <c r="O3358" s="23">
        <v>0</v>
      </c>
      <c r="P3358" s="23">
        <v>0</v>
      </c>
      <c r="Q3358" s="23">
        <v>0</v>
      </c>
      <c r="R3358" s="24">
        <v>0</v>
      </c>
      <c r="S3358" s="6" t="s">
        <v>115</v>
      </c>
      <c r="T3358" s="257">
        <f t="shared" si="111"/>
        <v>2</v>
      </c>
      <c r="U3358" s="257">
        <f t="shared" si="112"/>
        <v>0</v>
      </c>
      <c r="V3358">
        <v>1</v>
      </c>
      <c r="W3358">
        <v>0</v>
      </c>
    </row>
    <row r="3359" spans="1:23" ht="136.80000000000001" x14ac:dyDescent="0.3">
      <c r="A3359" s="214">
        <v>44084</v>
      </c>
      <c r="B3359" s="214">
        <v>44085</v>
      </c>
      <c r="C3359" s="6">
        <v>9</v>
      </c>
      <c r="D3359" s="6">
        <v>2</v>
      </c>
      <c r="E3359" s="33">
        <v>2020</v>
      </c>
      <c r="F3359" s="15" t="s">
        <v>22</v>
      </c>
      <c r="G3359" s="18" t="s">
        <v>6256</v>
      </c>
      <c r="H3359" s="9" t="s">
        <v>52</v>
      </c>
      <c r="I3359" s="34" t="s">
        <v>5329</v>
      </c>
      <c r="J3359" s="34" t="s">
        <v>5330</v>
      </c>
      <c r="K3359" s="33">
        <v>0</v>
      </c>
      <c r="L3359" s="235">
        <v>320</v>
      </c>
      <c r="M3359" s="35">
        <v>80</v>
      </c>
      <c r="N3359" s="35">
        <v>0</v>
      </c>
      <c r="O3359" s="35">
        <v>0</v>
      </c>
      <c r="P3359" s="35">
        <v>0</v>
      </c>
      <c r="Q3359" s="41">
        <v>0</v>
      </c>
      <c r="R3359" s="42">
        <v>4.8509999999999998E-2</v>
      </c>
      <c r="S3359" s="33" t="s">
        <v>115</v>
      </c>
      <c r="T3359" s="257">
        <f t="shared" si="111"/>
        <v>320</v>
      </c>
      <c r="U3359" s="257">
        <f t="shared" si="112"/>
        <v>80</v>
      </c>
      <c r="V3359">
        <v>1</v>
      </c>
      <c r="W3359">
        <v>1</v>
      </c>
    </row>
    <row r="3360" spans="1:23" ht="148.19999999999999" x14ac:dyDescent="0.3">
      <c r="A3360" s="214">
        <v>44085</v>
      </c>
      <c r="B3360" s="214">
        <v>44085</v>
      </c>
      <c r="C3360" s="6">
        <v>9</v>
      </c>
      <c r="D3360" s="6">
        <v>1</v>
      </c>
      <c r="E3360" s="33">
        <v>2020</v>
      </c>
      <c r="F3360" s="15" t="s">
        <v>22</v>
      </c>
      <c r="G3360" s="82" t="s">
        <v>6256</v>
      </c>
      <c r="H3360" s="9" t="s">
        <v>61</v>
      </c>
      <c r="I3360" s="34" t="s">
        <v>5331</v>
      </c>
      <c r="J3360" s="34" t="s">
        <v>5332</v>
      </c>
      <c r="K3360" s="33">
        <v>1</v>
      </c>
      <c r="L3360" s="235">
        <v>1</v>
      </c>
      <c r="M3360" s="35">
        <v>0</v>
      </c>
      <c r="N3360" s="35">
        <v>0</v>
      </c>
      <c r="O3360" s="35">
        <v>0</v>
      </c>
      <c r="P3360" s="35">
        <v>0</v>
      </c>
      <c r="Q3360" s="41">
        <v>0</v>
      </c>
      <c r="R3360" s="42">
        <v>0</v>
      </c>
      <c r="S3360" s="33" t="s">
        <v>115</v>
      </c>
      <c r="T3360" s="257">
        <f t="shared" si="111"/>
        <v>2</v>
      </c>
      <c r="U3360" s="257">
        <f t="shared" si="112"/>
        <v>0</v>
      </c>
      <c r="V3360">
        <v>1</v>
      </c>
      <c r="W3360">
        <v>0</v>
      </c>
    </row>
    <row r="3361" spans="1:23" ht="307.8" x14ac:dyDescent="0.3">
      <c r="A3361" s="214">
        <v>44085</v>
      </c>
      <c r="B3361" s="214">
        <v>44089</v>
      </c>
      <c r="C3361" s="6">
        <v>9</v>
      </c>
      <c r="D3361" s="6">
        <v>5</v>
      </c>
      <c r="E3361" s="33">
        <v>2020</v>
      </c>
      <c r="F3361" s="15" t="s">
        <v>22</v>
      </c>
      <c r="G3361" s="18" t="s">
        <v>6256</v>
      </c>
      <c r="H3361" s="9" t="s">
        <v>41</v>
      </c>
      <c r="I3361" s="34" t="s">
        <v>5333</v>
      </c>
      <c r="J3361" s="34" t="s">
        <v>5334</v>
      </c>
      <c r="K3361" s="33">
        <v>1</v>
      </c>
      <c r="L3361" s="235">
        <v>21434</v>
      </c>
      <c r="M3361" s="35">
        <v>0</v>
      </c>
      <c r="N3361" s="35">
        <v>0</v>
      </c>
      <c r="O3361" s="35">
        <v>0</v>
      </c>
      <c r="P3361" s="35">
        <v>0</v>
      </c>
      <c r="Q3361" s="41">
        <v>0</v>
      </c>
      <c r="R3361" s="42">
        <v>425.50508461797193</v>
      </c>
      <c r="S3361" s="33" t="s">
        <v>131</v>
      </c>
      <c r="T3361" s="257">
        <f t="shared" si="111"/>
        <v>21435</v>
      </c>
      <c r="U3361" s="257">
        <f t="shared" si="112"/>
        <v>0</v>
      </c>
      <c r="V3361">
        <v>2</v>
      </c>
      <c r="W3361">
        <v>0</v>
      </c>
    </row>
    <row r="3362" spans="1:23" ht="22.8" x14ac:dyDescent="0.3">
      <c r="A3362" s="214">
        <v>44087</v>
      </c>
      <c r="B3362" s="214">
        <v>44089</v>
      </c>
      <c r="C3362" s="6">
        <v>9</v>
      </c>
      <c r="D3362" s="6">
        <v>3</v>
      </c>
      <c r="E3362" s="33">
        <v>2020</v>
      </c>
      <c r="F3362" s="15" t="s">
        <v>22</v>
      </c>
      <c r="G3362" s="18" t="s">
        <v>6256</v>
      </c>
      <c r="H3362" s="9" t="s">
        <v>61</v>
      </c>
      <c r="I3362" s="152" t="s">
        <v>25</v>
      </c>
      <c r="J3362" s="53" t="s">
        <v>5335</v>
      </c>
      <c r="K3362" s="33">
        <v>0</v>
      </c>
      <c r="L3362" s="235">
        <v>880</v>
      </c>
      <c r="M3362" s="35">
        <v>0</v>
      </c>
      <c r="N3362" s="35">
        <v>0</v>
      </c>
      <c r="O3362" s="35">
        <v>0</v>
      </c>
      <c r="P3362" s="35">
        <v>0</v>
      </c>
      <c r="Q3362" s="41">
        <v>0</v>
      </c>
      <c r="R3362" s="42">
        <v>1.8134545399999999</v>
      </c>
      <c r="S3362" s="33" t="s">
        <v>131</v>
      </c>
      <c r="T3362" s="257">
        <f t="shared" si="111"/>
        <v>880</v>
      </c>
      <c r="U3362" s="257">
        <f t="shared" si="112"/>
        <v>0</v>
      </c>
      <c r="V3362">
        <v>1</v>
      </c>
      <c r="W3362">
        <v>0</v>
      </c>
    </row>
    <row r="3363" spans="1:23" ht="114" x14ac:dyDescent="0.3">
      <c r="A3363" s="214">
        <v>44088</v>
      </c>
      <c r="B3363" s="214">
        <v>44088</v>
      </c>
      <c r="C3363" s="6">
        <v>9</v>
      </c>
      <c r="D3363" s="6">
        <v>1</v>
      </c>
      <c r="E3363" s="33">
        <v>2020</v>
      </c>
      <c r="F3363" s="15" t="s">
        <v>22</v>
      </c>
      <c r="G3363" s="16" t="s">
        <v>6256</v>
      </c>
      <c r="H3363" s="9" t="s">
        <v>64</v>
      </c>
      <c r="I3363" s="34" t="s">
        <v>5336</v>
      </c>
      <c r="J3363" s="34" t="s">
        <v>5337</v>
      </c>
      <c r="K3363" s="33">
        <v>1</v>
      </c>
      <c r="L3363" s="235">
        <v>5</v>
      </c>
      <c r="M3363" s="35">
        <v>0</v>
      </c>
      <c r="N3363" s="35">
        <v>0</v>
      </c>
      <c r="O3363" s="35">
        <v>0</v>
      </c>
      <c r="P3363" s="35">
        <v>0</v>
      </c>
      <c r="Q3363" s="41">
        <v>0</v>
      </c>
      <c r="R3363" s="42">
        <v>9.6799999999999994E-3</v>
      </c>
      <c r="S3363" s="33" t="s">
        <v>115</v>
      </c>
      <c r="T3363" s="257">
        <f t="shared" si="111"/>
        <v>6</v>
      </c>
      <c r="U3363" s="257">
        <f t="shared" si="112"/>
        <v>0</v>
      </c>
      <c r="V3363">
        <v>1</v>
      </c>
      <c r="W3363">
        <v>0</v>
      </c>
    </row>
    <row r="3364" spans="1:23" ht="91.2" x14ac:dyDescent="0.3">
      <c r="A3364" s="214">
        <v>44089</v>
      </c>
      <c r="B3364" s="214">
        <v>44089</v>
      </c>
      <c r="C3364" s="6">
        <v>9</v>
      </c>
      <c r="D3364" s="6">
        <v>1</v>
      </c>
      <c r="E3364" s="33">
        <v>2020</v>
      </c>
      <c r="F3364" s="15" t="s">
        <v>22</v>
      </c>
      <c r="G3364" s="18" t="s">
        <v>6256</v>
      </c>
      <c r="H3364" s="9" t="s">
        <v>55</v>
      </c>
      <c r="I3364" s="34" t="s">
        <v>2409</v>
      </c>
      <c r="J3364" s="34" t="s">
        <v>5338</v>
      </c>
      <c r="K3364" s="33">
        <v>0</v>
      </c>
      <c r="L3364" s="235">
        <v>172</v>
      </c>
      <c r="M3364" s="35">
        <v>43</v>
      </c>
      <c r="N3364" s="35">
        <v>0</v>
      </c>
      <c r="O3364" s="35">
        <v>0</v>
      </c>
      <c r="P3364" s="35">
        <v>0</v>
      </c>
      <c r="Q3364" s="41">
        <v>0</v>
      </c>
      <c r="R3364" s="42">
        <v>8.032043250000001</v>
      </c>
      <c r="S3364" s="33" t="s">
        <v>115</v>
      </c>
      <c r="T3364" s="257">
        <f t="shared" si="111"/>
        <v>172</v>
      </c>
      <c r="U3364" s="257">
        <f t="shared" si="112"/>
        <v>43</v>
      </c>
      <c r="V3364">
        <v>1</v>
      </c>
      <c r="W3364">
        <v>1</v>
      </c>
    </row>
    <row r="3365" spans="1:23" ht="68.400000000000006" x14ac:dyDescent="0.3">
      <c r="A3365" s="214">
        <v>44089</v>
      </c>
      <c r="B3365" s="214">
        <v>44089</v>
      </c>
      <c r="C3365" s="6">
        <v>9</v>
      </c>
      <c r="D3365" s="6">
        <v>1</v>
      </c>
      <c r="E3365" s="33">
        <v>2020</v>
      </c>
      <c r="F3365" s="15" t="s">
        <v>22</v>
      </c>
      <c r="G3365" s="18" t="s">
        <v>6256</v>
      </c>
      <c r="H3365" s="9" t="s">
        <v>31</v>
      </c>
      <c r="I3365" s="34"/>
      <c r="J3365" s="34" t="s">
        <v>5339</v>
      </c>
      <c r="K3365" s="33">
        <v>0</v>
      </c>
      <c r="L3365" s="235">
        <v>200</v>
      </c>
      <c r="M3365" s="35">
        <v>50</v>
      </c>
      <c r="N3365" s="35">
        <v>0</v>
      </c>
      <c r="O3365" s="35">
        <v>0</v>
      </c>
      <c r="P3365" s="35">
        <v>0</v>
      </c>
      <c r="Q3365" s="41">
        <v>0</v>
      </c>
      <c r="R3365" s="42">
        <v>6.0637499999999997E-2</v>
      </c>
      <c r="S3365" s="33" t="s">
        <v>115</v>
      </c>
      <c r="T3365" s="257">
        <f t="shared" si="111"/>
        <v>200</v>
      </c>
      <c r="U3365" s="257">
        <f t="shared" si="112"/>
        <v>50</v>
      </c>
      <c r="V3365">
        <v>1</v>
      </c>
      <c r="W3365">
        <v>1</v>
      </c>
    </row>
    <row r="3366" spans="1:23" ht="57" x14ac:dyDescent="0.3">
      <c r="A3366" s="214">
        <v>44089</v>
      </c>
      <c r="B3366" s="214">
        <v>44089</v>
      </c>
      <c r="C3366" s="6">
        <v>9</v>
      </c>
      <c r="D3366" s="6">
        <v>1</v>
      </c>
      <c r="E3366" s="33">
        <v>2020</v>
      </c>
      <c r="F3366" s="15" t="s">
        <v>22</v>
      </c>
      <c r="G3366" s="9" t="s">
        <v>6257</v>
      </c>
      <c r="H3366" s="9" t="s">
        <v>118</v>
      </c>
      <c r="I3366" s="34" t="s">
        <v>672</v>
      </c>
      <c r="J3366" s="34" t="s">
        <v>5340</v>
      </c>
      <c r="K3366" s="33">
        <v>1</v>
      </c>
      <c r="L3366" s="235">
        <v>1</v>
      </c>
      <c r="M3366" s="35">
        <v>0</v>
      </c>
      <c r="N3366" s="35">
        <v>0</v>
      </c>
      <c r="O3366" s="35">
        <v>0</v>
      </c>
      <c r="P3366" s="35">
        <v>0</v>
      </c>
      <c r="Q3366" s="41">
        <v>0</v>
      </c>
      <c r="R3366" s="42">
        <v>0</v>
      </c>
      <c r="S3366" s="33" t="s">
        <v>115</v>
      </c>
      <c r="T3366" s="257">
        <f t="shared" si="111"/>
        <v>2</v>
      </c>
      <c r="U3366" s="257">
        <f t="shared" si="112"/>
        <v>0</v>
      </c>
      <c r="V3366">
        <v>1</v>
      </c>
      <c r="W3366">
        <v>0</v>
      </c>
    </row>
    <row r="3367" spans="1:23" ht="79.8" x14ac:dyDescent="0.3">
      <c r="A3367" s="214">
        <v>44090</v>
      </c>
      <c r="B3367" s="214">
        <v>44090</v>
      </c>
      <c r="C3367" s="6">
        <v>9</v>
      </c>
      <c r="D3367" s="6">
        <v>1</v>
      </c>
      <c r="E3367" s="33">
        <v>2020</v>
      </c>
      <c r="F3367" s="15" t="s">
        <v>22</v>
      </c>
      <c r="G3367" s="18" t="s">
        <v>6256</v>
      </c>
      <c r="H3367" s="9" t="s">
        <v>118</v>
      </c>
      <c r="I3367" s="34" t="s">
        <v>1273</v>
      </c>
      <c r="J3367" s="34" t="s">
        <v>5341</v>
      </c>
      <c r="K3367" s="33">
        <v>1</v>
      </c>
      <c r="L3367" s="235">
        <v>727</v>
      </c>
      <c r="M3367" s="35">
        <v>180</v>
      </c>
      <c r="N3367" s="35">
        <v>0</v>
      </c>
      <c r="O3367" s="35">
        <v>0</v>
      </c>
      <c r="P3367" s="35">
        <v>30</v>
      </c>
      <c r="Q3367" s="41">
        <v>0</v>
      </c>
      <c r="R3367" s="42">
        <v>0.51829499999999995</v>
      </c>
      <c r="S3367" s="33" t="s">
        <v>115</v>
      </c>
      <c r="T3367" s="257">
        <f t="shared" si="111"/>
        <v>728</v>
      </c>
      <c r="U3367" s="257">
        <f t="shared" si="112"/>
        <v>210</v>
      </c>
      <c r="V3367">
        <v>1</v>
      </c>
      <c r="W3367">
        <v>1</v>
      </c>
    </row>
    <row r="3368" spans="1:23" ht="57" x14ac:dyDescent="0.3">
      <c r="A3368" s="214">
        <v>44090</v>
      </c>
      <c r="B3368" s="214">
        <v>44090</v>
      </c>
      <c r="C3368" s="6">
        <v>9</v>
      </c>
      <c r="D3368" s="6">
        <v>1</v>
      </c>
      <c r="E3368" s="33">
        <v>2020</v>
      </c>
      <c r="F3368" s="15" t="s">
        <v>22</v>
      </c>
      <c r="G3368" s="18" t="s">
        <v>6256</v>
      </c>
      <c r="H3368" s="9" t="s">
        <v>174</v>
      </c>
      <c r="I3368" s="34" t="s">
        <v>1035</v>
      </c>
      <c r="J3368" s="34" t="s">
        <v>5342</v>
      </c>
      <c r="K3368" s="33">
        <v>0</v>
      </c>
      <c r="L3368" s="235">
        <v>60</v>
      </c>
      <c r="M3368" s="35">
        <v>15</v>
      </c>
      <c r="N3368" s="35">
        <v>0</v>
      </c>
      <c r="O3368" s="35">
        <v>0</v>
      </c>
      <c r="P3368" s="35">
        <v>0</v>
      </c>
      <c r="Q3368" s="41">
        <v>0</v>
      </c>
      <c r="R3368" s="42">
        <v>1.8191249999999999E-2</v>
      </c>
      <c r="S3368" s="33" t="s">
        <v>115</v>
      </c>
      <c r="T3368" s="257">
        <f t="shared" si="111"/>
        <v>60</v>
      </c>
      <c r="U3368" s="257">
        <f t="shared" si="112"/>
        <v>15</v>
      </c>
      <c r="V3368">
        <v>1</v>
      </c>
      <c r="W3368">
        <v>1</v>
      </c>
    </row>
    <row r="3369" spans="1:23" ht="102.6" x14ac:dyDescent="0.3">
      <c r="A3369" s="214">
        <v>44092</v>
      </c>
      <c r="B3369" s="214">
        <v>44092</v>
      </c>
      <c r="C3369" s="6">
        <v>9</v>
      </c>
      <c r="D3369" s="6">
        <v>1</v>
      </c>
      <c r="E3369" s="33">
        <v>2020</v>
      </c>
      <c r="F3369" s="15" t="s">
        <v>22</v>
      </c>
      <c r="G3369" s="18" t="s">
        <v>6256</v>
      </c>
      <c r="H3369" s="9" t="s">
        <v>52</v>
      </c>
      <c r="I3369" s="34" t="s">
        <v>5343</v>
      </c>
      <c r="J3369" s="34" t="s">
        <v>5344</v>
      </c>
      <c r="K3369" s="33">
        <v>0</v>
      </c>
      <c r="L3369" s="235">
        <v>60</v>
      </c>
      <c r="M3369" s="35">
        <v>15</v>
      </c>
      <c r="N3369" s="35">
        <v>0</v>
      </c>
      <c r="O3369" s="35">
        <v>0</v>
      </c>
      <c r="P3369" s="35">
        <v>0</v>
      </c>
      <c r="Q3369" s="41">
        <v>0</v>
      </c>
      <c r="R3369" s="42">
        <v>1.8191249999999999E-2</v>
      </c>
      <c r="S3369" s="33" t="s">
        <v>115</v>
      </c>
      <c r="T3369" s="257">
        <f t="shared" si="111"/>
        <v>60</v>
      </c>
      <c r="U3369" s="257">
        <f t="shared" si="112"/>
        <v>15</v>
      </c>
      <c r="V3369">
        <v>1</v>
      </c>
      <c r="W3369">
        <v>1</v>
      </c>
    </row>
    <row r="3370" spans="1:23" x14ac:dyDescent="0.3">
      <c r="A3370" s="214">
        <v>44092</v>
      </c>
      <c r="B3370" s="214">
        <v>44095</v>
      </c>
      <c r="C3370" s="6">
        <v>9</v>
      </c>
      <c r="D3370" s="6">
        <v>4</v>
      </c>
      <c r="E3370" s="33">
        <v>2020</v>
      </c>
      <c r="F3370" s="7" t="s">
        <v>17</v>
      </c>
      <c r="G3370" s="8" t="s">
        <v>6261</v>
      </c>
      <c r="H3370" s="9" t="s">
        <v>61</v>
      </c>
      <c r="I3370" s="152" t="s">
        <v>25</v>
      </c>
      <c r="J3370" s="34" t="s">
        <v>5345</v>
      </c>
      <c r="K3370" s="33">
        <v>0</v>
      </c>
      <c r="L3370" s="235">
        <v>1160</v>
      </c>
      <c r="M3370" s="35">
        <v>0</v>
      </c>
      <c r="N3370" s="35">
        <v>0</v>
      </c>
      <c r="O3370" s="35">
        <v>0</v>
      </c>
      <c r="P3370" s="35">
        <v>0</v>
      </c>
      <c r="Q3370" s="41">
        <v>0</v>
      </c>
      <c r="R3370" s="42">
        <v>267.17843537599998</v>
      </c>
      <c r="S3370" s="33" t="s">
        <v>131</v>
      </c>
      <c r="T3370" s="257">
        <f t="shared" si="111"/>
        <v>1160</v>
      </c>
      <c r="U3370" s="257">
        <f t="shared" si="112"/>
        <v>0</v>
      </c>
      <c r="V3370">
        <v>1</v>
      </c>
      <c r="W3370">
        <v>0</v>
      </c>
    </row>
    <row r="3371" spans="1:23" x14ac:dyDescent="0.3">
      <c r="A3371" s="214">
        <v>44092</v>
      </c>
      <c r="B3371" s="214">
        <v>44094</v>
      </c>
      <c r="C3371" s="6">
        <v>9</v>
      </c>
      <c r="D3371" s="6">
        <v>3</v>
      </c>
      <c r="E3371" s="33">
        <v>2020</v>
      </c>
      <c r="F3371" s="15" t="s">
        <v>22</v>
      </c>
      <c r="G3371" s="16" t="s">
        <v>6256</v>
      </c>
      <c r="H3371" s="9" t="s">
        <v>61</v>
      </c>
      <c r="I3371" s="152" t="s">
        <v>25</v>
      </c>
      <c r="J3371" s="34" t="s">
        <v>5346</v>
      </c>
      <c r="K3371" s="33">
        <v>0</v>
      </c>
      <c r="L3371" s="235">
        <v>713</v>
      </c>
      <c r="M3371" s="35">
        <v>0</v>
      </c>
      <c r="N3371" s="35">
        <v>0</v>
      </c>
      <c r="O3371" s="35">
        <v>0</v>
      </c>
      <c r="P3371" s="35">
        <v>0</v>
      </c>
      <c r="Q3371" s="41">
        <v>0</v>
      </c>
      <c r="R3371" s="42">
        <v>155.79162270800001</v>
      </c>
      <c r="S3371" s="33" t="s">
        <v>131</v>
      </c>
      <c r="T3371" s="257">
        <f t="shared" si="111"/>
        <v>713</v>
      </c>
      <c r="U3371" s="257">
        <f t="shared" si="112"/>
        <v>0</v>
      </c>
      <c r="V3371">
        <v>1</v>
      </c>
      <c r="W3371">
        <v>0</v>
      </c>
    </row>
    <row r="3372" spans="1:23" ht="409.6" x14ac:dyDescent="0.3">
      <c r="A3372" s="214">
        <v>44096</v>
      </c>
      <c r="B3372" s="214">
        <v>44096</v>
      </c>
      <c r="C3372" s="6">
        <v>9</v>
      </c>
      <c r="D3372" s="6">
        <v>1</v>
      </c>
      <c r="E3372" s="33">
        <v>2020</v>
      </c>
      <c r="F3372" s="15" t="s">
        <v>22</v>
      </c>
      <c r="G3372" s="82" t="s">
        <v>6254</v>
      </c>
      <c r="H3372" s="9" t="s">
        <v>174</v>
      </c>
      <c r="I3372" s="34" t="s">
        <v>5347</v>
      </c>
      <c r="J3372" s="34" t="s">
        <v>5348</v>
      </c>
      <c r="K3372" s="33">
        <v>0</v>
      </c>
      <c r="L3372" s="235">
        <v>5085</v>
      </c>
      <c r="M3372" s="35">
        <v>668</v>
      </c>
      <c r="N3372" s="35">
        <v>1</v>
      </c>
      <c r="O3372" s="35">
        <v>0</v>
      </c>
      <c r="P3372" s="35">
        <v>0</v>
      </c>
      <c r="Q3372" s="41">
        <v>0</v>
      </c>
      <c r="R3372" s="42">
        <v>4.7139947657920009</v>
      </c>
      <c r="S3372" s="33" t="s">
        <v>131</v>
      </c>
      <c r="T3372" s="257">
        <f t="shared" si="111"/>
        <v>5085</v>
      </c>
      <c r="U3372" s="257">
        <f t="shared" si="112"/>
        <v>669</v>
      </c>
      <c r="V3372">
        <v>1</v>
      </c>
      <c r="W3372">
        <v>1</v>
      </c>
    </row>
    <row r="3373" spans="1:23" ht="125.4" x14ac:dyDescent="0.3">
      <c r="A3373" s="214">
        <v>44098</v>
      </c>
      <c r="B3373" s="214">
        <v>44099</v>
      </c>
      <c r="C3373" s="6">
        <v>9</v>
      </c>
      <c r="D3373" s="6">
        <v>2</v>
      </c>
      <c r="E3373" s="33">
        <v>2020</v>
      </c>
      <c r="F3373" s="15" t="s">
        <v>22</v>
      </c>
      <c r="G3373" s="18" t="s">
        <v>6256</v>
      </c>
      <c r="H3373" s="9" t="s">
        <v>31</v>
      </c>
      <c r="I3373" s="34" t="s">
        <v>5349</v>
      </c>
      <c r="J3373" s="34" t="s">
        <v>5350</v>
      </c>
      <c r="K3373" s="33">
        <v>0</v>
      </c>
      <c r="L3373" s="235">
        <v>508</v>
      </c>
      <c r="M3373" s="35">
        <v>127</v>
      </c>
      <c r="N3373" s="35">
        <v>0</v>
      </c>
      <c r="O3373" s="35">
        <v>0</v>
      </c>
      <c r="P3373" s="35">
        <v>0</v>
      </c>
      <c r="Q3373" s="41">
        <v>0</v>
      </c>
      <c r="R3373" s="42">
        <v>0.1169245</v>
      </c>
      <c r="S3373" s="33" t="s">
        <v>115</v>
      </c>
      <c r="T3373" s="257">
        <f t="shared" si="111"/>
        <v>508</v>
      </c>
      <c r="U3373" s="257">
        <f t="shared" si="112"/>
        <v>127</v>
      </c>
      <c r="V3373">
        <v>1</v>
      </c>
      <c r="W3373">
        <v>1</v>
      </c>
    </row>
    <row r="3374" spans="1:23" ht="136.80000000000001" x14ac:dyDescent="0.3">
      <c r="A3374" s="214">
        <v>44099</v>
      </c>
      <c r="B3374" s="214">
        <v>44099</v>
      </c>
      <c r="C3374" s="6">
        <v>9</v>
      </c>
      <c r="D3374" s="6">
        <v>1</v>
      </c>
      <c r="E3374" s="33">
        <v>2020</v>
      </c>
      <c r="F3374" s="15" t="s">
        <v>22</v>
      </c>
      <c r="G3374" s="18" t="s">
        <v>6256</v>
      </c>
      <c r="H3374" s="9" t="s">
        <v>64</v>
      </c>
      <c r="I3374" s="34" t="s">
        <v>5351</v>
      </c>
      <c r="J3374" s="34" t="s">
        <v>5352</v>
      </c>
      <c r="K3374" s="33">
        <v>0</v>
      </c>
      <c r="L3374" s="235">
        <v>196</v>
      </c>
      <c r="M3374" s="35">
        <v>1</v>
      </c>
      <c r="N3374" s="35">
        <v>0</v>
      </c>
      <c r="O3374" s="35">
        <v>0</v>
      </c>
      <c r="P3374" s="35">
        <v>0</v>
      </c>
      <c r="Q3374" s="41">
        <v>0</v>
      </c>
      <c r="R3374" s="42">
        <v>9.8012749999999996E-2</v>
      </c>
      <c r="S3374" s="33" t="s">
        <v>115</v>
      </c>
      <c r="T3374" s="257">
        <f t="shared" si="111"/>
        <v>196</v>
      </c>
      <c r="U3374" s="257">
        <f t="shared" si="112"/>
        <v>1</v>
      </c>
      <c r="V3374">
        <v>1</v>
      </c>
      <c r="W3374">
        <v>1</v>
      </c>
    </row>
    <row r="3375" spans="1:23" ht="45.6" x14ac:dyDescent="0.3">
      <c r="A3375" s="214">
        <v>44099</v>
      </c>
      <c r="B3375" s="214">
        <v>44099</v>
      </c>
      <c r="C3375" s="6">
        <v>9</v>
      </c>
      <c r="D3375" s="6">
        <v>1</v>
      </c>
      <c r="E3375" s="33">
        <v>2020</v>
      </c>
      <c r="F3375" s="15" t="s">
        <v>22</v>
      </c>
      <c r="G3375" s="18" t="s">
        <v>6256</v>
      </c>
      <c r="H3375" s="9" t="s">
        <v>64</v>
      </c>
      <c r="I3375" s="34" t="s">
        <v>2916</v>
      </c>
      <c r="J3375" s="34" t="s">
        <v>5353</v>
      </c>
      <c r="K3375" s="33">
        <v>0</v>
      </c>
      <c r="L3375" s="235">
        <v>24</v>
      </c>
      <c r="M3375" s="35">
        <v>6</v>
      </c>
      <c r="N3375" s="35">
        <v>0</v>
      </c>
      <c r="O3375" s="35">
        <v>0</v>
      </c>
      <c r="P3375" s="35">
        <v>0</v>
      </c>
      <c r="Q3375" s="41">
        <v>0</v>
      </c>
      <c r="R3375" s="42">
        <v>7.2765E-3</v>
      </c>
      <c r="S3375" s="33" t="s">
        <v>115</v>
      </c>
      <c r="T3375" s="257">
        <f t="shared" si="111"/>
        <v>24</v>
      </c>
      <c r="U3375" s="257">
        <f t="shared" si="112"/>
        <v>6</v>
      </c>
      <c r="V3375">
        <v>1</v>
      </c>
      <c r="W3375">
        <v>1</v>
      </c>
    </row>
    <row r="3376" spans="1:23" ht="45.6" x14ac:dyDescent="0.3">
      <c r="A3376" s="214">
        <v>44099</v>
      </c>
      <c r="B3376" s="214">
        <v>44099</v>
      </c>
      <c r="C3376" s="6">
        <v>9</v>
      </c>
      <c r="D3376" s="6">
        <v>1</v>
      </c>
      <c r="E3376" s="33">
        <v>2020</v>
      </c>
      <c r="F3376" s="15" t="s">
        <v>22</v>
      </c>
      <c r="G3376" s="18" t="s">
        <v>6256</v>
      </c>
      <c r="H3376" s="9" t="s">
        <v>51</v>
      </c>
      <c r="I3376" s="34" t="s">
        <v>5354</v>
      </c>
      <c r="J3376" s="34" t="s">
        <v>5355</v>
      </c>
      <c r="K3376" s="33">
        <v>0</v>
      </c>
      <c r="L3376" s="235">
        <v>4</v>
      </c>
      <c r="M3376" s="35">
        <v>1</v>
      </c>
      <c r="N3376" s="35">
        <v>0</v>
      </c>
      <c r="O3376" s="35">
        <v>0</v>
      </c>
      <c r="P3376" s="35">
        <v>0</v>
      </c>
      <c r="Q3376" s="41">
        <v>0</v>
      </c>
      <c r="R3376" s="42">
        <v>1.2127500000000001E-3</v>
      </c>
      <c r="S3376" s="33" t="s">
        <v>115</v>
      </c>
      <c r="T3376" s="257">
        <f t="shared" si="111"/>
        <v>4</v>
      </c>
      <c r="U3376" s="257">
        <f t="shared" si="112"/>
        <v>1</v>
      </c>
      <c r="V3376">
        <v>1</v>
      </c>
      <c r="W3376">
        <v>1</v>
      </c>
    </row>
    <row r="3377" spans="1:23" ht="91.2" x14ac:dyDescent="0.3">
      <c r="A3377" s="214">
        <v>44101</v>
      </c>
      <c r="B3377" s="214">
        <v>44101</v>
      </c>
      <c r="C3377" s="6">
        <v>9</v>
      </c>
      <c r="D3377" s="6">
        <v>1</v>
      </c>
      <c r="E3377" s="33">
        <v>2020</v>
      </c>
      <c r="F3377" s="15" t="s">
        <v>22</v>
      </c>
      <c r="G3377" s="18" t="s">
        <v>6256</v>
      </c>
      <c r="H3377" s="9" t="s">
        <v>55</v>
      </c>
      <c r="I3377" s="34" t="s">
        <v>5356</v>
      </c>
      <c r="J3377" s="34" t="s">
        <v>5357</v>
      </c>
      <c r="K3377" s="33">
        <v>0</v>
      </c>
      <c r="L3377" s="235">
        <v>145</v>
      </c>
      <c r="M3377" s="35">
        <v>36</v>
      </c>
      <c r="N3377" s="35">
        <v>0</v>
      </c>
      <c r="O3377" s="35">
        <v>0</v>
      </c>
      <c r="P3377" s="35">
        <v>0</v>
      </c>
      <c r="Q3377" s="41">
        <v>0</v>
      </c>
      <c r="R3377" s="42">
        <v>4.3659000000000003E-2</v>
      </c>
      <c r="S3377" s="33" t="s">
        <v>115</v>
      </c>
      <c r="T3377" s="257">
        <f t="shared" si="111"/>
        <v>145</v>
      </c>
      <c r="U3377" s="257">
        <f t="shared" si="112"/>
        <v>36</v>
      </c>
      <c r="V3377">
        <v>1</v>
      </c>
      <c r="W3377">
        <v>1</v>
      </c>
    </row>
    <row r="3378" spans="1:23" ht="171" x14ac:dyDescent="0.3">
      <c r="A3378" s="214">
        <v>44102</v>
      </c>
      <c r="B3378" s="214">
        <v>44112</v>
      </c>
      <c r="C3378" s="6">
        <v>9</v>
      </c>
      <c r="D3378" s="6">
        <v>11</v>
      </c>
      <c r="E3378" s="33">
        <v>2020</v>
      </c>
      <c r="F3378" s="15" t="s">
        <v>22</v>
      </c>
      <c r="G3378" s="18" t="s">
        <v>6256</v>
      </c>
      <c r="H3378" s="17" t="s">
        <v>565</v>
      </c>
      <c r="I3378" s="34" t="s">
        <v>5358</v>
      </c>
      <c r="J3378" s="58" t="s">
        <v>5359</v>
      </c>
      <c r="K3378" s="33">
        <v>6</v>
      </c>
      <c r="L3378" s="235">
        <v>62325</v>
      </c>
      <c r="M3378" s="35">
        <v>12653</v>
      </c>
      <c r="N3378" s="35">
        <v>0</v>
      </c>
      <c r="O3378" s="35">
        <v>0</v>
      </c>
      <c r="P3378" s="35">
        <v>0</v>
      </c>
      <c r="Q3378" s="41">
        <v>0</v>
      </c>
      <c r="R3378" s="42">
        <v>63.248620625119997</v>
      </c>
      <c r="S3378" s="33" t="s">
        <v>131</v>
      </c>
      <c r="T3378" s="257">
        <f t="shared" si="111"/>
        <v>62331</v>
      </c>
      <c r="U3378" s="257">
        <f t="shared" si="112"/>
        <v>12653</v>
      </c>
      <c r="V3378">
        <v>2</v>
      </c>
      <c r="W3378">
        <v>3</v>
      </c>
    </row>
    <row r="3379" spans="1:23" ht="57" x14ac:dyDescent="0.3">
      <c r="A3379" s="214">
        <v>44103</v>
      </c>
      <c r="B3379" s="214">
        <v>44103</v>
      </c>
      <c r="C3379" s="6">
        <v>9</v>
      </c>
      <c r="D3379" s="6">
        <v>1</v>
      </c>
      <c r="E3379" s="33">
        <v>2020</v>
      </c>
      <c r="F3379" s="15" t="s">
        <v>22</v>
      </c>
      <c r="G3379" s="18" t="s">
        <v>6256</v>
      </c>
      <c r="H3379" s="9" t="s">
        <v>31</v>
      </c>
      <c r="I3379" s="34" t="s">
        <v>2992</v>
      </c>
      <c r="J3379" s="34" t="s">
        <v>5360</v>
      </c>
      <c r="K3379" s="33">
        <v>0</v>
      </c>
      <c r="L3379" s="235">
        <v>240</v>
      </c>
      <c r="M3379" s="35">
        <v>60</v>
      </c>
      <c r="N3379" s="35">
        <v>0</v>
      </c>
      <c r="O3379" s="35">
        <v>0</v>
      </c>
      <c r="P3379" s="35">
        <v>0</v>
      </c>
      <c r="Q3379" s="41">
        <v>0</v>
      </c>
      <c r="R3379" s="42">
        <v>7.2764999999999996E-2</v>
      </c>
      <c r="S3379" s="33" t="s">
        <v>115</v>
      </c>
      <c r="T3379" s="257">
        <f t="shared" si="111"/>
        <v>240</v>
      </c>
      <c r="U3379" s="257">
        <f t="shared" si="112"/>
        <v>60</v>
      </c>
      <c r="V3379">
        <v>1</v>
      </c>
      <c r="W3379">
        <v>1</v>
      </c>
    </row>
    <row r="3380" spans="1:23" ht="91.2" x14ac:dyDescent="0.3">
      <c r="A3380" s="214">
        <v>44103</v>
      </c>
      <c r="B3380" s="214">
        <v>44112</v>
      </c>
      <c r="C3380" s="6">
        <v>9</v>
      </c>
      <c r="D3380" s="6">
        <v>10</v>
      </c>
      <c r="E3380" s="33">
        <v>2020</v>
      </c>
      <c r="F3380" s="15" t="s">
        <v>22</v>
      </c>
      <c r="G3380" s="18" t="s">
        <v>6256</v>
      </c>
      <c r="H3380" s="9" t="s">
        <v>174</v>
      </c>
      <c r="I3380" s="34" t="s">
        <v>5361</v>
      </c>
      <c r="J3380" s="34" t="s">
        <v>5362</v>
      </c>
      <c r="K3380" s="33">
        <v>0</v>
      </c>
      <c r="L3380" s="235">
        <v>152</v>
      </c>
      <c r="M3380" s="35">
        <v>105</v>
      </c>
      <c r="N3380" s="35">
        <v>0</v>
      </c>
      <c r="O3380" s="35">
        <v>0</v>
      </c>
      <c r="P3380" s="35">
        <v>0</v>
      </c>
      <c r="Q3380" s="41">
        <v>0</v>
      </c>
      <c r="R3380" s="42">
        <v>8.1072337500000007</v>
      </c>
      <c r="S3380" s="33" t="s">
        <v>115</v>
      </c>
      <c r="T3380" s="257">
        <f t="shared" si="111"/>
        <v>152</v>
      </c>
      <c r="U3380" s="257">
        <f t="shared" si="112"/>
        <v>105</v>
      </c>
      <c r="V3380">
        <v>1</v>
      </c>
      <c r="W3380">
        <v>1</v>
      </c>
    </row>
    <row r="3381" spans="1:23" x14ac:dyDescent="0.3">
      <c r="A3381" s="214">
        <v>44103</v>
      </c>
      <c r="B3381" s="214">
        <v>44104</v>
      </c>
      <c r="C3381" s="6">
        <v>9</v>
      </c>
      <c r="D3381" s="6">
        <v>2</v>
      </c>
      <c r="E3381" s="33">
        <v>2020</v>
      </c>
      <c r="F3381" s="7" t="s">
        <v>17</v>
      </c>
      <c r="G3381" s="8" t="s">
        <v>6261</v>
      </c>
      <c r="H3381" s="9" t="s">
        <v>174</v>
      </c>
      <c r="I3381" s="152" t="s">
        <v>25</v>
      </c>
      <c r="J3381" s="34" t="s">
        <v>5363</v>
      </c>
      <c r="K3381" s="33">
        <v>0</v>
      </c>
      <c r="L3381" s="235">
        <v>0</v>
      </c>
      <c r="M3381" s="35">
        <v>0</v>
      </c>
      <c r="N3381" s="35">
        <v>0</v>
      </c>
      <c r="O3381" s="35">
        <v>0</v>
      </c>
      <c r="P3381" s="35">
        <v>0</v>
      </c>
      <c r="Q3381" s="41">
        <v>0</v>
      </c>
      <c r="R3381" s="42">
        <v>21.171900000000001</v>
      </c>
      <c r="S3381" s="33" t="s">
        <v>131</v>
      </c>
      <c r="T3381" s="257">
        <f t="shared" si="111"/>
        <v>0</v>
      </c>
      <c r="U3381" s="257">
        <f t="shared" si="112"/>
        <v>0</v>
      </c>
      <c r="V3381">
        <v>0</v>
      </c>
      <c r="W3381">
        <v>0</v>
      </c>
    </row>
    <row r="3382" spans="1:23" ht="34.200000000000003" x14ac:dyDescent="0.3">
      <c r="A3382" s="214">
        <v>44105</v>
      </c>
      <c r="B3382" s="214">
        <v>44165</v>
      </c>
      <c r="C3382" s="6">
        <v>10</v>
      </c>
      <c r="D3382" s="6">
        <v>61</v>
      </c>
      <c r="E3382" s="33">
        <v>2020</v>
      </c>
      <c r="F3382" s="15" t="s">
        <v>22</v>
      </c>
      <c r="G3382" s="18" t="s">
        <v>6256</v>
      </c>
      <c r="H3382" s="9" t="s">
        <v>31</v>
      </c>
      <c r="I3382" s="34" t="s">
        <v>1109</v>
      </c>
      <c r="J3382" s="34" t="s">
        <v>5364</v>
      </c>
      <c r="K3382" s="33">
        <v>0</v>
      </c>
      <c r="L3382" s="235">
        <v>140963</v>
      </c>
      <c r="M3382" s="35">
        <v>26013</v>
      </c>
      <c r="N3382" s="35">
        <v>12</v>
      </c>
      <c r="O3382" s="35">
        <v>2</v>
      </c>
      <c r="P3382" s="35">
        <v>0</v>
      </c>
      <c r="Q3382" s="41">
        <v>0</v>
      </c>
      <c r="R3382" s="42">
        <v>4060.9661537108877</v>
      </c>
      <c r="S3382" s="33" t="s">
        <v>5365</v>
      </c>
      <c r="T3382" s="257">
        <f t="shared" si="111"/>
        <v>140963</v>
      </c>
      <c r="U3382" s="257">
        <f t="shared" si="112"/>
        <v>26027</v>
      </c>
      <c r="V3382">
        <v>3</v>
      </c>
      <c r="W3382">
        <v>3</v>
      </c>
    </row>
    <row r="3383" spans="1:23" ht="34.200000000000003" x14ac:dyDescent="0.3">
      <c r="A3383" s="214">
        <v>44105</v>
      </c>
      <c r="B3383" s="214">
        <v>44165</v>
      </c>
      <c r="C3383" s="6">
        <v>10</v>
      </c>
      <c r="D3383" s="6">
        <v>61</v>
      </c>
      <c r="E3383" s="33">
        <v>2020</v>
      </c>
      <c r="F3383" s="7" t="s">
        <v>17</v>
      </c>
      <c r="G3383" s="8" t="s">
        <v>6261</v>
      </c>
      <c r="H3383" s="9" t="s">
        <v>31</v>
      </c>
      <c r="I3383" s="34" t="s">
        <v>1109</v>
      </c>
      <c r="J3383" s="34" t="s">
        <v>5366</v>
      </c>
      <c r="K3383" s="33">
        <v>21</v>
      </c>
      <c r="L3383" s="235">
        <v>2591</v>
      </c>
      <c r="M3383" s="35">
        <v>195</v>
      </c>
      <c r="N3383" s="35">
        <v>9</v>
      </c>
      <c r="O3383" s="35">
        <v>0</v>
      </c>
      <c r="P3383" s="35">
        <v>0</v>
      </c>
      <c r="Q3383" s="41">
        <v>0</v>
      </c>
      <c r="R3383" s="42">
        <v>1838.9668658852129</v>
      </c>
      <c r="S3383" s="33" t="s">
        <v>5365</v>
      </c>
      <c r="T3383" s="257">
        <f t="shared" si="111"/>
        <v>2612</v>
      </c>
      <c r="U3383" s="257">
        <f t="shared" si="112"/>
        <v>204</v>
      </c>
      <c r="V3383">
        <v>1</v>
      </c>
      <c r="W3383">
        <v>1</v>
      </c>
    </row>
    <row r="3384" spans="1:23" ht="114" x14ac:dyDescent="0.3">
      <c r="A3384" s="214">
        <v>44106</v>
      </c>
      <c r="B3384" s="214">
        <v>44112</v>
      </c>
      <c r="C3384" s="6">
        <v>10</v>
      </c>
      <c r="D3384" s="6">
        <v>7</v>
      </c>
      <c r="E3384" s="33">
        <v>2020</v>
      </c>
      <c r="F3384" s="15" t="s">
        <v>22</v>
      </c>
      <c r="G3384" s="82" t="s">
        <v>6254</v>
      </c>
      <c r="H3384" s="9" t="s">
        <v>124</v>
      </c>
      <c r="I3384" s="34" t="s">
        <v>5367</v>
      </c>
      <c r="J3384" s="34" t="s">
        <v>5368</v>
      </c>
      <c r="K3384" s="33">
        <v>0</v>
      </c>
      <c r="L3384" s="235">
        <v>170</v>
      </c>
      <c r="M3384" s="35">
        <v>287</v>
      </c>
      <c r="N3384" s="35">
        <v>0</v>
      </c>
      <c r="O3384" s="35">
        <v>0</v>
      </c>
      <c r="P3384" s="35">
        <v>0</v>
      </c>
      <c r="Q3384" s="41">
        <v>0</v>
      </c>
      <c r="R3384" s="42">
        <v>0.34805924999999999</v>
      </c>
      <c r="S3384" s="33" t="s">
        <v>5369</v>
      </c>
      <c r="T3384" s="257">
        <f t="shared" si="111"/>
        <v>170</v>
      </c>
      <c r="U3384" s="257">
        <f t="shared" si="112"/>
        <v>287</v>
      </c>
      <c r="V3384">
        <v>1</v>
      </c>
      <c r="W3384">
        <v>1</v>
      </c>
    </row>
    <row r="3385" spans="1:23" ht="91.2" x14ac:dyDescent="0.3">
      <c r="A3385" s="214">
        <v>44106</v>
      </c>
      <c r="B3385" s="214">
        <v>44112</v>
      </c>
      <c r="C3385" s="6">
        <v>10</v>
      </c>
      <c r="D3385" s="6">
        <v>7</v>
      </c>
      <c r="E3385" s="33">
        <v>2020</v>
      </c>
      <c r="F3385" s="15" t="s">
        <v>22</v>
      </c>
      <c r="G3385" s="82" t="s">
        <v>6254</v>
      </c>
      <c r="H3385" s="9" t="s">
        <v>69</v>
      </c>
      <c r="I3385" s="34" t="s">
        <v>5370</v>
      </c>
      <c r="J3385" s="34" t="s">
        <v>5371</v>
      </c>
      <c r="K3385" s="33">
        <v>0</v>
      </c>
      <c r="L3385" s="235">
        <v>98</v>
      </c>
      <c r="M3385" s="35">
        <v>40</v>
      </c>
      <c r="N3385" s="35">
        <v>0</v>
      </c>
      <c r="O3385" s="35">
        <v>0</v>
      </c>
      <c r="P3385" s="35">
        <v>0</v>
      </c>
      <c r="Q3385" s="41">
        <v>0</v>
      </c>
      <c r="R3385" s="42">
        <v>4.8509999999999998E-2</v>
      </c>
      <c r="S3385" s="33" t="s">
        <v>5369</v>
      </c>
      <c r="T3385" s="257">
        <f t="shared" si="111"/>
        <v>98</v>
      </c>
      <c r="U3385" s="257">
        <f t="shared" si="112"/>
        <v>40</v>
      </c>
      <c r="V3385">
        <v>1</v>
      </c>
      <c r="W3385">
        <v>1</v>
      </c>
    </row>
    <row r="3386" spans="1:23" ht="57" x14ac:dyDescent="0.3">
      <c r="A3386" s="214">
        <v>44106</v>
      </c>
      <c r="B3386" s="214">
        <v>44112</v>
      </c>
      <c r="C3386" s="6">
        <v>10</v>
      </c>
      <c r="D3386" s="6">
        <v>7</v>
      </c>
      <c r="E3386" s="33">
        <v>2020</v>
      </c>
      <c r="F3386" s="15" t="s">
        <v>22</v>
      </c>
      <c r="G3386" s="82" t="s">
        <v>6254</v>
      </c>
      <c r="H3386" s="9" t="s">
        <v>112</v>
      </c>
      <c r="I3386" s="34" t="s">
        <v>4876</v>
      </c>
      <c r="J3386" s="34" t="s">
        <v>5372</v>
      </c>
      <c r="K3386" s="33">
        <v>0</v>
      </c>
      <c r="L3386" s="235">
        <v>123</v>
      </c>
      <c r="M3386" s="35">
        <v>3</v>
      </c>
      <c r="N3386" s="35">
        <v>0</v>
      </c>
      <c r="O3386" s="35">
        <v>0</v>
      </c>
      <c r="P3386" s="35">
        <v>0</v>
      </c>
      <c r="Q3386" s="41">
        <v>0</v>
      </c>
      <c r="R3386" s="42">
        <v>3.63825E-3</v>
      </c>
      <c r="S3386" s="33" t="s">
        <v>5369</v>
      </c>
      <c r="T3386" s="257">
        <f t="shared" si="111"/>
        <v>123</v>
      </c>
      <c r="U3386" s="257">
        <f t="shared" si="112"/>
        <v>3</v>
      </c>
      <c r="V3386">
        <v>1</v>
      </c>
      <c r="W3386">
        <v>1</v>
      </c>
    </row>
    <row r="3387" spans="1:23" ht="285" x14ac:dyDescent="0.3">
      <c r="A3387" s="214">
        <v>44110</v>
      </c>
      <c r="B3387" s="214">
        <v>44112</v>
      </c>
      <c r="C3387" s="6">
        <v>10</v>
      </c>
      <c r="D3387" s="6">
        <v>3</v>
      </c>
      <c r="E3387" s="33">
        <v>2020</v>
      </c>
      <c r="F3387" s="15" t="s">
        <v>22</v>
      </c>
      <c r="G3387" s="16" t="s">
        <v>6254</v>
      </c>
      <c r="H3387" s="9" t="s">
        <v>69</v>
      </c>
      <c r="I3387" s="34" t="s">
        <v>5373</v>
      </c>
      <c r="J3387" s="34" t="s">
        <v>5374</v>
      </c>
      <c r="K3387" s="33">
        <v>0</v>
      </c>
      <c r="L3387" s="235">
        <v>20846</v>
      </c>
      <c r="M3387" s="35">
        <v>45</v>
      </c>
      <c r="N3387" s="35">
        <v>0</v>
      </c>
      <c r="O3387" s="35">
        <v>0</v>
      </c>
      <c r="P3387" s="35">
        <v>0</v>
      </c>
      <c r="Q3387" s="41">
        <v>0</v>
      </c>
      <c r="R3387" s="42">
        <v>264.88331077359999</v>
      </c>
      <c r="S3387" s="33" t="s">
        <v>131</v>
      </c>
      <c r="T3387" s="257">
        <f t="shared" si="111"/>
        <v>20846</v>
      </c>
      <c r="U3387" s="257">
        <f t="shared" si="112"/>
        <v>45</v>
      </c>
      <c r="V3387">
        <v>2</v>
      </c>
      <c r="W3387">
        <v>1</v>
      </c>
    </row>
    <row r="3388" spans="1:23" ht="125.4" x14ac:dyDescent="0.3">
      <c r="A3388" s="214">
        <v>44110</v>
      </c>
      <c r="B3388" s="214">
        <v>44112</v>
      </c>
      <c r="C3388" s="6">
        <v>10</v>
      </c>
      <c r="D3388" s="6">
        <v>3</v>
      </c>
      <c r="E3388" s="33">
        <v>2020</v>
      </c>
      <c r="F3388" s="15" t="s">
        <v>22</v>
      </c>
      <c r="G3388" s="16" t="s">
        <v>6254</v>
      </c>
      <c r="H3388" s="9" t="s">
        <v>124</v>
      </c>
      <c r="I3388" s="34" t="s">
        <v>5375</v>
      </c>
      <c r="J3388" s="34" t="s">
        <v>5376</v>
      </c>
      <c r="K3388" s="33">
        <v>0</v>
      </c>
      <c r="L3388" s="235">
        <v>72194</v>
      </c>
      <c r="M3388" s="35">
        <v>44</v>
      </c>
      <c r="N3388" s="35">
        <v>0</v>
      </c>
      <c r="O3388" s="35">
        <v>0</v>
      </c>
      <c r="P3388" s="35">
        <v>0</v>
      </c>
      <c r="Q3388" s="41">
        <v>0</v>
      </c>
      <c r="R3388" s="42">
        <v>284.17043316384002</v>
      </c>
      <c r="S3388" s="33" t="s">
        <v>131</v>
      </c>
      <c r="T3388" s="257">
        <f t="shared" si="111"/>
        <v>72194</v>
      </c>
      <c r="U3388" s="257">
        <f t="shared" si="112"/>
        <v>44</v>
      </c>
      <c r="V3388">
        <v>2</v>
      </c>
      <c r="W3388">
        <v>1</v>
      </c>
    </row>
    <row r="3389" spans="1:23" ht="114" x14ac:dyDescent="0.3">
      <c r="A3389" s="214">
        <v>44116</v>
      </c>
      <c r="B3389" s="214">
        <v>44116</v>
      </c>
      <c r="C3389" s="6">
        <v>10</v>
      </c>
      <c r="D3389" s="6">
        <v>1</v>
      </c>
      <c r="E3389" s="33">
        <v>2020</v>
      </c>
      <c r="F3389" s="15" t="s">
        <v>22</v>
      </c>
      <c r="G3389" s="82" t="s">
        <v>6256</v>
      </c>
      <c r="H3389" s="9" t="s">
        <v>61</v>
      </c>
      <c r="I3389" s="34" t="s">
        <v>5377</v>
      </c>
      <c r="J3389" s="34" t="s">
        <v>5378</v>
      </c>
      <c r="K3389" s="33">
        <v>0</v>
      </c>
      <c r="L3389" s="235">
        <v>40</v>
      </c>
      <c r="M3389" s="35">
        <v>10</v>
      </c>
      <c r="N3389" s="35">
        <v>0</v>
      </c>
      <c r="O3389" s="35">
        <v>0</v>
      </c>
      <c r="P3389" s="35">
        <v>0</v>
      </c>
      <c r="Q3389" s="41">
        <v>0</v>
      </c>
      <c r="R3389" s="42">
        <v>0.20812462000000004</v>
      </c>
      <c r="S3389" s="33" t="s">
        <v>115</v>
      </c>
      <c r="T3389" s="257">
        <f t="shared" si="111"/>
        <v>40</v>
      </c>
      <c r="U3389" s="257">
        <f t="shared" si="112"/>
        <v>10</v>
      </c>
      <c r="V3389">
        <v>1</v>
      </c>
      <c r="W3389">
        <v>1</v>
      </c>
    </row>
    <row r="3390" spans="1:23" x14ac:dyDescent="0.3">
      <c r="A3390" s="214">
        <v>44130</v>
      </c>
      <c r="B3390" s="214">
        <v>44130</v>
      </c>
      <c r="C3390" s="6">
        <v>10</v>
      </c>
      <c r="D3390" s="6">
        <v>1</v>
      </c>
      <c r="E3390" s="33">
        <v>2020</v>
      </c>
      <c r="F3390" s="15" t="s">
        <v>22</v>
      </c>
      <c r="G3390" s="18" t="s">
        <v>6256</v>
      </c>
      <c r="H3390" s="9" t="s">
        <v>69</v>
      </c>
      <c r="I3390" s="152" t="s">
        <v>25</v>
      </c>
      <c r="J3390" s="53" t="s">
        <v>5379</v>
      </c>
      <c r="K3390" s="33">
        <v>0</v>
      </c>
      <c r="L3390" s="235">
        <v>6407</v>
      </c>
      <c r="M3390" s="35">
        <v>0</v>
      </c>
      <c r="N3390" s="35">
        <v>0</v>
      </c>
      <c r="O3390" s="35">
        <v>0</v>
      </c>
      <c r="P3390" s="35">
        <v>0</v>
      </c>
      <c r="Q3390" s="41">
        <v>0</v>
      </c>
      <c r="R3390" s="42">
        <v>113.57515634800001</v>
      </c>
      <c r="S3390" s="33" t="s">
        <v>131</v>
      </c>
      <c r="T3390" s="257">
        <f t="shared" si="111"/>
        <v>6407</v>
      </c>
      <c r="U3390" s="257">
        <f t="shared" si="112"/>
        <v>0</v>
      </c>
      <c r="V3390">
        <v>1</v>
      </c>
      <c r="W3390">
        <v>0</v>
      </c>
    </row>
    <row r="3391" spans="1:23" ht="22.8" x14ac:dyDescent="0.3">
      <c r="A3391" s="214">
        <v>44131</v>
      </c>
      <c r="B3391" s="214">
        <v>44134</v>
      </c>
      <c r="C3391" s="6">
        <v>10</v>
      </c>
      <c r="D3391" s="6">
        <v>4</v>
      </c>
      <c r="E3391" s="33">
        <v>2020</v>
      </c>
      <c r="F3391" s="15" t="s">
        <v>22</v>
      </c>
      <c r="G3391" s="18" t="s">
        <v>6256</v>
      </c>
      <c r="H3391" s="9" t="s">
        <v>124</v>
      </c>
      <c r="I3391" s="152" t="s">
        <v>25</v>
      </c>
      <c r="J3391" s="53" t="s">
        <v>5380</v>
      </c>
      <c r="K3391" s="33">
        <v>0</v>
      </c>
      <c r="L3391" s="235">
        <v>6280</v>
      </c>
      <c r="M3391" s="35">
        <v>0</v>
      </c>
      <c r="N3391" s="35">
        <v>0</v>
      </c>
      <c r="O3391" s="35">
        <v>0</v>
      </c>
      <c r="P3391" s="35">
        <v>0</v>
      </c>
      <c r="Q3391" s="41">
        <v>0</v>
      </c>
      <c r="R3391" s="42">
        <v>9.8483863120000006</v>
      </c>
      <c r="S3391" s="33" t="s">
        <v>131</v>
      </c>
      <c r="T3391" s="257">
        <f t="shared" si="111"/>
        <v>6280</v>
      </c>
      <c r="U3391" s="257">
        <f t="shared" si="112"/>
        <v>0</v>
      </c>
      <c r="V3391">
        <v>1</v>
      </c>
      <c r="W3391">
        <v>0</v>
      </c>
    </row>
    <row r="3392" spans="1:23" ht="57" x14ac:dyDescent="0.3">
      <c r="A3392" s="214">
        <v>44133</v>
      </c>
      <c r="B3392" s="214">
        <v>44154</v>
      </c>
      <c r="C3392" s="6">
        <v>10</v>
      </c>
      <c r="D3392" s="6">
        <v>22</v>
      </c>
      <c r="E3392" s="33">
        <v>2020</v>
      </c>
      <c r="F3392" s="15" t="s">
        <v>22</v>
      </c>
      <c r="G3392" s="18" t="s">
        <v>6256</v>
      </c>
      <c r="H3392" s="17" t="s">
        <v>565</v>
      </c>
      <c r="I3392" s="34" t="s">
        <v>5358</v>
      </c>
      <c r="J3392" s="34" t="s">
        <v>5381</v>
      </c>
      <c r="K3392" s="33">
        <v>10</v>
      </c>
      <c r="L3392" s="235">
        <v>801600</v>
      </c>
      <c r="M3392" s="35">
        <v>200400</v>
      </c>
      <c r="N3392" s="35">
        <v>511</v>
      </c>
      <c r="O3392" s="35">
        <v>0</v>
      </c>
      <c r="P3392" s="35">
        <v>0</v>
      </c>
      <c r="Q3392" s="41">
        <v>151409.20000000001</v>
      </c>
      <c r="R3392" s="42">
        <v>13580.56011719139</v>
      </c>
      <c r="S3392" s="33" t="s">
        <v>5382</v>
      </c>
      <c r="T3392" s="257">
        <f t="shared" si="111"/>
        <v>801610</v>
      </c>
      <c r="U3392" s="257">
        <f t="shared" si="112"/>
        <v>200911</v>
      </c>
      <c r="V3392">
        <v>4</v>
      </c>
      <c r="W3392">
        <v>5</v>
      </c>
    </row>
    <row r="3393" spans="1:23" ht="22.8" x14ac:dyDescent="0.3">
      <c r="A3393" s="214">
        <v>44134</v>
      </c>
      <c r="B3393" s="214">
        <v>44136</v>
      </c>
      <c r="C3393" s="6">
        <v>10</v>
      </c>
      <c r="D3393" s="6">
        <v>3</v>
      </c>
      <c r="E3393" s="33">
        <v>2020</v>
      </c>
      <c r="F3393" s="15" t="s">
        <v>22</v>
      </c>
      <c r="G3393" s="18" t="s">
        <v>6256</v>
      </c>
      <c r="H3393" s="9" t="s">
        <v>174</v>
      </c>
      <c r="I3393" s="152" t="s">
        <v>25</v>
      </c>
      <c r="J3393" s="53" t="s">
        <v>5383</v>
      </c>
      <c r="K3393" s="33">
        <v>0</v>
      </c>
      <c r="L3393" s="235">
        <v>3891</v>
      </c>
      <c r="M3393" s="35">
        <v>0</v>
      </c>
      <c r="N3393" s="35">
        <v>0</v>
      </c>
      <c r="O3393" s="35">
        <v>0</v>
      </c>
      <c r="P3393" s="35">
        <v>0</v>
      </c>
      <c r="Q3393" s="41">
        <v>0</v>
      </c>
      <c r="R3393" s="42">
        <v>840.91295102399999</v>
      </c>
      <c r="S3393" s="33" t="s">
        <v>131</v>
      </c>
      <c r="T3393" s="257">
        <f t="shared" si="111"/>
        <v>3891</v>
      </c>
      <c r="U3393" s="257">
        <f t="shared" si="112"/>
        <v>0</v>
      </c>
      <c r="V3393">
        <v>1</v>
      </c>
      <c r="W3393">
        <v>0</v>
      </c>
    </row>
    <row r="3394" spans="1:23" ht="102.6" x14ac:dyDescent="0.3">
      <c r="A3394" s="214">
        <v>44141</v>
      </c>
      <c r="B3394" s="214">
        <v>44141</v>
      </c>
      <c r="C3394" s="6">
        <v>11</v>
      </c>
      <c r="D3394" s="6">
        <v>1</v>
      </c>
      <c r="E3394" s="33">
        <v>2020</v>
      </c>
      <c r="F3394" s="15" t="s">
        <v>22</v>
      </c>
      <c r="G3394" s="18" t="s">
        <v>6256</v>
      </c>
      <c r="H3394" s="9" t="s">
        <v>174</v>
      </c>
      <c r="I3394" s="34" t="s">
        <v>5384</v>
      </c>
      <c r="J3394" s="34" t="s">
        <v>5385</v>
      </c>
      <c r="K3394" s="33">
        <v>0</v>
      </c>
      <c r="L3394" s="235">
        <v>22993</v>
      </c>
      <c r="M3394" s="35">
        <v>5790</v>
      </c>
      <c r="N3394" s="35">
        <v>1</v>
      </c>
      <c r="O3394" s="35">
        <v>0</v>
      </c>
      <c r="P3394" s="35">
        <v>0</v>
      </c>
      <c r="Q3394" s="41">
        <v>0</v>
      </c>
      <c r="R3394" s="42">
        <v>405.92055400319998</v>
      </c>
      <c r="S3394" s="33" t="s">
        <v>131</v>
      </c>
      <c r="T3394" s="257">
        <f t="shared" si="111"/>
        <v>22993</v>
      </c>
      <c r="U3394" s="257">
        <f t="shared" si="112"/>
        <v>5791</v>
      </c>
      <c r="V3394">
        <v>2</v>
      </c>
      <c r="W3394">
        <v>2</v>
      </c>
    </row>
    <row r="3395" spans="1:23" x14ac:dyDescent="0.3">
      <c r="A3395" s="214">
        <v>44156</v>
      </c>
      <c r="B3395" s="214">
        <v>44157</v>
      </c>
      <c r="C3395" s="6">
        <v>11</v>
      </c>
      <c r="D3395" s="6">
        <v>2</v>
      </c>
      <c r="E3395" s="33">
        <v>2020</v>
      </c>
      <c r="F3395" s="15" t="s">
        <v>22</v>
      </c>
      <c r="G3395" s="16" t="s">
        <v>6256</v>
      </c>
      <c r="H3395" s="9" t="s">
        <v>174</v>
      </c>
      <c r="I3395" s="152" t="s">
        <v>25</v>
      </c>
      <c r="J3395" s="34" t="s">
        <v>5386</v>
      </c>
      <c r="K3395" s="33">
        <v>0</v>
      </c>
      <c r="L3395" s="235">
        <v>11280</v>
      </c>
      <c r="M3395" s="35">
        <v>0</v>
      </c>
      <c r="N3395" s="35">
        <v>0</v>
      </c>
      <c r="O3395" s="35">
        <v>0</v>
      </c>
      <c r="P3395" s="35">
        <v>0</v>
      </c>
      <c r="Q3395" s="41">
        <v>0</v>
      </c>
      <c r="R3395" s="42">
        <v>46.499141159999994</v>
      </c>
      <c r="S3395" s="33" t="s">
        <v>131</v>
      </c>
      <c r="T3395" s="257">
        <f t="shared" ref="T3395:T3458" si="113">SUM(K3395:L3395)</f>
        <v>11280</v>
      </c>
      <c r="U3395" s="257">
        <f t="shared" ref="U3395:U3458" si="114">SUM(M3395:P3395)</f>
        <v>0</v>
      </c>
      <c r="V3395">
        <v>2</v>
      </c>
      <c r="W3395">
        <v>0</v>
      </c>
    </row>
    <row r="3396" spans="1:23" ht="216.6" x14ac:dyDescent="0.3">
      <c r="A3396" s="214">
        <v>44182</v>
      </c>
      <c r="B3396" s="214">
        <v>44182</v>
      </c>
      <c r="C3396" s="6">
        <v>12</v>
      </c>
      <c r="D3396" s="6">
        <v>1</v>
      </c>
      <c r="E3396" s="33">
        <v>2020</v>
      </c>
      <c r="F3396" s="15" t="s">
        <v>22</v>
      </c>
      <c r="G3396" s="18" t="s">
        <v>6256</v>
      </c>
      <c r="H3396" s="9" t="s">
        <v>174</v>
      </c>
      <c r="I3396" s="34" t="s">
        <v>1078</v>
      </c>
      <c r="J3396" s="34" t="s">
        <v>5387</v>
      </c>
      <c r="K3396" s="33">
        <v>0</v>
      </c>
      <c r="L3396" s="235">
        <v>8060</v>
      </c>
      <c r="M3396" s="35">
        <v>2100</v>
      </c>
      <c r="N3396" s="35">
        <v>0</v>
      </c>
      <c r="O3396" s="35">
        <v>2</v>
      </c>
      <c r="P3396" s="35">
        <v>10</v>
      </c>
      <c r="Q3396" s="41">
        <v>0</v>
      </c>
      <c r="R3396" s="42">
        <v>7.5584497839999996</v>
      </c>
      <c r="S3396" s="33" t="s">
        <v>131</v>
      </c>
      <c r="T3396" s="257">
        <f t="shared" si="113"/>
        <v>8060</v>
      </c>
      <c r="U3396" s="257">
        <f t="shared" si="114"/>
        <v>2112</v>
      </c>
      <c r="V3396">
        <v>1</v>
      </c>
      <c r="W3396">
        <v>2</v>
      </c>
    </row>
    <row r="3397" spans="1:23" ht="409.6" x14ac:dyDescent="0.3">
      <c r="A3397" s="214">
        <v>44189</v>
      </c>
      <c r="B3397" s="214">
        <v>44189</v>
      </c>
      <c r="C3397" s="6">
        <v>12</v>
      </c>
      <c r="D3397" s="6">
        <v>1</v>
      </c>
      <c r="E3397" s="33">
        <v>2020</v>
      </c>
      <c r="F3397" s="15" t="s">
        <v>22</v>
      </c>
      <c r="G3397" s="9" t="s">
        <v>6257</v>
      </c>
      <c r="H3397" s="9" t="s">
        <v>174</v>
      </c>
      <c r="I3397" s="34" t="s">
        <v>5388</v>
      </c>
      <c r="J3397" s="34" t="s">
        <v>5389</v>
      </c>
      <c r="K3397" s="33">
        <v>0</v>
      </c>
      <c r="L3397" s="235">
        <v>609</v>
      </c>
      <c r="M3397" s="35">
        <v>150</v>
      </c>
      <c r="N3397" s="35">
        <v>2</v>
      </c>
      <c r="O3397" s="35">
        <v>1</v>
      </c>
      <c r="P3397" s="35">
        <v>2</v>
      </c>
      <c r="Q3397" s="41">
        <v>0</v>
      </c>
      <c r="R3397" s="42">
        <v>8.3101499999999995E-2</v>
      </c>
      <c r="S3397" s="33" t="s">
        <v>115</v>
      </c>
      <c r="T3397" s="257">
        <f t="shared" si="113"/>
        <v>609</v>
      </c>
      <c r="U3397" s="257">
        <f t="shared" si="114"/>
        <v>155</v>
      </c>
      <c r="V3397">
        <v>1</v>
      </c>
      <c r="W3397">
        <v>1</v>
      </c>
    </row>
    <row r="3398" spans="1:23" x14ac:dyDescent="0.3">
      <c r="A3398" s="214">
        <v>44195</v>
      </c>
      <c r="B3398" s="214">
        <v>44196</v>
      </c>
      <c r="C3398" s="6">
        <v>12</v>
      </c>
      <c r="D3398" s="6">
        <v>2</v>
      </c>
      <c r="E3398" s="33">
        <v>2020</v>
      </c>
      <c r="F3398" s="15" t="s">
        <v>22</v>
      </c>
      <c r="G3398" s="18" t="s">
        <v>6255</v>
      </c>
      <c r="H3398" s="9" t="s">
        <v>41</v>
      </c>
      <c r="I3398" s="34">
        <v>13</v>
      </c>
      <c r="J3398" s="34" t="s">
        <v>5390</v>
      </c>
      <c r="K3398" s="33">
        <v>0</v>
      </c>
      <c r="L3398" s="235">
        <v>0</v>
      </c>
      <c r="M3398" s="35">
        <v>0</v>
      </c>
      <c r="N3398" s="35">
        <v>0</v>
      </c>
      <c r="O3398" s="35">
        <v>0</v>
      </c>
      <c r="P3398" s="35">
        <v>0</v>
      </c>
      <c r="Q3398" s="41">
        <v>0</v>
      </c>
      <c r="R3398" s="42">
        <v>14.651238359999999</v>
      </c>
      <c r="S3398" s="33" t="s">
        <v>149</v>
      </c>
      <c r="T3398" s="257">
        <f t="shared" si="113"/>
        <v>0</v>
      </c>
      <c r="U3398" s="257">
        <f t="shared" si="114"/>
        <v>0</v>
      </c>
      <c r="V3398">
        <v>0</v>
      </c>
      <c r="W3398">
        <v>0</v>
      </c>
    </row>
    <row r="3399" spans="1:23" ht="22.8" x14ac:dyDescent="0.3">
      <c r="A3399" s="214">
        <v>44195</v>
      </c>
      <c r="B3399" s="214">
        <v>44196</v>
      </c>
      <c r="C3399" s="6">
        <v>12</v>
      </c>
      <c r="D3399" s="6">
        <v>2</v>
      </c>
      <c r="E3399" s="33">
        <v>2020</v>
      </c>
      <c r="F3399" s="15" t="s">
        <v>22</v>
      </c>
      <c r="G3399" s="18" t="s">
        <v>6255</v>
      </c>
      <c r="H3399" s="9" t="s">
        <v>34</v>
      </c>
      <c r="I3399" s="34">
        <v>17</v>
      </c>
      <c r="J3399" s="34" t="s">
        <v>5391</v>
      </c>
      <c r="K3399" s="33">
        <v>0</v>
      </c>
      <c r="L3399" s="235">
        <v>0</v>
      </c>
      <c r="M3399" s="35">
        <v>0</v>
      </c>
      <c r="N3399" s="35">
        <v>0</v>
      </c>
      <c r="O3399" s="35">
        <v>0</v>
      </c>
      <c r="P3399" s="35">
        <v>0</v>
      </c>
      <c r="Q3399" s="41">
        <v>0</v>
      </c>
      <c r="R3399" s="42">
        <v>26.530080999999999</v>
      </c>
      <c r="S3399" s="33" t="s">
        <v>149</v>
      </c>
      <c r="T3399" s="257">
        <f t="shared" si="113"/>
        <v>0</v>
      </c>
      <c r="U3399" s="257">
        <f t="shared" si="114"/>
        <v>0</v>
      </c>
      <c r="V3399">
        <v>0</v>
      </c>
      <c r="W3399">
        <v>0</v>
      </c>
    </row>
    <row r="3400" spans="1:23" x14ac:dyDescent="0.3">
      <c r="A3400" s="214">
        <v>44195</v>
      </c>
      <c r="B3400" s="214">
        <v>44196</v>
      </c>
      <c r="C3400" s="6">
        <v>12</v>
      </c>
      <c r="D3400" s="6">
        <v>2</v>
      </c>
      <c r="E3400" s="33">
        <v>2020</v>
      </c>
      <c r="F3400" s="15" t="s">
        <v>22</v>
      </c>
      <c r="G3400" s="18" t="s">
        <v>6255</v>
      </c>
      <c r="H3400" s="9" t="s">
        <v>34</v>
      </c>
      <c r="I3400" s="34">
        <v>9</v>
      </c>
      <c r="J3400" s="34" t="s">
        <v>5390</v>
      </c>
      <c r="K3400" s="33">
        <v>0</v>
      </c>
      <c r="L3400" s="235">
        <v>0</v>
      </c>
      <c r="M3400" s="35">
        <v>0</v>
      </c>
      <c r="N3400" s="35">
        <v>0</v>
      </c>
      <c r="O3400" s="35">
        <v>0</v>
      </c>
      <c r="P3400" s="35">
        <v>0</v>
      </c>
      <c r="Q3400" s="41">
        <v>0</v>
      </c>
      <c r="R3400" s="42">
        <v>7.2573080000000001</v>
      </c>
      <c r="S3400" s="33" t="s">
        <v>149</v>
      </c>
      <c r="T3400" s="257">
        <f t="shared" si="113"/>
        <v>0</v>
      </c>
      <c r="U3400" s="257">
        <f t="shared" si="114"/>
        <v>0</v>
      </c>
      <c r="V3400">
        <v>0</v>
      </c>
      <c r="W3400">
        <v>0</v>
      </c>
    </row>
    <row r="3401" spans="1:23" ht="34.200000000000003" x14ac:dyDescent="0.3">
      <c r="A3401" s="214">
        <v>44197</v>
      </c>
      <c r="B3401" s="214">
        <v>44561</v>
      </c>
      <c r="C3401" s="6">
        <v>1</v>
      </c>
      <c r="D3401" s="6">
        <v>365</v>
      </c>
      <c r="E3401" s="33">
        <v>2021</v>
      </c>
      <c r="F3401" s="15" t="s">
        <v>22</v>
      </c>
      <c r="G3401" s="18" t="s">
        <v>6255</v>
      </c>
      <c r="H3401" s="9" t="s">
        <v>27</v>
      </c>
      <c r="I3401" s="34" t="s">
        <v>670</v>
      </c>
      <c r="J3401" s="58" t="s">
        <v>5392</v>
      </c>
      <c r="K3401" s="33">
        <v>2</v>
      </c>
      <c r="L3401" s="236">
        <v>108</v>
      </c>
      <c r="M3401" s="35">
        <v>0</v>
      </c>
      <c r="N3401" s="35">
        <v>0</v>
      </c>
      <c r="O3401" s="35">
        <v>0</v>
      </c>
      <c r="P3401" s="35">
        <v>0</v>
      </c>
      <c r="Q3401" s="35">
        <v>0</v>
      </c>
      <c r="R3401" s="42">
        <v>0</v>
      </c>
      <c r="S3401" s="7" t="s">
        <v>4664</v>
      </c>
      <c r="T3401" s="257">
        <f t="shared" si="113"/>
        <v>110</v>
      </c>
      <c r="U3401" s="257">
        <f t="shared" si="114"/>
        <v>0</v>
      </c>
      <c r="V3401">
        <v>1</v>
      </c>
      <c r="W3401">
        <v>0</v>
      </c>
    </row>
    <row r="3402" spans="1:23" ht="22.8" x14ac:dyDescent="0.3">
      <c r="A3402" s="214">
        <v>44197</v>
      </c>
      <c r="B3402" s="214">
        <v>44561</v>
      </c>
      <c r="C3402" s="6">
        <v>1</v>
      </c>
      <c r="D3402" s="6">
        <v>365</v>
      </c>
      <c r="E3402" s="33">
        <v>2021</v>
      </c>
      <c r="F3402" s="15" t="s">
        <v>22</v>
      </c>
      <c r="G3402" s="18" t="s">
        <v>6255</v>
      </c>
      <c r="H3402" s="9" t="s">
        <v>51</v>
      </c>
      <c r="I3402" s="34" t="s">
        <v>25</v>
      </c>
      <c r="J3402" s="58" t="s">
        <v>5393</v>
      </c>
      <c r="K3402" s="33">
        <v>1</v>
      </c>
      <c r="L3402" s="236">
        <v>1</v>
      </c>
      <c r="M3402" s="35">
        <v>0</v>
      </c>
      <c r="N3402" s="35">
        <v>0</v>
      </c>
      <c r="O3402" s="35">
        <v>0</v>
      </c>
      <c r="P3402" s="35">
        <v>0</v>
      </c>
      <c r="Q3402" s="35">
        <v>2029.03</v>
      </c>
      <c r="R3402" s="42">
        <v>0</v>
      </c>
      <c r="S3402" s="7" t="s">
        <v>4664</v>
      </c>
      <c r="T3402" s="257">
        <f t="shared" si="113"/>
        <v>2</v>
      </c>
      <c r="U3402" s="257">
        <f t="shared" si="114"/>
        <v>0</v>
      </c>
      <c r="V3402">
        <v>1</v>
      </c>
      <c r="W3402">
        <v>0</v>
      </c>
    </row>
    <row r="3403" spans="1:23" x14ac:dyDescent="0.3">
      <c r="A3403" s="214">
        <v>44197</v>
      </c>
      <c r="B3403" s="214">
        <v>44561</v>
      </c>
      <c r="C3403" s="6">
        <v>1</v>
      </c>
      <c r="D3403" s="6">
        <v>365</v>
      </c>
      <c r="E3403" s="33">
        <v>2021</v>
      </c>
      <c r="F3403" s="15" t="s">
        <v>22</v>
      </c>
      <c r="G3403" s="18" t="s">
        <v>6255</v>
      </c>
      <c r="H3403" s="9" t="s">
        <v>31</v>
      </c>
      <c r="I3403" s="34" t="s">
        <v>25</v>
      </c>
      <c r="J3403" s="152" t="s">
        <v>5394</v>
      </c>
      <c r="K3403" s="33">
        <v>0</v>
      </c>
      <c r="L3403" s="236">
        <v>2</v>
      </c>
      <c r="M3403" s="35">
        <v>0</v>
      </c>
      <c r="N3403" s="35">
        <v>0</v>
      </c>
      <c r="O3403" s="35">
        <v>0</v>
      </c>
      <c r="P3403" s="35">
        <v>0</v>
      </c>
      <c r="Q3403" s="35">
        <v>0</v>
      </c>
      <c r="R3403" s="42">
        <v>0</v>
      </c>
      <c r="S3403" s="7" t="s">
        <v>4664</v>
      </c>
      <c r="T3403" s="257">
        <f t="shared" si="113"/>
        <v>2</v>
      </c>
      <c r="U3403" s="257">
        <f t="shared" si="114"/>
        <v>0</v>
      </c>
      <c r="V3403">
        <v>1</v>
      </c>
      <c r="W3403">
        <v>0</v>
      </c>
    </row>
    <row r="3404" spans="1:23" ht="45.6" x14ac:dyDescent="0.3">
      <c r="A3404" s="214">
        <v>44197</v>
      </c>
      <c r="B3404" s="214">
        <v>44561</v>
      </c>
      <c r="C3404" s="6">
        <v>1</v>
      </c>
      <c r="D3404" s="6">
        <v>365</v>
      </c>
      <c r="E3404" s="33">
        <v>2021</v>
      </c>
      <c r="F3404" s="15" t="s">
        <v>22</v>
      </c>
      <c r="G3404" s="18" t="s">
        <v>6255</v>
      </c>
      <c r="H3404" s="9" t="s">
        <v>34</v>
      </c>
      <c r="I3404" s="34" t="s">
        <v>25</v>
      </c>
      <c r="J3404" s="152" t="s">
        <v>5395</v>
      </c>
      <c r="K3404" s="33">
        <v>7</v>
      </c>
      <c r="L3404" s="236">
        <v>56</v>
      </c>
      <c r="M3404" s="35">
        <v>0</v>
      </c>
      <c r="N3404" s="35">
        <v>0</v>
      </c>
      <c r="O3404" s="35">
        <v>0</v>
      </c>
      <c r="P3404" s="35">
        <v>0</v>
      </c>
      <c r="Q3404" s="35">
        <v>0</v>
      </c>
      <c r="R3404" s="42">
        <v>0</v>
      </c>
      <c r="S3404" s="7" t="s">
        <v>4664</v>
      </c>
      <c r="T3404" s="257">
        <f t="shared" si="113"/>
        <v>63</v>
      </c>
      <c r="U3404" s="257">
        <f t="shared" si="114"/>
        <v>0</v>
      </c>
      <c r="V3404">
        <v>1</v>
      </c>
      <c r="W3404">
        <v>0</v>
      </c>
    </row>
    <row r="3405" spans="1:23" x14ac:dyDescent="0.3">
      <c r="A3405" s="214">
        <v>44197</v>
      </c>
      <c r="B3405" s="214">
        <v>44561</v>
      </c>
      <c r="C3405" s="6">
        <v>1</v>
      </c>
      <c r="D3405" s="6">
        <v>365</v>
      </c>
      <c r="E3405" s="33">
        <v>2021</v>
      </c>
      <c r="F3405" s="15" t="s">
        <v>22</v>
      </c>
      <c r="G3405" s="18" t="s">
        <v>6255</v>
      </c>
      <c r="H3405" s="9" t="s">
        <v>37</v>
      </c>
      <c r="I3405" s="34" t="s">
        <v>25</v>
      </c>
      <c r="J3405" s="152" t="s">
        <v>5396</v>
      </c>
      <c r="K3405" s="33">
        <v>0</v>
      </c>
      <c r="L3405" s="236">
        <v>3</v>
      </c>
      <c r="M3405" s="35">
        <v>0</v>
      </c>
      <c r="N3405" s="35">
        <v>0</v>
      </c>
      <c r="O3405" s="35">
        <v>0</v>
      </c>
      <c r="P3405" s="35">
        <v>0</v>
      </c>
      <c r="Q3405" s="35">
        <v>0</v>
      </c>
      <c r="R3405" s="42">
        <v>0</v>
      </c>
      <c r="S3405" s="7" t="s">
        <v>4664</v>
      </c>
      <c r="T3405" s="257">
        <f t="shared" si="113"/>
        <v>3</v>
      </c>
      <c r="U3405" s="257">
        <f t="shared" si="114"/>
        <v>0</v>
      </c>
      <c r="V3405">
        <v>1</v>
      </c>
      <c r="W3405">
        <v>0</v>
      </c>
    </row>
    <row r="3406" spans="1:23" ht="22.8" x14ac:dyDescent="0.3">
      <c r="A3406" s="214">
        <v>44197</v>
      </c>
      <c r="B3406" s="214">
        <v>44561</v>
      </c>
      <c r="C3406" s="6">
        <v>1</v>
      </c>
      <c r="D3406" s="6">
        <v>365</v>
      </c>
      <c r="E3406" s="33">
        <v>2021</v>
      </c>
      <c r="F3406" s="15" t="s">
        <v>22</v>
      </c>
      <c r="G3406" s="18" t="s">
        <v>6255</v>
      </c>
      <c r="H3406" s="9" t="s">
        <v>41</v>
      </c>
      <c r="I3406" s="34" t="s">
        <v>25</v>
      </c>
      <c r="J3406" s="152" t="s">
        <v>5397</v>
      </c>
      <c r="K3406" s="33">
        <v>3</v>
      </c>
      <c r="L3406" s="236">
        <v>3</v>
      </c>
      <c r="M3406" s="35">
        <v>0</v>
      </c>
      <c r="N3406" s="35">
        <v>0</v>
      </c>
      <c r="O3406" s="35">
        <v>0</v>
      </c>
      <c r="P3406" s="35">
        <v>0</v>
      </c>
      <c r="Q3406" s="35">
        <v>0</v>
      </c>
      <c r="R3406" s="42">
        <v>0</v>
      </c>
      <c r="S3406" s="7" t="s">
        <v>4664</v>
      </c>
      <c r="T3406" s="257">
        <f t="shared" si="113"/>
        <v>6</v>
      </c>
      <c r="U3406" s="257">
        <f t="shared" si="114"/>
        <v>0</v>
      </c>
      <c r="V3406">
        <v>1</v>
      </c>
      <c r="W3406">
        <v>0</v>
      </c>
    </row>
    <row r="3407" spans="1:23" ht="22.8" x14ac:dyDescent="0.3">
      <c r="A3407" s="214">
        <v>44197</v>
      </c>
      <c r="B3407" s="214">
        <v>44561</v>
      </c>
      <c r="C3407" s="6">
        <v>1</v>
      </c>
      <c r="D3407" s="6">
        <v>365</v>
      </c>
      <c r="E3407" s="33">
        <v>2021</v>
      </c>
      <c r="F3407" s="15" t="s">
        <v>22</v>
      </c>
      <c r="G3407" s="18" t="s">
        <v>6255</v>
      </c>
      <c r="H3407" s="9" t="s">
        <v>121</v>
      </c>
      <c r="I3407" s="34" t="s">
        <v>25</v>
      </c>
      <c r="J3407" s="152" t="s">
        <v>5398</v>
      </c>
      <c r="K3407" s="33">
        <v>0</v>
      </c>
      <c r="L3407" s="236">
        <v>3</v>
      </c>
      <c r="M3407" s="35">
        <v>0</v>
      </c>
      <c r="N3407" s="35">
        <v>0</v>
      </c>
      <c r="O3407" s="35">
        <v>0</v>
      </c>
      <c r="P3407" s="35">
        <v>0</v>
      </c>
      <c r="Q3407" s="35">
        <v>0</v>
      </c>
      <c r="R3407" s="42">
        <v>0</v>
      </c>
      <c r="S3407" s="7" t="s">
        <v>4664</v>
      </c>
      <c r="T3407" s="257">
        <f t="shared" si="113"/>
        <v>3</v>
      </c>
      <c r="U3407" s="257">
        <f t="shared" si="114"/>
        <v>0</v>
      </c>
      <c r="V3407">
        <v>1</v>
      </c>
      <c r="W3407">
        <v>0</v>
      </c>
    </row>
    <row r="3408" spans="1:23" x14ac:dyDescent="0.3">
      <c r="A3408" s="214">
        <v>44197</v>
      </c>
      <c r="B3408" s="214">
        <v>44561</v>
      </c>
      <c r="C3408" s="6">
        <v>1</v>
      </c>
      <c r="D3408" s="6">
        <v>365</v>
      </c>
      <c r="E3408" s="33">
        <v>2021</v>
      </c>
      <c r="F3408" s="15" t="s">
        <v>22</v>
      </c>
      <c r="G3408" s="18" t="s">
        <v>6255</v>
      </c>
      <c r="H3408" s="9" t="s">
        <v>52</v>
      </c>
      <c r="I3408" s="34" t="s">
        <v>25</v>
      </c>
      <c r="J3408" s="152" t="s">
        <v>5399</v>
      </c>
      <c r="K3408" s="33">
        <v>0</v>
      </c>
      <c r="L3408" s="236">
        <v>2</v>
      </c>
      <c r="M3408" s="35">
        <v>0</v>
      </c>
      <c r="N3408" s="35">
        <v>0</v>
      </c>
      <c r="O3408" s="35">
        <v>0</v>
      </c>
      <c r="P3408" s="35">
        <v>0</v>
      </c>
      <c r="Q3408" s="35">
        <v>0</v>
      </c>
      <c r="R3408" s="42">
        <v>0</v>
      </c>
      <c r="S3408" s="7" t="s">
        <v>4664</v>
      </c>
      <c r="T3408" s="257">
        <f t="shared" si="113"/>
        <v>2</v>
      </c>
      <c r="U3408" s="257">
        <f t="shared" si="114"/>
        <v>0</v>
      </c>
      <c r="V3408">
        <v>1</v>
      </c>
      <c r="W3408">
        <v>0</v>
      </c>
    </row>
    <row r="3409" spans="1:23" x14ac:dyDescent="0.3">
      <c r="A3409" s="214">
        <v>44197</v>
      </c>
      <c r="B3409" s="214">
        <v>44561</v>
      </c>
      <c r="C3409" s="6">
        <v>1</v>
      </c>
      <c r="D3409" s="6">
        <v>365</v>
      </c>
      <c r="E3409" s="33">
        <v>2021</v>
      </c>
      <c r="F3409" s="15" t="s">
        <v>22</v>
      </c>
      <c r="G3409" s="18" t="s">
        <v>6255</v>
      </c>
      <c r="H3409" s="9" t="s">
        <v>57</v>
      </c>
      <c r="I3409" s="34" t="s">
        <v>25</v>
      </c>
      <c r="J3409" s="152" t="s">
        <v>5400</v>
      </c>
      <c r="K3409" s="33">
        <v>0</v>
      </c>
      <c r="L3409" s="236">
        <v>1</v>
      </c>
      <c r="M3409" s="35">
        <v>0</v>
      </c>
      <c r="N3409" s="35">
        <v>0</v>
      </c>
      <c r="O3409" s="35">
        <v>0</v>
      </c>
      <c r="P3409" s="35">
        <v>0</v>
      </c>
      <c r="Q3409" s="35">
        <v>0</v>
      </c>
      <c r="R3409" s="42">
        <v>0</v>
      </c>
      <c r="S3409" s="7" t="s">
        <v>4664</v>
      </c>
      <c r="T3409" s="257">
        <f t="shared" si="113"/>
        <v>1</v>
      </c>
      <c r="U3409" s="257">
        <f t="shared" si="114"/>
        <v>0</v>
      </c>
      <c r="V3409">
        <v>1</v>
      </c>
      <c r="W3409">
        <v>0</v>
      </c>
    </row>
    <row r="3410" spans="1:23" x14ac:dyDescent="0.3">
      <c r="A3410" s="214">
        <v>44197</v>
      </c>
      <c r="B3410" s="214">
        <v>44561</v>
      </c>
      <c r="C3410" s="6">
        <v>1</v>
      </c>
      <c r="D3410" s="6">
        <v>365</v>
      </c>
      <c r="E3410" s="33">
        <v>2021</v>
      </c>
      <c r="F3410" s="15" t="s">
        <v>22</v>
      </c>
      <c r="G3410" s="18" t="s">
        <v>6255</v>
      </c>
      <c r="H3410" s="9" t="s">
        <v>64</v>
      </c>
      <c r="I3410" s="34" t="s">
        <v>25</v>
      </c>
      <c r="J3410" s="152" t="s">
        <v>5396</v>
      </c>
      <c r="K3410" s="33">
        <v>0</v>
      </c>
      <c r="L3410" s="236">
        <v>3</v>
      </c>
      <c r="M3410" s="35">
        <v>0</v>
      </c>
      <c r="N3410" s="35">
        <v>0</v>
      </c>
      <c r="O3410" s="35">
        <v>0</v>
      </c>
      <c r="P3410" s="35">
        <v>0</v>
      </c>
      <c r="Q3410" s="35">
        <v>0</v>
      </c>
      <c r="R3410" s="42">
        <v>0</v>
      </c>
      <c r="S3410" s="7" t="s">
        <v>4664</v>
      </c>
      <c r="T3410" s="257">
        <f t="shared" si="113"/>
        <v>3</v>
      </c>
      <c r="U3410" s="257">
        <f t="shared" si="114"/>
        <v>0</v>
      </c>
      <c r="V3410">
        <v>1</v>
      </c>
      <c r="W3410">
        <v>0</v>
      </c>
    </row>
    <row r="3411" spans="1:23" x14ac:dyDescent="0.3">
      <c r="A3411" s="214">
        <v>44197</v>
      </c>
      <c r="B3411" s="214">
        <v>44561</v>
      </c>
      <c r="C3411" s="6">
        <v>1</v>
      </c>
      <c r="D3411" s="6">
        <v>365</v>
      </c>
      <c r="E3411" s="33">
        <v>2021</v>
      </c>
      <c r="F3411" s="15" t="s">
        <v>22</v>
      </c>
      <c r="G3411" s="18" t="s">
        <v>6255</v>
      </c>
      <c r="H3411" s="9" t="s">
        <v>69</v>
      </c>
      <c r="I3411" s="34" t="s">
        <v>25</v>
      </c>
      <c r="J3411" s="152" t="s">
        <v>5401</v>
      </c>
      <c r="K3411" s="33">
        <v>0</v>
      </c>
      <c r="L3411" s="236">
        <v>1</v>
      </c>
      <c r="M3411" s="35">
        <v>0</v>
      </c>
      <c r="N3411" s="35">
        <v>0</v>
      </c>
      <c r="O3411" s="35">
        <v>0</v>
      </c>
      <c r="P3411" s="35">
        <v>0</v>
      </c>
      <c r="Q3411" s="35">
        <v>0</v>
      </c>
      <c r="R3411" s="42">
        <v>0</v>
      </c>
      <c r="S3411" s="7" t="s">
        <v>4664</v>
      </c>
      <c r="T3411" s="257">
        <f t="shared" si="113"/>
        <v>1</v>
      </c>
      <c r="U3411" s="257">
        <f t="shared" si="114"/>
        <v>0</v>
      </c>
      <c r="V3411">
        <v>1</v>
      </c>
      <c r="W3411">
        <v>0</v>
      </c>
    </row>
    <row r="3412" spans="1:23" x14ac:dyDescent="0.3">
      <c r="A3412" s="214">
        <v>44197</v>
      </c>
      <c r="B3412" s="214">
        <v>44561</v>
      </c>
      <c r="C3412" s="6">
        <v>1</v>
      </c>
      <c r="D3412" s="6">
        <v>365</v>
      </c>
      <c r="E3412" s="33">
        <v>2021</v>
      </c>
      <c r="F3412" s="15" t="s">
        <v>22</v>
      </c>
      <c r="G3412" s="18" t="s">
        <v>6255</v>
      </c>
      <c r="H3412" s="9" t="s">
        <v>70</v>
      </c>
      <c r="I3412" s="34" t="s">
        <v>25</v>
      </c>
      <c r="J3412" s="152" t="s">
        <v>5402</v>
      </c>
      <c r="K3412" s="33">
        <v>0</v>
      </c>
      <c r="L3412" s="236">
        <v>2</v>
      </c>
      <c r="M3412" s="35">
        <v>0</v>
      </c>
      <c r="N3412" s="35">
        <v>0</v>
      </c>
      <c r="O3412" s="35">
        <v>0</v>
      </c>
      <c r="P3412" s="35">
        <v>0</v>
      </c>
      <c r="Q3412" s="35">
        <v>0</v>
      </c>
      <c r="R3412" s="42">
        <v>0</v>
      </c>
      <c r="S3412" s="7" t="s">
        <v>4664</v>
      </c>
      <c r="T3412" s="257">
        <f t="shared" si="113"/>
        <v>2</v>
      </c>
      <c r="U3412" s="257">
        <f t="shared" si="114"/>
        <v>0</v>
      </c>
      <c r="V3412">
        <v>1</v>
      </c>
      <c r="W3412">
        <v>0</v>
      </c>
    </row>
    <row r="3413" spans="1:23" ht="45.6" x14ac:dyDescent="0.3">
      <c r="A3413" s="214">
        <v>44197</v>
      </c>
      <c r="B3413" s="214">
        <v>44561</v>
      </c>
      <c r="C3413" s="6">
        <v>1</v>
      </c>
      <c r="D3413" s="6">
        <v>365</v>
      </c>
      <c r="E3413" s="33">
        <v>2021</v>
      </c>
      <c r="F3413" s="15" t="s">
        <v>22</v>
      </c>
      <c r="G3413" s="18" t="s">
        <v>6255</v>
      </c>
      <c r="H3413" s="9" t="s">
        <v>74</v>
      </c>
      <c r="I3413" s="34" t="s">
        <v>25</v>
      </c>
      <c r="J3413" s="152" t="s">
        <v>5403</v>
      </c>
      <c r="K3413" s="33">
        <v>5</v>
      </c>
      <c r="L3413" s="236">
        <v>31</v>
      </c>
      <c r="M3413" s="35">
        <v>0</v>
      </c>
      <c r="N3413" s="35">
        <v>0</v>
      </c>
      <c r="O3413" s="35">
        <v>0</v>
      </c>
      <c r="P3413" s="35">
        <v>0</v>
      </c>
      <c r="Q3413" s="35">
        <v>0</v>
      </c>
      <c r="R3413" s="42">
        <v>0</v>
      </c>
      <c r="S3413" s="7" t="s">
        <v>4664</v>
      </c>
      <c r="T3413" s="257">
        <f t="shared" si="113"/>
        <v>36</v>
      </c>
      <c r="U3413" s="257">
        <f t="shared" si="114"/>
        <v>0</v>
      </c>
      <c r="V3413">
        <v>1</v>
      </c>
      <c r="W3413">
        <v>0</v>
      </c>
    </row>
    <row r="3414" spans="1:23" ht="34.200000000000003" x14ac:dyDescent="0.3">
      <c r="A3414" s="214">
        <v>44197</v>
      </c>
      <c r="B3414" s="214">
        <v>44561</v>
      </c>
      <c r="C3414" s="6">
        <v>1</v>
      </c>
      <c r="D3414" s="6">
        <v>365</v>
      </c>
      <c r="E3414" s="33">
        <v>2021</v>
      </c>
      <c r="F3414" s="15" t="s">
        <v>22</v>
      </c>
      <c r="G3414" s="18" t="s">
        <v>6255</v>
      </c>
      <c r="H3414" s="9" t="s">
        <v>78</v>
      </c>
      <c r="I3414" s="34" t="s">
        <v>25</v>
      </c>
      <c r="J3414" s="152" t="s">
        <v>5404</v>
      </c>
      <c r="K3414" s="33">
        <v>7</v>
      </c>
      <c r="L3414" s="236">
        <v>58</v>
      </c>
      <c r="M3414" s="35">
        <v>0</v>
      </c>
      <c r="N3414" s="35">
        <v>0</v>
      </c>
      <c r="O3414" s="35">
        <v>0</v>
      </c>
      <c r="P3414" s="35">
        <v>0</v>
      </c>
      <c r="Q3414" s="35">
        <v>0</v>
      </c>
      <c r="R3414" s="42">
        <v>0</v>
      </c>
      <c r="S3414" s="7" t="s">
        <v>4664</v>
      </c>
      <c r="T3414" s="257">
        <f t="shared" si="113"/>
        <v>65</v>
      </c>
      <c r="U3414" s="257">
        <f t="shared" si="114"/>
        <v>0</v>
      </c>
      <c r="V3414">
        <v>1</v>
      </c>
      <c r="W3414">
        <v>0</v>
      </c>
    </row>
    <row r="3415" spans="1:23" x14ac:dyDescent="0.3">
      <c r="A3415" s="214">
        <v>44197</v>
      </c>
      <c r="B3415" s="214">
        <v>44561</v>
      </c>
      <c r="C3415" s="6">
        <v>1</v>
      </c>
      <c r="D3415" s="6">
        <v>365</v>
      </c>
      <c r="E3415" s="33">
        <v>2021</v>
      </c>
      <c r="F3415" s="15" t="s">
        <v>22</v>
      </c>
      <c r="G3415" s="18" t="s">
        <v>6255</v>
      </c>
      <c r="H3415" s="9" t="s">
        <v>174</v>
      </c>
      <c r="I3415" s="34" t="s">
        <v>25</v>
      </c>
      <c r="J3415" s="152" t="s">
        <v>5405</v>
      </c>
      <c r="K3415" s="33">
        <v>0</v>
      </c>
      <c r="L3415" s="236">
        <v>6</v>
      </c>
      <c r="M3415" s="35">
        <v>0</v>
      </c>
      <c r="N3415" s="35">
        <v>0</v>
      </c>
      <c r="O3415" s="35">
        <v>0</v>
      </c>
      <c r="P3415" s="35">
        <v>0</v>
      </c>
      <c r="Q3415" s="35">
        <v>0</v>
      </c>
      <c r="R3415" s="42">
        <v>0</v>
      </c>
      <c r="S3415" s="7" t="s">
        <v>4664</v>
      </c>
      <c r="T3415" s="257">
        <f t="shared" si="113"/>
        <v>6</v>
      </c>
      <c r="U3415" s="257">
        <f t="shared" si="114"/>
        <v>0</v>
      </c>
      <c r="V3415">
        <v>1</v>
      </c>
      <c r="W3415">
        <v>0</v>
      </c>
    </row>
    <row r="3416" spans="1:23" ht="45.6" x14ac:dyDescent="0.3">
      <c r="A3416" s="214">
        <v>44197</v>
      </c>
      <c r="B3416" s="214">
        <v>44561</v>
      </c>
      <c r="C3416" s="6">
        <v>1</v>
      </c>
      <c r="D3416" s="6">
        <v>365</v>
      </c>
      <c r="E3416" s="33">
        <v>2021</v>
      </c>
      <c r="F3416" s="15" t="s">
        <v>22</v>
      </c>
      <c r="G3416" s="9" t="s">
        <v>6258</v>
      </c>
      <c r="H3416" s="9" t="s">
        <v>27</v>
      </c>
      <c r="I3416" s="34" t="s">
        <v>25</v>
      </c>
      <c r="J3416" s="152" t="s">
        <v>5406</v>
      </c>
      <c r="K3416" s="33">
        <v>19</v>
      </c>
      <c r="L3416" s="236">
        <v>431</v>
      </c>
      <c r="M3416" s="35">
        <v>0</v>
      </c>
      <c r="N3416" s="35">
        <v>0</v>
      </c>
      <c r="O3416" s="35">
        <v>0</v>
      </c>
      <c r="P3416" s="35">
        <v>0</v>
      </c>
      <c r="Q3416" s="35">
        <v>0</v>
      </c>
      <c r="R3416" s="42">
        <v>0</v>
      </c>
      <c r="S3416" s="7" t="s">
        <v>4664</v>
      </c>
      <c r="T3416" s="257">
        <f t="shared" si="113"/>
        <v>450</v>
      </c>
      <c r="U3416" s="257">
        <f t="shared" si="114"/>
        <v>0</v>
      </c>
      <c r="V3416">
        <v>1</v>
      </c>
      <c r="W3416">
        <v>0</v>
      </c>
    </row>
    <row r="3417" spans="1:23" ht="45.6" x14ac:dyDescent="0.3">
      <c r="A3417" s="214">
        <v>44197</v>
      </c>
      <c r="B3417" s="214">
        <v>44561</v>
      </c>
      <c r="C3417" s="6">
        <v>1</v>
      </c>
      <c r="D3417" s="6">
        <v>365</v>
      </c>
      <c r="E3417" s="33">
        <v>2021</v>
      </c>
      <c r="F3417" s="15" t="s">
        <v>22</v>
      </c>
      <c r="G3417" s="9" t="s">
        <v>6258</v>
      </c>
      <c r="H3417" s="9" t="s">
        <v>28</v>
      </c>
      <c r="I3417" s="34" t="s">
        <v>25</v>
      </c>
      <c r="J3417" s="152" t="s">
        <v>5407</v>
      </c>
      <c r="K3417" s="33">
        <v>3</v>
      </c>
      <c r="L3417" s="236">
        <v>15</v>
      </c>
      <c r="M3417" s="35">
        <v>0</v>
      </c>
      <c r="N3417" s="35">
        <v>0</v>
      </c>
      <c r="O3417" s="35">
        <v>0</v>
      </c>
      <c r="P3417" s="35">
        <v>0</v>
      </c>
      <c r="Q3417" s="35">
        <v>0</v>
      </c>
      <c r="R3417" s="42">
        <v>0</v>
      </c>
      <c r="S3417" s="7" t="s">
        <v>4664</v>
      </c>
      <c r="T3417" s="257">
        <f t="shared" si="113"/>
        <v>18</v>
      </c>
      <c r="U3417" s="257">
        <f t="shared" si="114"/>
        <v>0</v>
      </c>
      <c r="V3417">
        <v>1</v>
      </c>
      <c r="W3417">
        <v>0</v>
      </c>
    </row>
    <row r="3418" spans="1:23" ht="34.200000000000003" x14ac:dyDescent="0.3">
      <c r="A3418" s="214">
        <v>44197</v>
      </c>
      <c r="B3418" s="214">
        <v>44561</v>
      </c>
      <c r="C3418" s="6">
        <v>1</v>
      </c>
      <c r="D3418" s="6">
        <v>365</v>
      </c>
      <c r="E3418" s="33">
        <v>2021</v>
      </c>
      <c r="F3418" s="15" t="s">
        <v>22</v>
      </c>
      <c r="G3418" s="9" t="s">
        <v>6258</v>
      </c>
      <c r="H3418" s="9" t="s">
        <v>112</v>
      </c>
      <c r="I3418" s="34" t="s">
        <v>25</v>
      </c>
      <c r="J3418" s="152" t="s">
        <v>5408</v>
      </c>
      <c r="K3418" s="33">
        <v>0</v>
      </c>
      <c r="L3418" s="236">
        <v>8</v>
      </c>
      <c r="M3418" s="35">
        <v>0</v>
      </c>
      <c r="N3418" s="35">
        <v>0</v>
      </c>
      <c r="O3418" s="35">
        <v>0</v>
      </c>
      <c r="P3418" s="35">
        <v>0</v>
      </c>
      <c r="Q3418" s="35">
        <v>0</v>
      </c>
      <c r="R3418" s="42">
        <v>0</v>
      </c>
      <c r="S3418" s="7" t="s">
        <v>4664</v>
      </c>
      <c r="T3418" s="257">
        <f t="shared" si="113"/>
        <v>8</v>
      </c>
      <c r="U3418" s="257">
        <f t="shared" si="114"/>
        <v>0</v>
      </c>
      <c r="V3418">
        <v>1</v>
      </c>
      <c r="W3418">
        <v>0</v>
      </c>
    </row>
    <row r="3419" spans="1:23" ht="34.200000000000003" x14ac:dyDescent="0.3">
      <c r="A3419" s="214">
        <v>44197</v>
      </c>
      <c r="B3419" s="214">
        <v>44561</v>
      </c>
      <c r="C3419" s="6">
        <v>1</v>
      </c>
      <c r="D3419" s="6">
        <v>365</v>
      </c>
      <c r="E3419" s="33">
        <v>2021</v>
      </c>
      <c r="F3419" s="15" t="s">
        <v>22</v>
      </c>
      <c r="G3419" s="9" t="s">
        <v>6258</v>
      </c>
      <c r="H3419" s="9" t="s">
        <v>31</v>
      </c>
      <c r="I3419" s="34" t="s">
        <v>25</v>
      </c>
      <c r="J3419" s="152" t="s">
        <v>5409</v>
      </c>
      <c r="K3419" s="33">
        <v>0</v>
      </c>
      <c r="L3419" s="236">
        <v>2</v>
      </c>
      <c r="M3419" s="35">
        <v>0</v>
      </c>
      <c r="N3419" s="35">
        <v>0</v>
      </c>
      <c r="O3419" s="35">
        <v>0</v>
      </c>
      <c r="P3419" s="35">
        <v>0</v>
      </c>
      <c r="Q3419" s="35">
        <v>0</v>
      </c>
      <c r="R3419" s="42">
        <v>0</v>
      </c>
      <c r="S3419" s="7" t="s">
        <v>4664</v>
      </c>
      <c r="T3419" s="257">
        <f t="shared" si="113"/>
        <v>2</v>
      </c>
      <c r="U3419" s="257">
        <f t="shared" si="114"/>
        <v>0</v>
      </c>
      <c r="V3419">
        <v>1</v>
      </c>
      <c r="W3419">
        <v>0</v>
      </c>
    </row>
    <row r="3420" spans="1:23" ht="34.200000000000003" x14ac:dyDescent="0.3">
      <c r="A3420" s="214">
        <v>44197</v>
      </c>
      <c r="B3420" s="214">
        <v>44561</v>
      </c>
      <c r="C3420" s="6">
        <v>1</v>
      </c>
      <c r="D3420" s="6">
        <v>365</v>
      </c>
      <c r="E3420" s="33">
        <v>2021</v>
      </c>
      <c r="F3420" s="15" t="s">
        <v>22</v>
      </c>
      <c r="G3420" s="9" t="s">
        <v>6258</v>
      </c>
      <c r="H3420" s="9" t="s">
        <v>34</v>
      </c>
      <c r="I3420" s="34" t="s">
        <v>25</v>
      </c>
      <c r="J3420" s="152" t="s">
        <v>5410</v>
      </c>
      <c r="K3420" s="33">
        <v>0</v>
      </c>
      <c r="L3420" s="236">
        <v>19</v>
      </c>
      <c r="M3420" s="35">
        <v>0</v>
      </c>
      <c r="N3420" s="35">
        <v>0</v>
      </c>
      <c r="O3420" s="35">
        <v>0</v>
      </c>
      <c r="P3420" s="35">
        <v>0</v>
      </c>
      <c r="Q3420" s="35">
        <v>0</v>
      </c>
      <c r="R3420" s="42">
        <v>0</v>
      </c>
      <c r="S3420" s="7" t="s">
        <v>4664</v>
      </c>
      <c r="T3420" s="257">
        <f t="shared" si="113"/>
        <v>19</v>
      </c>
      <c r="U3420" s="257">
        <f t="shared" si="114"/>
        <v>0</v>
      </c>
      <c r="V3420">
        <v>1</v>
      </c>
      <c r="W3420">
        <v>0</v>
      </c>
    </row>
    <row r="3421" spans="1:23" ht="34.200000000000003" x14ac:dyDescent="0.3">
      <c r="A3421" s="214">
        <v>44197</v>
      </c>
      <c r="B3421" s="214">
        <v>44561</v>
      </c>
      <c r="C3421" s="6">
        <v>1</v>
      </c>
      <c r="D3421" s="6">
        <v>365</v>
      </c>
      <c r="E3421" s="33">
        <v>2021</v>
      </c>
      <c r="F3421" s="15" t="s">
        <v>22</v>
      </c>
      <c r="G3421" s="9" t="s">
        <v>6258</v>
      </c>
      <c r="H3421" s="9" t="s">
        <v>37</v>
      </c>
      <c r="I3421" s="34" t="s">
        <v>25</v>
      </c>
      <c r="J3421" s="152" t="s">
        <v>5411</v>
      </c>
      <c r="K3421" s="33">
        <v>0</v>
      </c>
      <c r="L3421" s="236">
        <v>7</v>
      </c>
      <c r="M3421" s="35">
        <v>0</v>
      </c>
      <c r="N3421" s="35">
        <v>0</v>
      </c>
      <c r="O3421" s="35">
        <v>0</v>
      </c>
      <c r="P3421" s="35">
        <v>0</v>
      </c>
      <c r="Q3421" s="35">
        <v>0</v>
      </c>
      <c r="R3421" s="42">
        <v>0</v>
      </c>
      <c r="S3421" s="7" t="s">
        <v>4664</v>
      </c>
      <c r="T3421" s="257">
        <f t="shared" si="113"/>
        <v>7</v>
      </c>
      <c r="U3421" s="257">
        <f t="shared" si="114"/>
        <v>0</v>
      </c>
      <c r="V3421">
        <v>1</v>
      </c>
      <c r="W3421">
        <v>0</v>
      </c>
    </row>
    <row r="3422" spans="1:23" x14ac:dyDescent="0.3">
      <c r="A3422" s="214">
        <v>44197</v>
      </c>
      <c r="B3422" s="214">
        <v>44561</v>
      </c>
      <c r="C3422" s="6">
        <v>1</v>
      </c>
      <c r="D3422" s="6">
        <v>365</v>
      </c>
      <c r="E3422" s="33">
        <v>2021</v>
      </c>
      <c r="F3422" s="15" t="s">
        <v>22</v>
      </c>
      <c r="G3422" s="9" t="s">
        <v>6258</v>
      </c>
      <c r="H3422" s="9" t="s">
        <v>39</v>
      </c>
      <c r="I3422" s="34" t="s">
        <v>25</v>
      </c>
      <c r="J3422" s="152" t="s">
        <v>5412</v>
      </c>
      <c r="K3422" s="33">
        <v>0</v>
      </c>
      <c r="L3422" s="236">
        <v>1</v>
      </c>
      <c r="M3422" s="35">
        <v>0</v>
      </c>
      <c r="N3422" s="35">
        <v>0</v>
      </c>
      <c r="O3422" s="35">
        <v>0</v>
      </c>
      <c r="P3422" s="35">
        <v>0</v>
      </c>
      <c r="Q3422" s="35">
        <v>0</v>
      </c>
      <c r="R3422" s="42">
        <v>0</v>
      </c>
      <c r="S3422" s="7" t="s">
        <v>4664</v>
      </c>
      <c r="T3422" s="257">
        <f t="shared" si="113"/>
        <v>1</v>
      </c>
      <c r="U3422" s="257">
        <f t="shared" si="114"/>
        <v>0</v>
      </c>
      <c r="V3422">
        <v>1</v>
      </c>
      <c r="W3422">
        <v>0</v>
      </c>
    </row>
    <row r="3423" spans="1:23" ht="34.200000000000003" x14ac:dyDescent="0.3">
      <c r="A3423" s="214">
        <v>44197</v>
      </c>
      <c r="B3423" s="214">
        <v>44561</v>
      </c>
      <c r="C3423" s="6">
        <v>1</v>
      </c>
      <c r="D3423" s="6">
        <v>365</v>
      </c>
      <c r="E3423" s="33">
        <v>2021</v>
      </c>
      <c r="F3423" s="15" t="s">
        <v>22</v>
      </c>
      <c r="G3423" s="9" t="s">
        <v>6258</v>
      </c>
      <c r="H3423" s="9" t="s">
        <v>46</v>
      </c>
      <c r="I3423" s="34" t="s">
        <v>25</v>
      </c>
      <c r="J3423" s="152" t="s">
        <v>5413</v>
      </c>
      <c r="K3423" s="33">
        <v>0</v>
      </c>
      <c r="L3423" s="236">
        <v>3</v>
      </c>
      <c r="M3423" s="35">
        <v>0</v>
      </c>
      <c r="N3423" s="35">
        <v>0</v>
      </c>
      <c r="O3423" s="35">
        <v>0</v>
      </c>
      <c r="P3423" s="35">
        <v>0</v>
      </c>
      <c r="Q3423" s="35">
        <v>0</v>
      </c>
      <c r="R3423" s="42">
        <v>0</v>
      </c>
      <c r="S3423" s="7" t="s">
        <v>4664</v>
      </c>
      <c r="T3423" s="257">
        <f t="shared" si="113"/>
        <v>3</v>
      </c>
      <c r="U3423" s="257">
        <f t="shared" si="114"/>
        <v>0</v>
      </c>
      <c r="V3423">
        <v>1</v>
      </c>
      <c r="W3423">
        <v>0</v>
      </c>
    </row>
    <row r="3424" spans="1:23" ht="22.8" x14ac:dyDescent="0.3">
      <c r="A3424" s="214">
        <v>44197</v>
      </c>
      <c r="B3424" s="214">
        <v>44561</v>
      </c>
      <c r="C3424" s="6">
        <v>1</v>
      </c>
      <c r="D3424" s="6">
        <v>365</v>
      </c>
      <c r="E3424" s="33">
        <v>2021</v>
      </c>
      <c r="F3424" s="15" t="s">
        <v>22</v>
      </c>
      <c r="G3424" s="9" t="s">
        <v>6258</v>
      </c>
      <c r="H3424" s="9" t="s">
        <v>121</v>
      </c>
      <c r="I3424" s="34" t="s">
        <v>25</v>
      </c>
      <c r="J3424" s="152" t="s">
        <v>5414</v>
      </c>
      <c r="K3424" s="33">
        <v>1</v>
      </c>
      <c r="L3424" s="236">
        <v>1</v>
      </c>
      <c r="M3424" s="35">
        <v>0</v>
      </c>
      <c r="N3424" s="35">
        <v>0</v>
      </c>
      <c r="O3424" s="35">
        <v>0</v>
      </c>
      <c r="P3424" s="35">
        <v>0</v>
      </c>
      <c r="Q3424" s="35">
        <v>0</v>
      </c>
      <c r="R3424" s="42">
        <v>0</v>
      </c>
      <c r="S3424" s="7" t="s">
        <v>4664</v>
      </c>
      <c r="T3424" s="257">
        <f t="shared" si="113"/>
        <v>2</v>
      </c>
      <c r="U3424" s="257">
        <f t="shared" si="114"/>
        <v>0</v>
      </c>
      <c r="V3424">
        <v>1</v>
      </c>
      <c r="W3424">
        <v>0</v>
      </c>
    </row>
    <row r="3425" spans="1:23" ht="34.200000000000003" x14ac:dyDescent="0.3">
      <c r="A3425" s="214">
        <v>44197</v>
      </c>
      <c r="B3425" s="214">
        <v>44561</v>
      </c>
      <c r="C3425" s="6">
        <v>1</v>
      </c>
      <c r="D3425" s="6">
        <v>365</v>
      </c>
      <c r="E3425" s="33">
        <v>2021</v>
      </c>
      <c r="F3425" s="15" t="s">
        <v>22</v>
      </c>
      <c r="G3425" s="9" t="s">
        <v>6258</v>
      </c>
      <c r="H3425" s="9" t="s">
        <v>51</v>
      </c>
      <c r="I3425" s="34" t="s">
        <v>25</v>
      </c>
      <c r="J3425" s="152" t="s">
        <v>5415</v>
      </c>
      <c r="K3425" s="33">
        <v>0</v>
      </c>
      <c r="L3425" s="236">
        <v>24</v>
      </c>
      <c r="M3425" s="35">
        <v>0</v>
      </c>
      <c r="N3425" s="35">
        <v>0</v>
      </c>
      <c r="O3425" s="35">
        <v>0</v>
      </c>
      <c r="P3425" s="35">
        <v>0</v>
      </c>
      <c r="Q3425" s="35">
        <v>0</v>
      </c>
      <c r="R3425" s="42">
        <v>0</v>
      </c>
      <c r="S3425" s="7" t="s">
        <v>4664</v>
      </c>
      <c r="T3425" s="257">
        <f t="shared" si="113"/>
        <v>24</v>
      </c>
      <c r="U3425" s="257">
        <f t="shared" si="114"/>
        <v>0</v>
      </c>
      <c r="V3425">
        <v>1</v>
      </c>
      <c r="W3425">
        <v>0</v>
      </c>
    </row>
    <row r="3426" spans="1:23" x14ac:dyDescent="0.3">
      <c r="A3426" s="214">
        <v>44197</v>
      </c>
      <c r="B3426" s="214">
        <v>44561</v>
      </c>
      <c r="C3426" s="6">
        <v>1</v>
      </c>
      <c r="D3426" s="6">
        <v>365</v>
      </c>
      <c r="E3426" s="33">
        <v>2021</v>
      </c>
      <c r="F3426" s="15" t="s">
        <v>22</v>
      </c>
      <c r="G3426" s="9" t="s">
        <v>6258</v>
      </c>
      <c r="H3426" s="9" t="s">
        <v>52</v>
      </c>
      <c r="I3426" s="34" t="s">
        <v>25</v>
      </c>
      <c r="J3426" s="152" t="s">
        <v>5416</v>
      </c>
      <c r="K3426" s="33">
        <v>0</v>
      </c>
      <c r="L3426" s="236">
        <v>1</v>
      </c>
      <c r="M3426" s="35">
        <v>0</v>
      </c>
      <c r="N3426" s="35">
        <v>0</v>
      </c>
      <c r="O3426" s="35">
        <v>0</v>
      </c>
      <c r="P3426" s="35">
        <v>0</v>
      </c>
      <c r="Q3426" s="35">
        <v>0</v>
      </c>
      <c r="R3426" s="42">
        <v>0</v>
      </c>
      <c r="S3426" s="7" t="s">
        <v>4664</v>
      </c>
      <c r="T3426" s="257">
        <f t="shared" si="113"/>
        <v>1</v>
      </c>
      <c r="U3426" s="257">
        <f t="shared" si="114"/>
        <v>0</v>
      </c>
      <c r="V3426">
        <v>1</v>
      </c>
      <c r="W3426">
        <v>0</v>
      </c>
    </row>
    <row r="3427" spans="1:23" ht="34.200000000000003" x14ac:dyDescent="0.3">
      <c r="A3427" s="214">
        <v>44197</v>
      </c>
      <c r="B3427" s="214">
        <v>44561</v>
      </c>
      <c r="C3427" s="6">
        <v>1</v>
      </c>
      <c r="D3427" s="6">
        <v>365</v>
      </c>
      <c r="E3427" s="33">
        <v>2021</v>
      </c>
      <c r="F3427" s="15" t="s">
        <v>22</v>
      </c>
      <c r="G3427" s="9" t="s">
        <v>6258</v>
      </c>
      <c r="H3427" s="9" t="s">
        <v>56</v>
      </c>
      <c r="I3427" s="34" t="s">
        <v>25</v>
      </c>
      <c r="J3427" s="152" t="s">
        <v>5417</v>
      </c>
      <c r="K3427" s="33">
        <v>0</v>
      </c>
      <c r="L3427" s="236">
        <v>12</v>
      </c>
      <c r="M3427" s="35">
        <v>0</v>
      </c>
      <c r="N3427" s="35">
        <v>0</v>
      </c>
      <c r="O3427" s="35">
        <v>0</v>
      </c>
      <c r="P3427" s="35">
        <v>0</v>
      </c>
      <c r="Q3427" s="35">
        <v>0</v>
      </c>
      <c r="R3427" s="42">
        <v>0</v>
      </c>
      <c r="S3427" s="7" t="s">
        <v>4664</v>
      </c>
      <c r="T3427" s="257">
        <f t="shared" si="113"/>
        <v>12</v>
      </c>
      <c r="U3427" s="257">
        <f t="shared" si="114"/>
        <v>0</v>
      </c>
      <c r="V3427">
        <v>1</v>
      </c>
      <c r="W3427">
        <v>0</v>
      </c>
    </row>
    <row r="3428" spans="1:23" x14ac:dyDescent="0.3">
      <c r="A3428" s="214">
        <v>44197</v>
      </c>
      <c r="B3428" s="214">
        <v>44561</v>
      </c>
      <c r="C3428" s="6">
        <v>1</v>
      </c>
      <c r="D3428" s="6">
        <v>365</v>
      </c>
      <c r="E3428" s="33">
        <v>2021</v>
      </c>
      <c r="F3428" s="15" t="s">
        <v>22</v>
      </c>
      <c r="G3428" s="9" t="s">
        <v>6258</v>
      </c>
      <c r="H3428" s="9" t="s">
        <v>57</v>
      </c>
      <c r="I3428" s="34" t="s">
        <v>25</v>
      </c>
      <c r="J3428" s="152" t="s">
        <v>5418</v>
      </c>
      <c r="K3428" s="33">
        <v>0</v>
      </c>
      <c r="L3428" s="236">
        <v>1</v>
      </c>
      <c r="M3428" s="35">
        <v>0</v>
      </c>
      <c r="N3428" s="35">
        <v>0</v>
      </c>
      <c r="O3428" s="35">
        <v>0</v>
      </c>
      <c r="P3428" s="35">
        <v>0</v>
      </c>
      <c r="Q3428" s="35">
        <v>0</v>
      </c>
      <c r="R3428" s="42">
        <v>0</v>
      </c>
      <c r="S3428" s="7" t="s">
        <v>4664</v>
      </c>
      <c r="T3428" s="257">
        <f t="shared" si="113"/>
        <v>1</v>
      </c>
      <c r="U3428" s="257">
        <f t="shared" si="114"/>
        <v>0</v>
      </c>
      <c r="V3428">
        <v>1</v>
      </c>
      <c r="W3428">
        <v>0</v>
      </c>
    </row>
    <row r="3429" spans="1:23" ht="22.8" x14ac:dyDescent="0.3">
      <c r="A3429" s="214">
        <v>44197</v>
      </c>
      <c r="B3429" s="214">
        <v>44561</v>
      </c>
      <c r="C3429" s="6">
        <v>1</v>
      </c>
      <c r="D3429" s="6">
        <v>365</v>
      </c>
      <c r="E3429" s="33">
        <v>2021</v>
      </c>
      <c r="F3429" s="15" t="s">
        <v>22</v>
      </c>
      <c r="G3429" s="9" t="s">
        <v>6258</v>
      </c>
      <c r="H3429" s="9" t="s">
        <v>61</v>
      </c>
      <c r="I3429" s="34" t="s">
        <v>25</v>
      </c>
      <c r="J3429" s="152" t="s">
        <v>5419</v>
      </c>
      <c r="K3429" s="33">
        <v>0</v>
      </c>
      <c r="L3429" s="236">
        <v>2</v>
      </c>
      <c r="M3429" s="35">
        <v>0</v>
      </c>
      <c r="N3429" s="35">
        <v>0</v>
      </c>
      <c r="O3429" s="35">
        <v>0</v>
      </c>
      <c r="P3429" s="35">
        <v>0</v>
      </c>
      <c r="Q3429" s="35">
        <v>0</v>
      </c>
      <c r="R3429" s="42">
        <v>0</v>
      </c>
      <c r="S3429" s="7" t="s">
        <v>4664</v>
      </c>
      <c r="T3429" s="257">
        <f t="shared" si="113"/>
        <v>2</v>
      </c>
      <c r="U3429" s="257">
        <f t="shared" si="114"/>
        <v>0</v>
      </c>
      <c r="V3429">
        <v>1</v>
      </c>
      <c r="W3429">
        <v>0</v>
      </c>
    </row>
    <row r="3430" spans="1:23" ht="34.200000000000003" x14ac:dyDescent="0.3">
      <c r="A3430" s="214">
        <v>44197</v>
      </c>
      <c r="B3430" s="214">
        <v>44561</v>
      </c>
      <c r="C3430" s="6">
        <v>1</v>
      </c>
      <c r="D3430" s="6">
        <v>365</v>
      </c>
      <c r="E3430" s="33">
        <v>2021</v>
      </c>
      <c r="F3430" s="15" t="s">
        <v>22</v>
      </c>
      <c r="G3430" s="9" t="s">
        <v>6258</v>
      </c>
      <c r="H3430" s="9" t="s">
        <v>69</v>
      </c>
      <c r="I3430" s="34" t="s">
        <v>25</v>
      </c>
      <c r="J3430" s="152" t="s">
        <v>5420</v>
      </c>
      <c r="K3430" s="33">
        <v>0</v>
      </c>
      <c r="L3430" s="236">
        <v>3</v>
      </c>
      <c r="M3430" s="35">
        <v>0</v>
      </c>
      <c r="N3430" s="35">
        <v>0</v>
      </c>
      <c r="O3430" s="35">
        <v>0</v>
      </c>
      <c r="P3430" s="35">
        <v>0</v>
      </c>
      <c r="Q3430" s="35">
        <v>0</v>
      </c>
      <c r="R3430" s="42">
        <v>0</v>
      </c>
      <c r="S3430" s="7" t="s">
        <v>4664</v>
      </c>
      <c r="T3430" s="257">
        <f t="shared" si="113"/>
        <v>3</v>
      </c>
      <c r="U3430" s="257">
        <f t="shared" si="114"/>
        <v>0</v>
      </c>
      <c r="V3430">
        <v>1</v>
      </c>
      <c r="W3430">
        <v>0</v>
      </c>
    </row>
    <row r="3431" spans="1:23" ht="34.200000000000003" x14ac:dyDescent="0.3">
      <c r="A3431" s="214">
        <v>44197</v>
      </c>
      <c r="B3431" s="214">
        <v>44561</v>
      </c>
      <c r="C3431" s="6">
        <v>1</v>
      </c>
      <c r="D3431" s="6">
        <v>365</v>
      </c>
      <c r="E3431" s="33">
        <v>2021</v>
      </c>
      <c r="F3431" s="15" t="s">
        <v>22</v>
      </c>
      <c r="G3431" s="9" t="s">
        <v>6258</v>
      </c>
      <c r="H3431" s="9" t="s">
        <v>70</v>
      </c>
      <c r="I3431" s="34" t="s">
        <v>25</v>
      </c>
      <c r="J3431" s="152" t="s">
        <v>5421</v>
      </c>
      <c r="K3431" s="33">
        <v>0</v>
      </c>
      <c r="L3431" s="236">
        <v>4</v>
      </c>
      <c r="M3431" s="35">
        <v>0</v>
      </c>
      <c r="N3431" s="35">
        <v>0</v>
      </c>
      <c r="O3431" s="35">
        <v>0</v>
      </c>
      <c r="P3431" s="35">
        <v>0</v>
      </c>
      <c r="Q3431" s="35">
        <v>0</v>
      </c>
      <c r="R3431" s="42">
        <v>0</v>
      </c>
      <c r="S3431" s="7" t="s">
        <v>4664</v>
      </c>
      <c r="T3431" s="257">
        <f t="shared" si="113"/>
        <v>4</v>
      </c>
      <c r="U3431" s="257">
        <f t="shared" si="114"/>
        <v>0</v>
      </c>
      <c r="V3431">
        <v>1</v>
      </c>
      <c r="W3431">
        <v>0</v>
      </c>
    </row>
    <row r="3432" spans="1:23" ht="45.6" x14ac:dyDescent="0.3">
      <c r="A3432" s="214">
        <v>44197</v>
      </c>
      <c r="B3432" s="214">
        <v>44561</v>
      </c>
      <c r="C3432" s="6">
        <v>1</v>
      </c>
      <c r="D3432" s="6">
        <v>365</v>
      </c>
      <c r="E3432" s="33">
        <v>2021</v>
      </c>
      <c r="F3432" s="15" t="s">
        <v>22</v>
      </c>
      <c r="G3432" s="9" t="s">
        <v>6258</v>
      </c>
      <c r="H3432" s="9" t="s">
        <v>72</v>
      </c>
      <c r="I3432" s="34" t="s">
        <v>25</v>
      </c>
      <c r="J3432" s="152" t="s">
        <v>5422</v>
      </c>
      <c r="K3432" s="33">
        <v>1</v>
      </c>
      <c r="L3432" s="236">
        <v>44</v>
      </c>
      <c r="M3432" s="35">
        <v>0</v>
      </c>
      <c r="N3432" s="35">
        <v>0</v>
      </c>
      <c r="O3432" s="35">
        <v>0</v>
      </c>
      <c r="P3432" s="35">
        <v>0</v>
      </c>
      <c r="Q3432" s="35">
        <v>0</v>
      </c>
      <c r="R3432" s="42">
        <v>0</v>
      </c>
      <c r="S3432" s="7" t="s">
        <v>4664</v>
      </c>
      <c r="T3432" s="257">
        <f t="shared" si="113"/>
        <v>45</v>
      </c>
      <c r="U3432" s="257">
        <f t="shared" si="114"/>
        <v>0</v>
      </c>
      <c r="V3432">
        <v>1</v>
      </c>
      <c r="W3432">
        <v>0</v>
      </c>
    </row>
    <row r="3433" spans="1:23" ht="45.6" x14ac:dyDescent="0.3">
      <c r="A3433" s="214">
        <v>44197</v>
      </c>
      <c r="B3433" s="214">
        <v>44561</v>
      </c>
      <c r="C3433" s="6">
        <v>1</v>
      </c>
      <c r="D3433" s="6">
        <v>365</v>
      </c>
      <c r="E3433" s="33">
        <v>2021</v>
      </c>
      <c r="F3433" s="15" t="s">
        <v>22</v>
      </c>
      <c r="G3433" s="9" t="s">
        <v>6258</v>
      </c>
      <c r="H3433" s="9" t="s">
        <v>74</v>
      </c>
      <c r="I3433" s="34" t="s">
        <v>25</v>
      </c>
      <c r="J3433" s="152" t="s">
        <v>5423</v>
      </c>
      <c r="K3433" s="33">
        <v>5</v>
      </c>
      <c r="L3433" s="236">
        <v>109</v>
      </c>
      <c r="M3433" s="35">
        <v>0</v>
      </c>
      <c r="N3433" s="35">
        <v>0</v>
      </c>
      <c r="O3433" s="35">
        <v>0</v>
      </c>
      <c r="P3433" s="35">
        <v>0</v>
      </c>
      <c r="Q3433" s="35">
        <v>0</v>
      </c>
      <c r="R3433" s="42">
        <v>0</v>
      </c>
      <c r="S3433" s="7" t="s">
        <v>4664</v>
      </c>
      <c r="T3433" s="257">
        <f t="shared" si="113"/>
        <v>114</v>
      </c>
      <c r="U3433" s="257">
        <f t="shared" si="114"/>
        <v>0</v>
      </c>
      <c r="V3433">
        <v>1</v>
      </c>
      <c r="W3433">
        <v>0</v>
      </c>
    </row>
    <row r="3434" spans="1:23" ht="45.6" x14ac:dyDescent="0.3">
      <c r="A3434" s="214">
        <v>44197</v>
      </c>
      <c r="B3434" s="214">
        <v>44561</v>
      </c>
      <c r="C3434" s="6">
        <v>1</v>
      </c>
      <c r="D3434" s="6">
        <v>365</v>
      </c>
      <c r="E3434" s="33">
        <v>2021</v>
      </c>
      <c r="F3434" s="15" t="s">
        <v>22</v>
      </c>
      <c r="G3434" s="9" t="s">
        <v>6258</v>
      </c>
      <c r="H3434" s="17" t="s">
        <v>565</v>
      </c>
      <c r="I3434" s="34" t="s">
        <v>25</v>
      </c>
      <c r="J3434" s="152" t="s">
        <v>5424</v>
      </c>
      <c r="K3434" s="33">
        <v>1</v>
      </c>
      <c r="L3434" s="236">
        <v>146</v>
      </c>
      <c r="M3434" s="35">
        <v>0</v>
      </c>
      <c r="N3434" s="35">
        <v>0</v>
      </c>
      <c r="O3434" s="35">
        <v>0</v>
      </c>
      <c r="P3434" s="35">
        <v>0</v>
      </c>
      <c r="Q3434" s="35">
        <v>0</v>
      </c>
      <c r="R3434" s="42">
        <v>0</v>
      </c>
      <c r="S3434" s="7" t="s">
        <v>4664</v>
      </c>
      <c r="T3434" s="257">
        <f t="shared" si="113"/>
        <v>147</v>
      </c>
      <c r="U3434" s="257">
        <f t="shared" si="114"/>
        <v>0</v>
      </c>
      <c r="V3434">
        <v>1</v>
      </c>
      <c r="W3434">
        <v>0</v>
      </c>
    </row>
    <row r="3435" spans="1:23" ht="34.200000000000003" x14ac:dyDescent="0.3">
      <c r="A3435" s="214">
        <v>44197</v>
      </c>
      <c r="B3435" s="214">
        <v>44561</v>
      </c>
      <c r="C3435" s="6">
        <v>1</v>
      </c>
      <c r="D3435" s="6">
        <v>365</v>
      </c>
      <c r="E3435" s="33">
        <v>2021</v>
      </c>
      <c r="F3435" s="15" t="s">
        <v>22</v>
      </c>
      <c r="G3435" s="9" t="s">
        <v>6258</v>
      </c>
      <c r="H3435" s="9" t="s">
        <v>78</v>
      </c>
      <c r="I3435" s="34" t="s">
        <v>25</v>
      </c>
      <c r="J3435" s="152" t="s">
        <v>5425</v>
      </c>
      <c r="K3435" s="33">
        <v>0</v>
      </c>
      <c r="L3435" s="236">
        <v>5</v>
      </c>
      <c r="M3435" s="35">
        <v>0</v>
      </c>
      <c r="N3435" s="35">
        <v>0</v>
      </c>
      <c r="O3435" s="35">
        <v>0</v>
      </c>
      <c r="P3435" s="35">
        <v>0</v>
      </c>
      <c r="Q3435" s="35">
        <v>0</v>
      </c>
      <c r="R3435" s="42">
        <v>0</v>
      </c>
      <c r="S3435" s="7" t="s">
        <v>4664</v>
      </c>
      <c r="T3435" s="257">
        <f t="shared" si="113"/>
        <v>5</v>
      </c>
      <c r="U3435" s="257">
        <f t="shared" si="114"/>
        <v>0</v>
      </c>
      <c r="V3435">
        <v>1</v>
      </c>
      <c r="W3435">
        <v>0</v>
      </c>
    </row>
    <row r="3436" spans="1:23" ht="45.6" x14ac:dyDescent="0.3">
      <c r="A3436" s="214">
        <v>44197</v>
      </c>
      <c r="B3436" s="214">
        <v>44561</v>
      </c>
      <c r="C3436" s="6">
        <v>1</v>
      </c>
      <c r="D3436" s="6">
        <v>365</v>
      </c>
      <c r="E3436" s="33">
        <v>2021</v>
      </c>
      <c r="F3436" s="15" t="s">
        <v>22</v>
      </c>
      <c r="G3436" s="9" t="s">
        <v>6258</v>
      </c>
      <c r="H3436" s="9" t="s">
        <v>174</v>
      </c>
      <c r="I3436" s="34" t="s">
        <v>25</v>
      </c>
      <c r="J3436" s="152" t="s">
        <v>5426</v>
      </c>
      <c r="K3436" s="33">
        <v>1</v>
      </c>
      <c r="L3436" s="236">
        <v>9</v>
      </c>
      <c r="M3436" s="35">
        <v>0</v>
      </c>
      <c r="N3436" s="35">
        <v>0</v>
      </c>
      <c r="O3436" s="35">
        <v>0</v>
      </c>
      <c r="P3436" s="35">
        <v>0</v>
      </c>
      <c r="Q3436" s="35">
        <v>0</v>
      </c>
      <c r="R3436" s="42">
        <v>0</v>
      </c>
      <c r="S3436" s="7" t="s">
        <v>4664</v>
      </c>
      <c r="T3436" s="257">
        <f t="shared" si="113"/>
        <v>10</v>
      </c>
      <c r="U3436" s="257">
        <f t="shared" si="114"/>
        <v>0</v>
      </c>
      <c r="V3436">
        <v>1</v>
      </c>
      <c r="W3436">
        <v>0</v>
      </c>
    </row>
    <row r="3437" spans="1:23" ht="34.200000000000003" x14ac:dyDescent="0.3">
      <c r="A3437" s="214">
        <v>44197</v>
      </c>
      <c r="B3437" s="214">
        <v>44561</v>
      </c>
      <c r="C3437" s="6">
        <v>1</v>
      </c>
      <c r="D3437" s="6">
        <v>365</v>
      </c>
      <c r="E3437" s="33">
        <v>2021</v>
      </c>
      <c r="F3437" s="15" t="s">
        <v>22</v>
      </c>
      <c r="G3437" s="9" t="s">
        <v>6258</v>
      </c>
      <c r="H3437" s="9" t="s">
        <v>124</v>
      </c>
      <c r="I3437" s="34" t="s">
        <v>25</v>
      </c>
      <c r="J3437" s="152" t="s">
        <v>5427</v>
      </c>
      <c r="K3437" s="33">
        <v>2</v>
      </c>
      <c r="L3437" s="236">
        <v>23</v>
      </c>
      <c r="M3437" s="35">
        <v>0</v>
      </c>
      <c r="N3437" s="35">
        <v>0</v>
      </c>
      <c r="O3437" s="35">
        <v>0</v>
      </c>
      <c r="P3437" s="35">
        <v>0</v>
      </c>
      <c r="Q3437" s="35">
        <v>0</v>
      </c>
      <c r="R3437" s="42">
        <v>0</v>
      </c>
      <c r="S3437" s="7" t="s">
        <v>4664</v>
      </c>
      <c r="T3437" s="257">
        <f t="shared" si="113"/>
        <v>25</v>
      </c>
      <c r="U3437" s="257">
        <f t="shared" si="114"/>
        <v>0</v>
      </c>
      <c r="V3437">
        <v>1</v>
      </c>
      <c r="W3437">
        <v>0</v>
      </c>
    </row>
    <row r="3438" spans="1:23" ht="159.6" x14ac:dyDescent="0.3">
      <c r="A3438" s="214">
        <v>44215</v>
      </c>
      <c r="B3438" s="214">
        <v>44215</v>
      </c>
      <c r="C3438" s="6">
        <v>1</v>
      </c>
      <c r="D3438" s="6">
        <v>1</v>
      </c>
      <c r="E3438" s="33">
        <v>2021</v>
      </c>
      <c r="F3438" s="15" t="s">
        <v>22</v>
      </c>
      <c r="G3438" s="18" t="s">
        <v>6256</v>
      </c>
      <c r="H3438" s="9" t="s">
        <v>174</v>
      </c>
      <c r="I3438" s="34" t="s">
        <v>5428</v>
      </c>
      <c r="J3438" s="58" t="s">
        <v>5429</v>
      </c>
      <c r="K3438" s="33">
        <v>0</v>
      </c>
      <c r="L3438" s="236">
        <v>30</v>
      </c>
      <c r="M3438" s="35">
        <v>30</v>
      </c>
      <c r="N3438" s="35">
        <v>0</v>
      </c>
      <c r="O3438" s="35">
        <v>0</v>
      </c>
      <c r="P3438" s="35">
        <v>0</v>
      </c>
      <c r="Q3438" s="35">
        <v>0</v>
      </c>
      <c r="R3438" s="42">
        <v>0.14650075000000001</v>
      </c>
      <c r="S3438" s="7" t="s">
        <v>2777</v>
      </c>
      <c r="T3438" s="257">
        <f t="shared" si="113"/>
        <v>30</v>
      </c>
      <c r="U3438" s="257">
        <f t="shared" si="114"/>
        <v>30</v>
      </c>
      <c r="V3438">
        <v>1</v>
      </c>
      <c r="W3438">
        <v>1</v>
      </c>
    </row>
    <row r="3439" spans="1:23" ht="57" x14ac:dyDescent="0.3">
      <c r="A3439" s="214">
        <v>44218</v>
      </c>
      <c r="B3439" s="214">
        <v>44218</v>
      </c>
      <c r="C3439" s="6">
        <v>1</v>
      </c>
      <c r="D3439" s="6">
        <v>1</v>
      </c>
      <c r="E3439" s="33">
        <v>2021</v>
      </c>
      <c r="F3439" s="15" t="s">
        <v>22</v>
      </c>
      <c r="G3439" s="16" t="s">
        <v>6256</v>
      </c>
      <c r="H3439" s="9" t="s">
        <v>27</v>
      </c>
      <c r="I3439" s="34" t="s">
        <v>652</v>
      </c>
      <c r="J3439" s="58" t="s">
        <v>5430</v>
      </c>
      <c r="K3439" s="33">
        <v>0</v>
      </c>
      <c r="L3439" s="236">
        <v>32</v>
      </c>
      <c r="M3439" s="35">
        <v>8</v>
      </c>
      <c r="N3439" s="35">
        <v>0</v>
      </c>
      <c r="O3439" s="35">
        <v>0</v>
      </c>
      <c r="P3439" s="35">
        <v>0</v>
      </c>
      <c r="Q3439" s="35">
        <v>0</v>
      </c>
      <c r="R3439" s="42">
        <v>1.0672200000000001E-2</v>
      </c>
      <c r="S3439" s="7" t="s">
        <v>2777</v>
      </c>
      <c r="T3439" s="257">
        <f t="shared" si="113"/>
        <v>32</v>
      </c>
      <c r="U3439" s="257">
        <f t="shared" si="114"/>
        <v>8</v>
      </c>
      <c r="V3439">
        <v>1</v>
      </c>
      <c r="W3439">
        <v>1</v>
      </c>
    </row>
    <row r="3440" spans="1:23" ht="102.6" x14ac:dyDescent="0.3">
      <c r="A3440" s="214">
        <v>44222</v>
      </c>
      <c r="B3440" s="214">
        <v>44222</v>
      </c>
      <c r="C3440" s="6">
        <v>1</v>
      </c>
      <c r="D3440" s="6">
        <v>1</v>
      </c>
      <c r="E3440" s="33">
        <v>2021</v>
      </c>
      <c r="F3440" s="15" t="s">
        <v>22</v>
      </c>
      <c r="G3440" s="18" t="s">
        <v>6255</v>
      </c>
      <c r="H3440" s="9" t="s">
        <v>27</v>
      </c>
      <c r="I3440" s="34" t="s">
        <v>986</v>
      </c>
      <c r="J3440" s="58" t="s">
        <v>5431</v>
      </c>
      <c r="K3440" s="33">
        <v>0</v>
      </c>
      <c r="L3440" s="236">
        <v>180</v>
      </c>
      <c r="M3440" s="35">
        <v>0</v>
      </c>
      <c r="N3440" s="35">
        <v>0</v>
      </c>
      <c r="O3440" s="35">
        <v>0</v>
      </c>
      <c r="P3440" s="35">
        <v>0</v>
      </c>
      <c r="Q3440" s="35">
        <v>0</v>
      </c>
      <c r="R3440" s="42">
        <v>0</v>
      </c>
      <c r="S3440" s="7" t="s">
        <v>2777</v>
      </c>
      <c r="T3440" s="257">
        <f t="shared" si="113"/>
        <v>180</v>
      </c>
      <c r="U3440" s="257">
        <f t="shared" si="114"/>
        <v>0</v>
      </c>
      <c r="V3440">
        <v>1</v>
      </c>
      <c r="W3440">
        <v>0</v>
      </c>
    </row>
    <row r="3441" spans="1:23" ht="114" x14ac:dyDescent="0.3">
      <c r="A3441" s="214">
        <v>44226</v>
      </c>
      <c r="B3441" s="214">
        <v>44226</v>
      </c>
      <c r="C3441" s="6">
        <v>1</v>
      </c>
      <c r="D3441" s="6">
        <v>1</v>
      </c>
      <c r="E3441" s="33">
        <v>2021</v>
      </c>
      <c r="F3441" s="7" t="s">
        <v>17</v>
      </c>
      <c r="G3441" s="8" t="s">
        <v>6261</v>
      </c>
      <c r="H3441" s="9" t="s">
        <v>27</v>
      </c>
      <c r="I3441" s="34" t="s">
        <v>671</v>
      </c>
      <c r="J3441" s="58" t="s">
        <v>5432</v>
      </c>
      <c r="K3441" s="33">
        <v>0</v>
      </c>
      <c r="L3441" s="236">
        <v>90</v>
      </c>
      <c r="M3441" s="35">
        <v>35</v>
      </c>
      <c r="N3441" s="35">
        <v>0</v>
      </c>
      <c r="O3441" s="35">
        <v>0</v>
      </c>
      <c r="P3441" s="35">
        <v>0</v>
      </c>
      <c r="Q3441" s="35">
        <v>0</v>
      </c>
      <c r="R3441" s="42">
        <v>1.5697027500000003</v>
      </c>
      <c r="S3441" s="7" t="s">
        <v>2777</v>
      </c>
      <c r="T3441" s="257">
        <f t="shared" si="113"/>
        <v>90</v>
      </c>
      <c r="U3441" s="257">
        <f t="shared" si="114"/>
        <v>35</v>
      </c>
      <c r="V3441">
        <v>1</v>
      </c>
      <c r="W3441">
        <v>1</v>
      </c>
    </row>
    <row r="3442" spans="1:23" ht="91.2" x14ac:dyDescent="0.3">
      <c r="A3442" s="214">
        <v>44226</v>
      </c>
      <c r="B3442" s="214">
        <v>44226</v>
      </c>
      <c r="C3442" s="6">
        <v>1</v>
      </c>
      <c r="D3442" s="6">
        <v>1</v>
      </c>
      <c r="E3442" s="33">
        <v>2021</v>
      </c>
      <c r="F3442" s="7" t="s">
        <v>17</v>
      </c>
      <c r="G3442" s="8" t="s">
        <v>6261</v>
      </c>
      <c r="H3442" s="9" t="s">
        <v>27</v>
      </c>
      <c r="I3442" s="34" t="s">
        <v>671</v>
      </c>
      <c r="J3442" s="58" t="s">
        <v>5433</v>
      </c>
      <c r="K3442" s="33">
        <v>0</v>
      </c>
      <c r="L3442" s="236">
        <v>164</v>
      </c>
      <c r="M3442" s="35">
        <v>41</v>
      </c>
      <c r="N3442" s="35">
        <v>0</v>
      </c>
      <c r="O3442" s="35">
        <v>0</v>
      </c>
      <c r="P3442" s="35">
        <v>0</v>
      </c>
      <c r="Q3442" s="35">
        <v>0</v>
      </c>
      <c r="R3442" s="42">
        <v>5.7833160000000001</v>
      </c>
      <c r="S3442" s="7" t="s">
        <v>2777</v>
      </c>
      <c r="T3442" s="257">
        <f t="shared" si="113"/>
        <v>164</v>
      </c>
      <c r="U3442" s="257">
        <f t="shared" si="114"/>
        <v>41</v>
      </c>
      <c r="V3442">
        <v>1</v>
      </c>
      <c r="W3442">
        <v>1</v>
      </c>
    </row>
    <row r="3443" spans="1:23" ht="45.6" x14ac:dyDescent="0.3">
      <c r="A3443" s="214">
        <v>44229</v>
      </c>
      <c r="B3443" s="214">
        <v>44249</v>
      </c>
      <c r="C3443" s="6">
        <v>2</v>
      </c>
      <c r="D3443" s="6">
        <v>21</v>
      </c>
      <c r="E3443" s="33">
        <v>2021</v>
      </c>
      <c r="F3443" s="15" t="s">
        <v>22</v>
      </c>
      <c r="G3443" s="18" t="s">
        <v>6255</v>
      </c>
      <c r="H3443" s="9" t="s">
        <v>61</v>
      </c>
      <c r="I3443" s="34" t="s">
        <v>5434</v>
      </c>
      <c r="J3443" s="58" t="s">
        <v>5435</v>
      </c>
      <c r="K3443" s="33">
        <v>0</v>
      </c>
      <c r="L3443" s="236">
        <v>0</v>
      </c>
      <c r="M3443" s="35">
        <v>0</v>
      </c>
      <c r="N3443" s="35">
        <v>0</v>
      </c>
      <c r="O3443" s="35">
        <v>0</v>
      </c>
      <c r="P3443" s="35">
        <v>0</v>
      </c>
      <c r="Q3443" s="35">
        <v>0</v>
      </c>
      <c r="R3443" s="42">
        <v>0.63204150000000003</v>
      </c>
      <c r="S3443" s="7" t="s">
        <v>551</v>
      </c>
      <c r="T3443" s="257">
        <f t="shared" si="113"/>
        <v>0</v>
      </c>
      <c r="U3443" s="257">
        <f t="shared" si="114"/>
        <v>0</v>
      </c>
      <c r="V3443">
        <v>0</v>
      </c>
      <c r="W3443">
        <v>0</v>
      </c>
    </row>
    <row r="3444" spans="1:23" ht="148.19999999999999" x14ac:dyDescent="0.3">
      <c r="A3444" s="214">
        <v>44241</v>
      </c>
      <c r="B3444" s="214">
        <v>44241</v>
      </c>
      <c r="C3444" s="6">
        <v>2</v>
      </c>
      <c r="D3444" s="6">
        <v>1</v>
      </c>
      <c r="E3444" s="33">
        <v>2021</v>
      </c>
      <c r="F3444" s="15" t="s">
        <v>22</v>
      </c>
      <c r="G3444" s="82" t="s">
        <v>6256</v>
      </c>
      <c r="H3444" s="9" t="s">
        <v>34</v>
      </c>
      <c r="I3444" s="34" t="s">
        <v>5436</v>
      </c>
      <c r="J3444" s="58" t="s">
        <v>5437</v>
      </c>
      <c r="K3444" s="33">
        <v>1</v>
      </c>
      <c r="L3444" s="236">
        <v>23</v>
      </c>
      <c r="M3444" s="35">
        <v>0</v>
      </c>
      <c r="N3444" s="35">
        <v>0</v>
      </c>
      <c r="O3444" s="35">
        <v>0</v>
      </c>
      <c r="P3444" s="35">
        <v>0</v>
      </c>
      <c r="Q3444" s="35">
        <v>0</v>
      </c>
      <c r="R3444" s="42">
        <v>5.3240000000000006E-3</v>
      </c>
      <c r="S3444" s="7" t="s">
        <v>2777</v>
      </c>
      <c r="T3444" s="257">
        <f t="shared" si="113"/>
        <v>24</v>
      </c>
      <c r="U3444" s="257">
        <f t="shared" si="114"/>
        <v>0</v>
      </c>
      <c r="V3444">
        <v>1</v>
      </c>
      <c r="W3444">
        <v>0</v>
      </c>
    </row>
    <row r="3445" spans="1:23" ht="114" x14ac:dyDescent="0.3">
      <c r="A3445" s="214">
        <v>44242</v>
      </c>
      <c r="B3445" s="214">
        <v>44242</v>
      </c>
      <c r="C3445" s="6">
        <v>2</v>
      </c>
      <c r="D3445" s="6">
        <v>1</v>
      </c>
      <c r="E3445" s="33">
        <v>2021</v>
      </c>
      <c r="F3445" s="15" t="s">
        <v>22</v>
      </c>
      <c r="G3445" s="18" t="s">
        <v>6255</v>
      </c>
      <c r="H3445" s="9" t="s">
        <v>37</v>
      </c>
      <c r="I3445" s="34" t="s">
        <v>5438</v>
      </c>
      <c r="J3445" s="58" t="s">
        <v>5439</v>
      </c>
      <c r="K3445" s="33">
        <v>0</v>
      </c>
      <c r="L3445" s="236">
        <v>36</v>
      </c>
      <c r="M3445" s="35">
        <v>0</v>
      </c>
      <c r="N3445" s="35">
        <v>0</v>
      </c>
      <c r="O3445" s="35">
        <v>0</v>
      </c>
      <c r="P3445" s="35">
        <v>0</v>
      </c>
      <c r="Q3445" s="35">
        <v>0</v>
      </c>
      <c r="R3445" s="42">
        <v>0</v>
      </c>
      <c r="S3445" s="7" t="s">
        <v>2777</v>
      </c>
      <c r="T3445" s="257">
        <f t="shared" si="113"/>
        <v>36</v>
      </c>
      <c r="U3445" s="257">
        <f t="shared" si="114"/>
        <v>0</v>
      </c>
      <c r="V3445">
        <v>1</v>
      </c>
      <c r="W3445">
        <v>0</v>
      </c>
    </row>
    <row r="3446" spans="1:23" x14ac:dyDescent="0.3">
      <c r="A3446" s="214">
        <v>44273</v>
      </c>
      <c r="B3446" s="214">
        <v>44273</v>
      </c>
      <c r="C3446" s="6">
        <v>3</v>
      </c>
      <c r="D3446" s="6">
        <v>1</v>
      </c>
      <c r="E3446" s="33">
        <v>2021</v>
      </c>
      <c r="F3446" s="15" t="s">
        <v>22</v>
      </c>
      <c r="G3446" s="18" t="s">
        <v>6256</v>
      </c>
      <c r="H3446" s="9" t="s">
        <v>31</v>
      </c>
      <c r="I3446" s="34" t="s">
        <v>5440</v>
      </c>
      <c r="J3446" s="58" t="s">
        <v>5441</v>
      </c>
      <c r="K3446" s="33">
        <v>0</v>
      </c>
      <c r="L3446" s="236">
        <v>515</v>
      </c>
      <c r="M3446" s="35">
        <v>0</v>
      </c>
      <c r="N3446" s="35">
        <v>0</v>
      </c>
      <c r="O3446" s="35">
        <v>0</v>
      </c>
      <c r="P3446" s="35">
        <v>0</v>
      </c>
      <c r="Q3446" s="35">
        <v>0</v>
      </c>
      <c r="R3446" s="42">
        <v>0.29598240000000003</v>
      </c>
      <c r="S3446" s="7" t="s">
        <v>5442</v>
      </c>
      <c r="T3446" s="257">
        <f t="shared" si="113"/>
        <v>515</v>
      </c>
      <c r="U3446" s="257">
        <f t="shared" si="114"/>
        <v>0</v>
      </c>
      <c r="V3446">
        <v>1</v>
      </c>
      <c r="W3446">
        <v>0</v>
      </c>
    </row>
    <row r="3447" spans="1:23" ht="193.8" x14ac:dyDescent="0.3">
      <c r="A3447" s="211">
        <v>41441</v>
      </c>
      <c r="B3447" s="211">
        <v>41441</v>
      </c>
      <c r="C3447" s="6">
        <v>6</v>
      </c>
      <c r="D3447" s="6">
        <v>1</v>
      </c>
      <c r="E3447" s="19">
        <v>2013</v>
      </c>
      <c r="F3447" s="7" t="s">
        <v>17</v>
      </c>
      <c r="G3447" s="16" t="s">
        <v>6260</v>
      </c>
      <c r="H3447" s="9" t="s">
        <v>48</v>
      </c>
      <c r="I3447" s="20" t="s">
        <v>5443</v>
      </c>
      <c r="J3447" s="21" t="s">
        <v>5444</v>
      </c>
      <c r="K3447" s="6">
        <v>0</v>
      </c>
      <c r="L3447" s="233">
        <v>35</v>
      </c>
      <c r="M3447" s="23">
        <v>7</v>
      </c>
      <c r="N3447" s="23">
        <v>0</v>
      </c>
      <c r="O3447" s="23">
        <v>1</v>
      </c>
      <c r="P3447" s="23">
        <v>0</v>
      </c>
      <c r="Q3447" s="23">
        <v>0</v>
      </c>
      <c r="R3447" s="24">
        <v>0</v>
      </c>
      <c r="S3447" s="25" t="s">
        <v>115</v>
      </c>
      <c r="T3447" s="257">
        <f t="shared" si="113"/>
        <v>35</v>
      </c>
      <c r="U3447" s="257">
        <f t="shared" si="114"/>
        <v>8</v>
      </c>
      <c r="V3447">
        <v>1</v>
      </c>
      <c r="W3447">
        <v>1</v>
      </c>
    </row>
    <row r="3448" spans="1:23" ht="91.2" x14ac:dyDescent="0.3">
      <c r="A3448" s="214">
        <v>44292</v>
      </c>
      <c r="B3448" s="214">
        <v>44292</v>
      </c>
      <c r="C3448" s="6">
        <v>4</v>
      </c>
      <c r="D3448" s="6">
        <v>1</v>
      </c>
      <c r="E3448" s="33">
        <v>2021</v>
      </c>
      <c r="F3448" s="7" t="s">
        <v>17</v>
      </c>
      <c r="G3448" s="8" t="s">
        <v>6261</v>
      </c>
      <c r="H3448" s="9" t="s">
        <v>27</v>
      </c>
      <c r="I3448" s="34" t="s">
        <v>671</v>
      </c>
      <c r="J3448" s="58" t="s">
        <v>5445</v>
      </c>
      <c r="K3448" s="33">
        <v>0</v>
      </c>
      <c r="L3448" s="236">
        <v>108</v>
      </c>
      <c r="M3448" s="35">
        <v>27</v>
      </c>
      <c r="N3448" s="35">
        <v>0</v>
      </c>
      <c r="O3448" s="35">
        <v>0</v>
      </c>
      <c r="P3448" s="35">
        <v>0</v>
      </c>
      <c r="Q3448" s="35">
        <v>0</v>
      </c>
      <c r="R3448" s="42">
        <v>0.62508600000000003</v>
      </c>
      <c r="S3448" s="7" t="s">
        <v>2777</v>
      </c>
      <c r="T3448" s="257">
        <f t="shared" si="113"/>
        <v>108</v>
      </c>
      <c r="U3448" s="257">
        <f t="shared" si="114"/>
        <v>27</v>
      </c>
      <c r="V3448">
        <v>1</v>
      </c>
      <c r="W3448">
        <v>1</v>
      </c>
    </row>
    <row r="3449" spans="1:23" ht="68.400000000000006" x14ac:dyDescent="0.3">
      <c r="A3449" s="214">
        <v>44292</v>
      </c>
      <c r="B3449" s="214">
        <v>44292</v>
      </c>
      <c r="C3449" s="6">
        <v>4</v>
      </c>
      <c r="D3449" s="6">
        <v>1</v>
      </c>
      <c r="E3449" s="33">
        <v>2021</v>
      </c>
      <c r="F3449" s="15" t="s">
        <v>22</v>
      </c>
      <c r="G3449" s="82" t="s">
        <v>6256</v>
      </c>
      <c r="H3449" s="9" t="s">
        <v>121</v>
      </c>
      <c r="I3449" s="34" t="s">
        <v>5257</v>
      </c>
      <c r="J3449" s="58" t="s">
        <v>5446</v>
      </c>
      <c r="K3449" s="33">
        <v>0</v>
      </c>
      <c r="L3449" s="236">
        <v>16</v>
      </c>
      <c r="M3449" s="35">
        <v>4</v>
      </c>
      <c r="N3449" s="35">
        <v>0</v>
      </c>
      <c r="O3449" s="35">
        <v>0</v>
      </c>
      <c r="P3449" s="35">
        <v>0</v>
      </c>
      <c r="Q3449" s="35">
        <v>0</v>
      </c>
      <c r="R3449" s="42">
        <v>2.31594E-2</v>
      </c>
      <c r="S3449" s="7" t="s">
        <v>2777</v>
      </c>
      <c r="T3449" s="257">
        <f t="shared" si="113"/>
        <v>16</v>
      </c>
      <c r="U3449" s="257">
        <f t="shared" si="114"/>
        <v>4</v>
      </c>
      <c r="V3449">
        <v>1</v>
      </c>
      <c r="W3449">
        <v>1</v>
      </c>
    </row>
    <row r="3450" spans="1:23" ht="262.2" x14ac:dyDescent="0.3">
      <c r="A3450" s="214">
        <v>44300</v>
      </c>
      <c r="B3450" s="214">
        <v>44300</v>
      </c>
      <c r="C3450" s="6">
        <v>4</v>
      </c>
      <c r="D3450" s="6">
        <v>1</v>
      </c>
      <c r="E3450" s="33">
        <v>2021</v>
      </c>
      <c r="F3450" s="15" t="s">
        <v>22</v>
      </c>
      <c r="G3450" s="82" t="s">
        <v>6256</v>
      </c>
      <c r="H3450" s="9" t="s">
        <v>43</v>
      </c>
      <c r="I3450" s="34" t="s">
        <v>689</v>
      </c>
      <c r="J3450" s="58" t="s">
        <v>5447</v>
      </c>
      <c r="K3450" s="33">
        <v>0</v>
      </c>
      <c r="L3450" s="236">
        <v>37</v>
      </c>
      <c r="M3450" s="35">
        <v>5</v>
      </c>
      <c r="N3450" s="35">
        <v>0</v>
      </c>
      <c r="O3450" s="35">
        <v>0</v>
      </c>
      <c r="P3450" s="35">
        <v>1</v>
      </c>
      <c r="Q3450" s="35">
        <v>0</v>
      </c>
      <c r="R3450" s="42">
        <v>3.1974250000000003E-3</v>
      </c>
      <c r="S3450" s="7" t="s">
        <v>2777</v>
      </c>
      <c r="T3450" s="257">
        <f t="shared" si="113"/>
        <v>37</v>
      </c>
      <c r="U3450" s="257">
        <f t="shared" si="114"/>
        <v>6</v>
      </c>
      <c r="V3450">
        <v>1</v>
      </c>
      <c r="W3450">
        <v>1</v>
      </c>
    </row>
    <row r="3451" spans="1:23" ht="114" x14ac:dyDescent="0.3">
      <c r="A3451" s="214">
        <v>44314</v>
      </c>
      <c r="B3451" s="214">
        <v>44314</v>
      </c>
      <c r="C3451" s="6">
        <v>4</v>
      </c>
      <c r="D3451" s="6">
        <v>1</v>
      </c>
      <c r="E3451" s="33">
        <v>2021</v>
      </c>
      <c r="F3451" s="15" t="s">
        <v>22</v>
      </c>
      <c r="G3451" s="82" t="s">
        <v>6256</v>
      </c>
      <c r="H3451" s="9" t="s">
        <v>37</v>
      </c>
      <c r="I3451" s="34" t="s">
        <v>5448</v>
      </c>
      <c r="J3451" s="58" t="s">
        <v>5449</v>
      </c>
      <c r="K3451" s="33">
        <v>0</v>
      </c>
      <c r="L3451" s="235">
        <v>10</v>
      </c>
      <c r="M3451" s="35">
        <v>0</v>
      </c>
      <c r="N3451" s="35">
        <v>0</v>
      </c>
      <c r="O3451" s="35">
        <v>0</v>
      </c>
      <c r="P3451" s="35">
        <v>0</v>
      </c>
      <c r="Q3451" s="35">
        <v>0</v>
      </c>
      <c r="R3451" s="42">
        <v>0</v>
      </c>
      <c r="S3451" s="7" t="s">
        <v>2777</v>
      </c>
      <c r="T3451" s="257">
        <f t="shared" si="113"/>
        <v>10</v>
      </c>
      <c r="U3451" s="257">
        <f t="shared" si="114"/>
        <v>0</v>
      </c>
      <c r="V3451">
        <v>1</v>
      </c>
      <c r="W3451">
        <v>0</v>
      </c>
    </row>
    <row r="3452" spans="1:23" ht="159.6" x14ac:dyDescent="0.3">
      <c r="A3452" s="214">
        <v>44314</v>
      </c>
      <c r="B3452" s="214">
        <v>44315</v>
      </c>
      <c r="C3452" s="6">
        <v>4</v>
      </c>
      <c r="D3452" s="6">
        <v>2</v>
      </c>
      <c r="E3452" s="33">
        <v>2021</v>
      </c>
      <c r="F3452" s="15" t="s">
        <v>22</v>
      </c>
      <c r="G3452" s="82" t="s">
        <v>6256</v>
      </c>
      <c r="H3452" s="9" t="s">
        <v>37</v>
      </c>
      <c r="I3452" s="34" t="s">
        <v>3149</v>
      </c>
      <c r="J3452" s="58" t="s">
        <v>5450</v>
      </c>
      <c r="K3452" s="33">
        <v>0</v>
      </c>
      <c r="L3452" s="236">
        <v>10</v>
      </c>
      <c r="M3452" s="35">
        <v>0</v>
      </c>
      <c r="N3452" s="35">
        <v>0</v>
      </c>
      <c r="O3452" s="35">
        <v>0</v>
      </c>
      <c r="P3452" s="35">
        <v>2</v>
      </c>
      <c r="Q3452" s="35">
        <v>0</v>
      </c>
      <c r="R3452" s="42">
        <v>0</v>
      </c>
      <c r="S3452" s="7" t="s">
        <v>2777</v>
      </c>
      <c r="T3452" s="257">
        <f t="shared" si="113"/>
        <v>10</v>
      </c>
      <c r="U3452" s="257">
        <f t="shared" si="114"/>
        <v>2</v>
      </c>
      <c r="V3452">
        <v>1</v>
      </c>
      <c r="W3452">
        <v>1</v>
      </c>
    </row>
    <row r="3453" spans="1:23" ht="171" x14ac:dyDescent="0.3">
      <c r="A3453" s="214">
        <v>44314</v>
      </c>
      <c r="B3453" s="214">
        <v>44315</v>
      </c>
      <c r="C3453" s="6">
        <v>4</v>
      </c>
      <c r="D3453" s="6">
        <v>2</v>
      </c>
      <c r="E3453" s="33">
        <v>2021</v>
      </c>
      <c r="F3453" s="15" t="s">
        <v>22</v>
      </c>
      <c r="G3453" s="82" t="s">
        <v>6256</v>
      </c>
      <c r="H3453" s="9" t="s">
        <v>118</v>
      </c>
      <c r="I3453" s="34" t="s">
        <v>5451</v>
      </c>
      <c r="J3453" s="58" t="s">
        <v>5452</v>
      </c>
      <c r="K3453" s="33">
        <v>0</v>
      </c>
      <c r="L3453" s="236">
        <v>1</v>
      </c>
      <c r="M3453" s="35">
        <v>0</v>
      </c>
      <c r="N3453" s="35">
        <v>0</v>
      </c>
      <c r="O3453" s="35">
        <v>0</v>
      </c>
      <c r="P3453" s="35">
        <v>1</v>
      </c>
      <c r="Q3453" s="35">
        <v>0</v>
      </c>
      <c r="R3453" s="42">
        <v>0</v>
      </c>
      <c r="S3453" s="7" t="s">
        <v>2777</v>
      </c>
      <c r="T3453" s="257">
        <f t="shared" si="113"/>
        <v>1</v>
      </c>
      <c r="U3453" s="257">
        <f t="shared" si="114"/>
        <v>1</v>
      </c>
      <c r="V3453">
        <v>1</v>
      </c>
      <c r="W3453">
        <v>1</v>
      </c>
    </row>
    <row r="3454" spans="1:23" ht="102.6" x14ac:dyDescent="0.3">
      <c r="A3454" s="214">
        <v>44316</v>
      </c>
      <c r="B3454" s="214">
        <v>44316</v>
      </c>
      <c r="C3454" s="6">
        <v>4</v>
      </c>
      <c r="D3454" s="6">
        <v>1</v>
      </c>
      <c r="E3454" s="33">
        <v>2021</v>
      </c>
      <c r="F3454" s="15" t="s">
        <v>22</v>
      </c>
      <c r="G3454" s="18" t="s">
        <v>6256</v>
      </c>
      <c r="H3454" s="9" t="s">
        <v>174</v>
      </c>
      <c r="I3454" s="34" t="s">
        <v>5453</v>
      </c>
      <c r="J3454" s="58" t="s">
        <v>5454</v>
      </c>
      <c r="K3454" s="33">
        <v>0</v>
      </c>
      <c r="L3454" s="236">
        <v>89</v>
      </c>
      <c r="M3454" s="35">
        <v>22</v>
      </c>
      <c r="N3454" s="35">
        <v>0</v>
      </c>
      <c r="O3454" s="35">
        <v>0</v>
      </c>
      <c r="P3454" s="35">
        <v>0</v>
      </c>
      <c r="Q3454" s="35">
        <v>0</v>
      </c>
      <c r="R3454" s="42">
        <v>2.8480374999999999E-2</v>
      </c>
      <c r="S3454" s="7" t="s">
        <v>2777</v>
      </c>
      <c r="T3454" s="257">
        <f t="shared" si="113"/>
        <v>89</v>
      </c>
      <c r="U3454" s="257">
        <f t="shared" si="114"/>
        <v>22</v>
      </c>
      <c r="V3454">
        <v>1</v>
      </c>
      <c r="W3454">
        <v>1</v>
      </c>
    </row>
    <row r="3455" spans="1:23" ht="91.2" x14ac:dyDescent="0.3">
      <c r="A3455" s="214">
        <v>44327</v>
      </c>
      <c r="B3455" s="214">
        <v>44327</v>
      </c>
      <c r="C3455" s="6">
        <v>5</v>
      </c>
      <c r="D3455" s="6">
        <v>1</v>
      </c>
      <c r="E3455" s="33">
        <v>2021</v>
      </c>
      <c r="F3455" s="15" t="s">
        <v>22</v>
      </c>
      <c r="G3455" s="18" t="s">
        <v>6256</v>
      </c>
      <c r="H3455" s="9" t="s">
        <v>51</v>
      </c>
      <c r="I3455" s="34" t="s">
        <v>1901</v>
      </c>
      <c r="J3455" s="58" t="s">
        <v>5455</v>
      </c>
      <c r="K3455" s="33">
        <v>0</v>
      </c>
      <c r="L3455" s="236">
        <v>112</v>
      </c>
      <c r="M3455" s="35">
        <v>28</v>
      </c>
      <c r="N3455" s="35">
        <v>0</v>
      </c>
      <c r="O3455" s="35">
        <v>0</v>
      </c>
      <c r="P3455" s="35">
        <v>2</v>
      </c>
      <c r="Q3455" s="35">
        <v>0</v>
      </c>
      <c r="R3455" s="42">
        <v>3.7352700000000003E-2</v>
      </c>
      <c r="S3455" s="7" t="s">
        <v>2777</v>
      </c>
      <c r="T3455" s="257">
        <f t="shared" si="113"/>
        <v>112</v>
      </c>
      <c r="U3455" s="257">
        <f t="shared" si="114"/>
        <v>30</v>
      </c>
      <c r="V3455">
        <v>1</v>
      </c>
      <c r="W3455">
        <v>1</v>
      </c>
    </row>
    <row r="3456" spans="1:23" ht="114" x14ac:dyDescent="0.3">
      <c r="A3456" s="214">
        <v>44328</v>
      </c>
      <c r="B3456" s="214">
        <v>44329</v>
      </c>
      <c r="C3456" s="6">
        <v>5</v>
      </c>
      <c r="D3456" s="6">
        <v>2</v>
      </c>
      <c r="E3456" s="33">
        <v>2021</v>
      </c>
      <c r="F3456" s="15" t="s">
        <v>22</v>
      </c>
      <c r="G3456" s="18" t="s">
        <v>6256</v>
      </c>
      <c r="H3456" s="9" t="s">
        <v>70</v>
      </c>
      <c r="I3456" s="34" t="s">
        <v>5010</v>
      </c>
      <c r="J3456" s="58" t="s">
        <v>5456</v>
      </c>
      <c r="K3456" s="33">
        <v>1</v>
      </c>
      <c r="L3456" s="236">
        <v>7</v>
      </c>
      <c r="M3456" s="35">
        <v>0</v>
      </c>
      <c r="N3456" s="35">
        <v>0</v>
      </c>
      <c r="O3456" s="35">
        <v>0</v>
      </c>
      <c r="P3456" s="35">
        <v>0</v>
      </c>
      <c r="Q3456" s="35">
        <v>0</v>
      </c>
      <c r="R3456" s="42">
        <v>7.1874000000000018E-3</v>
      </c>
      <c r="S3456" s="7" t="s">
        <v>2777</v>
      </c>
      <c r="T3456" s="257">
        <f t="shared" si="113"/>
        <v>8</v>
      </c>
      <c r="U3456" s="257">
        <f t="shared" si="114"/>
        <v>0</v>
      </c>
      <c r="V3456">
        <v>1</v>
      </c>
      <c r="W3456">
        <v>0</v>
      </c>
    </row>
    <row r="3457" spans="1:23" ht="79.8" x14ac:dyDescent="0.3">
      <c r="A3457" s="214">
        <v>44329</v>
      </c>
      <c r="B3457" s="214">
        <v>44330</v>
      </c>
      <c r="C3457" s="6">
        <v>5</v>
      </c>
      <c r="D3457" s="6">
        <v>2</v>
      </c>
      <c r="E3457" s="33">
        <v>2021</v>
      </c>
      <c r="F3457" s="15" t="s">
        <v>22</v>
      </c>
      <c r="G3457" s="18" t="s">
        <v>6256</v>
      </c>
      <c r="H3457" s="9" t="s">
        <v>118</v>
      </c>
      <c r="I3457" s="34" t="s">
        <v>170</v>
      </c>
      <c r="J3457" s="58" t="s">
        <v>5457</v>
      </c>
      <c r="K3457" s="33">
        <v>0</v>
      </c>
      <c r="L3457" s="236">
        <v>0</v>
      </c>
      <c r="M3457" s="35">
        <v>140</v>
      </c>
      <c r="N3457" s="35">
        <v>0</v>
      </c>
      <c r="O3457" s="35">
        <v>0</v>
      </c>
      <c r="P3457" s="35">
        <v>0</v>
      </c>
      <c r="Q3457" s="35">
        <v>0</v>
      </c>
      <c r="R3457" s="42">
        <v>0.43114417500000007</v>
      </c>
      <c r="S3457" s="7" t="s">
        <v>2777</v>
      </c>
      <c r="T3457" s="257">
        <f t="shared" si="113"/>
        <v>0</v>
      </c>
      <c r="U3457" s="257">
        <f t="shared" si="114"/>
        <v>140</v>
      </c>
      <c r="V3457">
        <v>0</v>
      </c>
      <c r="W3457">
        <v>1</v>
      </c>
    </row>
    <row r="3458" spans="1:23" ht="148.19999999999999" x14ac:dyDescent="0.3">
      <c r="A3458" s="214">
        <v>44331</v>
      </c>
      <c r="B3458" s="214">
        <v>44332</v>
      </c>
      <c r="C3458" s="6">
        <v>5</v>
      </c>
      <c r="D3458" s="6">
        <v>2</v>
      </c>
      <c r="E3458" s="33">
        <v>2021</v>
      </c>
      <c r="F3458" s="15" t="s">
        <v>22</v>
      </c>
      <c r="G3458" s="18" t="s">
        <v>6256</v>
      </c>
      <c r="H3458" s="9" t="s">
        <v>37</v>
      </c>
      <c r="I3458" s="34" t="s">
        <v>3507</v>
      </c>
      <c r="J3458" s="58" t="s">
        <v>5458</v>
      </c>
      <c r="K3458" s="33">
        <v>0</v>
      </c>
      <c r="L3458" s="236">
        <v>28</v>
      </c>
      <c r="M3458" s="35">
        <v>7</v>
      </c>
      <c r="N3458" s="35">
        <v>0</v>
      </c>
      <c r="O3458" s="35">
        <v>0</v>
      </c>
      <c r="P3458" s="35">
        <v>0</v>
      </c>
      <c r="Q3458" s="35">
        <v>0</v>
      </c>
      <c r="R3458" s="42">
        <v>9.3381750000000006E-3</v>
      </c>
      <c r="S3458" s="7" t="s">
        <v>2777</v>
      </c>
      <c r="T3458" s="257">
        <f t="shared" si="113"/>
        <v>28</v>
      </c>
      <c r="U3458" s="257">
        <f t="shared" si="114"/>
        <v>7</v>
      </c>
      <c r="V3458">
        <v>1</v>
      </c>
      <c r="W3458">
        <v>1</v>
      </c>
    </row>
    <row r="3459" spans="1:23" ht="273.60000000000002" x14ac:dyDescent="0.3">
      <c r="A3459" s="214">
        <v>44331</v>
      </c>
      <c r="B3459" s="214">
        <v>44331</v>
      </c>
      <c r="C3459" s="6">
        <v>5</v>
      </c>
      <c r="D3459" s="6">
        <v>1</v>
      </c>
      <c r="E3459" s="33">
        <v>2021</v>
      </c>
      <c r="F3459" s="15" t="s">
        <v>22</v>
      </c>
      <c r="G3459" s="82" t="s">
        <v>6256</v>
      </c>
      <c r="H3459" s="9" t="s">
        <v>78</v>
      </c>
      <c r="I3459" s="34" t="s">
        <v>5459</v>
      </c>
      <c r="J3459" s="58" t="s">
        <v>5460</v>
      </c>
      <c r="K3459" s="33">
        <v>0</v>
      </c>
      <c r="L3459" s="236">
        <v>17</v>
      </c>
      <c r="M3459" s="35">
        <v>1</v>
      </c>
      <c r="N3459" s="35">
        <v>0</v>
      </c>
      <c r="O3459" s="35">
        <v>0</v>
      </c>
      <c r="P3459" s="35">
        <v>0</v>
      </c>
      <c r="Q3459" s="35">
        <v>0</v>
      </c>
      <c r="R3459" s="42">
        <v>0.97189922500000014</v>
      </c>
      <c r="S3459" s="7" t="s">
        <v>2777</v>
      </c>
      <c r="T3459" s="257">
        <f t="shared" ref="T3459:T3522" si="115">SUM(K3459:L3459)</f>
        <v>17</v>
      </c>
      <c r="U3459" s="257">
        <f t="shared" ref="U3459:U3522" si="116">SUM(M3459:P3459)</f>
        <v>1</v>
      </c>
      <c r="V3459">
        <v>1</v>
      </c>
      <c r="W3459">
        <v>1</v>
      </c>
    </row>
    <row r="3460" spans="1:23" ht="79.8" x14ac:dyDescent="0.3">
      <c r="A3460" s="214">
        <v>44332</v>
      </c>
      <c r="B3460" s="214">
        <v>44333</v>
      </c>
      <c r="C3460" s="6">
        <v>5</v>
      </c>
      <c r="D3460" s="6">
        <v>2</v>
      </c>
      <c r="E3460" s="33">
        <v>2021</v>
      </c>
      <c r="F3460" s="15" t="s">
        <v>22</v>
      </c>
      <c r="G3460" s="18" t="s">
        <v>6256</v>
      </c>
      <c r="H3460" s="9" t="s">
        <v>31</v>
      </c>
      <c r="I3460" s="34" t="s">
        <v>4877</v>
      </c>
      <c r="J3460" s="58" t="s">
        <v>5461</v>
      </c>
      <c r="K3460" s="33">
        <v>0</v>
      </c>
      <c r="L3460" s="236">
        <v>25</v>
      </c>
      <c r="M3460" s="35">
        <v>6</v>
      </c>
      <c r="N3460" s="35">
        <v>0</v>
      </c>
      <c r="O3460" s="35">
        <v>0</v>
      </c>
      <c r="P3460" s="35">
        <v>0</v>
      </c>
      <c r="Q3460" s="35">
        <v>0</v>
      </c>
      <c r="R3460" s="42">
        <v>2.7951000000000004E-3</v>
      </c>
      <c r="S3460" s="7" t="s">
        <v>2777</v>
      </c>
      <c r="T3460" s="257">
        <f t="shared" si="115"/>
        <v>25</v>
      </c>
      <c r="U3460" s="257">
        <f t="shared" si="116"/>
        <v>6</v>
      </c>
      <c r="V3460">
        <v>1</v>
      </c>
      <c r="W3460">
        <v>1</v>
      </c>
    </row>
    <row r="3461" spans="1:23" ht="148.19999999999999" x14ac:dyDescent="0.3">
      <c r="A3461" s="214">
        <v>44333</v>
      </c>
      <c r="B3461" s="214">
        <v>44334</v>
      </c>
      <c r="C3461" s="6">
        <v>5</v>
      </c>
      <c r="D3461" s="6">
        <v>2</v>
      </c>
      <c r="E3461" s="33">
        <v>2021</v>
      </c>
      <c r="F3461" s="15" t="s">
        <v>22</v>
      </c>
      <c r="G3461" s="18" t="s">
        <v>6256</v>
      </c>
      <c r="H3461" s="9" t="s">
        <v>61</v>
      </c>
      <c r="I3461" s="34" t="s">
        <v>5462</v>
      </c>
      <c r="J3461" s="58" t="s">
        <v>5463</v>
      </c>
      <c r="K3461" s="33">
        <v>1</v>
      </c>
      <c r="L3461" s="236">
        <v>58</v>
      </c>
      <c r="M3461" s="35">
        <v>14</v>
      </c>
      <c r="N3461" s="35"/>
      <c r="O3461" s="35">
        <v>0</v>
      </c>
      <c r="P3461" s="35">
        <v>0</v>
      </c>
      <c r="Q3461" s="35">
        <v>0</v>
      </c>
      <c r="R3461" s="42">
        <v>40.114322819999998</v>
      </c>
      <c r="S3461" s="7" t="s">
        <v>2777</v>
      </c>
      <c r="T3461" s="257">
        <f t="shared" si="115"/>
        <v>59</v>
      </c>
      <c r="U3461" s="257">
        <f t="shared" si="116"/>
        <v>14</v>
      </c>
      <c r="V3461">
        <v>1</v>
      </c>
      <c r="W3461">
        <v>1</v>
      </c>
    </row>
    <row r="3462" spans="1:23" ht="285" x14ac:dyDescent="0.3">
      <c r="A3462" s="214">
        <v>44333</v>
      </c>
      <c r="B3462" s="214">
        <v>44334</v>
      </c>
      <c r="C3462" s="6">
        <v>5</v>
      </c>
      <c r="D3462" s="6">
        <v>2</v>
      </c>
      <c r="E3462" s="33">
        <v>2021</v>
      </c>
      <c r="F3462" s="7" t="s">
        <v>17</v>
      </c>
      <c r="G3462" s="8" t="s">
        <v>6261</v>
      </c>
      <c r="H3462" s="9" t="s">
        <v>61</v>
      </c>
      <c r="I3462" s="34" t="s">
        <v>5464</v>
      </c>
      <c r="J3462" s="58" t="s">
        <v>5465</v>
      </c>
      <c r="K3462" s="33">
        <v>1</v>
      </c>
      <c r="L3462" s="236">
        <v>57</v>
      </c>
      <c r="M3462" s="35">
        <v>0</v>
      </c>
      <c r="N3462" s="35">
        <v>1</v>
      </c>
      <c r="O3462" s="35">
        <v>0</v>
      </c>
      <c r="P3462" s="35">
        <v>0</v>
      </c>
      <c r="Q3462" s="35">
        <v>0</v>
      </c>
      <c r="R3462" s="42">
        <v>0</v>
      </c>
      <c r="S3462" s="7" t="s">
        <v>2777</v>
      </c>
      <c r="T3462" s="257">
        <f t="shared" si="115"/>
        <v>58</v>
      </c>
      <c r="U3462" s="257">
        <f t="shared" si="116"/>
        <v>1</v>
      </c>
      <c r="V3462">
        <v>1</v>
      </c>
      <c r="W3462">
        <v>1</v>
      </c>
    </row>
    <row r="3463" spans="1:23" ht="285" x14ac:dyDescent="0.3">
      <c r="A3463" s="214">
        <v>44333</v>
      </c>
      <c r="B3463" s="214">
        <v>44334</v>
      </c>
      <c r="C3463" s="6">
        <v>5</v>
      </c>
      <c r="D3463" s="6">
        <v>2</v>
      </c>
      <c r="E3463" s="33">
        <v>2021</v>
      </c>
      <c r="F3463" s="7" t="s">
        <v>17</v>
      </c>
      <c r="G3463" s="8" t="s">
        <v>6261</v>
      </c>
      <c r="H3463" s="9" t="s">
        <v>61</v>
      </c>
      <c r="I3463" s="34" t="s">
        <v>5464</v>
      </c>
      <c r="J3463" s="58" t="s">
        <v>5465</v>
      </c>
      <c r="K3463" s="33">
        <v>1</v>
      </c>
      <c r="L3463" s="236">
        <v>1</v>
      </c>
      <c r="M3463" s="35">
        <v>0</v>
      </c>
      <c r="N3463" s="35">
        <v>0</v>
      </c>
      <c r="O3463" s="35">
        <v>0</v>
      </c>
      <c r="P3463" s="35">
        <v>0</v>
      </c>
      <c r="Q3463" s="35">
        <v>0</v>
      </c>
      <c r="R3463" s="42">
        <v>0</v>
      </c>
      <c r="S3463" s="7" t="s">
        <v>2777</v>
      </c>
      <c r="T3463" s="257">
        <f t="shared" si="115"/>
        <v>2</v>
      </c>
      <c r="U3463" s="257">
        <f t="shared" si="116"/>
        <v>0</v>
      </c>
      <c r="V3463">
        <v>1</v>
      </c>
      <c r="W3463">
        <v>0</v>
      </c>
    </row>
    <row r="3464" spans="1:23" ht="159.6" x14ac:dyDescent="0.3">
      <c r="A3464" s="214">
        <v>44333</v>
      </c>
      <c r="B3464" s="214">
        <v>44334</v>
      </c>
      <c r="C3464" s="6">
        <v>5</v>
      </c>
      <c r="D3464" s="6">
        <v>2</v>
      </c>
      <c r="E3464" s="33">
        <v>2021</v>
      </c>
      <c r="F3464" s="15" t="s">
        <v>22</v>
      </c>
      <c r="G3464" s="18" t="s">
        <v>6256</v>
      </c>
      <c r="H3464" s="9" t="s">
        <v>78</v>
      </c>
      <c r="I3464" s="34" t="s">
        <v>1021</v>
      </c>
      <c r="J3464" s="58" t="s">
        <v>5466</v>
      </c>
      <c r="K3464" s="33">
        <v>1</v>
      </c>
      <c r="L3464" s="236">
        <v>6</v>
      </c>
      <c r="M3464" s="35">
        <v>0</v>
      </c>
      <c r="N3464" s="35">
        <v>0</v>
      </c>
      <c r="O3464" s="35">
        <v>0</v>
      </c>
      <c r="P3464" s="35">
        <v>0</v>
      </c>
      <c r="Q3464" s="35">
        <v>0</v>
      </c>
      <c r="R3464" s="42">
        <v>0.10648000000000001</v>
      </c>
      <c r="S3464" s="7" t="s">
        <v>2777</v>
      </c>
      <c r="T3464" s="257">
        <f t="shared" si="115"/>
        <v>7</v>
      </c>
      <c r="U3464" s="257">
        <f t="shared" si="116"/>
        <v>0</v>
      </c>
      <c r="V3464">
        <v>1</v>
      </c>
      <c r="W3464">
        <v>0</v>
      </c>
    </row>
    <row r="3465" spans="1:23" ht="136.80000000000001" x14ac:dyDescent="0.3">
      <c r="A3465" s="214">
        <v>44334</v>
      </c>
      <c r="B3465" s="214">
        <v>44334</v>
      </c>
      <c r="C3465" s="6">
        <v>5</v>
      </c>
      <c r="D3465" s="6">
        <v>1</v>
      </c>
      <c r="E3465" s="33">
        <v>2021</v>
      </c>
      <c r="F3465" s="15" t="s">
        <v>22</v>
      </c>
      <c r="G3465" s="18" t="s">
        <v>6256</v>
      </c>
      <c r="H3465" s="9" t="s">
        <v>64</v>
      </c>
      <c r="I3465" s="34" t="s">
        <v>5467</v>
      </c>
      <c r="J3465" s="58" t="s">
        <v>5468</v>
      </c>
      <c r="K3465" s="33">
        <v>0</v>
      </c>
      <c r="L3465" s="236">
        <v>160</v>
      </c>
      <c r="M3465" s="35">
        <v>40</v>
      </c>
      <c r="N3465" s="35">
        <v>0</v>
      </c>
      <c r="O3465" s="35">
        <v>0</v>
      </c>
      <c r="P3465" s="35">
        <v>0</v>
      </c>
      <c r="Q3465" s="35">
        <v>0</v>
      </c>
      <c r="R3465" s="42">
        <v>5.3360999999999999E-2</v>
      </c>
      <c r="S3465" s="7" t="s">
        <v>2777</v>
      </c>
      <c r="T3465" s="257">
        <f t="shared" si="115"/>
        <v>160</v>
      </c>
      <c r="U3465" s="257">
        <f t="shared" si="116"/>
        <v>40</v>
      </c>
      <c r="V3465">
        <v>1</v>
      </c>
      <c r="W3465">
        <v>1</v>
      </c>
    </row>
    <row r="3466" spans="1:23" ht="114" x14ac:dyDescent="0.3">
      <c r="A3466" s="214">
        <v>44334</v>
      </c>
      <c r="B3466" s="214">
        <v>44351</v>
      </c>
      <c r="C3466" s="6">
        <v>5</v>
      </c>
      <c r="D3466" s="6">
        <v>18</v>
      </c>
      <c r="E3466" s="33">
        <v>2021</v>
      </c>
      <c r="F3466" s="15" t="s">
        <v>22</v>
      </c>
      <c r="G3466" s="18" t="s">
        <v>6256</v>
      </c>
      <c r="H3466" s="9" t="s">
        <v>174</v>
      </c>
      <c r="I3466" s="34" t="s">
        <v>5469</v>
      </c>
      <c r="J3466" s="58" t="s">
        <v>5470</v>
      </c>
      <c r="K3466" s="33">
        <v>0</v>
      </c>
      <c r="L3466" s="236">
        <v>156</v>
      </c>
      <c r="M3466" s="35">
        <v>19</v>
      </c>
      <c r="N3466" s="35">
        <v>0</v>
      </c>
      <c r="O3466" s="35">
        <v>0</v>
      </c>
      <c r="P3466" s="35">
        <v>0</v>
      </c>
      <c r="Q3466" s="35">
        <v>0</v>
      </c>
      <c r="R3466" s="42">
        <v>1.5373050000000003E-2</v>
      </c>
      <c r="S3466" s="7" t="s">
        <v>2777</v>
      </c>
      <c r="T3466" s="257">
        <f t="shared" si="115"/>
        <v>156</v>
      </c>
      <c r="U3466" s="257">
        <f t="shared" si="116"/>
        <v>19</v>
      </c>
      <c r="V3466">
        <v>1</v>
      </c>
      <c r="W3466">
        <v>1</v>
      </c>
    </row>
    <row r="3467" spans="1:23" ht="91.2" x14ac:dyDescent="0.3">
      <c r="A3467" s="214">
        <v>44334</v>
      </c>
      <c r="B3467" s="214">
        <v>44335</v>
      </c>
      <c r="C3467" s="6">
        <v>5</v>
      </c>
      <c r="D3467" s="6">
        <v>2</v>
      </c>
      <c r="E3467" s="33">
        <v>2021</v>
      </c>
      <c r="F3467" s="15" t="s">
        <v>22</v>
      </c>
      <c r="G3467" s="18" t="s">
        <v>6256</v>
      </c>
      <c r="H3467" s="9" t="s">
        <v>61</v>
      </c>
      <c r="I3467" s="34" t="s">
        <v>5471</v>
      </c>
      <c r="J3467" s="58" t="s">
        <v>5472</v>
      </c>
      <c r="K3467" s="33">
        <v>0</v>
      </c>
      <c r="L3467" s="236">
        <v>25</v>
      </c>
      <c r="M3467" s="35">
        <v>6</v>
      </c>
      <c r="N3467" s="35">
        <v>0</v>
      </c>
      <c r="O3467" s="35">
        <v>0</v>
      </c>
      <c r="P3467" s="35">
        <v>0</v>
      </c>
      <c r="Q3467" s="35">
        <v>0</v>
      </c>
      <c r="R3467" s="42">
        <v>8.0041499999999998E-3</v>
      </c>
      <c r="S3467" s="7" t="s">
        <v>2777</v>
      </c>
      <c r="T3467" s="257">
        <f t="shared" si="115"/>
        <v>25</v>
      </c>
      <c r="U3467" s="257">
        <f t="shared" si="116"/>
        <v>6</v>
      </c>
      <c r="V3467">
        <v>1</v>
      </c>
      <c r="W3467">
        <v>1</v>
      </c>
    </row>
    <row r="3468" spans="1:23" ht="216.6" x14ac:dyDescent="0.3">
      <c r="A3468" s="214">
        <v>44334</v>
      </c>
      <c r="B3468" s="214">
        <v>44334</v>
      </c>
      <c r="C3468" s="6">
        <v>5</v>
      </c>
      <c r="D3468" s="6">
        <v>1</v>
      </c>
      <c r="E3468" s="33">
        <v>2021</v>
      </c>
      <c r="F3468" s="15" t="s">
        <v>22</v>
      </c>
      <c r="G3468" s="18" t="s">
        <v>6256</v>
      </c>
      <c r="H3468" s="9" t="s">
        <v>78</v>
      </c>
      <c r="I3468" s="34" t="s">
        <v>1021</v>
      </c>
      <c r="J3468" s="58" t="s">
        <v>5473</v>
      </c>
      <c r="K3468" s="33">
        <v>1</v>
      </c>
      <c r="L3468" s="236">
        <v>632</v>
      </c>
      <c r="M3468" s="35">
        <v>156</v>
      </c>
      <c r="N3468" s="35">
        <v>0</v>
      </c>
      <c r="O3468" s="35">
        <v>0</v>
      </c>
      <c r="P3468" s="35">
        <v>325</v>
      </c>
      <c r="Q3468" s="35">
        <v>0</v>
      </c>
      <c r="R3468" s="42">
        <v>1.5597787943023258</v>
      </c>
      <c r="S3468" s="7" t="s">
        <v>2777</v>
      </c>
      <c r="T3468" s="257">
        <f t="shared" si="115"/>
        <v>633</v>
      </c>
      <c r="U3468" s="257">
        <f t="shared" si="116"/>
        <v>481</v>
      </c>
      <c r="V3468">
        <v>1</v>
      </c>
      <c r="W3468">
        <v>1</v>
      </c>
    </row>
    <row r="3469" spans="1:23" ht="409.6" x14ac:dyDescent="0.3">
      <c r="A3469" s="214">
        <v>44335</v>
      </c>
      <c r="B3469" s="214">
        <v>44336</v>
      </c>
      <c r="C3469" s="6">
        <v>5</v>
      </c>
      <c r="D3469" s="6">
        <v>2</v>
      </c>
      <c r="E3469" s="33">
        <v>2021</v>
      </c>
      <c r="F3469" s="15" t="s">
        <v>22</v>
      </c>
      <c r="G3469" s="18" t="s">
        <v>6256</v>
      </c>
      <c r="H3469" s="9" t="s">
        <v>174</v>
      </c>
      <c r="I3469" s="34" t="s">
        <v>5474</v>
      </c>
      <c r="J3469" s="58" t="s">
        <v>5475</v>
      </c>
      <c r="K3469" s="33">
        <v>0</v>
      </c>
      <c r="L3469" s="236">
        <v>1152</v>
      </c>
      <c r="M3469" s="35">
        <v>288</v>
      </c>
      <c r="N3469" s="35">
        <v>0</v>
      </c>
      <c r="O3469" s="35">
        <v>0</v>
      </c>
      <c r="P3469" s="35">
        <v>0</v>
      </c>
      <c r="Q3469" s="35">
        <v>0</v>
      </c>
      <c r="R3469" s="42">
        <v>0.13416480000000003</v>
      </c>
      <c r="S3469" s="7" t="s">
        <v>2777</v>
      </c>
      <c r="T3469" s="257">
        <f t="shared" si="115"/>
        <v>1152</v>
      </c>
      <c r="U3469" s="257">
        <f t="shared" si="116"/>
        <v>288</v>
      </c>
      <c r="V3469">
        <v>1</v>
      </c>
      <c r="W3469">
        <v>1</v>
      </c>
    </row>
    <row r="3470" spans="1:23" ht="91.2" x14ac:dyDescent="0.3">
      <c r="A3470" s="214">
        <v>44336</v>
      </c>
      <c r="B3470" s="214">
        <v>44336</v>
      </c>
      <c r="C3470" s="6">
        <v>5</v>
      </c>
      <c r="D3470" s="6">
        <v>1</v>
      </c>
      <c r="E3470" s="33">
        <v>2021</v>
      </c>
      <c r="F3470" s="15" t="s">
        <v>22</v>
      </c>
      <c r="G3470" s="18" t="s">
        <v>6256</v>
      </c>
      <c r="H3470" s="9" t="s">
        <v>174</v>
      </c>
      <c r="I3470" s="34" t="s">
        <v>4078</v>
      </c>
      <c r="J3470" s="58" t="s">
        <v>5476</v>
      </c>
      <c r="K3470" s="33">
        <v>0</v>
      </c>
      <c r="L3470" s="236">
        <v>224</v>
      </c>
      <c r="M3470" s="35">
        <v>56</v>
      </c>
      <c r="N3470" s="35">
        <v>0</v>
      </c>
      <c r="O3470" s="35">
        <v>0</v>
      </c>
      <c r="P3470" s="35">
        <v>0</v>
      </c>
      <c r="Q3470" s="35">
        <v>0</v>
      </c>
      <c r="R3470" s="42">
        <v>7.4705400000000005E-2</v>
      </c>
      <c r="S3470" s="7" t="s">
        <v>2777</v>
      </c>
      <c r="T3470" s="257">
        <f t="shared" si="115"/>
        <v>224</v>
      </c>
      <c r="U3470" s="257">
        <f t="shared" si="116"/>
        <v>56</v>
      </c>
      <c r="V3470">
        <v>1</v>
      </c>
      <c r="W3470">
        <v>1</v>
      </c>
    </row>
    <row r="3471" spans="1:23" ht="91.2" x14ac:dyDescent="0.3">
      <c r="A3471" s="214">
        <v>44336</v>
      </c>
      <c r="B3471" s="214">
        <v>44336</v>
      </c>
      <c r="C3471" s="6">
        <v>5</v>
      </c>
      <c r="D3471" s="6">
        <v>1</v>
      </c>
      <c r="E3471" s="33">
        <v>2021</v>
      </c>
      <c r="F3471" s="15" t="s">
        <v>22</v>
      </c>
      <c r="G3471" s="18" t="s">
        <v>6256</v>
      </c>
      <c r="H3471" s="9" t="s">
        <v>78</v>
      </c>
      <c r="I3471" s="34" t="s">
        <v>5477</v>
      </c>
      <c r="J3471" s="58" t="s">
        <v>5478</v>
      </c>
      <c r="K3471" s="33">
        <v>0</v>
      </c>
      <c r="L3471" s="236">
        <v>13</v>
      </c>
      <c r="M3471" s="35">
        <v>0</v>
      </c>
      <c r="N3471" s="35">
        <v>0</v>
      </c>
      <c r="O3471" s="35">
        <v>0</v>
      </c>
      <c r="P3471" s="35">
        <v>0</v>
      </c>
      <c r="Q3471" s="35">
        <v>0</v>
      </c>
      <c r="R3471" s="42">
        <v>1.3842400000000001</v>
      </c>
      <c r="S3471" s="7" t="s">
        <v>2777</v>
      </c>
      <c r="T3471" s="257">
        <f t="shared" si="115"/>
        <v>13</v>
      </c>
      <c r="U3471" s="257">
        <f t="shared" si="116"/>
        <v>0</v>
      </c>
      <c r="V3471">
        <v>1</v>
      </c>
      <c r="W3471">
        <v>0</v>
      </c>
    </row>
    <row r="3472" spans="1:23" ht="79.8" x14ac:dyDescent="0.3">
      <c r="A3472" s="214">
        <v>44337</v>
      </c>
      <c r="B3472" s="214">
        <v>44338</v>
      </c>
      <c r="C3472" s="6">
        <v>5</v>
      </c>
      <c r="D3472" s="6">
        <v>2</v>
      </c>
      <c r="E3472" s="33">
        <v>2021</v>
      </c>
      <c r="F3472" s="15" t="s">
        <v>22</v>
      </c>
      <c r="G3472" s="18" t="s">
        <v>6256</v>
      </c>
      <c r="H3472" s="9" t="s">
        <v>174</v>
      </c>
      <c r="I3472" s="34" t="s">
        <v>5479</v>
      </c>
      <c r="J3472" s="58" t="s">
        <v>5480</v>
      </c>
      <c r="K3472" s="33">
        <v>1</v>
      </c>
      <c r="L3472" s="236">
        <v>211</v>
      </c>
      <c r="M3472" s="35">
        <v>72</v>
      </c>
      <c r="N3472" s="35">
        <v>0</v>
      </c>
      <c r="O3472" s="35">
        <v>0</v>
      </c>
      <c r="P3472" s="35">
        <v>0</v>
      </c>
      <c r="Q3472" s="35">
        <v>0</v>
      </c>
      <c r="R3472" s="42">
        <v>3.3541200000000007E-2</v>
      </c>
      <c r="S3472" s="7" t="s">
        <v>2777</v>
      </c>
      <c r="T3472" s="257">
        <f t="shared" si="115"/>
        <v>212</v>
      </c>
      <c r="U3472" s="257">
        <f t="shared" si="116"/>
        <v>72</v>
      </c>
      <c r="V3472">
        <v>1</v>
      </c>
      <c r="W3472">
        <v>1</v>
      </c>
    </row>
    <row r="3473" spans="1:23" ht="159.6" x14ac:dyDescent="0.3">
      <c r="A3473" s="214">
        <v>44338</v>
      </c>
      <c r="B3473" s="214">
        <v>44338</v>
      </c>
      <c r="C3473" s="6">
        <v>5</v>
      </c>
      <c r="D3473" s="6">
        <v>1</v>
      </c>
      <c r="E3473" s="33">
        <v>2021</v>
      </c>
      <c r="F3473" s="15" t="s">
        <v>22</v>
      </c>
      <c r="G3473" s="18" t="s">
        <v>6256</v>
      </c>
      <c r="H3473" s="17" t="s">
        <v>565</v>
      </c>
      <c r="I3473" s="34" t="s">
        <v>2598</v>
      </c>
      <c r="J3473" s="58" t="s">
        <v>5481</v>
      </c>
      <c r="K3473" s="33">
        <v>0</v>
      </c>
      <c r="L3473" s="236">
        <v>1600</v>
      </c>
      <c r="M3473" s="35">
        <v>400</v>
      </c>
      <c r="N3473" s="35">
        <v>0</v>
      </c>
      <c r="O3473" s="35">
        <v>0</v>
      </c>
      <c r="P3473" s="35">
        <v>0</v>
      </c>
      <c r="Q3473" s="35">
        <v>0</v>
      </c>
      <c r="R3473" s="42">
        <v>0.74656999999999996</v>
      </c>
      <c r="S3473" s="7" t="s">
        <v>2777</v>
      </c>
      <c r="T3473" s="257">
        <f t="shared" si="115"/>
        <v>1600</v>
      </c>
      <c r="U3473" s="257">
        <f t="shared" si="116"/>
        <v>400</v>
      </c>
      <c r="V3473">
        <v>1</v>
      </c>
      <c r="W3473">
        <v>1</v>
      </c>
    </row>
    <row r="3474" spans="1:23" ht="114" x14ac:dyDescent="0.3">
      <c r="A3474" s="214">
        <v>44344</v>
      </c>
      <c r="B3474" s="214">
        <v>44344</v>
      </c>
      <c r="C3474" s="6">
        <v>5</v>
      </c>
      <c r="D3474" s="6">
        <v>1</v>
      </c>
      <c r="E3474" s="33">
        <v>2021</v>
      </c>
      <c r="F3474" s="15" t="s">
        <v>22</v>
      </c>
      <c r="G3474" s="82" t="s">
        <v>6256</v>
      </c>
      <c r="H3474" s="9" t="s">
        <v>37</v>
      </c>
      <c r="I3474" s="34" t="s">
        <v>691</v>
      </c>
      <c r="J3474" s="58" t="s">
        <v>5482</v>
      </c>
      <c r="K3474" s="33">
        <v>0</v>
      </c>
      <c r="L3474" s="236">
        <v>40</v>
      </c>
      <c r="M3474" s="35">
        <v>10</v>
      </c>
      <c r="N3474" s="35">
        <v>0</v>
      </c>
      <c r="O3474" s="35">
        <v>0</v>
      </c>
      <c r="P3474" s="35">
        <v>0</v>
      </c>
      <c r="Q3474" s="35">
        <v>0</v>
      </c>
      <c r="R3474" s="42">
        <v>1.334025E-2</v>
      </c>
      <c r="S3474" s="7" t="s">
        <v>2777</v>
      </c>
      <c r="T3474" s="257">
        <f t="shared" si="115"/>
        <v>40</v>
      </c>
      <c r="U3474" s="257">
        <f t="shared" si="116"/>
        <v>10</v>
      </c>
      <c r="V3474">
        <v>1</v>
      </c>
      <c r="W3474">
        <v>1</v>
      </c>
    </row>
    <row r="3475" spans="1:23" ht="79.8" x14ac:dyDescent="0.3">
      <c r="A3475" s="214">
        <v>44345</v>
      </c>
      <c r="B3475" s="214">
        <v>44345</v>
      </c>
      <c r="C3475" s="6">
        <v>5</v>
      </c>
      <c r="D3475" s="6">
        <v>1</v>
      </c>
      <c r="E3475" s="33">
        <v>2021</v>
      </c>
      <c r="F3475" s="7" t="s">
        <v>17</v>
      </c>
      <c r="G3475" s="8" t="s">
        <v>6261</v>
      </c>
      <c r="H3475" s="9" t="s">
        <v>174</v>
      </c>
      <c r="I3475" s="34" t="s">
        <v>1255</v>
      </c>
      <c r="J3475" s="58" t="s">
        <v>5483</v>
      </c>
      <c r="K3475" s="33">
        <v>0</v>
      </c>
      <c r="L3475" s="236">
        <v>2</v>
      </c>
      <c r="M3475" s="35">
        <v>0</v>
      </c>
      <c r="N3475" s="35">
        <v>0</v>
      </c>
      <c r="O3475" s="35">
        <v>0</v>
      </c>
      <c r="P3475" s="35">
        <v>0</v>
      </c>
      <c r="Q3475" s="35">
        <v>0</v>
      </c>
      <c r="R3475" s="42">
        <v>2.3958000000000004E-3</v>
      </c>
      <c r="S3475" s="7" t="s">
        <v>2777</v>
      </c>
      <c r="T3475" s="257">
        <f t="shared" si="115"/>
        <v>2</v>
      </c>
      <c r="U3475" s="257">
        <f t="shared" si="116"/>
        <v>0</v>
      </c>
      <c r="V3475">
        <v>1</v>
      </c>
      <c r="W3475">
        <v>0</v>
      </c>
    </row>
    <row r="3476" spans="1:23" ht="239.4" x14ac:dyDescent="0.3">
      <c r="A3476" s="214">
        <v>44351</v>
      </c>
      <c r="B3476" s="214">
        <v>44351</v>
      </c>
      <c r="C3476" s="6">
        <v>6</v>
      </c>
      <c r="D3476" s="6">
        <v>1</v>
      </c>
      <c r="E3476" s="33">
        <v>2021</v>
      </c>
      <c r="F3476" s="15" t="s">
        <v>22</v>
      </c>
      <c r="G3476" s="18" t="s">
        <v>6256</v>
      </c>
      <c r="H3476" s="9" t="s">
        <v>43</v>
      </c>
      <c r="I3476" s="34" t="s">
        <v>5485</v>
      </c>
      <c r="J3476" s="58" t="s">
        <v>5486</v>
      </c>
      <c r="K3476" s="33">
        <v>0</v>
      </c>
      <c r="L3476" s="236">
        <v>120</v>
      </c>
      <c r="M3476" s="35">
        <v>30</v>
      </c>
      <c r="N3476" s="35">
        <v>0</v>
      </c>
      <c r="O3476" s="35">
        <v>0</v>
      </c>
      <c r="P3476" s="35">
        <v>0</v>
      </c>
      <c r="Q3476" s="35">
        <v>0</v>
      </c>
      <c r="R3476" s="42">
        <v>0.25298075000000003</v>
      </c>
      <c r="S3476" s="7" t="s">
        <v>2777</v>
      </c>
      <c r="T3476" s="257">
        <f t="shared" si="115"/>
        <v>120</v>
      </c>
      <c r="U3476" s="257">
        <f t="shared" si="116"/>
        <v>30</v>
      </c>
      <c r="V3476">
        <v>1</v>
      </c>
      <c r="W3476">
        <v>1</v>
      </c>
    </row>
    <row r="3477" spans="1:23" ht="102.6" x14ac:dyDescent="0.3">
      <c r="A3477" s="214">
        <v>44351</v>
      </c>
      <c r="B3477" s="214">
        <v>44352</v>
      </c>
      <c r="C3477" s="6">
        <v>6</v>
      </c>
      <c r="D3477" s="6">
        <v>2</v>
      </c>
      <c r="E3477" s="33">
        <v>2021</v>
      </c>
      <c r="F3477" s="7" t="s">
        <v>17</v>
      </c>
      <c r="G3477" s="8" t="s">
        <v>6261</v>
      </c>
      <c r="H3477" s="9" t="s">
        <v>174</v>
      </c>
      <c r="I3477" s="34" t="s">
        <v>5487</v>
      </c>
      <c r="J3477" s="58" t="s">
        <v>5488</v>
      </c>
      <c r="K3477" s="33">
        <v>0</v>
      </c>
      <c r="L3477" s="236">
        <v>1</v>
      </c>
      <c r="M3477" s="35">
        <v>1</v>
      </c>
      <c r="N3477" s="35">
        <v>0</v>
      </c>
      <c r="O3477" s="35">
        <v>0</v>
      </c>
      <c r="P3477" s="35">
        <v>0</v>
      </c>
      <c r="Q3477" s="35">
        <v>0</v>
      </c>
      <c r="R3477" s="42">
        <v>8.1856500000000026E-3</v>
      </c>
      <c r="S3477" s="7" t="s">
        <v>2777</v>
      </c>
      <c r="T3477" s="257">
        <f t="shared" si="115"/>
        <v>1</v>
      </c>
      <c r="U3477" s="257">
        <f t="shared" si="116"/>
        <v>1</v>
      </c>
      <c r="V3477">
        <v>1</v>
      </c>
      <c r="W3477">
        <v>1</v>
      </c>
    </row>
    <row r="3478" spans="1:23" ht="148.19999999999999" x14ac:dyDescent="0.3">
      <c r="A3478" s="214">
        <v>44352</v>
      </c>
      <c r="B3478" s="214">
        <v>44352</v>
      </c>
      <c r="C3478" s="6">
        <v>6</v>
      </c>
      <c r="D3478" s="6">
        <v>1</v>
      </c>
      <c r="E3478" s="33">
        <v>2021</v>
      </c>
      <c r="F3478" s="15" t="s">
        <v>22</v>
      </c>
      <c r="G3478" s="16" t="s">
        <v>6256</v>
      </c>
      <c r="H3478" s="9" t="s">
        <v>37</v>
      </c>
      <c r="I3478" s="34" t="s">
        <v>1367</v>
      </c>
      <c r="J3478" s="58" t="s">
        <v>5489</v>
      </c>
      <c r="K3478" s="33">
        <v>7</v>
      </c>
      <c r="L3478" s="236">
        <v>7</v>
      </c>
      <c r="M3478" s="35">
        <v>0</v>
      </c>
      <c r="N3478" s="35">
        <v>0</v>
      </c>
      <c r="O3478" s="35">
        <v>0</v>
      </c>
      <c r="P3478" s="35">
        <v>1</v>
      </c>
      <c r="Q3478" s="35">
        <v>0</v>
      </c>
      <c r="R3478" s="42">
        <v>0</v>
      </c>
      <c r="S3478" s="7" t="s">
        <v>2777</v>
      </c>
      <c r="T3478" s="257">
        <f t="shared" si="115"/>
        <v>14</v>
      </c>
      <c r="U3478" s="257">
        <f t="shared" si="116"/>
        <v>1</v>
      </c>
      <c r="V3478">
        <v>1</v>
      </c>
      <c r="W3478">
        <v>1</v>
      </c>
    </row>
    <row r="3479" spans="1:23" ht="307.8" x14ac:dyDescent="0.3">
      <c r="A3479" s="214">
        <v>44353</v>
      </c>
      <c r="B3479" s="214">
        <v>44353</v>
      </c>
      <c r="C3479" s="6">
        <v>6</v>
      </c>
      <c r="D3479" s="6">
        <v>1</v>
      </c>
      <c r="E3479" s="33">
        <v>2021</v>
      </c>
      <c r="F3479" s="15" t="s">
        <v>22</v>
      </c>
      <c r="G3479" s="18" t="s">
        <v>6256</v>
      </c>
      <c r="H3479" s="9" t="s">
        <v>51</v>
      </c>
      <c r="I3479" s="34" t="s">
        <v>5490</v>
      </c>
      <c r="J3479" s="58" t="s">
        <v>5491</v>
      </c>
      <c r="K3479" s="33">
        <v>0</v>
      </c>
      <c r="L3479" s="236">
        <v>25</v>
      </c>
      <c r="M3479" s="35">
        <v>4</v>
      </c>
      <c r="N3479" s="35">
        <v>0</v>
      </c>
      <c r="O3479" s="35">
        <v>0</v>
      </c>
      <c r="P3479" s="35">
        <v>0</v>
      </c>
      <c r="Q3479" s="35">
        <v>0</v>
      </c>
      <c r="R3479" s="42">
        <v>1.4064011500000002</v>
      </c>
      <c r="S3479" s="7" t="s">
        <v>2777</v>
      </c>
      <c r="T3479" s="257">
        <f t="shared" si="115"/>
        <v>25</v>
      </c>
      <c r="U3479" s="257">
        <f t="shared" si="116"/>
        <v>4</v>
      </c>
      <c r="V3479">
        <v>1</v>
      </c>
      <c r="W3479">
        <v>1</v>
      </c>
    </row>
    <row r="3480" spans="1:23" x14ac:dyDescent="0.3">
      <c r="A3480" s="214">
        <v>44353</v>
      </c>
      <c r="B3480" s="214">
        <v>44354</v>
      </c>
      <c r="C3480" s="6">
        <v>6</v>
      </c>
      <c r="D3480" s="6">
        <v>2</v>
      </c>
      <c r="E3480" s="33">
        <v>2021</v>
      </c>
      <c r="F3480" s="7" t="s">
        <v>17</v>
      </c>
      <c r="G3480" s="8" t="s">
        <v>6261</v>
      </c>
      <c r="H3480" s="9" t="s">
        <v>61</v>
      </c>
      <c r="I3480" s="34" t="s">
        <v>5492</v>
      </c>
      <c r="J3480" s="58" t="s">
        <v>5493</v>
      </c>
      <c r="K3480" s="33">
        <v>0</v>
      </c>
      <c r="L3480" s="236">
        <v>0</v>
      </c>
      <c r="M3480" s="35">
        <v>0</v>
      </c>
      <c r="N3480" s="35">
        <v>0</v>
      </c>
      <c r="O3480" s="35">
        <v>0</v>
      </c>
      <c r="P3480" s="35">
        <v>0</v>
      </c>
      <c r="Q3480" s="35">
        <v>0</v>
      </c>
      <c r="R3480" s="42">
        <v>37.388800000000003</v>
      </c>
      <c r="S3480" s="7" t="s">
        <v>5494</v>
      </c>
      <c r="T3480" s="257">
        <f t="shared" si="115"/>
        <v>0</v>
      </c>
      <c r="U3480" s="257">
        <f t="shared" si="116"/>
        <v>0</v>
      </c>
      <c r="V3480">
        <v>0</v>
      </c>
      <c r="W3480">
        <v>0</v>
      </c>
    </row>
    <row r="3481" spans="1:23" ht="159.6" x14ac:dyDescent="0.3">
      <c r="A3481" s="214">
        <v>44354</v>
      </c>
      <c r="B3481" s="214">
        <v>44355</v>
      </c>
      <c r="C3481" s="6">
        <v>6</v>
      </c>
      <c r="D3481" s="6">
        <v>2</v>
      </c>
      <c r="E3481" s="33">
        <v>2021</v>
      </c>
      <c r="F3481" s="15" t="s">
        <v>22</v>
      </c>
      <c r="G3481" s="18" t="s">
        <v>6256</v>
      </c>
      <c r="H3481" s="9" t="s">
        <v>64</v>
      </c>
      <c r="I3481" s="34" t="s">
        <v>64</v>
      </c>
      <c r="J3481" s="58" t="s">
        <v>5495</v>
      </c>
      <c r="K3481" s="33">
        <v>0</v>
      </c>
      <c r="L3481" s="236">
        <v>0</v>
      </c>
      <c r="M3481" s="35">
        <v>8</v>
      </c>
      <c r="N3481" s="35">
        <v>0</v>
      </c>
      <c r="O3481" s="35">
        <v>0</v>
      </c>
      <c r="P3481" s="35">
        <v>0</v>
      </c>
      <c r="Q3481" s="35">
        <v>0</v>
      </c>
      <c r="R3481" s="42">
        <v>1.0672200000000001E-2</v>
      </c>
      <c r="S3481" s="7" t="s">
        <v>2777</v>
      </c>
      <c r="T3481" s="257">
        <f t="shared" si="115"/>
        <v>0</v>
      </c>
      <c r="U3481" s="257">
        <f t="shared" si="116"/>
        <v>8</v>
      </c>
      <c r="V3481">
        <v>0</v>
      </c>
      <c r="W3481">
        <v>1</v>
      </c>
    </row>
    <row r="3482" spans="1:23" ht="125.4" x14ac:dyDescent="0.3">
      <c r="A3482" s="214">
        <v>44359</v>
      </c>
      <c r="B3482" s="214">
        <v>44360</v>
      </c>
      <c r="C3482" s="6">
        <v>6</v>
      </c>
      <c r="D3482" s="6">
        <v>2</v>
      </c>
      <c r="E3482" s="33">
        <v>2021</v>
      </c>
      <c r="F3482" s="15" t="s">
        <v>22</v>
      </c>
      <c r="G3482" s="18" t="s">
        <v>6256</v>
      </c>
      <c r="H3482" s="9" t="s">
        <v>52</v>
      </c>
      <c r="I3482" s="34" t="s">
        <v>663</v>
      </c>
      <c r="J3482" s="58" t="s">
        <v>5496</v>
      </c>
      <c r="K3482" s="33">
        <v>0</v>
      </c>
      <c r="L3482" s="236">
        <v>12</v>
      </c>
      <c r="M3482" s="35">
        <v>3</v>
      </c>
      <c r="N3482" s="35">
        <v>0</v>
      </c>
      <c r="O3482" s="35">
        <v>0</v>
      </c>
      <c r="P3482" s="35">
        <v>0</v>
      </c>
      <c r="Q3482" s="35">
        <v>0</v>
      </c>
      <c r="R3482" s="42">
        <v>3.1339000000000002E-3</v>
      </c>
      <c r="S3482" s="7" t="s">
        <v>2777</v>
      </c>
      <c r="T3482" s="257">
        <f t="shared" si="115"/>
        <v>12</v>
      </c>
      <c r="U3482" s="257">
        <f t="shared" si="116"/>
        <v>3</v>
      </c>
      <c r="V3482">
        <v>1</v>
      </c>
      <c r="W3482">
        <v>1</v>
      </c>
    </row>
    <row r="3483" spans="1:23" ht="114" x14ac:dyDescent="0.3">
      <c r="A3483" s="214">
        <v>44359</v>
      </c>
      <c r="B3483" s="214">
        <v>44360</v>
      </c>
      <c r="C3483" s="6">
        <v>6</v>
      </c>
      <c r="D3483" s="6">
        <v>2</v>
      </c>
      <c r="E3483" s="33">
        <v>2021</v>
      </c>
      <c r="F3483" s="15" t="s">
        <v>22</v>
      </c>
      <c r="G3483" s="18" t="s">
        <v>6256</v>
      </c>
      <c r="H3483" s="9" t="s">
        <v>55</v>
      </c>
      <c r="I3483" s="34" t="s">
        <v>5497</v>
      </c>
      <c r="J3483" s="58" t="s">
        <v>5498</v>
      </c>
      <c r="K3483" s="33">
        <v>0</v>
      </c>
      <c r="L3483" s="236">
        <v>14</v>
      </c>
      <c r="M3483" s="35">
        <v>3</v>
      </c>
      <c r="N3483" s="35">
        <v>0</v>
      </c>
      <c r="O3483" s="35">
        <v>0</v>
      </c>
      <c r="P3483" s="35">
        <v>0</v>
      </c>
      <c r="Q3483" s="35">
        <v>0</v>
      </c>
      <c r="R3483" s="42">
        <v>0.21496103750000004</v>
      </c>
      <c r="S3483" s="7" t="s">
        <v>2777</v>
      </c>
      <c r="T3483" s="257">
        <f t="shared" si="115"/>
        <v>14</v>
      </c>
      <c r="U3483" s="257">
        <f t="shared" si="116"/>
        <v>3</v>
      </c>
      <c r="V3483">
        <v>1</v>
      </c>
      <c r="W3483">
        <v>1</v>
      </c>
    </row>
    <row r="3484" spans="1:23" ht="79.8" x14ac:dyDescent="0.3">
      <c r="A3484" s="214">
        <v>44359</v>
      </c>
      <c r="B3484" s="214">
        <v>44360</v>
      </c>
      <c r="C3484" s="6">
        <v>6</v>
      </c>
      <c r="D3484" s="6">
        <v>2</v>
      </c>
      <c r="E3484" s="33">
        <v>2021</v>
      </c>
      <c r="F3484" s="15" t="s">
        <v>22</v>
      </c>
      <c r="G3484" s="18" t="s">
        <v>6256</v>
      </c>
      <c r="H3484" s="9" t="s">
        <v>64</v>
      </c>
      <c r="I3484" s="34" t="s">
        <v>5499</v>
      </c>
      <c r="J3484" s="58" t="s">
        <v>5500</v>
      </c>
      <c r="K3484" s="33">
        <v>0</v>
      </c>
      <c r="L3484" s="236">
        <v>0</v>
      </c>
      <c r="M3484" s="35">
        <v>0</v>
      </c>
      <c r="N3484" s="35">
        <v>0</v>
      </c>
      <c r="O3484" s="35">
        <v>0</v>
      </c>
      <c r="P3484" s="35">
        <v>0</v>
      </c>
      <c r="Q3484" s="35">
        <v>0</v>
      </c>
      <c r="R3484" s="42">
        <v>0</v>
      </c>
      <c r="S3484" s="7" t="s">
        <v>2777</v>
      </c>
      <c r="T3484" s="257">
        <f t="shared" si="115"/>
        <v>0</v>
      </c>
      <c r="U3484" s="257">
        <f t="shared" si="116"/>
        <v>0</v>
      </c>
      <c r="V3484">
        <v>0</v>
      </c>
      <c r="W3484">
        <v>0</v>
      </c>
    </row>
    <row r="3485" spans="1:23" ht="34.200000000000003" x14ac:dyDescent="0.3">
      <c r="A3485" s="214">
        <v>44359</v>
      </c>
      <c r="B3485" s="214">
        <v>44360</v>
      </c>
      <c r="C3485" s="6">
        <v>6</v>
      </c>
      <c r="D3485" s="6">
        <v>2</v>
      </c>
      <c r="E3485" s="33">
        <v>2021</v>
      </c>
      <c r="F3485" s="15" t="s">
        <v>22</v>
      </c>
      <c r="G3485" s="18" t="s">
        <v>6256</v>
      </c>
      <c r="H3485" s="9" t="s">
        <v>174</v>
      </c>
      <c r="I3485" s="34" t="s">
        <v>2601</v>
      </c>
      <c r="J3485" s="58" t="s">
        <v>5501</v>
      </c>
      <c r="K3485" s="33">
        <v>0</v>
      </c>
      <c r="L3485" s="236">
        <v>40</v>
      </c>
      <c r="M3485" s="35">
        <v>10</v>
      </c>
      <c r="N3485" s="35">
        <v>0</v>
      </c>
      <c r="O3485" s="35">
        <v>0</v>
      </c>
      <c r="P3485" s="35">
        <v>0</v>
      </c>
      <c r="Q3485" s="35">
        <v>0</v>
      </c>
      <c r="R3485" s="42">
        <v>1.334025E-2</v>
      </c>
      <c r="S3485" s="7" t="s">
        <v>2777</v>
      </c>
      <c r="T3485" s="257">
        <f t="shared" si="115"/>
        <v>40</v>
      </c>
      <c r="U3485" s="257">
        <f t="shared" si="116"/>
        <v>10</v>
      </c>
      <c r="V3485">
        <v>1</v>
      </c>
      <c r="W3485">
        <v>1</v>
      </c>
    </row>
    <row r="3486" spans="1:23" ht="228" x14ac:dyDescent="0.3">
      <c r="A3486" s="214">
        <v>44359</v>
      </c>
      <c r="B3486" s="214">
        <v>44360</v>
      </c>
      <c r="C3486" s="6">
        <v>6</v>
      </c>
      <c r="D3486" s="6">
        <v>2</v>
      </c>
      <c r="E3486" s="33">
        <v>2021</v>
      </c>
      <c r="F3486" s="15" t="s">
        <v>22</v>
      </c>
      <c r="G3486" s="18" t="s">
        <v>6256</v>
      </c>
      <c r="H3486" s="9" t="s">
        <v>174</v>
      </c>
      <c r="I3486" s="34" t="s">
        <v>5502</v>
      </c>
      <c r="J3486" s="58" t="s">
        <v>5503</v>
      </c>
      <c r="K3486" s="33">
        <v>0</v>
      </c>
      <c r="L3486" s="236">
        <v>611</v>
      </c>
      <c r="M3486" s="35">
        <v>127</v>
      </c>
      <c r="N3486" s="35">
        <v>1</v>
      </c>
      <c r="O3486" s="35">
        <v>0</v>
      </c>
      <c r="P3486" s="35">
        <v>0</v>
      </c>
      <c r="Q3486" s="35">
        <v>0</v>
      </c>
      <c r="R3486" s="42">
        <v>0.18382320000000002</v>
      </c>
      <c r="S3486" s="7" t="s">
        <v>2777</v>
      </c>
      <c r="T3486" s="257">
        <f t="shared" si="115"/>
        <v>611</v>
      </c>
      <c r="U3486" s="257">
        <f t="shared" si="116"/>
        <v>128</v>
      </c>
      <c r="V3486">
        <v>1</v>
      </c>
      <c r="W3486">
        <v>1</v>
      </c>
    </row>
    <row r="3487" spans="1:23" ht="205.2" x14ac:dyDescent="0.3">
      <c r="A3487" s="214">
        <v>44362</v>
      </c>
      <c r="B3487" s="214">
        <v>44364</v>
      </c>
      <c r="C3487" s="6">
        <v>6</v>
      </c>
      <c r="D3487" s="6">
        <v>3</v>
      </c>
      <c r="E3487" s="33">
        <v>2021</v>
      </c>
      <c r="F3487" s="15" t="s">
        <v>22</v>
      </c>
      <c r="G3487" s="18" t="s">
        <v>6256</v>
      </c>
      <c r="H3487" s="9" t="s">
        <v>61</v>
      </c>
      <c r="I3487" s="34" t="s">
        <v>5504</v>
      </c>
      <c r="J3487" s="58" t="s">
        <v>5505</v>
      </c>
      <c r="K3487" s="33">
        <v>0</v>
      </c>
      <c r="L3487" s="236">
        <v>73</v>
      </c>
      <c r="M3487" s="35">
        <v>32</v>
      </c>
      <c r="N3487" s="35">
        <v>0</v>
      </c>
      <c r="O3487" s="35">
        <v>0</v>
      </c>
      <c r="P3487" s="35">
        <v>0</v>
      </c>
      <c r="Q3487" s="35">
        <v>0</v>
      </c>
      <c r="R3487" s="42">
        <v>80.560822999999999</v>
      </c>
      <c r="S3487" s="7" t="s">
        <v>2777</v>
      </c>
      <c r="T3487" s="257">
        <f t="shared" si="115"/>
        <v>73</v>
      </c>
      <c r="U3487" s="257">
        <f t="shared" si="116"/>
        <v>32</v>
      </c>
      <c r="V3487">
        <v>1</v>
      </c>
      <c r="W3487">
        <v>1</v>
      </c>
    </row>
    <row r="3488" spans="1:23" ht="171" x14ac:dyDescent="0.3">
      <c r="A3488" s="214">
        <v>44362</v>
      </c>
      <c r="B3488" s="214">
        <v>44362</v>
      </c>
      <c r="C3488" s="6">
        <v>6</v>
      </c>
      <c r="D3488" s="6">
        <v>1</v>
      </c>
      <c r="E3488" s="33">
        <v>2021</v>
      </c>
      <c r="F3488" s="15" t="s">
        <v>22</v>
      </c>
      <c r="G3488" s="18" t="s">
        <v>6256</v>
      </c>
      <c r="H3488" s="17" t="s">
        <v>565</v>
      </c>
      <c r="I3488" s="34" t="s">
        <v>5506</v>
      </c>
      <c r="J3488" s="58" t="s">
        <v>5507</v>
      </c>
      <c r="K3488" s="33">
        <v>0</v>
      </c>
      <c r="L3488" s="236">
        <v>836</v>
      </c>
      <c r="M3488" s="35">
        <v>209</v>
      </c>
      <c r="N3488" s="35">
        <v>0</v>
      </c>
      <c r="O3488" s="35">
        <v>0</v>
      </c>
      <c r="P3488" s="35">
        <v>0</v>
      </c>
      <c r="Q3488" s="35">
        <v>0</v>
      </c>
      <c r="R3488" s="42">
        <v>0.27881122500000005</v>
      </c>
      <c r="S3488" s="7" t="s">
        <v>2777</v>
      </c>
      <c r="T3488" s="257">
        <f t="shared" si="115"/>
        <v>836</v>
      </c>
      <c r="U3488" s="257">
        <f t="shared" si="116"/>
        <v>209</v>
      </c>
      <c r="V3488">
        <v>1</v>
      </c>
      <c r="W3488">
        <v>1</v>
      </c>
    </row>
    <row r="3489" spans="1:23" ht="114" x14ac:dyDescent="0.3">
      <c r="A3489" s="214">
        <v>44363</v>
      </c>
      <c r="B3489" s="214">
        <v>44364</v>
      </c>
      <c r="C3489" s="6">
        <v>6</v>
      </c>
      <c r="D3489" s="6">
        <v>2</v>
      </c>
      <c r="E3489" s="33">
        <v>2021</v>
      </c>
      <c r="F3489" s="15" t="s">
        <v>22</v>
      </c>
      <c r="G3489" s="18" t="s">
        <v>6256</v>
      </c>
      <c r="H3489" s="9" t="s">
        <v>124</v>
      </c>
      <c r="I3489" s="34" t="s">
        <v>1022</v>
      </c>
      <c r="J3489" s="58" t="s">
        <v>5508</v>
      </c>
      <c r="K3489" s="33">
        <v>0</v>
      </c>
      <c r="L3489" s="236">
        <v>1600</v>
      </c>
      <c r="M3489" s="35">
        <v>400</v>
      </c>
      <c r="N3489" s="35">
        <v>0</v>
      </c>
      <c r="O3489" s="35">
        <v>0</v>
      </c>
      <c r="P3489" s="35">
        <v>0</v>
      </c>
      <c r="Q3489" s="35">
        <v>0</v>
      </c>
      <c r="R3489" s="42">
        <v>0.53361000000000003</v>
      </c>
      <c r="S3489" s="7" t="s">
        <v>2777</v>
      </c>
      <c r="T3489" s="257">
        <f t="shared" si="115"/>
        <v>1600</v>
      </c>
      <c r="U3489" s="257">
        <f t="shared" si="116"/>
        <v>400</v>
      </c>
      <c r="V3489">
        <v>1</v>
      </c>
      <c r="W3489">
        <v>1</v>
      </c>
    </row>
    <row r="3490" spans="1:23" ht="57" x14ac:dyDescent="0.3">
      <c r="A3490" s="211">
        <v>41519</v>
      </c>
      <c r="B3490" s="211">
        <v>41519</v>
      </c>
      <c r="C3490" s="6">
        <v>9</v>
      </c>
      <c r="D3490" s="6">
        <v>1</v>
      </c>
      <c r="E3490" s="19">
        <v>2013</v>
      </c>
      <c r="F3490" s="7" t="s">
        <v>17</v>
      </c>
      <c r="G3490" s="28" t="s">
        <v>6261</v>
      </c>
      <c r="H3490" s="9" t="s">
        <v>48</v>
      </c>
      <c r="I3490" s="20" t="s">
        <v>3086</v>
      </c>
      <c r="J3490" s="21" t="s">
        <v>5509</v>
      </c>
      <c r="K3490" s="22">
        <v>0</v>
      </c>
      <c r="L3490" s="234">
        <v>130</v>
      </c>
      <c r="M3490" s="23">
        <v>26</v>
      </c>
      <c r="N3490" s="23">
        <v>0</v>
      </c>
      <c r="O3490" s="23">
        <v>0</v>
      </c>
      <c r="P3490" s="23">
        <v>0</v>
      </c>
      <c r="Q3490" s="23">
        <v>0</v>
      </c>
      <c r="R3490" s="24">
        <v>0</v>
      </c>
      <c r="S3490" s="25" t="s">
        <v>115</v>
      </c>
      <c r="T3490" s="257">
        <f t="shared" si="115"/>
        <v>130</v>
      </c>
      <c r="U3490" s="257">
        <f t="shared" si="116"/>
        <v>26</v>
      </c>
      <c r="V3490">
        <v>1</v>
      </c>
      <c r="W3490">
        <v>1</v>
      </c>
    </row>
    <row r="3491" spans="1:23" ht="68.400000000000006" x14ac:dyDescent="0.3">
      <c r="A3491" s="214">
        <v>44365</v>
      </c>
      <c r="B3491" s="214">
        <v>44365</v>
      </c>
      <c r="C3491" s="6">
        <v>6</v>
      </c>
      <c r="D3491" s="6">
        <v>1</v>
      </c>
      <c r="E3491" s="33">
        <v>2021</v>
      </c>
      <c r="F3491" s="15" t="s">
        <v>22</v>
      </c>
      <c r="G3491" s="16" t="s">
        <v>6254</v>
      </c>
      <c r="H3491" s="9" t="s">
        <v>52</v>
      </c>
      <c r="I3491" s="34" t="s">
        <v>5510</v>
      </c>
      <c r="J3491" s="58" t="s">
        <v>5511</v>
      </c>
      <c r="K3491" s="33">
        <v>0</v>
      </c>
      <c r="L3491" s="236">
        <v>16</v>
      </c>
      <c r="M3491" s="35">
        <v>1</v>
      </c>
      <c r="N3491" s="35">
        <v>0</v>
      </c>
      <c r="O3491" s="35">
        <v>0</v>
      </c>
      <c r="P3491" s="35">
        <v>0</v>
      </c>
      <c r="Q3491" s="35">
        <v>0</v>
      </c>
      <c r="R3491" s="42">
        <v>4.6585000000000007E-4</v>
      </c>
      <c r="S3491" s="7" t="s">
        <v>2777</v>
      </c>
      <c r="T3491" s="257">
        <f t="shared" si="115"/>
        <v>16</v>
      </c>
      <c r="U3491" s="257">
        <f t="shared" si="116"/>
        <v>1</v>
      </c>
      <c r="V3491">
        <v>1</v>
      </c>
      <c r="W3491">
        <v>1</v>
      </c>
    </row>
    <row r="3492" spans="1:23" ht="57" x14ac:dyDescent="0.3">
      <c r="A3492" s="214">
        <v>44365</v>
      </c>
      <c r="B3492" s="214">
        <v>44365</v>
      </c>
      <c r="C3492" s="6">
        <v>6</v>
      </c>
      <c r="D3492" s="6">
        <v>1</v>
      </c>
      <c r="E3492" s="33">
        <v>2021</v>
      </c>
      <c r="F3492" s="15" t="s">
        <v>22</v>
      </c>
      <c r="G3492" s="16" t="s">
        <v>6254</v>
      </c>
      <c r="H3492" s="9" t="s">
        <v>39</v>
      </c>
      <c r="I3492" s="34" t="s">
        <v>5512</v>
      </c>
      <c r="J3492" s="58" t="s">
        <v>5513</v>
      </c>
      <c r="K3492" s="33">
        <v>0</v>
      </c>
      <c r="L3492" s="236">
        <v>178</v>
      </c>
      <c r="M3492" s="35">
        <v>0</v>
      </c>
      <c r="N3492" s="35">
        <v>0</v>
      </c>
      <c r="O3492" s="35">
        <v>0</v>
      </c>
      <c r="P3492" s="35">
        <v>0</v>
      </c>
      <c r="Q3492" s="35">
        <v>0</v>
      </c>
      <c r="R3492" s="42">
        <v>0</v>
      </c>
      <c r="S3492" s="7" t="s">
        <v>2777</v>
      </c>
      <c r="T3492" s="257">
        <f t="shared" si="115"/>
        <v>178</v>
      </c>
      <c r="U3492" s="257">
        <f t="shared" si="116"/>
        <v>0</v>
      </c>
      <c r="V3492">
        <v>1</v>
      </c>
      <c r="W3492">
        <v>0</v>
      </c>
    </row>
    <row r="3493" spans="1:23" ht="114" x14ac:dyDescent="0.3">
      <c r="A3493" s="214">
        <v>44365</v>
      </c>
      <c r="B3493" s="214">
        <v>44365</v>
      </c>
      <c r="C3493" s="6">
        <v>6</v>
      </c>
      <c r="D3493" s="6">
        <v>1</v>
      </c>
      <c r="E3493" s="33">
        <v>2021</v>
      </c>
      <c r="F3493" s="15" t="s">
        <v>22</v>
      </c>
      <c r="G3493" s="18" t="s">
        <v>6256</v>
      </c>
      <c r="H3493" s="9" t="s">
        <v>174</v>
      </c>
      <c r="I3493" s="34" t="s">
        <v>5514</v>
      </c>
      <c r="J3493" s="58" t="s">
        <v>5515</v>
      </c>
      <c r="K3493" s="33">
        <v>0</v>
      </c>
      <c r="L3493" s="236">
        <v>3</v>
      </c>
      <c r="M3493" s="35">
        <v>0</v>
      </c>
      <c r="N3493" s="35">
        <v>0</v>
      </c>
      <c r="O3493" s="35">
        <v>0</v>
      </c>
      <c r="P3493" s="35">
        <v>0</v>
      </c>
      <c r="Q3493" s="35">
        <v>0</v>
      </c>
      <c r="R3493" s="42">
        <v>0.37681417886046514</v>
      </c>
      <c r="S3493" s="7" t="s">
        <v>2777</v>
      </c>
      <c r="T3493" s="257">
        <f t="shared" si="115"/>
        <v>3</v>
      </c>
      <c r="U3493" s="257">
        <f t="shared" si="116"/>
        <v>0</v>
      </c>
      <c r="V3493">
        <v>1</v>
      </c>
      <c r="W3493">
        <v>0</v>
      </c>
    </row>
    <row r="3494" spans="1:23" ht="57" x14ac:dyDescent="0.3">
      <c r="A3494" s="214">
        <v>44366</v>
      </c>
      <c r="B3494" s="214">
        <v>44367</v>
      </c>
      <c r="C3494" s="6">
        <v>6</v>
      </c>
      <c r="D3494" s="6">
        <v>2</v>
      </c>
      <c r="E3494" s="33">
        <v>2021</v>
      </c>
      <c r="F3494" s="15" t="s">
        <v>22</v>
      </c>
      <c r="G3494" s="18" t="s">
        <v>6256</v>
      </c>
      <c r="H3494" s="9" t="s">
        <v>174</v>
      </c>
      <c r="I3494" s="34" t="s">
        <v>2965</v>
      </c>
      <c r="J3494" s="58" t="s">
        <v>5516</v>
      </c>
      <c r="K3494" s="33">
        <v>0</v>
      </c>
      <c r="L3494" s="236">
        <v>1000</v>
      </c>
      <c r="M3494" s="35">
        <v>0</v>
      </c>
      <c r="N3494" s="35">
        <v>0</v>
      </c>
      <c r="O3494" s="35">
        <v>0</v>
      </c>
      <c r="P3494" s="35">
        <v>0</v>
      </c>
      <c r="Q3494" s="35">
        <v>0</v>
      </c>
      <c r="R3494" s="42">
        <v>0</v>
      </c>
      <c r="S3494" s="7" t="s">
        <v>2777</v>
      </c>
      <c r="T3494" s="257">
        <f t="shared" si="115"/>
        <v>1000</v>
      </c>
      <c r="U3494" s="257">
        <f t="shared" si="116"/>
        <v>0</v>
      </c>
      <c r="V3494">
        <v>1</v>
      </c>
      <c r="W3494">
        <v>0</v>
      </c>
    </row>
    <row r="3495" spans="1:23" ht="102.6" x14ac:dyDescent="0.3">
      <c r="A3495" s="214">
        <v>44369</v>
      </c>
      <c r="B3495" s="214">
        <v>44369</v>
      </c>
      <c r="C3495" s="6">
        <v>6</v>
      </c>
      <c r="D3495" s="6">
        <v>1</v>
      </c>
      <c r="E3495" s="33">
        <v>2021</v>
      </c>
      <c r="F3495" s="15" t="s">
        <v>22</v>
      </c>
      <c r="G3495" s="18" t="s">
        <v>6256</v>
      </c>
      <c r="H3495" s="9" t="s">
        <v>57</v>
      </c>
      <c r="I3495" s="34" t="s">
        <v>5517</v>
      </c>
      <c r="J3495" s="58" t="s">
        <v>5518</v>
      </c>
      <c r="K3495" s="33">
        <v>0</v>
      </c>
      <c r="L3495" s="236">
        <v>16</v>
      </c>
      <c r="M3495" s="35">
        <v>4</v>
      </c>
      <c r="N3495" s="35">
        <v>0</v>
      </c>
      <c r="O3495" s="35">
        <v>0</v>
      </c>
      <c r="P3495" s="35">
        <v>0</v>
      </c>
      <c r="Q3495" s="35">
        <v>0</v>
      </c>
      <c r="R3495" s="42">
        <v>0.32477610000000001</v>
      </c>
      <c r="S3495" s="7" t="s">
        <v>2777</v>
      </c>
      <c r="T3495" s="257">
        <f t="shared" si="115"/>
        <v>16</v>
      </c>
      <c r="U3495" s="257">
        <f t="shared" si="116"/>
        <v>4</v>
      </c>
      <c r="V3495">
        <v>1</v>
      </c>
      <c r="W3495">
        <v>1</v>
      </c>
    </row>
    <row r="3496" spans="1:23" ht="125.4" x14ac:dyDescent="0.3">
      <c r="A3496" s="214">
        <v>44369</v>
      </c>
      <c r="B3496" s="214">
        <v>44369</v>
      </c>
      <c r="C3496" s="6">
        <v>6</v>
      </c>
      <c r="D3496" s="6">
        <v>1</v>
      </c>
      <c r="E3496" s="33">
        <v>2021</v>
      </c>
      <c r="F3496" s="15" t="s">
        <v>22</v>
      </c>
      <c r="G3496" s="18" t="s">
        <v>6256</v>
      </c>
      <c r="H3496" s="9" t="s">
        <v>121</v>
      </c>
      <c r="I3496" s="34" t="s">
        <v>5519</v>
      </c>
      <c r="J3496" s="58" t="s">
        <v>5520</v>
      </c>
      <c r="K3496" s="33">
        <v>0</v>
      </c>
      <c r="L3496" s="236">
        <v>304</v>
      </c>
      <c r="M3496" s="35">
        <v>76</v>
      </c>
      <c r="N3496" s="35">
        <v>0</v>
      </c>
      <c r="O3496" s="35">
        <v>0</v>
      </c>
      <c r="P3496" s="35">
        <v>0</v>
      </c>
      <c r="Q3496" s="35">
        <v>0</v>
      </c>
      <c r="R3496" s="42">
        <v>0.10138590000000001</v>
      </c>
      <c r="S3496" s="7" t="s">
        <v>2777</v>
      </c>
      <c r="T3496" s="257">
        <f t="shared" si="115"/>
        <v>304</v>
      </c>
      <c r="U3496" s="257">
        <f t="shared" si="116"/>
        <v>76</v>
      </c>
      <c r="V3496">
        <v>1</v>
      </c>
      <c r="W3496">
        <v>1</v>
      </c>
    </row>
    <row r="3497" spans="1:23" ht="114" x14ac:dyDescent="0.3">
      <c r="A3497" s="214">
        <v>44369</v>
      </c>
      <c r="B3497" s="214">
        <v>44370</v>
      </c>
      <c r="C3497" s="6">
        <v>6</v>
      </c>
      <c r="D3497" s="6">
        <v>2</v>
      </c>
      <c r="E3497" s="33">
        <v>2021</v>
      </c>
      <c r="F3497" s="15" t="s">
        <v>22</v>
      </c>
      <c r="G3497" s="18" t="s">
        <v>6256</v>
      </c>
      <c r="H3497" s="9" t="s">
        <v>174</v>
      </c>
      <c r="I3497" s="34" t="s">
        <v>5521</v>
      </c>
      <c r="J3497" s="58" t="s">
        <v>5522</v>
      </c>
      <c r="K3497" s="33">
        <v>0</v>
      </c>
      <c r="L3497" s="236">
        <v>25</v>
      </c>
      <c r="M3497" s="35">
        <v>7</v>
      </c>
      <c r="N3497" s="35">
        <v>0</v>
      </c>
      <c r="O3497" s="35">
        <v>0</v>
      </c>
      <c r="P3497" s="35">
        <v>0</v>
      </c>
      <c r="Q3497" s="35">
        <v>0</v>
      </c>
      <c r="R3497" s="42">
        <v>9.3381750000000006E-3</v>
      </c>
      <c r="S3497" s="7" t="s">
        <v>2777</v>
      </c>
      <c r="T3497" s="257">
        <f t="shared" si="115"/>
        <v>25</v>
      </c>
      <c r="U3497" s="257">
        <f t="shared" si="116"/>
        <v>7</v>
      </c>
      <c r="V3497">
        <v>1</v>
      </c>
      <c r="W3497">
        <v>1</v>
      </c>
    </row>
    <row r="3498" spans="1:23" x14ac:dyDescent="0.3">
      <c r="A3498" s="214">
        <v>44372</v>
      </c>
      <c r="B3498" s="214">
        <v>44372</v>
      </c>
      <c r="C3498" s="6">
        <v>6</v>
      </c>
      <c r="D3498" s="6">
        <v>1</v>
      </c>
      <c r="E3498" s="33">
        <v>2021</v>
      </c>
      <c r="F3498" s="15" t="s">
        <v>22</v>
      </c>
      <c r="G3498" s="18" t="s">
        <v>6256</v>
      </c>
      <c r="H3498" s="9" t="s">
        <v>31</v>
      </c>
      <c r="I3498" s="51" t="s">
        <v>5523</v>
      </c>
      <c r="J3498" s="58" t="s">
        <v>5524</v>
      </c>
      <c r="K3498" s="33">
        <v>0</v>
      </c>
      <c r="L3498" s="236">
        <v>500</v>
      </c>
      <c r="M3498" s="35">
        <v>0</v>
      </c>
      <c r="N3498" s="35">
        <v>0</v>
      </c>
      <c r="O3498" s="35">
        <v>0</v>
      </c>
      <c r="P3498" s="35">
        <v>0</v>
      </c>
      <c r="Q3498" s="35">
        <v>0</v>
      </c>
      <c r="R3498" s="42">
        <v>129.01353434000001</v>
      </c>
      <c r="S3498" s="7" t="s">
        <v>296</v>
      </c>
      <c r="T3498" s="257">
        <f t="shared" si="115"/>
        <v>500</v>
      </c>
      <c r="U3498" s="257">
        <f t="shared" si="116"/>
        <v>0</v>
      </c>
      <c r="V3498">
        <v>1</v>
      </c>
      <c r="W3498">
        <v>0</v>
      </c>
    </row>
    <row r="3499" spans="1:23" ht="171" x14ac:dyDescent="0.3">
      <c r="A3499" s="214">
        <v>44372</v>
      </c>
      <c r="B3499" s="214">
        <v>44372</v>
      </c>
      <c r="C3499" s="6">
        <v>6</v>
      </c>
      <c r="D3499" s="6">
        <v>1</v>
      </c>
      <c r="E3499" s="33">
        <v>2021</v>
      </c>
      <c r="F3499" s="15" t="s">
        <v>22</v>
      </c>
      <c r="G3499" s="18" t="s">
        <v>6256</v>
      </c>
      <c r="H3499" s="9" t="s">
        <v>61</v>
      </c>
      <c r="I3499" s="34" t="s">
        <v>5525</v>
      </c>
      <c r="J3499" s="58" t="s">
        <v>5526</v>
      </c>
      <c r="K3499" s="33">
        <v>0</v>
      </c>
      <c r="L3499" s="236">
        <v>2000</v>
      </c>
      <c r="M3499" s="35">
        <v>195</v>
      </c>
      <c r="N3499" s="35">
        <v>0</v>
      </c>
      <c r="O3499" s="35">
        <v>0</v>
      </c>
      <c r="P3499" s="35">
        <v>0</v>
      </c>
      <c r="Q3499" s="35">
        <v>0</v>
      </c>
      <c r="R3499" s="42">
        <v>0.26013487500000004</v>
      </c>
      <c r="S3499" s="7" t="s">
        <v>2777</v>
      </c>
      <c r="T3499" s="257">
        <f t="shared" si="115"/>
        <v>2000</v>
      </c>
      <c r="U3499" s="257">
        <f t="shared" si="116"/>
        <v>195</v>
      </c>
      <c r="V3499">
        <v>1</v>
      </c>
      <c r="W3499">
        <v>1</v>
      </c>
    </row>
    <row r="3500" spans="1:23" ht="182.4" x14ac:dyDescent="0.3">
      <c r="A3500" s="210">
        <v>44374</v>
      </c>
      <c r="B3500" s="210">
        <v>44375</v>
      </c>
      <c r="C3500" s="6">
        <v>6</v>
      </c>
      <c r="D3500" s="6">
        <v>2</v>
      </c>
      <c r="E3500" s="33">
        <v>2021</v>
      </c>
      <c r="F3500" s="15" t="s">
        <v>22</v>
      </c>
      <c r="G3500" s="18" t="s">
        <v>6256</v>
      </c>
      <c r="H3500" s="9" t="s">
        <v>34</v>
      </c>
      <c r="I3500" s="34" t="s">
        <v>5527</v>
      </c>
      <c r="J3500" s="58" t="s">
        <v>5528</v>
      </c>
      <c r="K3500" s="7">
        <v>0</v>
      </c>
      <c r="L3500" s="238">
        <v>582</v>
      </c>
      <c r="M3500" s="37">
        <v>0</v>
      </c>
      <c r="N3500" s="37">
        <v>0</v>
      </c>
      <c r="O3500" s="37">
        <v>0</v>
      </c>
      <c r="P3500" s="37">
        <v>0</v>
      </c>
      <c r="Q3500" s="37">
        <v>0</v>
      </c>
      <c r="R3500" s="42">
        <v>0.93628500000000003</v>
      </c>
      <c r="S3500" s="7" t="s">
        <v>5529</v>
      </c>
      <c r="T3500" s="257">
        <f t="shared" si="115"/>
        <v>582</v>
      </c>
      <c r="U3500" s="257">
        <f t="shared" si="116"/>
        <v>0</v>
      </c>
      <c r="V3500">
        <v>1</v>
      </c>
      <c r="W3500">
        <v>0</v>
      </c>
    </row>
    <row r="3501" spans="1:23" ht="22.8" x14ac:dyDescent="0.3">
      <c r="A3501" s="214">
        <v>44374</v>
      </c>
      <c r="B3501" s="214">
        <v>44377</v>
      </c>
      <c r="C3501" s="6">
        <v>6</v>
      </c>
      <c r="D3501" s="6">
        <v>4</v>
      </c>
      <c r="E3501" s="33">
        <v>2021</v>
      </c>
      <c r="F3501" s="15" t="s">
        <v>22</v>
      </c>
      <c r="G3501" s="18" t="s">
        <v>6256</v>
      </c>
      <c r="H3501" s="9" t="s">
        <v>34</v>
      </c>
      <c r="I3501" s="34" t="s">
        <v>5530</v>
      </c>
      <c r="J3501" s="58" t="s">
        <v>5531</v>
      </c>
      <c r="K3501" s="33">
        <v>0</v>
      </c>
      <c r="L3501" s="236">
        <v>0</v>
      </c>
      <c r="M3501" s="35">
        <v>0</v>
      </c>
      <c r="N3501" s="35">
        <v>0</v>
      </c>
      <c r="O3501" s="35">
        <v>0</v>
      </c>
      <c r="P3501" s="35">
        <v>0</v>
      </c>
      <c r="Q3501" s="35">
        <v>0</v>
      </c>
      <c r="R3501" s="42">
        <v>0.82980500000000001</v>
      </c>
      <c r="S3501" s="7" t="s">
        <v>5442</v>
      </c>
      <c r="T3501" s="257">
        <f t="shared" si="115"/>
        <v>0</v>
      </c>
      <c r="U3501" s="257">
        <f t="shared" si="116"/>
        <v>0</v>
      </c>
      <c r="V3501">
        <v>0</v>
      </c>
      <c r="W3501">
        <v>0</v>
      </c>
    </row>
    <row r="3502" spans="1:23" ht="68.400000000000006" x14ac:dyDescent="0.3">
      <c r="A3502" s="214">
        <v>44378</v>
      </c>
      <c r="B3502" s="214">
        <v>44380</v>
      </c>
      <c r="C3502" s="6">
        <v>7</v>
      </c>
      <c r="D3502" s="6">
        <v>3</v>
      </c>
      <c r="E3502" s="33">
        <v>2021</v>
      </c>
      <c r="F3502" s="15" t="s">
        <v>22</v>
      </c>
      <c r="G3502" s="18" t="s">
        <v>6256</v>
      </c>
      <c r="H3502" s="9" t="s">
        <v>174</v>
      </c>
      <c r="I3502" s="34" t="s">
        <v>5532</v>
      </c>
      <c r="J3502" s="58" t="s">
        <v>5533</v>
      </c>
      <c r="K3502" s="33">
        <v>0</v>
      </c>
      <c r="L3502" s="236">
        <v>717</v>
      </c>
      <c r="M3502" s="35">
        <v>179</v>
      </c>
      <c r="N3502" s="35">
        <v>0</v>
      </c>
      <c r="O3502" s="35">
        <v>0</v>
      </c>
      <c r="P3502" s="35">
        <v>0</v>
      </c>
      <c r="Q3502" s="35">
        <v>0</v>
      </c>
      <c r="R3502" s="42">
        <v>0.238790475</v>
      </c>
      <c r="S3502" s="7" t="s">
        <v>2777</v>
      </c>
      <c r="T3502" s="257">
        <f t="shared" si="115"/>
        <v>717</v>
      </c>
      <c r="U3502" s="257">
        <f t="shared" si="116"/>
        <v>179</v>
      </c>
      <c r="V3502">
        <v>1</v>
      </c>
      <c r="W3502">
        <v>1</v>
      </c>
    </row>
    <row r="3503" spans="1:23" ht="68.400000000000006" x14ac:dyDescent="0.3">
      <c r="A3503" s="214">
        <v>44379</v>
      </c>
      <c r="B3503" s="214">
        <v>44380</v>
      </c>
      <c r="C3503" s="6">
        <v>7</v>
      </c>
      <c r="D3503" s="6">
        <v>2</v>
      </c>
      <c r="E3503" s="33">
        <v>2021</v>
      </c>
      <c r="F3503" s="15" t="s">
        <v>22</v>
      </c>
      <c r="G3503" s="82" t="s">
        <v>6256</v>
      </c>
      <c r="H3503" s="9" t="s">
        <v>84</v>
      </c>
      <c r="I3503" s="34" t="s">
        <v>308</v>
      </c>
      <c r="J3503" s="58" t="s">
        <v>5534</v>
      </c>
      <c r="K3503" s="33">
        <v>0</v>
      </c>
      <c r="L3503" s="236">
        <v>28</v>
      </c>
      <c r="M3503" s="35">
        <v>7</v>
      </c>
      <c r="N3503" s="35">
        <v>0</v>
      </c>
      <c r="O3503" s="35">
        <v>0</v>
      </c>
      <c r="P3503" s="35">
        <v>0</v>
      </c>
      <c r="Q3503" s="35">
        <v>0</v>
      </c>
      <c r="R3503" s="42">
        <v>4.6690875000000003E-3</v>
      </c>
      <c r="S3503" s="7" t="s">
        <v>2777</v>
      </c>
      <c r="T3503" s="257">
        <f t="shared" si="115"/>
        <v>28</v>
      </c>
      <c r="U3503" s="257">
        <f t="shared" si="116"/>
        <v>7</v>
      </c>
      <c r="V3503">
        <v>1</v>
      </c>
      <c r="W3503">
        <v>1</v>
      </c>
    </row>
    <row r="3504" spans="1:23" ht="182.4" x14ac:dyDescent="0.3">
      <c r="A3504" s="214">
        <v>44380</v>
      </c>
      <c r="B3504" s="214">
        <v>44381</v>
      </c>
      <c r="C3504" s="6">
        <v>7</v>
      </c>
      <c r="D3504" s="6">
        <v>2</v>
      </c>
      <c r="E3504" s="33">
        <v>2021</v>
      </c>
      <c r="F3504" s="15" t="s">
        <v>22</v>
      </c>
      <c r="G3504" s="18" t="s">
        <v>6256</v>
      </c>
      <c r="H3504" s="9" t="s">
        <v>56</v>
      </c>
      <c r="I3504" s="34" t="s">
        <v>5535</v>
      </c>
      <c r="J3504" s="58" t="s">
        <v>5536</v>
      </c>
      <c r="K3504" s="33">
        <v>0</v>
      </c>
      <c r="L3504" s="236">
        <v>32</v>
      </c>
      <c r="M3504" s="35">
        <v>8</v>
      </c>
      <c r="N3504" s="35">
        <v>0</v>
      </c>
      <c r="O3504" s="35">
        <v>0</v>
      </c>
      <c r="P3504" s="35">
        <v>0</v>
      </c>
      <c r="Q3504" s="35">
        <v>0</v>
      </c>
      <c r="R3504" s="42">
        <v>0.11715220000000001</v>
      </c>
      <c r="S3504" s="7" t="s">
        <v>2777</v>
      </c>
      <c r="T3504" s="257">
        <f t="shared" si="115"/>
        <v>32</v>
      </c>
      <c r="U3504" s="257">
        <f t="shared" si="116"/>
        <v>8</v>
      </c>
      <c r="V3504">
        <v>1</v>
      </c>
      <c r="W3504">
        <v>1</v>
      </c>
    </row>
    <row r="3505" spans="1:23" ht="376.2" x14ac:dyDescent="0.3">
      <c r="A3505" s="214">
        <v>44380</v>
      </c>
      <c r="B3505" s="214">
        <v>44381</v>
      </c>
      <c r="C3505" s="6">
        <v>7</v>
      </c>
      <c r="D3505" s="6">
        <v>2</v>
      </c>
      <c r="E3505" s="33">
        <v>2021</v>
      </c>
      <c r="F3505" s="15" t="s">
        <v>22</v>
      </c>
      <c r="G3505" s="18" t="s">
        <v>6256</v>
      </c>
      <c r="H3505" s="9" t="s">
        <v>74</v>
      </c>
      <c r="I3505" s="34" t="s">
        <v>1282</v>
      </c>
      <c r="J3505" s="58" t="s">
        <v>5537</v>
      </c>
      <c r="K3505" s="33">
        <v>2</v>
      </c>
      <c r="L3505" s="236">
        <v>62</v>
      </c>
      <c r="M3505" s="35">
        <v>12</v>
      </c>
      <c r="N3505" s="35">
        <v>0</v>
      </c>
      <c r="O3505" s="35">
        <v>0</v>
      </c>
      <c r="P3505" s="35">
        <v>0</v>
      </c>
      <c r="Q3505" s="35">
        <v>0</v>
      </c>
      <c r="R3505" s="42">
        <v>1.3060135000000002</v>
      </c>
      <c r="S3505" s="7" t="s">
        <v>2777</v>
      </c>
      <c r="T3505" s="257">
        <f t="shared" si="115"/>
        <v>64</v>
      </c>
      <c r="U3505" s="257">
        <f t="shared" si="116"/>
        <v>12</v>
      </c>
      <c r="V3505">
        <v>1</v>
      </c>
      <c r="W3505">
        <v>1</v>
      </c>
    </row>
    <row r="3506" spans="1:23" ht="409.6" x14ac:dyDescent="0.3">
      <c r="A3506" s="214">
        <v>44382</v>
      </c>
      <c r="B3506" s="214">
        <v>44382</v>
      </c>
      <c r="C3506" s="6">
        <v>7</v>
      </c>
      <c r="D3506" s="6">
        <v>1</v>
      </c>
      <c r="E3506" s="33">
        <v>2021</v>
      </c>
      <c r="F3506" s="15" t="s">
        <v>22</v>
      </c>
      <c r="G3506" s="82" t="s">
        <v>6256</v>
      </c>
      <c r="H3506" s="9" t="s">
        <v>43</v>
      </c>
      <c r="I3506" s="34" t="s">
        <v>5538</v>
      </c>
      <c r="J3506" s="58" t="s">
        <v>5539</v>
      </c>
      <c r="K3506" s="33">
        <v>1</v>
      </c>
      <c r="L3506" s="236">
        <v>1427</v>
      </c>
      <c r="M3506" s="35">
        <v>331</v>
      </c>
      <c r="N3506" s="35">
        <v>1</v>
      </c>
      <c r="O3506" s="35">
        <v>1</v>
      </c>
      <c r="P3506" s="35">
        <v>15</v>
      </c>
      <c r="Q3506" s="35">
        <v>0</v>
      </c>
      <c r="R3506" s="42">
        <v>2.5097508425000004</v>
      </c>
      <c r="S3506" s="7" t="s">
        <v>2777</v>
      </c>
      <c r="T3506" s="257">
        <f t="shared" si="115"/>
        <v>1428</v>
      </c>
      <c r="U3506" s="257">
        <f t="shared" si="116"/>
        <v>348</v>
      </c>
      <c r="V3506">
        <v>1</v>
      </c>
      <c r="W3506">
        <v>1</v>
      </c>
    </row>
    <row r="3507" spans="1:23" ht="159.6" x14ac:dyDescent="0.3">
      <c r="A3507" s="214">
        <v>44382</v>
      </c>
      <c r="B3507" s="214">
        <v>44382</v>
      </c>
      <c r="C3507" s="6">
        <v>7</v>
      </c>
      <c r="D3507" s="6">
        <v>1</v>
      </c>
      <c r="E3507" s="33">
        <v>2021</v>
      </c>
      <c r="F3507" s="7" t="s">
        <v>17</v>
      </c>
      <c r="G3507" s="8" t="s">
        <v>6261</v>
      </c>
      <c r="H3507" s="9" t="s">
        <v>31</v>
      </c>
      <c r="I3507" s="34" t="s">
        <v>688</v>
      </c>
      <c r="J3507" s="58" t="s">
        <v>5540</v>
      </c>
      <c r="K3507" s="33">
        <v>4</v>
      </c>
      <c r="L3507" s="236">
        <v>7</v>
      </c>
      <c r="M3507" s="35">
        <v>1</v>
      </c>
      <c r="N3507" s="35">
        <v>0</v>
      </c>
      <c r="O3507" s="35">
        <v>0</v>
      </c>
      <c r="P3507" s="35">
        <v>0</v>
      </c>
      <c r="Q3507" s="35">
        <v>0</v>
      </c>
      <c r="R3507" s="42">
        <v>0.67782300300000009</v>
      </c>
      <c r="S3507" s="7" t="s">
        <v>2777</v>
      </c>
      <c r="T3507" s="257">
        <f t="shared" si="115"/>
        <v>11</v>
      </c>
      <c r="U3507" s="257">
        <f t="shared" si="116"/>
        <v>1</v>
      </c>
      <c r="V3507">
        <v>1</v>
      </c>
      <c r="W3507">
        <v>1</v>
      </c>
    </row>
    <row r="3508" spans="1:23" ht="296.39999999999998" x14ac:dyDescent="0.3">
      <c r="A3508" s="214">
        <v>44384</v>
      </c>
      <c r="B3508" s="214">
        <v>44384</v>
      </c>
      <c r="C3508" s="6">
        <v>7</v>
      </c>
      <c r="D3508" s="6">
        <v>1</v>
      </c>
      <c r="E3508" s="33">
        <v>2021</v>
      </c>
      <c r="F3508" s="15" t="s">
        <v>22</v>
      </c>
      <c r="G3508" s="18" t="s">
        <v>6256</v>
      </c>
      <c r="H3508" s="9" t="s">
        <v>43</v>
      </c>
      <c r="I3508" s="34" t="s">
        <v>5541</v>
      </c>
      <c r="J3508" s="58" t="s">
        <v>5542</v>
      </c>
      <c r="K3508" s="33">
        <v>0</v>
      </c>
      <c r="L3508" s="236">
        <v>102</v>
      </c>
      <c r="M3508" s="35">
        <v>25</v>
      </c>
      <c r="N3508" s="35">
        <v>0</v>
      </c>
      <c r="O3508" s="35">
        <v>0</v>
      </c>
      <c r="P3508" s="35">
        <v>0</v>
      </c>
      <c r="Q3508" s="35">
        <v>0</v>
      </c>
      <c r="R3508" s="42">
        <v>0.13983062499999999</v>
      </c>
      <c r="S3508" s="7" t="s">
        <v>2777</v>
      </c>
      <c r="T3508" s="257">
        <f t="shared" si="115"/>
        <v>102</v>
      </c>
      <c r="U3508" s="257">
        <f t="shared" si="116"/>
        <v>25</v>
      </c>
      <c r="V3508">
        <v>1</v>
      </c>
      <c r="W3508">
        <v>1</v>
      </c>
    </row>
    <row r="3509" spans="1:23" ht="182.4" x14ac:dyDescent="0.3">
      <c r="A3509" s="214">
        <v>44384</v>
      </c>
      <c r="B3509" s="214">
        <v>44384</v>
      </c>
      <c r="C3509" s="6">
        <v>7</v>
      </c>
      <c r="D3509" s="6">
        <v>1</v>
      </c>
      <c r="E3509" s="33">
        <v>2021</v>
      </c>
      <c r="F3509" s="15" t="s">
        <v>22</v>
      </c>
      <c r="G3509" s="18" t="s">
        <v>6256</v>
      </c>
      <c r="H3509" s="9" t="s">
        <v>174</v>
      </c>
      <c r="I3509" s="34" t="s">
        <v>5543</v>
      </c>
      <c r="J3509" s="58" t="s">
        <v>5544</v>
      </c>
      <c r="K3509" s="33">
        <v>0</v>
      </c>
      <c r="L3509" s="236">
        <v>44</v>
      </c>
      <c r="M3509" s="35">
        <v>11</v>
      </c>
      <c r="N3509" s="35">
        <v>0</v>
      </c>
      <c r="O3509" s="35">
        <v>0</v>
      </c>
      <c r="P3509" s="35">
        <v>0</v>
      </c>
      <c r="Q3509" s="35">
        <v>0</v>
      </c>
      <c r="R3509" s="42">
        <v>0.12115427500000002</v>
      </c>
      <c r="S3509" s="7" t="s">
        <v>2777</v>
      </c>
      <c r="T3509" s="257">
        <f t="shared" si="115"/>
        <v>44</v>
      </c>
      <c r="U3509" s="257">
        <f t="shared" si="116"/>
        <v>11</v>
      </c>
      <c r="V3509">
        <v>1</v>
      </c>
      <c r="W3509">
        <v>1</v>
      </c>
    </row>
    <row r="3510" spans="1:23" ht="114" x14ac:dyDescent="0.3">
      <c r="A3510" s="214">
        <v>44384</v>
      </c>
      <c r="B3510" s="214">
        <v>44384</v>
      </c>
      <c r="C3510" s="6">
        <v>7</v>
      </c>
      <c r="D3510" s="6">
        <v>1</v>
      </c>
      <c r="E3510" s="33">
        <v>2021</v>
      </c>
      <c r="F3510" s="15" t="s">
        <v>22</v>
      </c>
      <c r="G3510" s="18" t="s">
        <v>6256</v>
      </c>
      <c r="H3510" s="9" t="s">
        <v>121</v>
      </c>
      <c r="I3510" s="34" t="s">
        <v>651</v>
      </c>
      <c r="J3510" s="58" t="s">
        <v>5545</v>
      </c>
      <c r="K3510" s="33">
        <v>0</v>
      </c>
      <c r="L3510" s="236">
        <v>16</v>
      </c>
      <c r="M3510" s="35">
        <v>8</v>
      </c>
      <c r="N3510" s="35">
        <v>0</v>
      </c>
      <c r="O3510" s="35">
        <v>0</v>
      </c>
      <c r="P3510" s="35">
        <v>0</v>
      </c>
      <c r="Q3510" s="35">
        <v>0</v>
      </c>
      <c r="R3510" s="42">
        <v>1.0672200000000001E-2</v>
      </c>
      <c r="S3510" s="7" t="s">
        <v>2777</v>
      </c>
      <c r="T3510" s="257">
        <f t="shared" si="115"/>
        <v>16</v>
      </c>
      <c r="U3510" s="257">
        <f t="shared" si="116"/>
        <v>8</v>
      </c>
      <c r="V3510">
        <v>1</v>
      </c>
      <c r="W3510">
        <v>1</v>
      </c>
    </row>
    <row r="3511" spans="1:23" ht="376.2" x14ac:dyDescent="0.3">
      <c r="A3511" s="214">
        <v>44385</v>
      </c>
      <c r="B3511" s="214">
        <v>44385</v>
      </c>
      <c r="C3511" s="6">
        <v>7</v>
      </c>
      <c r="D3511" s="6">
        <v>1</v>
      </c>
      <c r="E3511" s="33">
        <v>2021</v>
      </c>
      <c r="F3511" s="15" t="s">
        <v>22</v>
      </c>
      <c r="G3511" s="18" t="s">
        <v>6256</v>
      </c>
      <c r="H3511" s="9" t="s">
        <v>55</v>
      </c>
      <c r="I3511" s="34" t="s">
        <v>5546</v>
      </c>
      <c r="J3511" s="58" t="s">
        <v>5547</v>
      </c>
      <c r="K3511" s="33">
        <v>0</v>
      </c>
      <c r="L3511" s="236">
        <v>285</v>
      </c>
      <c r="M3511" s="35">
        <v>69</v>
      </c>
      <c r="N3511" s="35">
        <v>0</v>
      </c>
      <c r="O3511" s="35">
        <v>0</v>
      </c>
      <c r="P3511" s="35">
        <v>0</v>
      </c>
      <c r="Q3511" s="35">
        <v>0</v>
      </c>
      <c r="R3511" s="42">
        <v>0.40974260250000005</v>
      </c>
      <c r="S3511" s="7" t="s">
        <v>2777</v>
      </c>
      <c r="T3511" s="257">
        <f t="shared" si="115"/>
        <v>285</v>
      </c>
      <c r="U3511" s="257">
        <f t="shared" si="116"/>
        <v>69</v>
      </c>
      <c r="V3511">
        <v>1</v>
      </c>
      <c r="W3511">
        <v>1</v>
      </c>
    </row>
    <row r="3512" spans="1:23" ht="148.19999999999999" x14ac:dyDescent="0.3">
      <c r="A3512" s="214">
        <v>44385</v>
      </c>
      <c r="B3512" s="214">
        <v>44385</v>
      </c>
      <c r="C3512" s="6">
        <v>7</v>
      </c>
      <c r="D3512" s="6">
        <v>1</v>
      </c>
      <c r="E3512" s="33">
        <v>2021</v>
      </c>
      <c r="F3512" s="15" t="s">
        <v>22</v>
      </c>
      <c r="G3512" s="18" t="s">
        <v>6256</v>
      </c>
      <c r="H3512" s="9" t="s">
        <v>51</v>
      </c>
      <c r="I3512" s="34" t="s">
        <v>5548</v>
      </c>
      <c r="J3512" s="58" t="s">
        <v>5549</v>
      </c>
      <c r="K3512" s="33">
        <v>0</v>
      </c>
      <c r="L3512" s="236">
        <v>460</v>
      </c>
      <c r="M3512" s="35">
        <v>115</v>
      </c>
      <c r="N3512" s="35">
        <v>0</v>
      </c>
      <c r="O3512" s="35">
        <v>0</v>
      </c>
      <c r="P3512" s="35">
        <v>0</v>
      </c>
      <c r="Q3512" s="35">
        <v>0</v>
      </c>
      <c r="R3512" s="42">
        <v>1.4311728750000001</v>
      </c>
      <c r="S3512" s="7" t="s">
        <v>2777</v>
      </c>
      <c r="T3512" s="257">
        <f t="shared" si="115"/>
        <v>460</v>
      </c>
      <c r="U3512" s="257">
        <f t="shared" si="116"/>
        <v>115</v>
      </c>
      <c r="V3512">
        <v>1</v>
      </c>
      <c r="W3512">
        <v>1</v>
      </c>
    </row>
    <row r="3513" spans="1:23" ht="114" x14ac:dyDescent="0.3">
      <c r="A3513" s="214">
        <v>44386</v>
      </c>
      <c r="B3513" s="214">
        <v>44386</v>
      </c>
      <c r="C3513" s="6">
        <v>7</v>
      </c>
      <c r="D3513" s="6">
        <v>1</v>
      </c>
      <c r="E3513" s="33">
        <v>2021</v>
      </c>
      <c r="F3513" s="15" t="s">
        <v>22</v>
      </c>
      <c r="G3513" s="18" t="s">
        <v>6256</v>
      </c>
      <c r="H3513" s="9" t="s">
        <v>78</v>
      </c>
      <c r="I3513" s="34" t="s">
        <v>1031</v>
      </c>
      <c r="J3513" s="58" t="s">
        <v>5550</v>
      </c>
      <c r="K3513" s="33">
        <v>0</v>
      </c>
      <c r="L3513" s="236">
        <v>907</v>
      </c>
      <c r="M3513" s="35">
        <v>21</v>
      </c>
      <c r="N3513" s="35">
        <v>0</v>
      </c>
      <c r="O3513" s="35">
        <v>0</v>
      </c>
      <c r="P3513" s="35">
        <v>0</v>
      </c>
      <c r="Q3513" s="35">
        <v>0</v>
      </c>
      <c r="R3513" s="42">
        <v>162.21520200000001</v>
      </c>
      <c r="S3513" s="7" t="s">
        <v>5551</v>
      </c>
      <c r="T3513" s="257">
        <f t="shared" si="115"/>
        <v>907</v>
      </c>
      <c r="U3513" s="257">
        <f t="shared" si="116"/>
        <v>21</v>
      </c>
      <c r="V3513">
        <v>1</v>
      </c>
      <c r="W3513">
        <v>1</v>
      </c>
    </row>
    <row r="3514" spans="1:23" ht="57" x14ac:dyDescent="0.3">
      <c r="A3514" s="211">
        <v>41580</v>
      </c>
      <c r="B3514" s="211">
        <v>41580</v>
      </c>
      <c r="C3514" s="6">
        <v>11</v>
      </c>
      <c r="D3514" s="6">
        <v>1</v>
      </c>
      <c r="E3514" s="19">
        <v>2013</v>
      </c>
      <c r="F3514" s="15" t="s">
        <v>22</v>
      </c>
      <c r="G3514" s="18" t="s">
        <v>6256</v>
      </c>
      <c r="H3514" s="9" t="s">
        <v>48</v>
      </c>
      <c r="I3514" s="20" t="s">
        <v>5552</v>
      </c>
      <c r="J3514" s="21" t="s">
        <v>5553</v>
      </c>
      <c r="K3514" s="22">
        <v>0</v>
      </c>
      <c r="L3514" s="234">
        <v>25</v>
      </c>
      <c r="M3514" s="23">
        <v>0</v>
      </c>
      <c r="N3514" s="23">
        <v>0</v>
      </c>
      <c r="O3514" s="23">
        <v>0</v>
      </c>
      <c r="P3514" s="23">
        <v>0</v>
      </c>
      <c r="Q3514" s="23">
        <v>0</v>
      </c>
      <c r="R3514" s="24">
        <v>0</v>
      </c>
      <c r="S3514" s="25" t="s">
        <v>115</v>
      </c>
      <c r="T3514" s="257">
        <f t="shared" si="115"/>
        <v>25</v>
      </c>
      <c r="U3514" s="257">
        <f t="shared" si="116"/>
        <v>0</v>
      </c>
      <c r="V3514">
        <v>1</v>
      </c>
      <c r="W3514">
        <v>0</v>
      </c>
    </row>
    <row r="3515" spans="1:23" ht="57" x14ac:dyDescent="0.3">
      <c r="A3515" s="214">
        <v>44386</v>
      </c>
      <c r="B3515" s="214">
        <v>44387</v>
      </c>
      <c r="C3515" s="6">
        <v>7</v>
      </c>
      <c r="D3515" s="6">
        <v>2</v>
      </c>
      <c r="E3515" s="33">
        <v>2021</v>
      </c>
      <c r="F3515" s="15" t="s">
        <v>22</v>
      </c>
      <c r="G3515" s="18" t="s">
        <v>6256</v>
      </c>
      <c r="H3515" s="9" t="s">
        <v>37</v>
      </c>
      <c r="I3515" s="34" t="s">
        <v>1367</v>
      </c>
      <c r="J3515" s="58" t="s">
        <v>5554</v>
      </c>
      <c r="K3515" s="33">
        <v>0</v>
      </c>
      <c r="L3515" s="236">
        <v>96</v>
      </c>
      <c r="M3515" s="35">
        <v>24</v>
      </c>
      <c r="N3515" s="35">
        <v>0</v>
      </c>
      <c r="O3515" s="35">
        <v>0</v>
      </c>
      <c r="P3515" s="35">
        <v>0</v>
      </c>
      <c r="Q3515" s="35">
        <v>0</v>
      </c>
      <c r="R3515" s="42">
        <v>3.2016599999999999E-2</v>
      </c>
      <c r="S3515" s="7" t="s">
        <v>2777</v>
      </c>
      <c r="T3515" s="257">
        <f t="shared" si="115"/>
        <v>96</v>
      </c>
      <c r="U3515" s="257">
        <f t="shared" si="116"/>
        <v>24</v>
      </c>
      <c r="V3515">
        <v>1</v>
      </c>
      <c r="W3515">
        <v>1</v>
      </c>
    </row>
    <row r="3516" spans="1:23" ht="193.8" x14ac:dyDescent="0.3">
      <c r="A3516" s="214">
        <v>44387</v>
      </c>
      <c r="B3516" s="214">
        <v>44388</v>
      </c>
      <c r="C3516" s="6">
        <v>7</v>
      </c>
      <c r="D3516" s="6">
        <v>2</v>
      </c>
      <c r="E3516" s="33">
        <v>2021</v>
      </c>
      <c r="F3516" s="15" t="s">
        <v>22</v>
      </c>
      <c r="G3516" s="18" t="s">
        <v>6256</v>
      </c>
      <c r="H3516" s="9" t="s">
        <v>70</v>
      </c>
      <c r="I3516" s="34" t="s">
        <v>70</v>
      </c>
      <c r="J3516" s="58" t="s">
        <v>5555</v>
      </c>
      <c r="K3516" s="33">
        <v>0</v>
      </c>
      <c r="L3516" s="236">
        <v>2</v>
      </c>
      <c r="M3516" s="35">
        <v>0</v>
      </c>
      <c r="N3516" s="35">
        <v>0</v>
      </c>
      <c r="O3516" s="35">
        <v>0</v>
      </c>
      <c r="P3516" s="35">
        <v>0</v>
      </c>
      <c r="Q3516" s="35">
        <v>0</v>
      </c>
      <c r="R3516" s="42">
        <v>0.63787570000000005</v>
      </c>
      <c r="S3516" s="7" t="s">
        <v>2777</v>
      </c>
      <c r="T3516" s="257">
        <f t="shared" si="115"/>
        <v>2</v>
      </c>
      <c r="U3516" s="257">
        <f t="shared" si="116"/>
        <v>0</v>
      </c>
      <c r="V3516">
        <v>1</v>
      </c>
      <c r="W3516">
        <v>0</v>
      </c>
    </row>
    <row r="3517" spans="1:23" ht="148.19999999999999" x14ac:dyDescent="0.3">
      <c r="A3517" s="214">
        <v>44387</v>
      </c>
      <c r="B3517" s="214">
        <v>44389</v>
      </c>
      <c r="C3517" s="6">
        <v>7</v>
      </c>
      <c r="D3517" s="6">
        <v>3</v>
      </c>
      <c r="E3517" s="33">
        <v>2021</v>
      </c>
      <c r="F3517" s="15" t="s">
        <v>22</v>
      </c>
      <c r="G3517" s="18" t="s">
        <v>6256</v>
      </c>
      <c r="H3517" s="9" t="s">
        <v>52</v>
      </c>
      <c r="I3517" s="34" t="s">
        <v>3009</v>
      </c>
      <c r="J3517" s="58" t="s">
        <v>5556</v>
      </c>
      <c r="K3517" s="33">
        <v>0</v>
      </c>
      <c r="L3517" s="236">
        <v>34</v>
      </c>
      <c r="M3517" s="35">
        <v>6</v>
      </c>
      <c r="N3517" s="35">
        <v>0</v>
      </c>
      <c r="O3517" s="35">
        <v>0</v>
      </c>
      <c r="P3517" s="35">
        <v>0</v>
      </c>
      <c r="Q3517" s="35">
        <v>0</v>
      </c>
      <c r="R3517" s="42">
        <v>8.0041499999999998E-3</v>
      </c>
      <c r="S3517" s="7" t="s">
        <v>2777</v>
      </c>
      <c r="T3517" s="257">
        <f t="shared" si="115"/>
        <v>34</v>
      </c>
      <c r="U3517" s="257">
        <f t="shared" si="116"/>
        <v>6</v>
      </c>
      <c r="V3517">
        <v>1</v>
      </c>
      <c r="W3517">
        <v>1</v>
      </c>
    </row>
    <row r="3518" spans="1:23" ht="250.8" x14ac:dyDescent="0.3">
      <c r="A3518" s="214">
        <v>44388</v>
      </c>
      <c r="B3518" s="214">
        <v>44389</v>
      </c>
      <c r="C3518" s="6">
        <v>7</v>
      </c>
      <c r="D3518" s="6">
        <v>2</v>
      </c>
      <c r="E3518" s="33">
        <v>2021</v>
      </c>
      <c r="F3518" s="15" t="s">
        <v>22</v>
      </c>
      <c r="G3518" s="18" t="s">
        <v>6256</v>
      </c>
      <c r="H3518" s="9" t="s">
        <v>51</v>
      </c>
      <c r="I3518" s="34" t="s">
        <v>5557</v>
      </c>
      <c r="J3518" s="58" t="s">
        <v>5558</v>
      </c>
      <c r="K3518" s="33">
        <v>0</v>
      </c>
      <c r="L3518" s="236">
        <v>200</v>
      </c>
      <c r="M3518" s="35">
        <v>50</v>
      </c>
      <c r="N3518" s="35">
        <v>0</v>
      </c>
      <c r="O3518" s="35">
        <v>0</v>
      </c>
      <c r="P3518" s="35">
        <v>0</v>
      </c>
      <c r="Q3518" s="35">
        <v>0</v>
      </c>
      <c r="R3518" s="42">
        <v>0.56575062500000006</v>
      </c>
      <c r="S3518" s="7" t="s">
        <v>2777</v>
      </c>
      <c r="T3518" s="257">
        <f t="shared" si="115"/>
        <v>200</v>
      </c>
      <c r="U3518" s="257">
        <f t="shared" si="116"/>
        <v>50</v>
      </c>
      <c r="V3518">
        <v>1</v>
      </c>
      <c r="W3518">
        <v>1</v>
      </c>
    </row>
    <row r="3519" spans="1:23" ht="216.6" x14ac:dyDescent="0.3">
      <c r="A3519" s="214">
        <v>44390</v>
      </c>
      <c r="B3519" s="214">
        <v>44390</v>
      </c>
      <c r="C3519" s="6">
        <v>7</v>
      </c>
      <c r="D3519" s="6">
        <v>1</v>
      </c>
      <c r="E3519" s="33">
        <v>2021</v>
      </c>
      <c r="F3519" s="15" t="s">
        <v>22</v>
      </c>
      <c r="G3519" s="18" t="s">
        <v>6256</v>
      </c>
      <c r="H3519" s="9" t="s">
        <v>51</v>
      </c>
      <c r="I3519" s="34" t="s">
        <v>5559</v>
      </c>
      <c r="J3519" s="58" t="s">
        <v>5560</v>
      </c>
      <c r="K3519" s="33">
        <v>0</v>
      </c>
      <c r="L3519" s="236">
        <v>860</v>
      </c>
      <c r="M3519" s="35">
        <v>215</v>
      </c>
      <c r="N3519" s="35">
        <v>0</v>
      </c>
      <c r="O3519" s="35">
        <v>0</v>
      </c>
      <c r="P3519" s="35">
        <v>0</v>
      </c>
      <c r="Q3519" s="35">
        <v>0</v>
      </c>
      <c r="R3519" s="42">
        <v>0.28681537499999998</v>
      </c>
      <c r="S3519" s="7" t="s">
        <v>2777</v>
      </c>
      <c r="T3519" s="257">
        <f t="shared" si="115"/>
        <v>860</v>
      </c>
      <c r="U3519" s="257">
        <f t="shared" si="116"/>
        <v>215</v>
      </c>
      <c r="V3519">
        <v>1</v>
      </c>
      <c r="W3519">
        <v>1</v>
      </c>
    </row>
    <row r="3520" spans="1:23" ht="68.400000000000006" x14ac:dyDescent="0.3">
      <c r="A3520" s="214">
        <v>44391</v>
      </c>
      <c r="B3520" s="214">
        <v>44391</v>
      </c>
      <c r="C3520" s="6">
        <v>7</v>
      </c>
      <c r="D3520" s="6">
        <v>1</v>
      </c>
      <c r="E3520" s="33">
        <v>2021</v>
      </c>
      <c r="F3520" s="15" t="s">
        <v>22</v>
      </c>
      <c r="G3520" s="18" t="s">
        <v>6256</v>
      </c>
      <c r="H3520" s="9" t="s">
        <v>52</v>
      </c>
      <c r="I3520" s="34" t="s">
        <v>126</v>
      </c>
      <c r="J3520" s="58" t="s">
        <v>5561</v>
      </c>
      <c r="K3520" s="33">
        <v>0</v>
      </c>
      <c r="L3520" s="236">
        <v>40</v>
      </c>
      <c r="M3520" s="35">
        <v>10</v>
      </c>
      <c r="N3520" s="35">
        <v>0</v>
      </c>
      <c r="O3520" s="35">
        <v>0</v>
      </c>
      <c r="P3520" s="35">
        <v>0</v>
      </c>
      <c r="Q3520" s="35">
        <v>0</v>
      </c>
      <c r="R3520" s="42">
        <v>1.334025E-2</v>
      </c>
      <c r="S3520" s="7" t="s">
        <v>2777</v>
      </c>
      <c r="T3520" s="257">
        <f t="shared" si="115"/>
        <v>40</v>
      </c>
      <c r="U3520" s="257">
        <f t="shared" si="116"/>
        <v>10</v>
      </c>
      <c r="V3520">
        <v>1</v>
      </c>
      <c r="W3520">
        <v>1</v>
      </c>
    </row>
    <row r="3521" spans="1:23" ht="91.2" x14ac:dyDescent="0.3">
      <c r="A3521" s="214">
        <v>44393</v>
      </c>
      <c r="B3521" s="214">
        <v>44393</v>
      </c>
      <c r="C3521" s="6">
        <v>7</v>
      </c>
      <c r="D3521" s="6">
        <v>1</v>
      </c>
      <c r="E3521" s="33">
        <v>2021</v>
      </c>
      <c r="F3521" s="15" t="s">
        <v>22</v>
      </c>
      <c r="G3521" s="18" t="s">
        <v>6256</v>
      </c>
      <c r="H3521" s="9" t="s">
        <v>51</v>
      </c>
      <c r="I3521" s="34" t="s">
        <v>5562</v>
      </c>
      <c r="J3521" s="58" t="s">
        <v>5563</v>
      </c>
      <c r="K3521" s="33">
        <v>0</v>
      </c>
      <c r="L3521" s="236">
        <v>368</v>
      </c>
      <c r="M3521" s="35">
        <v>90</v>
      </c>
      <c r="N3521" s="35">
        <v>0</v>
      </c>
      <c r="O3521" s="35">
        <v>0</v>
      </c>
      <c r="P3521" s="35">
        <v>0</v>
      </c>
      <c r="Q3521" s="35">
        <v>0</v>
      </c>
      <c r="R3521" s="42">
        <v>0.54004668749999996</v>
      </c>
      <c r="S3521" s="7" t="s">
        <v>2777</v>
      </c>
      <c r="T3521" s="257">
        <f t="shared" si="115"/>
        <v>368</v>
      </c>
      <c r="U3521" s="257">
        <f t="shared" si="116"/>
        <v>90</v>
      </c>
      <c r="V3521">
        <v>1</v>
      </c>
      <c r="W3521">
        <v>1</v>
      </c>
    </row>
    <row r="3522" spans="1:23" ht="239.4" x14ac:dyDescent="0.3">
      <c r="A3522" s="214">
        <v>44393</v>
      </c>
      <c r="B3522" s="214">
        <v>44393</v>
      </c>
      <c r="C3522" s="6">
        <v>7</v>
      </c>
      <c r="D3522" s="6">
        <v>1</v>
      </c>
      <c r="E3522" s="33">
        <v>2021</v>
      </c>
      <c r="F3522" s="15" t="s">
        <v>22</v>
      </c>
      <c r="G3522" s="18" t="s">
        <v>6256</v>
      </c>
      <c r="H3522" s="9" t="s">
        <v>51</v>
      </c>
      <c r="I3522" s="34" t="s">
        <v>653</v>
      </c>
      <c r="J3522" s="58" t="s">
        <v>5564</v>
      </c>
      <c r="K3522" s="33">
        <v>0</v>
      </c>
      <c r="L3522" s="236">
        <v>3</v>
      </c>
      <c r="M3522" s="35">
        <v>0</v>
      </c>
      <c r="N3522" s="35">
        <v>0</v>
      </c>
      <c r="O3522" s="35">
        <v>0</v>
      </c>
      <c r="P3522" s="35">
        <v>2</v>
      </c>
      <c r="Q3522" s="35">
        <v>0</v>
      </c>
      <c r="R3522" s="42">
        <v>1.3421032020000003</v>
      </c>
      <c r="S3522" s="7" t="s">
        <v>2777</v>
      </c>
      <c r="T3522" s="257">
        <f t="shared" si="115"/>
        <v>3</v>
      </c>
      <c r="U3522" s="257">
        <f t="shared" si="116"/>
        <v>2</v>
      </c>
      <c r="V3522">
        <v>1</v>
      </c>
      <c r="W3522">
        <v>1</v>
      </c>
    </row>
    <row r="3523" spans="1:23" ht="136.80000000000001" x14ac:dyDescent="0.3">
      <c r="A3523" s="214">
        <v>44393</v>
      </c>
      <c r="B3523" s="214">
        <v>44393</v>
      </c>
      <c r="C3523" s="6">
        <v>7</v>
      </c>
      <c r="D3523" s="6">
        <v>1</v>
      </c>
      <c r="E3523" s="33">
        <v>2021</v>
      </c>
      <c r="F3523" s="15" t="s">
        <v>22</v>
      </c>
      <c r="G3523" s="18" t="s">
        <v>6256</v>
      </c>
      <c r="H3523" s="9" t="s">
        <v>74</v>
      </c>
      <c r="I3523" s="34" t="s">
        <v>1254</v>
      </c>
      <c r="J3523" s="58" t="s">
        <v>5565</v>
      </c>
      <c r="K3523" s="33">
        <v>0</v>
      </c>
      <c r="L3523" s="236">
        <v>205</v>
      </c>
      <c r="M3523" s="35">
        <v>48</v>
      </c>
      <c r="N3523" s="35">
        <v>0</v>
      </c>
      <c r="O3523" s="35">
        <v>0</v>
      </c>
      <c r="P3523" s="35">
        <v>0</v>
      </c>
      <c r="Q3523" s="35">
        <v>0</v>
      </c>
      <c r="R3523" s="42">
        <v>1.4482732000000003</v>
      </c>
      <c r="S3523" s="7" t="s">
        <v>2777</v>
      </c>
      <c r="T3523" s="257">
        <f t="shared" ref="T3523:T3586" si="117">SUM(K3523:L3523)</f>
        <v>205</v>
      </c>
      <c r="U3523" s="257">
        <f t="shared" ref="U3523:U3586" si="118">SUM(M3523:P3523)</f>
        <v>48</v>
      </c>
      <c r="V3523">
        <v>1</v>
      </c>
      <c r="W3523">
        <v>1</v>
      </c>
    </row>
    <row r="3524" spans="1:23" ht="102.6" x14ac:dyDescent="0.3">
      <c r="A3524" s="214">
        <v>44393</v>
      </c>
      <c r="B3524" s="214">
        <v>44393</v>
      </c>
      <c r="C3524" s="6">
        <v>7</v>
      </c>
      <c r="D3524" s="6">
        <v>1</v>
      </c>
      <c r="E3524" s="33">
        <v>2021</v>
      </c>
      <c r="F3524" s="15" t="s">
        <v>22</v>
      </c>
      <c r="G3524" s="18" t="s">
        <v>6256</v>
      </c>
      <c r="H3524" s="9" t="s">
        <v>24</v>
      </c>
      <c r="I3524" s="34" t="s">
        <v>5566</v>
      </c>
      <c r="J3524" s="58" t="s">
        <v>5567</v>
      </c>
      <c r="K3524" s="33">
        <v>0</v>
      </c>
      <c r="L3524" s="236">
        <v>35</v>
      </c>
      <c r="M3524" s="35">
        <v>5</v>
      </c>
      <c r="N3524" s="35">
        <v>0</v>
      </c>
      <c r="O3524" s="35">
        <v>0</v>
      </c>
      <c r="P3524" s="35">
        <v>0</v>
      </c>
      <c r="Q3524" s="35">
        <v>0</v>
      </c>
      <c r="R3524" s="42">
        <v>1.6675312500000001E-2</v>
      </c>
      <c r="S3524" s="7" t="s">
        <v>2777</v>
      </c>
      <c r="T3524" s="257">
        <f t="shared" si="117"/>
        <v>35</v>
      </c>
      <c r="U3524" s="257">
        <f t="shared" si="118"/>
        <v>5</v>
      </c>
      <c r="V3524">
        <v>1</v>
      </c>
      <c r="W3524">
        <v>1</v>
      </c>
    </row>
    <row r="3525" spans="1:23" ht="22.8" x14ac:dyDescent="0.3">
      <c r="A3525" s="214">
        <v>44396</v>
      </c>
      <c r="B3525" s="214">
        <v>44397</v>
      </c>
      <c r="C3525" s="6">
        <v>7</v>
      </c>
      <c r="D3525" s="6">
        <v>2</v>
      </c>
      <c r="E3525" s="33">
        <v>2021</v>
      </c>
      <c r="F3525" s="15" t="s">
        <v>22</v>
      </c>
      <c r="G3525" s="18" t="s">
        <v>6256</v>
      </c>
      <c r="H3525" s="9" t="s">
        <v>124</v>
      </c>
      <c r="I3525" s="34" t="s">
        <v>3696</v>
      </c>
      <c r="J3525" s="58" t="s">
        <v>5568</v>
      </c>
      <c r="K3525" s="33">
        <v>0</v>
      </c>
      <c r="L3525" s="236">
        <v>60</v>
      </c>
      <c r="M3525" s="35">
        <v>15</v>
      </c>
      <c r="N3525" s="35">
        <v>0</v>
      </c>
      <c r="O3525" s="35">
        <v>0</v>
      </c>
      <c r="P3525" s="35">
        <v>0</v>
      </c>
      <c r="Q3525" s="35">
        <v>0</v>
      </c>
      <c r="R3525" s="42">
        <v>2.0010375E-2</v>
      </c>
      <c r="S3525" s="7" t="s">
        <v>2777</v>
      </c>
      <c r="T3525" s="257">
        <f t="shared" si="117"/>
        <v>60</v>
      </c>
      <c r="U3525" s="257">
        <f t="shared" si="118"/>
        <v>15</v>
      </c>
      <c r="V3525">
        <v>1</v>
      </c>
      <c r="W3525">
        <v>1</v>
      </c>
    </row>
    <row r="3526" spans="1:23" ht="136.80000000000001" x14ac:dyDescent="0.3">
      <c r="A3526" s="214">
        <v>44399</v>
      </c>
      <c r="B3526" s="214">
        <v>44401</v>
      </c>
      <c r="C3526" s="6">
        <v>7</v>
      </c>
      <c r="D3526" s="6">
        <v>3</v>
      </c>
      <c r="E3526" s="33">
        <v>2021</v>
      </c>
      <c r="F3526" s="15" t="s">
        <v>22</v>
      </c>
      <c r="G3526" s="18" t="s">
        <v>6256</v>
      </c>
      <c r="H3526" s="9" t="s">
        <v>74</v>
      </c>
      <c r="I3526" s="34" t="s">
        <v>1254</v>
      </c>
      <c r="J3526" s="58" t="s">
        <v>5569</v>
      </c>
      <c r="K3526" s="33">
        <v>0</v>
      </c>
      <c r="L3526" s="236">
        <v>600</v>
      </c>
      <c r="M3526" s="35">
        <v>4854</v>
      </c>
      <c r="N3526" s="35">
        <v>0</v>
      </c>
      <c r="O3526" s="35">
        <v>0</v>
      </c>
      <c r="P3526" s="35">
        <v>0</v>
      </c>
      <c r="Q3526" s="35">
        <v>0</v>
      </c>
      <c r="R3526" s="42">
        <v>7.5121934400000008</v>
      </c>
      <c r="S3526" s="7" t="s">
        <v>5529</v>
      </c>
      <c r="T3526" s="257">
        <f t="shared" si="117"/>
        <v>600</v>
      </c>
      <c r="U3526" s="257">
        <f t="shared" si="118"/>
        <v>4854</v>
      </c>
      <c r="V3526">
        <v>1</v>
      </c>
      <c r="W3526">
        <v>2</v>
      </c>
    </row>
    <row r="3527" spans="1:23" ht="91.2" x14ac:dyDescent="0.3">
      <c r="A3527" s="214">
        <v>44399</v>
      </c>
      <c r="B3527" s="214">
        <v>44400</v>
      </c>
      <c r="C3527" s="6">
        <v>7</v>
      </c>
      <c r="D3527" s="6">
        <v>2</v>
      </c>
      <c r="E3527" s="33">
        <v>2021</v>
      </c>
      <c r="F3527" s="15" t="s">
        <v>22</v>
      </c>
      <c r="G3527" s="18" t="s">
        <v>6256</v>
      </c>
      <c r="H3527" s="9" t="s">
        <v>51</v>
      </c>
      <c r="I3527" s="34" t="s">
        <v>5570</v>
      </c>
      <c r="J3527" s="58" t="s">
        <v>5571</v>
      </c>
      <c r="K3527" s="33">
        <v>0</v>
      </c>
      <c r="L3527" s="236">
        <v>2</v>
      </c>
      <c r="M3527" s="35">
        <v>0</v>
      </c>
      <c r="N3527" s="35">
        <v>0</v>
      </c>
      <c r="O3527" s="35">
        <v>0</v>
      </c>
      <c r="P3527" s="35">
        <v>0</v>
      </c>
      <c r="Q3527" s="35">
        <v>0</v>
      </c>
      <c r="R3527" s="42">
        <v>0.10648000000000002</v>
      </c>
      <c r="S3527" s="7" t="s">
        <v>2777</v>
      </c>
      <c r="T3527" s="257">
        <f t="shared" si="117"/>
        <v>2</v>
      </c>
      <c r="U3527" s="257">
        <f t="shared" si="118"/>
        <v>0</v>
      </c>
      <c r="V3527">
        <v>1</v>
      </c>
      <c r="W3527">
        <v>0</v>
      </c>
    </row>
    <row r="3528" spans="1:23" ht="102.6" x14ac:dyDescent="0.3">
      <c r="A3528" s="214">
        <v>44401</v>
      </c>
      <c r="B3528" s="214">
        <v>44403</v>
      </c>
      <c r="C3528" s="6">
        <v>7</v>
      </c>
      <c r="D3528" s="6">
        <v>3</v>
      </c>
      <c r="E3528" s="33">
        <v>2021</v>
      </c>
      <c r="F3528" s="15" t="s">
        <v>22</v>
      </c>
      <c r="G3528" s="18" t="s">
        <v>6256</v>
      </c>
      <c r="H3528" s="9" t="s">
        <v>51</v>
      </c>
      <c r="I3528" s="34" t="s">
        <v>1011</v>
      </c>
      <c r="J3528" s="58" t="s">
        <v>5572</v>
      </c>
      <c r="K3528" s="33">
        <v>0</v>
      </c>
      <c r="L3528" s="236">
        <v>1242</v>
      </c>
      <c r="M3528" s="35">
        <v>310</v>
      </c>
      <c r="N3528" s="35">
        <v>0</v>
      </c>
      <c r="O3528" s="35">
        <v>0</v>
      </c>
      <c r="P3528" s="35">
        <v>0</v>
      </c>
      <c r="Q3528" s="35">
        <v>0</v>
      </c>
      <c r="R3528" s="42">
        <v>1.7619112500000003</v>
      </c>
      <c r="S3528" s="7" t="s">
        <v>2777</v>
      </c>
      <c r="T3528" s="257">
        <f t="shared" si="117"/>
        <v>1242</v>
      </c>
      <c r="U3528" s="257">
        <f t="shared" si="118"/>
        <v>310</v>
      </c>
      <c r="V3528">
        <v>1</v>
      </c>
      <c r="W3528">
        <v>1</v>
      </c>
    </row>
    <row r="3529" spans="1:23" ht="91.2" x14ac:dyDescent="0.3">
      <c r="A3529" s="214">
        <v>44401</v>
      </c>
      <c r="B3529" s="214">
        <v>44401</v>
      </c>
      <c r="C3529" s="6">
        <v>7</v>
      </c>
      <c r="D3529" s="6">
        <v>1</v>
      </c>
      <c r="E3529" s="33">
        <v>2021</v>
      </c>
      <c r="F3529" s="7" t="s">
        <v>17</v>
      </c>
      <c r="G3529" s="8" t="s">
        <v>6261</v>
      </c>
      <c r="H3529" s="9" t="s">
        <v>174</v>
      </c>
      <c r="I3529" s="34" t="s">
        <v>1394</v>
      </c>
      <c r="J3529" s="58" t="s">
        <v>5573</v>
      </c>
      <c r="K3529" s="33">
        <v>1</v>
      </c>
      <c r="L3529" s="236">
        <v>1</v>
      </c>
      <c r="M3529" s="35">
        <v>0</v>
      </c>
      <c r="N3529" s="35">
        <v>0</v>
      </c>
      <c r="O3529" s="35">
        <v>0</v>
      </c>
      <c r="P3529" s="35">
        <v>0</v>
      </c>
      <c r="Q3529" s="35">
        <v>0</v>
      </c>
      <c r="R3529" s="42">
        <v>0</v>
      </c>
      <c r="S3529" s="7" t="s">
        <v>2777</v>
      </c>
      <c r="T3529" s="257">
        <f t="shared" si="117"/>
        <v>2</v>
      </c>
      <c r="U3529" s="257">
        <f t="shared" si="118"/>
        <v>0</v>
      </c>
      <c r="V3529">
        <v>1</v>
      </c>
      <c r="W3529">
        <v>0</v>
      </c>
    </row>
    <row r="3530" spans="1:23" ht="250.8" x14ac:dyDescent="0.3">
      <c r="A3530" s="214">
        <v>44402</v>
      </c>
      <c r="B3530" s="214">
        <v>44403</v>
      </c>
      <c r="C3530" s="6">
        <v>7</v>
      </c>
      <c r="D3530" s="6">
        <v>2</v>
      </c>
      <c r="E3530" s="33">
        <v>2021</v>
      </c>
      <c r="F3530" s="15" t="s">
        <v>22</v>
      </c>
      <c r="G3530" s="18" t="s">
        <v>6256</v>
      </c>
      <c r="H3530" s="9" t="s">
        <v>51</v>
      </c>
      <c r="I3530" s="34" t="s">
        <v>1011</v>
      </c>
      <c r="J3530" s="58" t="s">
        <v>5574</v>
      </c>
      <c r="K3530" s="33">
        <v>0</v>
      </c>
      <c r="L3530" s="236">
        <v>768</v>
      </c>
      <c r="M3530" s="35">
        <v>192</v>
      </c>
      <c r="N3530" s="35">
        <v>0</v>
      </c>
      <c r="O3530" s="35">
        <v>0</v>
      </c>
      <c r="P3530" s="35">
        <v>0</v>
      </c>
      <c r="Q3530" s="35">
        <v>0</v>
      </c>
      <c r="R3530" s="42">
        <v>0.25613279999999999</v>
      </c>
      <c r="S3530" s="7" t="s">
        <v>2777</v>
      </c>
      <c r="T3530" s="257">
        <f t="shared" si="117"/>
        <v>768</v>
      </c>
      <c r="U3530" s="257">
        <f t="shared" si="118"/>
        <v>192</v>
      </c>
      <c r="V3530">
        <v>1</v>
      </c>
      <c r="W3530">
        <v>1</v>
      </c>
    </row>
    <row r="3531" spans="1:23" ht="205.2" x14ac:dyDescent="0.3">
      <c r="A3531" s="214">
        <v>44404</v>
      </c>
      <c r="B3531" s="214">
        <v>44404</v>
      </c>
      <c r="C3531" s="6">
        <v>7</v>
      </c>
      <c r="D3531" s="6">
        <v>1</v>
      </c>
      <c r="E3531" s="33">
        <v>2021</v>
      </c>
      <c r="F3531" s="15" t="s">
        <v>22</v>
      </c>
      <c r="G3531" s="18" t="s">
        <v>6256</v>
      </c>
      <c r="H3531" s="9" t="s">
        <v>74</v>
      </c>
      <c r="I3531" s="34" t="s">
        <v>5575</v>
      </c>
      <c r="J3531" s="58" t="s">
        <v>5576</v>
      </c>
      <c r="K3531" s="33">
        <v>1</v>
      </c>
      <c r="L3531" s="236">
        <v>3600</v>
      </c>
      <c r="M3531" s="35">
        <v>0</v>
      </c>
      <c r="N3531" s="35">
        <v>0</v>
      </c>
      <c r="O3531" s="35">
        <v>0</v>
      </c>
      <c r="P3531" s="35">
        <v>8</v>
      </c>
      <c r="Q3531" s="35">
        <v>0</v>
      </c>
      <c r="R3531" s="42">
        <v>5.6828096000000006</v>
      </c>
      <c r="S3531" s="7" t="s">
        <v>5529</v>
      </c>
      <c r="T3531" s="257">
        <f t="shared" si="117"/>
        <v>3601</v>
      </c>
      <c r="U3531" s="257">
        <f t="shared" si="118"/>
        <v>8</v>
      </c>
      <c r="V3531">
        <v>1</v>
      </c>
      <c r="W3531">
        <v>1</v>
      </c>
    </row>
    <row r="3532" spans="1:23" ht="57" x14ac:dyDescent="0.3">
      <c r="A3532" s="214">
        <v>44405</v>
      </c>
      <c r="B3532" s="214">
        <v>44405</v>
      </c>
      <c r="C3532" s="6">
        <v>7</v>
      </c>
      <c r="D3532" s="6">
        <v>1</v>
      </c>
      <c r="E3532" s="33">
        <v>2021</v>
      </c>
      <c r="F3532" s="7" t="s">
        <v>17</v>
      </c>
      <c r="G3532" s="8" t="s">
        <v>6261</v>
      </c>
      <c r="H3532" s="9" t="s">
        <v>64</v>
      </c>
      <c r="I3532" s="34" t="s">
        <v>3519</v>
      </c>
      <c r="J3532" s="58" t="s">
        <v>5577</v>
      </c>
      <c r="K3532" s="33">
        <v>1</v>
      </c>
      <c r="L3532" s="236">
        <v>1</v>
      </c>
      <c r="M3532" s="35">
        <v>0</v>
      </c>
      <c r="N3532" s="35">
        <v>0</v>
      </c>
      <c r="O3532" s="35">
        <v>0</v>
      </c>
      <c r="P3532" s="35">
        <v>0</v>
      </c>
      <c r="Q3532" s="35">
        <v>0</v>
      </c>
      <c r="R3532" s="42">
        <v>0</v>
      </c>
      <c r="S3532" s="7" t="s">
        <v>2777</v>
      </c>
      <c r="T3532" s="257">
        <f t="shared" si="117"/>
        <v>2</v>
      </c>
      <c r="U3532" s="257">
        <f t="shared" si="118"/>
        <v>0</v>
      </c>
      <c r="V3532">
        <v>1</v>
      </c>
      <c r="W3532">
        <v>0</v>
      </c>
    </row>
    <row r="3533" spans="1:23" ht="114" x14ac:dyDescent="0.3">
      <c r="A3533" s="214">
        <v>44408</v>
      </c>
      <c r="B3533" s="214">
        <v>44408</v>
      </c>
      <c r="C3533" s="6">
        <v>7</v>
      </c>
      <c r="D3533" s="6">
        <v>1</v>
      </c>
      <c r="E3533" s="33">
        <v>2021</v>
      </c>
      <c r="F3533" s="15" t="s">
        <v>22</v>
      </c>
      <c r="G3533" s="18" t="s">
        <v>6256</v>
      </c>
      <c r="H3533" s="9" t="s">
        <v>56</v>
      </c>
      <c r="I3533" s="34" t="s">
        <v>1385</v>
      </c>
      <c r="J3533" s="58" t="s">
        <v>5578</v>
      </c>
      <c r="K3533" s="33">
        <v>0</v>
      </c>
      <c r="L3533" s="236">
        <v>120</v>
      </c>
      <c r="M3533" s="35">
        <v>30</v>
      </c>
      <c r="N3533" s="35">
        <v>0</v>
      </c>
      <c r="O3533" s="35">
        <v>0</v>
      </c>
      <c r="P3533" s="35">
        <v>0</v>
      </c>
      <c r="Q3533" s="35">
        <v>0</v>
      </c>
      <c r="R3533" s="42">
        <v>4.0020750000000001E-2</v>
      </c>
      <c r="S3533" s="7" t="s">
        <v>2777</v>
      </c>
      <c r="T3533" s="257">
        <f t="shared" si="117"/>
        <v>120</v>
      </c>
      <c r="U3533" s="257">
        <f t="shared" si="118"/>
        <v>30</v>
      </c>
      <c r="V3533">
        <v>1</v>
      </c>
      <c r="W3533">
        <v>1</v>
      </c>
    </row>
    <row r="3534" spans="1:23" ht="102.6" x14ac:dyDescent="0.3">
      <c r="A3534" s="214">
        <v>44409</v>
      </c>
      <c r="B3534" s="214">
        <v>44410</v>
      </c>
      <c r="C3534" s="6">
        <v>8</v>
      </c>
      <c r="D3534" s="6">
        <v>2</v>
      </c>
      <c r="E3534" s="33">
        <v>2021</v>
      </c>
      <c r="F3534" s="15" t="s">
        <v>22</v>
      </c>
      <c r="G3534" s="18" t="s">
        <v>6256</v>
      </c>
      <c r="H3534" s="9" t="s">
        <v>39</v>
      </c>
      <c r="I3534" s="34" t="s">
        <v>4992</v>
      </c>
      <c r="J3534" s="58" t="s">
        <v>5579</v>
      </c>
      <c r="K3534" s="33">
        <v>0</v>
      </c>
      <c r="L3534" s="236">
        <v>4</v>
      </c>
      <c r="M3534" s="35">
        <v>1</v>
      </c>
      <c r="N3534" s="35">
        <v>0</v>
      </c>
      <c r="O3534" s="35">
        <v>1</v>
      </c>
      <c r="P3534" s="35">
        <v>0</v>
      </c>
      <c r="Q3534" s="35">
        <v>0</v>
      </c>
      <c r="R3534" s="42">
        <v>1.3340250000000002E-3</v>
      </c>
      <c r="S3534" s="7" t="s">
        <v>2777</v>
      </c>
      <c r="T3534" s="257">
        <f t="shared" si="117"/>
        <v>4</v>
      </c>
      <c r="U3534" s="257">
        <f t="shared" si="118"/>
        <v>2</v>
      </c>
      <c r="V3534">
        <v>1</v>
      </c>
      <c r="W3534">
        <v>1</v>
      </c>
    </row>
    <row r="3535" spans="1:23" ht="91.2" x14ac:dyDescent="0.3">
      <c r="A3535" s="214">
        <v>44410</v>
      </c>
      <c r="B3535" s="214">
        <v>44411</v>
      </c>
      <c r="C3535" s="6">
        <v>8</v>
      </c>
      <c r="D3535" s="6">
        <v>2</v>
      </c>
      <c r="E3535" s="33">
        <v>2021</v>
      </c>
      <c r="F3535" s="15" t="s">
        <v>22</v>
      </c>
      <c r="G3535" s="18" t="s">
        <v>6256</v>
      </c>
      <c r="H3535" s="9" t="s">
        <v>74</v>
      </c>
      <c r="I3535" s="34" t="s">
        <v>611</v>
      </c>
      <c r="J3535" s="58" t="s">
        <v>5580</v>
      </c>
      <c r="K3535" s="33">
        <v>0</v>
      </c>
      <c r="L3535" s="236">
        <v>92</v>
      </c>
      <c r="M3535" s="35">
        <v>23</v>
      </c>
      <c r="N3535" s="35">
        <v>0</v>
      </c>
      <c r="O3535" s="35">
        <v>0</v>
      </c>
      <c r="P3535" s="35">
        <v>0</v>
      </c>
      <c r="Q3535" s="35">
        <v>0</v>
      </c>
      <c r="R3535" s="42">
        <v>3.0682575E-2</v>
      </c>
      <c r="S3535" s="7" t="s">
        <v>2777</v>
      </c>
      <c r="T3535" s="257">
        <f t="shared" si="117"/>
        <v>92</v>
      </c>
      <c r="U3535" s="257">
        <f t="shared" si="118"/>
        <v>23</v>
      </c>
      <c r="V3535">
        <v>1</v>
      </c>
      <c r="W3535">
        <v>1</v>
      </c>
    </row>
    <row r="3536" spans="1:23" ht="136.80000000000001" x14ac:dyDescent="0.3">
      <c r="A3536" s="214">
        <v>44412</v>
      </c>
      <c r="B3536" s="214">
        <v>44413</v>
      </c>
      <c r="C3536" s="6">
        <v>8</v>
      </c>
      <c r="D3536" s="6">
        <v>2</v>
      </c>
      <c r="E3536" s="33">
        <v>2021</v>
      </c>
      <c r="F3536" s="15" t="s">
        <v>22</v>
      </c>
      <c r="G3536" s="18" t="s">
        <v>6256</v>
      </c>
      <c r="H3536" s="9" t="s">
        <v>37</v>
      </c>
      <c r="I3536" s="34" t="s">
        <v>1374</v>
      </c>
      <c r="J3536" s="58" t="s">
        <v>5581</v>
      </c>
      <c r="K3536" s="33">
        <v>0</v>
      </c>
      <c r="L3536" s="236">
        <v>500</v>
      </c>
      <c r="M3536" s="35">
        <v>4</v>
      </c>
      <c r="N3536" s="35">
        <v>0</v>
      </c>
      <c r="O3536" s="35">
        <v>0</v>
      </c>
      <c r="P3536" s="35">
        <v>0</v>
      </c>
      <c r="Q3536" s="35">
        <v>0</v>
      </c>
      <c r="R3536" s="42">
        <v>0.23784655400000004</v>
      </c>
      <c r="S3536" s="7" t="s">
        <v>2777</v>
      </c>
      <c r="T3536" s="257">
        <f t="shared" si="117"/>
        <v>500</v>
      </c>
      <c r="U3536" s="257">
        <f t="shared" si="118"/>
        <v>4</v>
      </c>
      <c r="V3536">
        <v>1</v>
      </c>
      <c r="W3536">
        <v>1</v>
      </c>
    </row>
    <row r="3537" spans="1:23" ht="171" x14ac:dyDescent="0.3">
      <c r="A3537" s="214">
        <v>44412</v>
      </c>
      <c r="B3537" s="214">
        <v>44413</v>
      </c>
      <c r="C3537" s="6">
        <v>8</v>
      </c>
      <c r="D3537" s="6">
        <v>2</v>
      </c>
      <c r="E3537" s="33">
        <v>2021</v>
      </c>
      <c r="F3537" s="15" t="s">
        <v>22</v>
      </c>
      <c r="G3537" s="18" t="s">
        <v>6256</v>
      </c>
      <c r="H3537" s="9" t="s">
        <v>41</v>
      </c>
      <c r="I3537" s="34" t="s">
        <v>5582</v>
      </c>
      <c r="J3537" s="58" t="s">
        <v>5583</v>
      </c>
      <c r="K3537" s="33">
        <v>0</v>
      </c>
      <c r="L3537" s="236">
        <v>1014</v>
      </c>
      <c r="M3537" s="35">
        <v>253</v>
      </c>
      <c r="N3537" s="35">
        <v>0</v>
      </c>
      <c r="O3537" s="35">
        <v>0</v>
      </c>
      <c r="P3537" s="35">
        <v>0</v>
      </c>
      <c r="Q3537" s="35">
        <v>0</v>
      </c>
      <c r="R3537" s="42">
        <v>0.61400730049999996</v>
      </c>
      <c r="S3537" s="7" t="s">
        <v>2777</v>
      </c>
      <c r="T3537" s="257">
        <f t="shared" si="117"/>
        <v>1014</v>
      </c>
      <c r="U3537" s="257">
        <f t="shared" si="118"/>
        <v>253</v>
      </c>
      <c r="V3537">
        <v>1</v>
      </c>
      <c r="W3537">
        <v>1</v>
      </c>
    </row>
    <row r="3538" spans="1:23" ht="114" x14ac:dyDescent="0.3">
      <c r="A3538" s="214">
        <v>44413</v>
      </c>
      <c r="B3538" s="214">
        <v>44413</v>
      </c>
      <c r="C3538" s="6">
        <v>8</v>
      </c>
      <c r="D3538" s="6">
        <v>1</v>
      </c>
      <c r="E3538" s="33">
        <v>2021</v>
      </c>
      <c r="F3538" s="15" t="s">
        <v>22</v>
      </c>
      <c r="G3538" s="18" t="s">
        <v>6256</v>
      </c>
      <c r="H3538" s="9" t="s">
        <v>52</v>
      </c>
      <c r="I3538" s="34" t="s">
        <v>5584</v>
      </c>
      <c r="J3538" s="58" t="s">
        <v>5585</v>
      </c>
      <c r="K3538" s="33">
        <v>0</v>
      </c>
      <c r="L3538" s="236">
        <v>60</v>
      </c>
      <c r="M3538" s="35">
        <v>15</v>
      </c>
      <c r="N3538" s="35">
        <v>0</v>
      </c>
      <c r="O3538" s="35">
        <v>0</v>
      </c>
      <c r="P3538" s="35">
        <v>0</v>
      </c>
      <c r="Q3538" s="35">
        <v>0</v>
      </c>
      <c r="R3538" s="42">
        <v>2.0010375E-2</v>
      </c>
      <c r="S3538" s="7" t="s">
        <v>2777</v>
      </c>
      <c r="T3538" s="257">
        <f t="shared" si="117"/>
        <v>60</v>
      </c>
      <c r="U3538" s="257">
        <f t="shared" si="118"/>
        <v>15</v>
      </c>
      <c r="V3538">
        <v>1</v>
      </c>
      <c r="W3538">
        <v>1</v>
      </c>
    </row>
    <row r="3539" spans="1:23" ht="102.6" x14ac:dyDescent="0.3">
      <c r="A3539" s="214">
        <v>44414</v>
      </c>
      <c r="B3539" s="214">
        <v>44414</v>
      </c>
      <c r="C3539" s="6">
        <v>8</v>
      </c>
      <c r="D3539" s="6">
        <v>1</v>
      </c>
      <c r="E3539" s="33">
        <v>2021</v>
      </c>
      <c r="F3539" s="15" t="s">
        <v>22</v>
      </c>
      <c r="G3539" s="18" t="s">
        <v>6256</v>
      </c>
      <c r="H3539" s="9" t="s">
        <v>41</v>
      </c>
      <c r="I3539" s="34" t="s">
        <v>192</v>
      </c>
      <c r="J3539" s="58" t="s">
        <v>5586</v>
      </c>
      <c r="K3539" s="33">
        <v>0</v>
      </c>
      <c r="L3539" s="236">
        <v>51</v>
      </c>
      <c r="M3539" s="35">
        <v>12</v>
      </c>
      <c r="N3539" s="35">
        <v>0</v>
      </c>
      <c r="O3539" s="35">
        <v>0</v>
      </c>
      <c r="P3539" s="35">
        <v>0</v>
      </c>
      <c r="Q3539" s="35">
        <v>0</v>
      </c>
      <c r="R3539" s="42">
        <v>0.33544830000000003</v>
      </c>
      <c r="S3539" s="7" t="s">
        <v>2777</v>
      </c>
      <c r="T3539" s="257">
        <f t="shared" si="117"/>
        <v>51</v>
      </c>
      <c r="U3539" s="257">
        <f t="shared" si="118"/>
        <v>12</v>
      </c>
      <c r="V3539">
        <v>1</v>
      </c>
      <c r="W3539">
        <v>1</v>
      </c>
    </row>
    <row r="3540" spans="1:23" ht="193.8" x14ac:dyDescent="0.3">
      <c r="A3540" s="214">
        <v>44415</v>
      </c>
      <c r="B3540" s="214">
        <v>44416</v>
      </c>
      <c r="C3540" s="6">
        <v>8</v>
      </c>
      <c r="D3540" s="6">
        <v>2</v>
      </c>
      <c r="E3540" s="33">
        <v>2021</v>
      </c>
      <c r="F3540" s="15" t="s">
        <v>22</v>
      </c>
      <c r="G3540" s="18" t="s">
        <v>6256</v>
      </c>
      <c r="H3540" s="9" t="s">
        <v>34</v>
      </c>
      <c r="I3540" s="34" t="s">
        <v>683</v>
      </c>
      <c r="J3540" s="58" t="s">
        <v>5587</v>
      </c>
      <c r="K3540" s="33">
        <v>0</v>
      </c>
      <c r="L3540" s="236">
        <v>1265</v>
      </c>
      <c r="M3540" s="35">
        <v>315</v>
      </c>
      <c r="N3540" s="35">
        <v>0</v>
      </c>
      <c r="O3540" s="35">
        <v>0</v>
      </c>
      <c r="P3540" s="35">
        <v>0</v>
      </c>
      <c r="Q3540" s="35">
        <v>0</v>
      </c>
      <c r="R3540" s="42">
        <v>4.0385792250000003</v>
      </c>
      <c r="S3540" s="7" t="s">
        <v>2777</v>
      </c>
      <c r="T3540" s="257">
        <f t="shared" si="117"/>
        <v>1265</v>
      </c>
      <c r="U3540" s="257">
        <f t="shared" si="118"/>
        <v>315</v>
      </c>
      <c r="V3540">
        <v>1</v>
      </c>
      <c r="W3540">
        <v>1</v>
      </c>
    </row>
    <row r="3541" spans="1:23" ht="136.80000000000001" x14ac:dyDescent="0.3">
      <c r="A3541" s="214">
        <v>44416</v>
      </c>
      <c r="B3541" s="214">
        <v>44417</v>
      </c>
      <c r="C3541" s="6">
        <v>8</v>
      </c>
      <c r="D3541" s="6">
        <v>2</v>
      </c>
      <c r="E3541" s="33">
        <v>2021</v>
      </c>
      <c r="F3541" s="15" t="s">
        <v>22</v>
      </c>
      <c r="G3541" s="18" t="s">
        <v>6256</v>
      </c>
      <c r="H3541" s="9" t="s">
        <v>72</v>
      </c>
      <c r="I3541" s="34" t="s">
        <v>2597</v>
      </c>
      <c r="J3541" s="58" t="s">
        <v>5588</v>
      </c>
      <c r="K3541" s="33">
        <v>0</v>
      </c>
      <c r="L3541" s="236">
        <v>160</v>
      </c>
      <c r="M3541" s="35">
        <v>40</v>
      </c>
      <c r="N3541" s="35">
        <v>0</v>
      </c>
      <c r="O3541" s="35">
        <v>0</v>
      </c>
      <c r="P3541" s="35">
        <v>0</v>
      </c>
      <c r="Q3541" s="35">
        <v>0</v>
      </c>
      <c r="R3541" s="42">
        <v>5.3360999999999999E-2</v>
      </c>
      <c r="S3541" s="7" t="s">
        <v>2777</v>
      </c>
      <c r="T3541" s="257">
        <f t="shared" si="117"/>
        <v>160</v>
      </c>
      <c r="U3541" s="257">
        <f t="shared" si="118"/>
        <v>40</v>
      </c>
      <c r="V3541">
        <v>1</v>
      </c>
      <c r="W3541">
        <v>1</v>
      </c>
    </row>
    <row r="3542" spans="1:23" ht="91.2" x14ac:dyDescent="0.3">
      <c r="A3542" s="214">
        <v>44418</v>
      </c>
      <c r="B3542" s="214">
        <v>44419</v>
      </c>
      <c r="C3542" s="6">
        <v>8</v>
      </c>
      <c r="D3542" s="6">
        <v>2</v>
      </c>
      <c r="E3542" s="33">
        <v>2021</v>
      </c>
      <c r="F3542" s="15" t="s">
        <v>22</v>
      </c>
      <c r="G3542" s="18" t="s">
        <v>6256</v>
      </c>
      <c r="H3542" s="9" t="s">
        <v>72</v>
      </c>
      <c r="I3542" s="34" t="s">
        <v>1372</v>
      </c>
      <c r="J3542" s="58" t="s">
        <v>5589</v>
      </c>
      <c r="K3542" s="33">
        <v>0</v>
      </c>
      <c r="L3542" s="236">
        <v>296</v>
      </c>
      <c r="M3542" s="35">
        <v>74</v>
      </c>
      <c r="N3542" s="35">
        <v>0</v>
      </c>
      <c r="O3542" s="35">
        <v>0</v>
      </c>
      <c r="P3542" s="35">
        <v>0</v>
      </c>
      <c r="Q3542" s="35">
        <v>0</v>
      </c>
      <c r="R3542" s="42">
        <v>9.871785000000001E-2</v>
      </c>
      <c r="S3542" s="7" t="s">
        <v>2777</v>
      </c>
      <c r="T3542" s="257">
        <f t="shared" si="117"/>
        <v>296</v>
      </c>
      <c r="U3542" s="257">
        <f t="shared" si="118"/>
        <v>74</v>
      </c>
      <c r="V3542">
        <v>1</v>
      </c>
      <c r="W3542">
        <v>1</v>
      </c>
    </row>
    <row r="3543" spans="1:23" ht="68.400000000000006" x14ac:dyDescent="0.3">
      <c r="A3543" s="214">
        <v>44418</v>
      </c>
      <c r="B3543" s="214">
        <v>44418</v>
      </c>
      <c r="C3543" s="6">
        <v>8</v>
      </c>
      <c r="D3543" s="6">
        <v>1</v>
      </c>
      <c r="E3543" s="33">
        <v>2021</v>
      </c>
      <c r="F3543" s="15" t="s">
        <v>22</v>
      </c>
      <c r="G3543" s="18" t="s">
        <v>6256</v>
      </c>
      <c r="H3543" s="9" t="s">
        <v>118</v>
      </c>
      <c r="I3543" s="34" t="s">
        <v>5590</v>
      </c>
      <c r="J3543" s="58" t="s">
        <v>5591</v>
      </c>
      <c r="K3543" s="33">
        <v>0</v>
      </c>
      <c r="L3543" s="236">
        <v>11</v>
      </c>
      <c r="M3543" s="35">
        <v>2</v>
      </c>
      <c r="N3543" s="35">
        <v>0</v>
      </c>
      <c r="O3543" s="35">
        <v>0</v>
      </c>
      <c r="P3543" s="35">
        <v>0</v>
      </c>
      <c r="Q3543" s="35">
        <v>0</v>
      </c>
      <c r="R3543" s="42">
        <v>0.53506805000000013</v>
      </c>
      <c r="S3543" s="7" t="s">
        <v>2777</v>
      </c>
      <c r="T3543" s="257">
        <f t="shared" si="117"/>
        <v>11</v>
      </c>
      <c r="U3543" s="257">
        <f t="shared" si="118"/>
        <v>2</v>
      </c>
      <c r="V3543">
        <v>1</v>
      </c>
      <c r="W3543">
        <v>1</v>
      </c>
    </row>
    <row r="3544" spans="1:23" ht="171" x14ac:dyDescent="0.3">
      <c r="A3544" s="214">
        <v>44419</v>
      </c>
      <c r="B3544" s="214">
        <v>44420</v>
      </c>
      <c r="C3544" s="6">
        <v>8</v>
      </c>
      <c r="D3544" s="6">
        <v>2</v>
      </c>
      <c r="E3544" s="33">
        <v>2021</v>
      </c>
      <c r="F3544" s="15" t="s">
        <v>22</v>
      </c>
      <c r="G3544" s="18" t="s">
        <v>6256</v>
      </c>
      <c r="H3544" s="9" t="s">
        <v>56</v>
      </c>
      <c r="I3544" s="34" t="s">
        <v>5592</v>
      </c>
      <c r="J3544" s="58" t="s">
        <v>5593</v>
      </c>
      <c r="K3544" s="33">
        <v>0</v>
      </c>
      <c r="L3544" s="236">
        <v>0</v>
      </c>
      <c r="M3544" s="35">
        <v>0</v>
      </c>
      <c r="N3544" s="35">
        <v>0</v>
      </c>
      <c r="O3544" s="35">
        <v>0</v>
      </c>
      <c r="P3544" s="35">
        <v>0</v>
      </c>
      <c r="Q3544" s="35">
        <v>0</v>
      </c>
      <c r="R3544" s="42">
        <v>1.0648000000000002</v>
      </c>
      <c r="S3544" s="7" t="s">
        <v>2777</v>
      </c>
      <c r="T3544" s="257">
        <f t="shared" si="117"/>
        <v>0</v>
      </c>
      <c r="U3544" s="257">
        <f t="shared" si="118"/>
        <v>0</v>
      </c>
      <c r="V3544">
        <v>0</v>
      </c>
      <c r="W3544">
        <v>0</v>
      </c>
    </row>
    <row r="3545" spans="1:23" ht="68.400000000000006" x14ac:dyDescent="0.3">
      <c r="A3545" s="214">
        <v>44420</v>
      </c>
      <c r="B3545" s="214">
        <v>44420</v>
      </c>
      <c r="C3545" s="6">
        <v>8</v>
      </c>
      <c r="D3545" s="6">
        <v>1</v>
      </c>
      <c r="E3545" s="33">
        <v>2021</v>
      </c>
      <c r="F3545" s="15" t="s">
        <v>22</v>
      </c>
      <c r="G3545" s="18" t="s">
        <v>6256</v>
      </c>
      <c r="H3545" s="9" t="s">
        <v>51</v>
      </c>
      <c r="I3545" s="34" t="s">
        <v>1011</v>
      </c>
      <c r="J3545" s="58" t="s">
        <v>5594</v>
      </c>
      <c r="K3545" s="33">
        <v>0</v>
      </c>
      <c r="L3545" s="236">
        <v>50</v>
      </c>
      <c r="M3545" s="35">
        <v>12</v>
      </c>
      <c r="N3545" s="35">
        <v>0</v>
      </c>
      <c r="O3545" s="35">
        <v>0</v>
      </c>
      <c r="P3545" s="35">
        <v>0</v>
      </c>
      <c r="Q3545" s="35">
        <v>0</v>
      </c>
      <c r="R3545" s="42">
        <v>8.0041499999999998E-3</v>
      </c>
      <c r="S3545" s="7" t="s">
        <v>2777</v>
      </c>
      <c r="T3545" s="257">
        <f t="shared" si="117"/>
        <v>50</v>
      </c>
      <c r="U3545" s="257">
        <f t="shared" si="118"/>
        <v>12</v>
      </c>
      <c r="V3545">
        <v>1</v>
      </c>
      <c r="W3545">
        <v>1</v>
      </c>
    </row>
    <row r="3546" spans="1:23" ht="102.6" x14ac:dyDescent="0.3">
      <c r="A3546" s="214">
        <v>44422</v>
      </c>
      <c r="B3546" s="214">
        <v>44422</v>
      </c>
      <c r="C3546" s="6">
        <v>8</v>
      </c>
      <c r="D3546" s="6">
        <v>1</v>
      </c>
      <c r="E3546" s="33">
        <v>2021</v>
      </c>
      <c r="F3546" s="7" t="s">
        <v>17</v>
      </c>
      <c r="G3546" s="8" t="s">
        <v>6261</v>
      </c>
      <c r="H3546" s="9" t="s">
        <v>174</v>
      </c>
      <c r="I3546" s="34" t="s">
        <v>4131</v>
      </c>
      <c r="J3546" s="58" t="s">
        <v>5595</v>
      </c>
      <c r="K3546" s="33">
        <v>1</v>
      </c>
      <c r="L3546" s="236">
        <v>2</v>
      </c>
      <c r="M3546" s="35">
        <v>0</v>
      </c>
      <c r="N3546" s="35">
        <v>0</v>
      </c>
      <c r="O3546" s="35">
        <v>0</v>
      </c>
      <c r="P3546" s="35">
        <v>0</v>
      </c>
      <c r="Q3546" s="35">
        <v>0</v>
      </c>
      <c r="R3546" s="42">
        <v>1.1979000000000002E-3</v>
      </c>
      <c r="S3546" s="7" t="s">
        <v>2777</v>
      </c>
      <c r="T3546" s="257">
        <f t="shared" si="117"/>
        <v>3</v>
      </c>
      <c r="U3546" s="257">
        <f t="shared" si="118"/>
        <v>0</v>
      </c>
      <c r="V3546">
        <v>1</v>
      </c>
      <c r="W3546">
        <v>0</v>
      </c>
    </row>
    <row r="3547" spans="1:23" ht="57" x14ac:dyDescent="0.3">
      <c r="A3547" s="211">
        <v>41512</v>
      </c>
      <c r="B3547" s="211">
        <v>41512</v>
      </c>
      <c r="C3547" s="6">
        <v>8</v>
      </c>
      <c r="D3547" s="6">
        <v>1</v>
      </c>
      <c r="E3547" s="19">
        <v>2013</v>
      </c>
      <c r="F3547" s="15" t="s">
        <v>22</v>
      </c>
      <c r="G3547" s="18" t="s">
        <v>6256</v>
      </c>
      <c r="H3547" s="9" t="s">
        <v>48</v>
      </c>
      <c r="I3547" s="20" t="s">
        <v>5596</v>
      </c>
      <c r="J3547" s="21" t="s">
        <v>5597</v>
      </c>
      <c r="K3547" s="6">
        <v>0</v>
      </c>
      <c r="L3547" s="234">
        <v>20</v>
      </c>
      <c r="M3547" s="23">
        <v>4</v>
      </c>
      <c r="N3547" s="23">
        <v>0</v>
      </c>
      <c r="O3547" s="23">
        <v>0</v>
      </c>
      <c r="P3547" s="23">
        <v>0</v>
      </c>
      <c r="Q3547" s="23">
        <v>0</v>
      </c>
      <c r="R3547" s="24">
        <v>0</v>
      </c>
      <c r="S3547" s="25" t="s">
        <v>115</v>
      </c>
      <c r="T3547" s="257">
        <f t="shared" si="117"/>
        <v>20</v>
      </c>
      <c r="U3547" s="257">
        <f t="shared" si="118"/>
        <v>4</v>
      </c>
      <c r="V3547">
        <v>1</v>
      </c>
      <c r="W3547">
        <v>1</v>
      </c>
    </row>
    <row r="3548" spans="1:23" ht="102.6" x14ac:dyDescent="0.3">
      <c r="A3548" s="214">
        <v>44425</v>
      </c>
      <c r="B3548" s="214">
        <v>44426</v>
      </c>
      <c r="C3548" s="6">
        <v>8</v>
      </c>
      <c r="D3548" s="6">
        <v>2</v>
      </c>
      <c r="E3548" s="33">
        <v>2021</v>
      </c>
      <c r="F3548" s="15" t="s">
        <v>22</v>
      </c>
      <c r="G3548" s="18" t="s">
        <v>6256</v>
      </c>
      <c r="H3548" s="9" t="s">
        <v>88</v>
      </c>
      <c r="I3548" s="34" t="s">
        <v>535</v>
      </c>
      <c r="J3548" s="58" t="s">
        <v>5598</v>
      </c>
      <c r="K3548" s="33">
        <v>0</v>
      </c>
      <c r="L3548" s="236">
        <v>30</v>
      </c>
      <c r="M3548" s="35">
        <v>7</v>
      </c>
      <c r="N3548" s="35">
        <v>0</v>
      </c>
      <c r="O3548" s="35">
        <v>0</v>
      </c>
      <c r="P3548" s="35">
        <v>0</v>
      </c>
      <c r="Q3548" s="35">
        <v>0</v>
      </c>
      <c r="R3548" s="42">
        <v>0.21622095000000005</v>
      </c>
      <c r="S3548" s="7" t="s">
        <v>2777</v>
      </c>
      <c r="T3548" s="257">
        <f t="shared" si="117"/>
        <v>30</v>
      </c>
      <c r="U3548" s="257">
        <f t="shared" si="118"/>
        <v>7</v>
      </c>
      <c r="V3548">
        <v>1</v>
      </c>
      <c r="W3548">
        <v>1</v>
      </c>
    </row>
    <row r="3549" spans="1:23" ht="273.60000000000002" x14ac:dyDescent="0.3">
      <c r="A3549" s="214">
        <v>44428</v>
      </c>
      <c r="B3549" s="214">
        <v>44432</v>
      </c>
      <c r="C3549" s="6">
        <v>8</v>
      </c>
      <c r="D3549" s="6">
        <v>5</v>
      </c>
      <c r="E3549" s="33">
        <v>2021</v>
      </c>
      <c r="F3549" s="15" t="s">
        <v>22</v>
      </c>
      <c r="G3549" s="16" t="s">
        <v>6254</v>
      </c>
      <c r="H3549" s="9" t="s">
        <v>174</v>
      </c>
      <c r="I3549" s="34" t="s">
        <v>5599</v>
      </c>
      <c r="J3549" s="58" t="s">
        <v>5600</v>
      </c>
      <c r="K3549" s="33">
        <v>8</v>
      </c>
      <c r="L3549" s="236">
        <v>54928</v>
      </c>
      <c r="M3549" s="35">
        <f>45318+38</f>
        <v>45356</v>
      </c>
      <c r="N3549" s="35">
        <v>116</v>
      </c>
      <c r="O3549" s="35">
        <v>0</v>
      </c>
      <c r="P3549" s="35">
        <v>0</v>
      </c>
      <c r="Q3549" s="35">
        <v>158662</v>
      </c>
      <c r="R3549" s="42">
        <v>3557.2480387236001</v>
      </c>
      <c r="S3549" s="7" t="s">
        <v>173</v>
      </c>
      <c r="T3549" s="257">
        <f t="shared" si="117"/>
        <v>54936</v>
      </c>
      <c r="U3549" s="257">
        <f t="shared" si="118"/>
        <v>45472</v>
      </c>
      <c r="V3549">
        <v>2</v>
      </c>
      <c r="W3549">
        <v>4</v>
      </c>
    </row>
    <row r="3550" spans="1:23" ht="34.200000000000003" x14ac:dyDescent="0.3">
      <c r="A3550" s="214">
        <v>44428</v>
      </c>
      <c r="B3550" s="214">
        <v>44432</v>
      </c>
      <c r="C3550" s="6">
        <v>8</v>
      </c>
      <c r="D3550" s="6">
        <v>5</v>
      </c>
      <c r="E3550" s="33">
        <v>2021</v>
      </c>
      <c r="F3550" s="7" t="s">
        <v>17</v>
      </c>
      <c r="G3550" s="8" t="s">
        <v>6261</v>
      </c>
      <c r="H3550" s="9" t="s">
        <v>174</v>
      </c>
      <c r="I3550" s="34" t="s">
        <v>5601</v>
      </c>
      <c r="J3550" s="58" t="s">
        <v>5602</v>
      </c>
      <c r="K3550" s="33">
        <v>0</v>
      </c>
      <c r="L3550" s="236">
        <v>0</v>
      </c>
      <c r="M3550" s="35">
        <v>0</v>
      </c>
      <c r="N3550" s="35">
        <v>0</v>
      </c>
      <c r="O3550" s="35">
        <v>0</v>
      </c>
      <c r="P3550" s="35">
        <v>0</v>
      </c>
      <c r="Q3550" s="35">
        <v>0</v>
      </c>
      <c r="R3550" s="42">
        <v>27.051419199999998</v>
      </c>
      <c r="S3550" s="7" t="s">
        <v>5494</v>
      </c>
      <c r="T3550" s="257">
        <f t="shared" si="117"/>
        <v>0</v>
      </c>
      <c r="U3550" s="257">
        <f t="shared" si="118"/>
        <v>0</v>
      </c>
      <c r="V3550">
        <v>0</v>
      </c>
      <c r="W3550">
        <v>0</v>
      </c>
    </row>
    <row r="3551" spans="1:23" ht="125.4" x14ac:dyDescent="0.3">
      <c r="A3551" s="214">
        <v>44428</v>
      </c>
      <c r="B3551" s="214">
        <v>44431</v>
      </c>
      <c r="C3551" s="6">
        <v>8</v>
      </c>
      <c r="D3551" s="6">
        <v>4</v>
      </c>
      <c r="E3551" s="33">
        <v>2021</v>
      </c>
      <c r="F3551" s="15" t="s">
        <v>22</v>
      </c>
      <c r="G3551" s="18" t="s">
        <v>6256</v>
      </c>
      <c r="H3551" s="9" t="s">
        <v>174</v>
      </c>
      <c r="I3551" s="51" t="s">
        <v>5603</v>
      </c>
      <c r="J3551" s="58" t="s">
        <v>5604</v>
      </c>
      <c r="K3551" s="33">
        <v>0</v>
      </c>
      <c r="L3551" s="236">
        <v>0</v>
      </c>
      <c r="M3551" s="35">
        <v>0</v>
      </c>
      <c r="N3551" s="35">
        <v>0</v>
      </c>
      <c r="O3551" s="35">
        <v>0</v>
      </c>
      <c r="P3551" s="35">
        <v>0</v>
      </c>
      <c r="Q3551" s="35">
        <v>0</v>
      </c>
      <c r="R3551" s="42">
        <v>16.872951</v>
      </c>
      <c r="S3551" s="7" t="s">
        <v>5442</v>
      </c>
      <c r="T3551" s="257">
        <f t="shared" si="117"/>
        <v>0</v>
      </c>
      <c r="U3551" s="257">
        <f t="shared" si="118"/>
        <v>0</v>
      </c>
      <c r="V3551">
        <v>0</v>
      </c>
      <c r="W3551">
        <v>0</v>
      </c>
    </row>
    <row r="3552" spans="1:23" ht="250.8" x14ac:dyDescent="0.3">
      <c r="A3552" s="214">
        <v>44429</v>
      </c>
      <c r="B3552" s="214">
        <v>44430</v>
      </c>
      <c r="C3552" s="6">
        <v>8</v>
      </c>
      <c r="D3552" s="6">
        <v>2</v>
      </c>
      <c r="E3552" s="33">
        <v>2021</v>
      </c>
      <c r="F3552" s="15" t="s">
        <v>22</v>
      </c>
      <c r="G3552" s="16" t="s">
        <v>6254</v>
      </c>
      <c r="H3552" s="9" t="s">
        <v>64</v>
      </c>
      <c r="I3552" s="51" t="s">
        <v>5605</v>
      </c>
      <c r="J3552" s="58" t="s">
        <v>5606</v>
      </c>
      <c r="K3552" s="33">
        <v>0</v>
      </c>
      <c r="L3552" s="236">
        <v>34729</v>
      </c>
      <c r="M3552" s="35">
        <v>17916</v>
      </c>
      <c r="N3552" s="35">
        <v>0</v>
      </c>
      <c r="O3552" s="35">
        <v>0</v>
      </c>
      <c r="P3552" s="35">
        <v>0</v>
      </c>
      <c r="Q3552" s="35">
        <v>0</v>
      </c>
      <c r="R3552" s="42">
        <v>880.89538800000003</v>
      </c>
      <c r="S3552" s="7" t="s">
        <v>5607</v>
      </c>
      <c r="T3552" s="257">
        <f t="shared" si="117"/>
        <v>34729</v>
      </c>
      <c r="U3552" s="257">
        <f t="shared" si="118"/>
        <v>17916</v>
      </c>
      <c r="V3552">
        <v>2</v>
      </c>
      <c r="W3552">
        <v>3</v>
      </c>
    </row>
    <row r="3553" spans="1:23" ht="148.19999999999999" x14ac:dyDescent="0.3">
      <c r="A3553" s="214">
        <v>44429</v>
      </c>
      <c r="B3553" s="214">
        <v>44431</v>
      </c>
      <c r="C3553" s="6">
        <v>8</v>
      </c>
      <c r="D3553" s="6">
        <v>3</v>
      </c>
      <c r="E3553" s="33">
        <v>2021</v>
      </c>
      <c r="F3553" s="15" t="s">
        <v>22</v>
      </c>
      <c r="G3553" s="16" t="s">
        <v>6254</v>
      </c>
      <c r="H3553" s="9" t="s">
        <v>121</v>
      </c>
      <c r="I3553" s="34" t="s">
        <v>5608</v>
      </c>
      <c r="J3553" s="34" t="s">
        <v>5609</v>
      </c>
      <c r="K3553" s="33">
        <v>0</v>
      </c>
      <c r="L3553" s="236">
        <v>0</v>
      </c>
      <c r="M3553" s="35">
        <v>1279</v>
      </c>
      <c r="N3553" s="35">
        <v>0</v>
      </c>
      <c r="O3553" s="35">
        <v>0</v>
      </c>
      <c r="P3553" s="35">
        <v>0</v>
      </c>
      <c r="Q3553" s="35">
        <v>0</v>
      </c>
      <c r="R3553" s="42">
        <v>1073.297098</v>
      </c>
      <c r="S3553" s="7" t="s">
        <v>5610</v>
      </c>
      <c r="T3553" s="257">
        <f t="shared" si="117"/>
        <v>0</v>
      </c>
      <c r="U3553" s="257">
        <f t="shared" si="118"/>
        <v>1279</v>
      </c>
      <c r="V3553">
        <v>0</v>
      </c>
      <c r="W3553">
        <v>2</v>
      </c>
    </row>
    <row r="3554" spans="1:23" ht="79.8" x14ac:dyDescent="0.3">
      <c r="A3554" s="214">
        <v>44431</v>
      </c>
      <c r="B3554" s="214">
        <v>44432</v>
      </c>
      <c r="C3554" s="6">
        <v>8</v>
      </c>
      <c r="D3554" s="6">
        <v>2</v>
      </c>
      <c r="E3554" s="33">
        <v>2021</v>
      </c>
      <c r="F3554" s="15" t="s">
        <v>22</v>
      </c>
      <c r="G3554" s="18" t="s">
        <v>6256</v>
      </c>
      <c r="H3554" s="9" t="s">
        <v>174</v>
      </c>
      <c r="I3554" s="34" t="s">
        <v>5611</v>
      </c>
      <c r="J3554" s="58" t="s">
        <v>5612</v>
      </c>
      <c r="K3554" s="33">
        <v>0</v>
      </c>
      <c r="L3554" s="236">
        <v>24</v>
      </c>
      <c r="M3554" s="35">
        <v>6</v>
      </c>
      <c r="N3554" s="35">
        <v>0</v>
      </c>
      <c r="O3554" s="35">
        <v>0</v>
      </c>
      <c r="P3554" s="35">
        <v>0</v>
      </c>
      <c r="Q3554" s="35">
        <v>0</v>
      </c>
      <c r="R3554" s="42">
        <v>2.7951000000000004E-3</v>
      </c>
      <c r="S3554" s="7" t="s">
        <v>2777</v>
      </c>
      <c r="T3554" s="257">
        <f t="shared" si="117"/>
        <v>24</v>
      </c>
      <c r="U3554" s="257">
        <f t="shared" si="118"/>
        <v>6</v>
      </c>
      <c r="V3554">
        <v>1</v>
      </c>
      <c r="W3554">
        <v>1</v>
      </c>
    </row>
    <row r="3555" spans="1:23" ht="159.6" x14ac:dyDescent="0.3">
      <c r="A3555" s="214">
        <v>44433</v>
      </c>
      <c r="B3555" s="214">
        <v>44446</v>
      </c>
      <c r="C3555" s="6">
        <v>8</v>
      </c>
      <c r="D3555" s="6">
        <v>14</v>
      </c>
      <c r="E3555" s="33">
        <v>2021</v>
      </c>
      <c r="F3555" s="15" t="s">
        <v>22</v>
      </c>
      <c r="G3555" s="18" t="s">
        <v>6256</v>
      </c>
      <c r="H3555" s="9" t="s">
        <v>174</v>
      </c>
      <c r="I3555" s="34" t="s">
        <v>5613</v>
      </c>
      <c r="J3555" s="58" t="s">
        <v>5614</v>
      </c>
      <c r="K3555" s="33">
        <v>0</v>
      </c>
      <c r="L3555" s="236">
        <v>19528</v>
      </c>
      <c r="M3555" s="35">
        <v>4865</v>
      </c>
      <c r="N3555" s="35">
        <v>6</v>
      </c>
      <c r="O3555" s="35">
        <v>0</v>
      </c>
      <c r="P3555" s="35">
        <v>0</v>
      </c>
      <c r="Q3555" s="35">
        <v>0</v>
      </c>
      <c r="R3555" s="42">
        <v>3.2450158125000002</v>
      </c>
      <c r="S3555" s="7" t="s">
        <v>5529</v>
      </c>
      <c r="T3555" s="257">
        <f t="shared" si="117"/>
        <v>19528</v>
      </c>
      <c r="U3555" s="257">
        <f t="shared" si="118"/>
        <v>4871</v>
      </c>
      <c r="V3555">
        <v>2</v>
      </c>
      <c r="W3555">
        <v>2</v>
      </c>
    </row>
    <row r="3556" spans="1:23" ht="34.200000000000003" x14ac:dyDescent="0.3">
      <c r="A3556" s="214">
        <v>44435</v>
      </c>
      <c r="B3556" s="214">
        <v>44437</v>
      </c>
      <c r="C3556" s="6">
        <v>8</v>
      </c>
      <c r="D3556" s="6">
        <v>3</v>
      </c>
      <c r="E3556" s="33">
        <v>2021</v>
      </c>
      <c r="F3556" s="15" t="s">
        <v>22</v>
      </c>
      <c r="G3556" s="16" t="s">
        <v>6254</v>
      </c>
      <c r="H3556" s="9" t="s">
        <v>52</v>
      </c>
      <c r="I3556" s="34" t="s">
        <v>5615</v>
      </c>
      <c r="J3556" s="58" t="s">
        <v>5616</v>
      </c>
      <c r="K3556" s="33">
        <v>0</v>
      </c>
      <c r="L3556" s="236">
        <v>2413</v>
      </c>
      <c r="M3556" s="35">
        <v>0</v>
      </c>
      <c r="N3556" s="35">
        <v>0</v>
      </c>
      <c r="O3556" s="35">
        <v>0</v>
      </c>
      <c r="P3556" s="35">
        <v>0</v>
      </c>
      <c r="Q3556" s="35">
        <v>0</v>
      </c>
      <c r="R3556" s="42">
        <v>641.99188300000003</v>
      </c>
      <c r="S3556" s="7" t="s">
        <v>296</v>
      </c>
      <c r="T3556" s="257">
        <f t="shared" si="117"/>
        <v>2413</v>
      </c>
      <c r="U3556" s="257">
        <f t="shared" si="118"/>
        <v>0</v>
      </c>
      <c r="V3556">
        <v>1</v>
      </c>
      <c r="W3556">
        <v>0</v>
      </c>
    </row>
    <row r="3557" spans="1:23" ht="34.200000000000003" x14ac:dyDescent="0.3">
      <c r="A3557" s="214">
        <v>44436</v>
      </c>
      <c r="B3557" s="214">
        <v>44437</v>
      </c>
      <c r="C3557" s="6">
        <v>8</v>
      </c>
      <c r="D3557" s="6">
        <v>2</v>
      </c>
      <c r="E3557" s="33">
        <v>2021</v>
      </c>
      <c r="F3557" s="15" t="s">
        <v>22</v>
      </c>
      <c r="G3557" s="16" t="s">
        <v>6254</v>
      </c>
      <c r="H3557" s="9" t="s">
        <v>39</v>
      </c>
      <c r="I3557" s="34" t="s">
        <v>5617</v>
      </c>
      <c r="J3557" s="58" t="s">
        <v>5618</v>
      </c>
      <c r="K3557" s="33">
        <v>0</v>
      </c>
      <c r="L3557" s="236">
        <v>0</v>
      </c>
      <c r="M3557" s="35">
        <v>0</v>
      </c>
      <c r="N3557" s="35">
        <v>0</v>
      </c>
      <c r="O3557" s="35">
        <v>0</v>
      </c>
      <c r="P3557" s="35">
        <v>0</v>
      </c>
      <c r="Q3557" s="35">
        <v>0</v>
      </c>
      <c r="R3557" s="42">
        <v>302.47181358</v>
      </c>
      <c r="S3557" s="7" t="s">
        <v>5494</v>
      </c>
      <c r="T3557" s="257">
        <f t="shared" si="117"/>
        <v>0</v>
      </c>
      <c r="U3557" s="257">
        <f t="shared" si="118"/>
        <v>0</v>
      </c>
      <c r="V3557">
        <v>0</v>
      </c>
      <c r="W3557">
        <v>0</v>
      </c>
    </row>
    <row r="3558" spans="1:23" ht="34.200000000000003" x14ac:dyDescent="0.3">
      <c r="A3558" s="214">
        <v>44436</v>
      </c>
      <c r="B3558" s="214">
        <v>44438</v>
      </c>
      <c r="C3558" s="6">
        <v>8</v>
      </c>
      <c r="D3558" s="6">
        <v>3</v>
      </c>
      <c r="E3558" s="33">
        <v>2021</v>
      </c>
      <c r="F3558" s="15" t="s">
        <v>22</v>
      </c>
      <c r="G3558" s="16" t="s">
        <v>6254</v>
      </c>
      <c r="H3558" s="9" t="s">
        <v>56</v>
      </c>
      <c r="I3558" s="34" t="s">
        <v>5619</v>
      </c>
      <c r="J3558" s="58" t="s">
        <v>5620</v>
      </c>
      <c r="K3558" s="33">
        <v>0</v>
      </c>
      <c r="L3558" s="236">
        <v>0</v>
      </c>
      <c r="M3558" s="35">
        <v>0</v>
      </c>
      <c r="N3558" s="35">
        <v>0</v>
      </c>
      <c r="O3558" s="35">
        <v>0</v>
      </c>
      <c r="P3558" s="35">
        <v>0</v>
      </c>
      <c r="Q3558" s="35">
        <v>0</v>
      </c>
      <c r="R3558" s="42">
        <v>725.36366760999999</v>
      </c>
      <c r="S3558" s="7" t="s">
        <v>5494</v>
      </c>
      <c r="T3558" s="257">
        <f t="shared" si="117"/>
        <v>0</v>
      </c>
      <c r="U3558" s="257">
        <f t="shared" si="118"/>
        <v>0</v>
      </c>
      <c r="V3558">
        <v>0</v>
      </c>
      <c r="W3558">
        <v>0</v>
      </c>
    </row>
    <row r="3559" spans="1:23" ht="34.200000000000003" x14ac:dyDescent="0.3">
      <c r="A3559" s="214">
        <v>44436</v>
      </c>
      <c r="B3559" s="214">
        <v>44438</v>
      </c>
      <c r="C3559" s="6">
        <v>8</v>
      </c>
      <c r="D3559" s="6">
        <v>3</v>
      </c>
      <c r="E3559" s="33">
        <v>2021</v>
      </c>
      <c r="F3559" s="15" t="s">
        <v>22</v>
      </c>
      <c r="G3559" s="16" t="s">
        <v>6254</v>
      </c>
      <c r="H3559" s="9" t="s">
        <v>72</v>
      </c>
      <c r="I3559" s="51" t="s">
        <v>5621</v>
      </c>
      <c r="J3559" s="34" t="s">
        <v>5622</v>
      </c>
      <c r="K3559" s="33">
        <v>0</v>
      </c>
      <c r="L3559" s="236">
        <v>31984</v>
      </c>
      <c r="M3559" s="35">
        <v>1450</v>
      </c>
      <c r="N3559" s="35">
        <v>11</v>
      </c>
      <c r="O3559" s="35">
        <v>0</v>
      </c>
      <c r="P3559" s="35">
        <v>167</v>
      </c>
      <c r="Q3559" s="13">
        <v>0</v>
      </c>
      <c r="R3559" s="42">
        <v>1311.5744999999999</v>
      </c>
      <c r="S3559" s="7" t="s">
        <v>173</v>
      </c>
      <c r="T3559" s="257">
        <f t="shared" si="117"/>
        <v>31984</v>
      </c>
      <c r="U3559" s="257">
        <f t="shared" si="118"/>
        <v>1628</v>
      </c>
      <c r="V3559">
        <v>2</v>
      </c>
      <c r="W3559">
        <v>2</v>
      </c>
    </row>
    <row r="3560" spans="1:23" ht="34.200000000000003" x14ac:dyDescent="0.3">
      <c r="A3560" s="214">
        <v>44436</v>
      </c>
      <c r="B3560" s="214">
        <v>44437</v>
      </c>
      <c r="C3560" s="6">
        <v>8</v>
      </c>
      <c r="D3560" s="6">
        <v>2</v>
      </c>
      <c r="E3560" s="33">
        <v>2021</v>
      </c>
      <c r="F3560" s="15" t="s">
        <v>22</v>
      </c>
      <c r="G3560" s="16" t="s">
        <v>6254</v>
      </c>
      <c r="H3560" s="9" t="s">
        <v>51</v>
      </c>
      <c r="I3560" s="34" t="s">
        <v>5623</v>
      </c>
      <c r="J3560" s="58" t="s">
        <v>5624</v>
      </c>
      <c r="K3560" s="33">
        <v>0</v>
      </c>
      <c r="L3560" s="236">
        <v>6451</v>
      </c>
      <c r="M3560" s="35">
        <v>0</v>
      </c>
      <c r="N3560" s="35">
        <v>0</v>
      </c>
      <c r="O3560" s="35">
        <v>0</v>
      </c>
      <c r="P3560" s="35">
        <v>0</v>
      </c>
      <c r="Q3560" s="35">
        <v>0</v>
      </c>
      <c r="R3560" s="42">
        <v>874.90278350999995</v>
      </c>
      <c r="S3560" s="7" t="s">
        <v>296</v>
      </c>
      <c r="T3560" s="257">
        <f t="shared" si="117"/>
        <v>6451</v>
      </c>
      <c r="U3560" s="257">
        <f t="shared" si="118"/>
        <v>0</v>
      </c>
      <c r="V3560">
        <v>1</v>
      </c>
      <c r="W3560">
        <v>0</v>
      </c>
    </row>
    <row r="3561" spans="1:23" ht="68.400000000000006" x14ac:dyDescent="0.3">
      <c r="A3561" s="214">
        <v>44440</v>
      </c>
      <c r="B3561" s="214">
        <v>44440</v>
      </c>
      <c r="C3561" s="6">
        <v>9</v>
      </c>
      <c r="D3561" s="6">
        <v>1</v>
      </c>
      <c r="E3561" s="33">
        <v>2021</v>
      </c>
      <c r="F3561" s="15" t="s">
        <v>22</v>
      </c>
      <c r="G3561" s="18" t="s">
        <v>6256</v>
      </c>
      <c r="H3561" s="9" t="s">
        <v>174</v>
      </c>
      <c r="I3561" s="34" t="s">
        <v>5625</v>
      </c>
      <c r="J3561" s="58" t="s">
        <v>5626</v>
      </c>
      <c r="K3561" s="33">
        <v>0</v>
      </c>
      <c r="L3561" s="236">
        <v>40</v>
      </c>
      <c r="M3561" s="35">
        <v>10</v>
      </c>
      <c r="N3561" s="35">
        <v>0</v>
      </c>
      <c r="O3561" s="35">
        <v>0</v>
      </c>
      <c r="P3561" s="35">
        <v>0</v>
      </c>
      <c r="Q3561" s="35">
        <v>0</v>
      </c>
      <c r="R3561" s="42">
        <v>6.6701249999999998E-3</v>
      </c>
      <c r="S3561" s="7" t="s">
        <v>2777</v>
      </c>
      <c r="T3561" s="257">
        <f t="shared" si="117"/>
        <v>40</v>
      </c>
      <c r="U3561" s="257">
        <f t="shared" si="118"/>
        <v>10</v>
      </c>
      <c r="V3561">
        <v>1</v>
      </c>
      <c r="W3561">
        <v>1</v>
      </c>
    </row>
    <row r="3562" spans="1:23" ht="136.80000000000001" x14ac:dyDescent="0.3">
      <c r="A3562" s="214">
        <v>44440</v>
      </c>
      <c r="B3562" s="214">
        <v>44440</v>
      </c>
      <c r="C3562" s="6">
        <v>9</v>
      </c>
      <c r="D3562" s="6">
        <v>1</v>
      </c>
      <c r="E3562" s="33">
        <v>2021</v>
      </c>
      <c r="F3562" s="15" t="s">
        <v>22</v>
      </c>
      <c r="G3562" s="18" t="s">
        <v>6256</v>
      </c>
      <c r="H3562" s="17" t="s">
        <v>565</v>
      </c>
      <c r="I3562" s="34" t="s">
        <v>4028</v>
      </c>
      <c r="J3562" s="58" t="s">
        <v>5627</v>
      </c>
      <c r="K3562" s="33">
        <v>0</v>
      </c>
      <c r="L3562" s="236">
        <v>19</v>
      </c>
      <c r="M3562" s="35">
        <v>3</v>
      </c>
      <c r="N3562" s="35">
        <v>0</v>
      </c>
      <c r="O3562" s="35">
        <v>0</v>
      </c>
      <c r="P3562" s="35">
        <v>0</v>
      </c>
      <c r="Q3562" s="35">
        <v>0</v>
      </c>
      <c r="R3562" s="42">
        <v>0.53879787500000009</v>
      </c>
      <c r="S3562" s="7" t="s">
        <v>2777</v>
      </c>
      <c r="T3562" s="257">
        <f t="shared" si="117"/>
        <v>19</v>
      </c>
      <c r="U3562" s="257">
        <f t="shared" si="118"/>
        <v>3</v>
      </c>
      <c r="V3562">
        <v>1</v>
      </c>
      <c r="W3562">
        <v>1</v>
      </c>
    </row>
    <row r="3563" spans="1:23" ht="79.8" x14ac:dyDescent="0.3">
      <c r="A3563" s="214">
        <v>44440</v>
      </c>
      <c r="B3563" s="214">
        <v>44441</v>
      </c>
      <c r="C3563" s="6">
        <v>9</v>
      </c>
      <c r="D3563" s="6">
        <v>2</v>
      </c>
      <c r="E3563" s="33">
        <v>2021</v>
      </c>
      <c r="F3563" s="15" t="s">
        <v>22</v>
      </c>
      <c r="G3563" s="18" t="s">
        <v>6256</v>
      </c>
      <c r="H3563" s="9" t="s">
        <v>174</v>
      </c>
      <c r="I3563" s="34" t="s">
        <v>5628</v>
      </c>
      <c r="J3563" s="58" t="s">
        <v>5629</v>
      </c>
      <c r="K3563" s="33">
        <v>0</v>
      </c>
      <c r="L3563" s="236">
        <v>48</v>
      </c>
      <c r="M3563" s="35">
        <v>12</v>
      </c>
      <c r="N3563" s="35">
        <v>0</v>
      </c>
      <c r="O3563" s="35">
        <v>0</v>
      </c>
      <c r="P3563" s="35">
        <v>0</v>
      </c>
      <c r="Q3563" s="35">
        <v>0</v>
      </c>
      <c r="R3563" s="42">
        <v>1.60083E-2</v>
      </c>
      <c r="S3563" s="7" t="s">
        <v>2777</v>
      </c>
      <c r="T3563" s="257">
        <f t="shared" si="117"/>
        <v>48</v>
      </c>
      <c r="U3563" s="257">
        <f t="shared" si="118"/>
        <v>12</v>
      </c>
      <c r="V3563">
        <v>1</v>
      </c>
      <c r="W3563">
        <v>1</v>
      </c>
    </row>
    <row r="3564" spans="1:23" ht="171" x14ac:dyDescent="0.3">
      <c r="A3564" s="214">
        <v>44440</v>
      </c>
      <c r="B3564" s="214">
        <v>44467</v>
      </c>
      <c r="C3564" s="6">
        <v>9</v>
      </c>
      <c r="D3564" s="6">
        <v>28</v>
      </c>
      <c r="E3564" s="33">
        <v>2021</v>
      </c>
      <c r="F3564" s="15" t="s">
        <v>22</v>
      </c>
      <c r="G3564" s="16" t="s">
        <v>6256</v>
      </c>
      <c r="H3564" s="9" t="s">
        <v>64</v>
      </c>
      <c r="I3564" s="34" t="s">
        <v>5073</v>
      </c>
      <c r="J3564" s="58" t="s">
        <v>5630</v>
      </c>
      <c r="K3564" s="33">
        <v>2</v>
      </c>
      <c r="L3564" s="236">
        <v>3</v>
      </c>
      <c r="M3564" s="35">
        <v>0</v>
      </c>
      <c r="N3564" s="35">
        <v>0</v>
      </c>
      <c r="O3564" s="35">
        <v>0</v>
      </c>
      <c r="P3564" s="35">
        <v>0</v>
      </c>
      <c r="Q3564" s="35">
        <v>0</v>
      </c>
      <c r="R3564" s="42">
        <v>0</v>
      </c>
      <c r="S3564" s="7" t="s">
        <v>2777</v>
      </c>
      <c r="T3564" s="257">
        <f t="shared" si="117"/>
        <v>5</v>
      </c>
      <c r="U3564" s="257">
        <f t="shared" si="118"/>
        <v>0</v>
      </c>
      <c r="V3564">
        <v>1</v>
      </c>
      <c r="W3564">
        <v>0</v>
      </c>
    </row>
    <row r="3565" spans="1:23" ht="125.4" x14ac:dyDescent="0.3">
      <c r="A3565" s="214">
        <v>44441</v>
      </c>
      <c r="B3565" s="214">
        <v>44441</v>
      </c>
      <c r="C3565" s="6">
        <v>9</v>
      </c>
      <c r="D3565" s="6">
        <v>1</v>
      </c>
      <c r="E3565" s="33">
        <v>2021</v>
      </c>
      <c r="F3565" s="15" t="s">
        <v>22</v>
      </c>
      <c r="G3565" s="18" t="s">
        <v>6256</v>
      </c>
      <c r="H3565" s="9" t="s">
        <v>43</v>
      </c>
      <c r="I3565" s="34" t="s">
        <v>917</v>
      </c>
      <c r="J3565" s="58" t="s">
        <v>5631</v>
      </c>
      <c r="K3565" s="33">
        <v>0</v>
      </c>
      <c r="L3565" s="236">
        <v>564</v>
      </c>
      <c r="M3565" s="35">
        <v>141</v>
      </c>
      <c r="N3565" s="35">
        <v>0</v>
      </c>
      <c r="O3565" s="35">
        <v>0</v>
      </c>
      <c r="P3565" s="35">
        <v>0</v>
      </c>
      <c r="Q3565" s="35">
        <v>0</v>
      </c>
      <c r="R3565" s="42">
        <v>0.13473652500000002</v>
      </c>
      <c r="S3565" s="7" t="s">
        <v>2777</v>
      </c>
      <c r="T3565" s="257">
        <f t="shared" si="117"/>
        <v>564</v>
      </c>
      <c r="U3565" s="257">
        <f t="shared" si="118"/>
        <v>141</v>
      </c>
      <c r="V3565">
        <v>1</v>
      </c>
      <c r="W3565">
        <v>1</v>
      </c>
    </row>
    <row r="3566" spans="1:23" ht="182.4" x14ac:dyDescent="0.3">
      <c r="A3566" s="214">
        <v>44441</v>
      </c>
      <c r="B3566" s="214">
        <v>44441</v>
      </c>
      <c r="C3566" s="6">
        <v>9</v>
      </c>
      <c r="D3566" s="6">
        <v>1</v>
      </c>
      <c r="E3566" s="33">
        <v>2021</v>
      </c>
      <c r="F3566" s="15" t="s">
        <v>22</v>
      </c>
      <c r="G3566" s="18" t="s">
        <v>6256</v>
      </c>
      <c r="H3566" s="9" t="s">
        <v>55</v>
      </c>
      <c r="I3566" s="34" t="s">
        <v>5632</v>
      </c>
      <c r="J3566" s="58" t="s">
        <v>5633</v>
      </c>
      <c r="K3566" s="33">
        <v>0</v>
      </c>
      <c r="L3566" s="236">
        <v>74</v>
      </c>
      <c r="M3566" s="35">
        <v>18</v>
      </c>
      <c r="N3566" s="35">
        <v>0</v>
      </c>
      <c r="O3566" s="35">
        <v>0</v>
      </c>
      <c r="P3566" s="35">
        <v>0</v>
      </c>
      <c r="Q3566" s="35">
        <v>0</v>
      </c>
      <c r="R3566" s="42">
        <v>0.23697245000000003</v>
      </c>
      <c r="S3566" s="7" t="s">
        <v>2777</v>
      </c>
      <c r="T3566" s="257">
        <f t="shared" si="117"/>
        <v>74</v>
      </c>
      <c r="U3566" s="257">
        <f t="shared" si="118"/>
        <v>18</v>
      </c>
      <c r="V3566">
        <v>1</v>
      </c>
      <c r="W3566">
        <v>1</v>
      </c>
    </row>
    <row r="3567" spans="1:23" ht="182.4" x14ac:dyDescent="0.3">
      <c r="A3567" s="214">
        <v>44441</v>
      </c>
      <c r="B3567" s="214">
        <v>44441</v>
      </c>
      <c r="C3567" s="6">
        <v>9</v>
      </c>
      <c r="D3567" s="6">
        <v>1</v>
      </c>
      <c r="E3567" s="33">
        <v>2021</v>
      </c>
      <c r="F3567" s="15" t="s">
        <v>22</v>
      </c>
      <c r="G3567" s="18" t="s">
        <v>6256</v>
      </c>
      <c r="H3567" s="9" t="s">
        <v>52</v>
      </c>
      <c r="I3567" s="34" t="s">
        <v>5634</v>
      </c>
      <c r="J3567" s="58" t="s">
        <v>5635</v>
      </c>
      <c r="K3567" s="33">
        <v>0</v>
      </c>
      <c r="L3567" s="236">
        <v>400</v>
      </c>
      <c r="M3567" s="35">
        <v>100</v>
      </c>
      <c r="N3567" s="35">
        <v>0</v>
      </c>
      <c r="O3567" s="35">
        <v>0</v>
      </c>
      <c r="P3567" s="35">
        <v>0</v>
      </c>
      <c r="Q3567" s="35">
        <v>0</v>
      </c>
      <c r="R3567" s="42">
        <v>0.13340250000000001</v>
      </c>
      <c r="S3567" s="7" t="s">
        <v>2777</v>
      </c>
      <c r="T3567" s="257">
        <f t="shared" si="117"/>
        <v>400</v>
      </c>
      <c r="U3567" s="257">
        <f t="shared" si="118"/>
        <v>100</v>
      </c>
      <c r="V3567">
        <v>1</v>
      </c>
      <c r="W3567">
        <v>1</v>
      </c>
    </row>
    <row r="3568" spans="1:23" ht="353.4" x14ac:dyDescent="0.3">
      <c r="A3568" s="214">
        <v>44441</v>
      </c>
      <c r="B3568" s="214">
        <v>44441</v>
      </c>
      <c r="C3568" s="6">
        <v>9</v>
      </c>
      <c r="D3568" s="6">
        <v>1</v>
      </c>
      <c r="E3568" s="33">
        <v>2021</v>
      </c>
      <c r="F3568" s="15" t="s">
        <v>22</v>
      </c>
      <c r="G3568" s="18" t="s">
        <v>6256</v>
      </c>
      <c r="H3568" s="9" t="s">
        <v>43</v>
      </c>
      <c r="I3568" s="34" t="s">
        <v>5636</v>
      </c>
      <c r="J3568" s="58" t="s">
        <v>5637</v>
      </c>
      <c r="K3568" s="33">
        <v>0</v>
      </c>
      <c r="L3568" s="236">
        <v>683</v>
      </c>
      <c r="M3568" s="35">
        <v>166</v>
      </c>
      <c r="N3568" s="35">
        <v>0</v>
      </c>
      <c r="O3568" s="35">
        <v>0</v>
      </c>
      <c r="P3568" s="35">
        <v>0</v>
      </c>
      <c r="Q3568" s="35">
        <v>0</v>
      </c>
      <c r="R3568" s="42">
        <v>0.38104715</v>
      </c>
      <c r="S3568" s="7" t="s">
        <v>2777</v>
      </c>
      <c r="T3568" s="257">
        <f t="shared" si="117"/>
        <v>683</v>
      </c>
      <c r="U3568" s="257">
        <f t="shared" si="118"/>
        <v>166</v>
      </c>
      <c r="V3568">
        <v>1</v>
      </c>
      <c r="W3568">
        <v>1</v>
      </c>
    </row>
    <row r="3569" spans="1:23" ht="57" x14ac:dyDescent="0.3">
      <c r="A3569" s="214">
        <v>44441</v>
      </c>
      <c r="B3569" s="214">
        <v>44442</v>
      </c>
      <c r="C3569" s="6">
        <v>9</v>
      </c>
      <c r="D3569" s="6">
        <v>2</v>
      </c>
      <c r="E3569" s="33">
        <v>2021</v>
      </c>
      <c r="F3569" s="7" t="s">
        <v>17</v>
      </c>
      <c r="G3569" s="8" t="s">
        <v>6261</v>
      </c>
      <c r="H3569" s="9" t="s">
        <v>64</v>
      </c>
      <c r="I3569" s="34" t="s">
        <v>3011</v>
      </c>
      <c r="J3569" s="58" t="s">
        <v>5638</v>
      </c>
      <c r="K3569" s="33">
        <v>0</v>
      </c>
      <c r="L3569" s="236">
        <v>39</v>
      </c>
      <c r="M3569" s="35">
        <v>3</v>
      </c>
      <c r="N3569" s="35">
        <v>0</v>
      </c>
      <c r="O3569" s="35">
        <v>0</v>
      </c>
      <c r="P3569" s="35">
        <v>0</v>
      </c>
      <c r="Q3569" s="35">
        <v>0</v>
      </c>
      <c r="R3569" s="42">
        <v>0.10672200000000003</v>
      </c>
      <c r="S3569" s="7" t="s">
        <v>2777</v>
      </c>
      <c r="T3569" s="257">
        <f t="shared" si="117"/>
        <v>39</v>
      </c>
      <c r="U3569" s="257">
        <f t="shared" si="118"/>
        <v>3</v>
      </c>
      <c r="V3569">
        <v>1</v>
      </c>
      <c r="W3569">
        <v>1</v>
      </c>
    </row>
    <row r="3570" spans="1:23" ht="376.2" x14ac:dyDescent="0.3">
      <c r="A3570" s="214">
        <v>44441</v>
      </c>
      <c r="B3570" s="214">
        <v>44441</v>
      </c>
      <c r="C3570" s="6">
        <v>9</v>
      </c>
      <c r="D3570" s="6">
        <v>1</v>
      </c>
      <c r="E3570" s="33">
        <v>2021</v>
      </c>
      <c r="F3570" s="15" t="s">
        <v>22</v>
      </c>
      <c r="G3570" s="18" t="s">
        <v>6256</v>
      </c>
      <c r="H3570" s="9" t="s">
        <v>55</v>
      </c>
      <c r="I3570" s="34" t="s">
        <v>5639</v>
      </c>
      <c r="J3570" s="58" t="s">
        <v>5640</v>
      </c>
      <c r="K3570" s="33">
        <v>3</v>
      </c>
      <c r="L3570" s="236">
        <v>1388</v>
      </c>
      <c r="M3570" s="35">
        <v>347</v>
      </c>
      <c r="N3570" s="35">
        <v>0</v>
      </c>
      <c r="O3570" s="35">
        <v>0</v>
      </c>
      <c r="P3570" s="35">
        <v>0</v>
      </c>
      <c r="Q3570" s="35">
        <v>0</v>
      </c>
      <c r="R3570" s="42">
        <v>6.8517066750000009</v>
      </c>
      <c r="S3570" s="7" t="s">
        <v>2777</v>
      </c>
      <c r="T3570" s="257">
        <f t="shared" si="117"/>
        <v>1391</v>
      </c>
      <c r="U3570" s="257">
        <f t="shared" si="118"/>
        <v>347</v>
      </c>
      <c r="V3570">
        <v>1</v>
      </c>
      <c r="W3570">
        <v>1</v>
      </c>
    </row>
    <row r="3571" spans="1:23" ht="353.4" x14ac:dyDescent="0.3">
      <c r="A3571" s="214">
        <v>44443</v>
      </c>
      <c r="B3571" s="214">
        <v>44445</v>
      </c>
      <c r="C3571" s="6">
        <v>9</v>
      </c>
      <c r="D3571" s="6">
        <v>3</v>
      </c>
      <c r="E3571" s="33">
        <v>2021</v>
      </c>
      <c r="F3571" s="15" t="s">
        <v>22</v>
      </c>
      <c r="G3571" s="18" t="s">
        <v>6256</v>
      </c>
      <c r="H3571" s="9" t="s">
        <v>51</v>
      </c>
      <c r="I3571" s="34" t="s">
        <v>5641</v>
      </c>
      <c r="J3571" s="58" t="s">
        <v>5642</v>
      </c>
      <c r="K3571" s="33">
        <v>0</v>
      </c>
      <c r="L3571" s="236">
        <v>389</v>
      </c>
      <c r="M3571" s="35">
        <v>90</v>
      </c>
      <c r="N3571" s="35">
        <v>1</v>
      </c>
      <c r="O3571" s="35">
        <v>0</v>
      </c>
      <c r="P3571" s="35">
        <v>0</v>
      </c>
      <c r="Q3571" s="35">
        <v>0</v>
      </c>
      <c r="R3571" s="42">
        <v>0.43950225000000004</v>
      </c>
      <c r="S3571" s="7" t="s">
        <v>2777</v>
      </c>
      <c r="T3571" s="257">
        <f t="shared" si="117"/>
        <v>389</v>
      </c>
      <c r="U3571" s="257">
        <f t="shared" si="118"/>
        <v>91</v>
      </c>
      <c r="V3571">
        <v>1</v>
      </c>
      <c r="W3571">
        <v>1</v>
      </c>
    </row>
    <row r="3572" spans="1:23" ht="68.400000000000006" x14ac:dyDescent="0.3">
      <c r="A3572" s="217">
        <v>41835</v>
      </c>
      <c r="B3572" s="217">
        <v>41835</v>
      </c>
      <c r="C3572" s="6">
        <v>7</v>
      </c>
      <c r="D3572" s="6">
        <v>1</v>
      </c>
      <c r="E3572" s="33">
        <v>2014</v>
      </c>
      <c r="F3572" s="15" t="s">
        <v>22</v>
      </c>
      <c r="G3572" s="82" t="s">
        <v>6256</v>
      </c>
      <c r="H3572" s="9" t="s">
        <v>48</v>
      </c>
      <c r="I3572" s="47" t="s">
        <v>5643</v>
      </c>
      <c r="J3572" s="34" t="s">
        <v>5644</v>
      </c>
      <c r="K3572" s="112">
        <v>1</v>
      </c>
      <c r="L3572" s="236">
        <v>2</v>
      </c>
      <c r="M3572" s="35">
        <v>0</v>
      </c>
      <c r="N3572" s="35">
        <v>0</v>
      </c>
      <c r="O3572" s="35">
        <v>0</v>
      </c>
      <c r="P3572" s="35">
        <v>0</v>
      </c>
      <c r="Q3572" s="35">
        <v>0</v>
      </c>
      <c r="R3572" s="36">
        <v>0</v>
      </c>
      <c r="S3572" s="50" t="s">
        <v>115</v>
      </c>
      <c r="T3572" s="257">
        <f t="shared" si="117"/>
        <v>3</v>
      </c>
      <c r="U3572" s="257">
        <f t="shared" si="118"/>
        <v>0</v>
      </c>
      <c r="V3572">
        <v>1</v>
      </c>
      <c r="W3572">
        <v>0</v>
      </c>
    </row>
    <row r="3573" spans="1:23" ht="102.6" x14ac:dyDescent="0.3">
      <c r="A3573" s="214">
        <v>44444</v>
      </c>
      <c r="B3573" s="214">
        <v>44445</v>
      </c>
      <c r="C3573" s="6">
        <v>9</v>
      </c>
      <c r="D3573" s="6">
        <v>2</v>
      </c>
      <c r="E3573" s="33">
        <v>2021</v>
      </c>
      <c r="F3573" s="15" t="s">
        <v>22</v>
      </c>
      <c r="G3573" s="18" t="s">
        <v>6256</v>
      </c>
      <c r="H3573" s="9" t="s">
        <v>31</v>
      </c>
      <c r="I3573" s="34" t="s">
        <v>5645</v>
      </c>
      <c r="J3573" s="58" t="s">
        <v>5646</v>
      </c>
      <c r="K3573" s="33">
        <v>0</v>
      </c>
      <c r="L3573" s="236">
        <v>0</v>
      </c>
      <c r="M3573" s="35">
        <v>0</v>
      </c>
      <c r="N3573" s="35">
        <v>0</v>
      </c>
      <c r="O3573" s="35">
        <v>0</v>
      </c>
      <c r="P3573" s="35">
        <v>0</v>
      </c>
      <c r="Q3573" s="35">
        <v>0</v>
      </c>
      <c r="R3573" s="42">
        <v>0</v>
      </c>
      <c r="S3573" s="7" t="s">
        <v>2777</v>
      </c>
      <c r="T3573" s="257">
        <f t="shared" si="117"/>
        <v>0</v>
      </c>
      <c r="U3573" s="257">
        <f t="shared" si="118"/>
        <v>0</v>
      </c>
      <c r="V3573">
        <v>0</v>
      </c>
      <c r="W3573">
        <v>0</v>
      </c>
    </row>
    <row r="3574" spans="1:23" ht="399" x14ac:dyDescent="0.3">
      <c r="A3574" s="214">
        <v>44444</v>
      </c>
      <c r="B3574" s="214">
        <v>44466</v>
      </c>
      <c r="C3574" s="6">
        <v>9</v>
      </c>
      <c r="D3574" s="6">
        <v>23</v>
      </c>
      <c r="E3574" s="33">
        <v>2021</v>
      </c>
      <c r="F3574" s="15" t="s">
        <v>22</v>
      </c>
      <c r="G3574" s="18" t="s">
        <v>6256</v>
      </c>
      <c r="H3574" s="9" t="s">
        <v>46</v>
      </c>
      <c r="I3574" s="34" t="s">
        <v>5647</v>
      </c>
      <c r="J3574" s="58" t="s">
        <v>5648</v>
      </c>
      <c r="K3574" s="33">
        <v>0</v>
      </c>
      <c r="L3574" s="236">
        <v>1763</v>
      </c>
      <c r="M3574" s="35">
        <v>432</v>
      </c>
      <c r="N3574" s="35">
        <v>1</v>
      </c>
      <c r="O3574" s="35">
        <v>0</v>
      </c>
      <c r="P3574" s="35">
        <v>0</v>
      </c>
      <c r="Q3574" s="35">
        <v>0</v>
      </c>
      <c r="R3574" s="42">
        <v>30.060895590000001</v>
      </c>
      <c r="S3574" s="7" t="s">
        <v>5494</v>
      </c>
      <c r="T3574" s="257">
        <f t="shared" si="117"/>
        <v>1763</v>
      </c>
      <c r="U3574" s="257">
        <f t="shared" si="118"/>
        <v>433</v>
      </c>
      <c r="V3574">
        <v>1</v>
      </c>
      <c r="W3574">
        <v>1</v>
      </c>
    </row>
    <row r="3575" spans="1:23" ht="409.6" x14ac:dyDescent="0.3">
      <c r="A3575" s="214">
        <v>44445</v>
      </c>
      <c r="B3575" s="214">
        <v>44445</v>
      </c>
      <c r="C3575" s="6">
        <v>9</v>
      </c>
      <c r="D3575" s="6">
        <v>1</v>
      </c>
      <c r="E3575" s="33">
        <v>2021</v>
      </c>
      <c r="F3575" s="15" t="s">
        <v>22</v>
      </c>
      <c r="G3575" s="18" t="s">
        <v>6256</v>
      </c>
      <c r="H3575" s="9" t="s">
        <v>43</v>
      </c>
      <c r="I3575" s="34" t="s">
        <v>5649</v>
      </c>
      <c r="J3575" s="58" t="s">
        <v>5650</v>
      </c>
      <c r="K3575" s="33">
        <v>2</v>
      </c>
      <c r="L3575" s="236">
        <v>4941</v>
      </c>
      <c r="M3575" s="41">
        <v>1205</v>
      </c>
      <c r="N3575" s="35">
        <v>1</v>
      </c>
      <c r="O3575" s="35">
        <v>2</v>
      </c>
      <c r="P3575" s="35">
        <v>1</v>
      </c>
      <c r="Q3575" s="35">
        <v>0</v>
      </c>
      <c r="R3575" s="42">
        <v>0.80375006250000003</v>
      </c>
      <c r="S3575" s="7" t="s">
        <v>2777</v>
      </c>
      <c r="T3575" s="257">
        <f t="shared" si="117"/>
        <v>4943</v>
      </c>
      <c r="U3575" s="257">
        <f t="shared" si="118"/>
        <v>1209</v>
      </c>
      <c r="V3575">
        <v>1</v>
      </c>
      <c r="W3575">
        <v>2</v>
      </c>
    </row>
    <row r="3576" spans="1:23" ht="409.6" x14ac:dyDescent="0.3">
      <c r="A3576" s="214">
        <v>44445</v>
      </c>
      <c r="B3576" s="214">
        <v>44447</v>
      </c>
      <c r="C3576" s="6">
        <v>9</v>
      </c>
      <c r="D3576" s="6">
        <v>3</v>
      </c>
      <c r="E3576" s="33">
        <v>2021</v>
      </c>
      <c r="F3576" s="15" t="s">
        <v>22</v>
      </c>
      <c r="G3576" s="18" t="s">
        <v>6256</v>
      </c>
      <c r="H3576" s="9" t="s">
        <v>121</v>
      </c>
      <c r="I3576" s="34" t="s">
        <v>5651</v>
      </c>
      <c r="J3576" s="58" t="s">
        <v>5652</v>
      </c>
      <c r="K3576" s="33">
        <v>0</v>
      </c>
      <c r="L3576" s="236">
        <v>14722</v>
      </c>
      <c r="M3576" s="41">
        <f>2000+950+2899</f>
        <v>5849</v>
      </c>
      <c r="N3576" s="35">
        <v>0</v>
      </c>
      <c r="O3576" s="35">
        <v>0</v>
      </c>
      <c r="P3576" s="35">
        <v>0</v>
      </c>
      <c r="Q3576" s="35">
        <v>0</v>
      </c>
      <c r="R3576" s="42">
        <v>954.90820829999996</v>
      </c>
      <c r="S3576" s="7" t="s">
        <v>5653</v>
      </c>
      <c r="T3576" s="257">
        <f t="shared" si="117"/>
        <v>14722</v>
      </c>
      <c r="U3576" s="257">
        <f t="shared" si="118"/>
        <v>5849</v>
      </c>
      <c r="V3576">
        <v>2</v>
      </c>
      <c r="W3576">
        <v>2</v>
      </c>
    </row>
    <row r="3577" spans="1:23" ht="22.8" x14ac:dyDescent="0.3">
      <c r="A3577" s="229">
        <v>42005</v>
      </c>
      <c r="B3577" s="229">
        <v>42369</v>
      </c>
      <c r="C3577" s="6">
        <v>1</v>
      </c>
      <c r="D3577" s="6">
        <v>365</v>
      </c>
      <c r="E3577" s="54">
        <v>2015</v>
      </c>
      <c r="F3577" s="15" t="s">
        <v>22</v>
      </c>
      <c r="G3577" s="9" t="s">
        <v>6258</v>
      </c>
      <c r="H3577" s="9" t="s">
        <v>48</v>
      </c>
      <c r="I3577" s="20" t="s">
        <v>25</v>
      </c>
      <c r="J3577" s="127" t="s">
        <v>4190</v>
      </c>
      <c r="K3577" s="151">
        <v>0</v>
      </c>
      <c r="L3577" s="233">
        <v>1</v>
      </c>
      <c r="M3577" s="13">
        <v>0</v>
      </c>
      <c r="N3577" s="13">
        <v>0</v>
      </c>
      <c r="O3577" s="13">
        <v>0</v>
      </c>
      <c r="P3577" s="13">
        <v>0</v>
      </c>
      <c r="Q3577" s="13">
        <v>0</v>
      </c>
      <c r="R3577" s="26">
        <v>0</v>
      </c>
      <c r="S3577" s="54" t="s">
        <v>1219</v>
      </c>
      <c r="T3577" s="257">
        <f t="shared" si="117"/>
        <v>1</v>
      </c>
      <c r="U3577" s="257">
        <f t="shared" si="118"/>
        <v>0</v>
      </c>
      <c r="V3577">
        <v>1</v>
      </c>
      <c r="W3577">
        <v>0</v>
      </c>
    </row>
    <row r="3578" spans="1:23" ht="22.8" x14ac:dyDescent="0.3">
      <c r="A3578" s="214">
        <v>44446</v>
      </c>
      <c r="B3578" s="214">
        <v>44446</v>
      </c>
      <c r="C3578" s="6">
        <v>9</v>
      </c>
      <c r="D3578" s="6">
        <v>1</v>
      </c>
      <c r="E3578" s="33">
        <v>2021</v>
      </c>
      <c r="F3578" s="7" t="s">
        <v>17</v>
      </c>
      <c r="G3578" s="16" t="s">
        <v>6260</v>
      </c>
      <c r="H3578" s="9" t="s">
        <v>118</v>
      </c>
      <c r="I3578" s="34"/>
      <c r="J3578" s="58" t="s">
        <v>5654</v>
      </c>
      <c r="K3578" s="33">
        <v>0</v>
      </c>
      <c r="L3578" s="236">
        <v>0</v>
      </c>
      <c r="M3578" s="35">
        <v>0</v>
      </c>
      <c r="N3578" s="35">
        <v>0</v>
      </c>
      <c r="O3578" s="35">
        <v>0</v>
      </c>
      <c r="P3578" s="35">
        <v>0</v>
      </c>
      <c r="Q3578" s="35">
        <v>0</v>
      </c>
      <c r="R3578" s="42">
        <v>0.21181050000000001</v>
      </c>
      <c r="S3578" s="7" t="s">
        <v>2777</v>
      </c>
      <c r="T3578" s="257">
        <f t="shared" si="117"/>
        <v>0</v>
      </c>
      <c r="U3578" s="257">
        <f t="shared" si="118"/>
        <v>0</v>
      </c>
      <c r="V3578">
        <v>0</v>
      </c>
      <c r="W3578">
        <v>0</v>
      </c>
    </row>
    <row r="3579" spans="1:23" ht="125.4" x14ac:dyDescent="0.3">
      <c r="A3579" s="214">
        <v>44446</v>
      </c>
      <c r="B3579" s="214">
        <v>44446</v>
      </c>
      <c r="C3579" s="6">
        <v>9</v>
      </c>
      <c r="D3579" s="6">
        <v>1</v>
      </c>
      <c r="E3579" s="33">
        <v>2021</v>
      </c>
      <c r="F3579" s="7" t="s">
        <v>17</v>
      </c>
      <c r="G3579" s="16" t="s">
        <v>6260</v>
      </c>
      <c r="H3579" s="9" t="s">
        <v>43</v>
      </c>
      <c r="I3579" s="34" t="s">
        <v>5655</v>
      </c>
      <c r="J3579" s="58" t="s">
        <v>5656</v>
      </c>
      <c r="K3579" s="33">
        <v>0</v>
      </c>
      <c r="L3579" s="236">
        <v>13</v>
      </c>
      <c r="M3579" s="35">
        <v>3</v>
      </c>
      <c r="N3579" s="35">
        <v>0</v>
      </c>
      <c r="O3579" s="35">
        <v>0</v>
      </c>
      <c r="P3579" s="35">
        <v>0</v>
      </c>
      <c r="Q3579" s="35">
        <v>0</v>
      </c>
      <c r="R3579" s="42">
        <v>0.12983905000000001</v>
      </c>
      <c r="S3579" s="7" t="s">
        <v>2777</v>
      </c>
      <c r="T3579" s="257">
        <f t="shared" si="117"/>
        <v>13</v>
      </c>
      <c r="U3579" s="257">
        <f t="shared" si="118"/>
        <v>3</v>
      </c>
      <c r="V3579">
        <v>1</v>
      </c>
      <c r="W3579">
        <v>1</v>
      </c>
    </row>
    <row r="3580" spans="1:23" ht="68.400000000000006" x14ac:dyDescent="0.3">
      <c r="A3580" s="214">
        <v>44446</v>
      </c>
      <c r="B3580" s="214">
        <v>44446</v>
      </c>
      <c r="C3580" s="6">
        <v>9</v>
      </c>
      <c r="D3580" s="6">
        <v>1</v>
      </c>
      <c r="E3580" s="33">
        <v>2021</v>
      </c>
      <c r="F3580" s="7" t="s">
        <v>17</v>
      </c>
      <c r="G3580" s="16" t="s">
        <v>6260</v>
      </c>
      <c r="H3580" s="9" t="s">
        <v>52</v>
      </c>
      <c r="I3580" s="34" t="s">
        <v>5657</v>
      </c>
      <c r="J3580" s="58" t="s">
        <v>5658</v>
      </c>
      <c r="K3580" s="33">
        <v>0</v>
      </c>
      <c r="L3580" s="236">
        <v>4</v>
      </c>
      <c r="M3580" s="35">
        <v>1</v>
      </c>
      <c r="N3580" s="35">
        <v>0</v>
      </c>
      <c r="O3580" s="35">
        <v>0</v>
      </c>
      <c r="P3580" s="35">
        <v>0</v>
      </c>
      <c r="Q3580" s="35">
        <v>0</v>
      </c>
      <c r="R3580" s="42">
        <v>3.5574000000000008E-2</v>
      </c>
      <c r="S3580" s="7" t="s">
        <v>2777</v>
      </c>
      <c r="T3580" s="257">
        <f t="shared" si="117"/>
        <v>4</v>
      </c>
      <c r="U3580" s="257">
        <f t="shared" si="118"/>
        <v>1</v>
      </c>
      <c r="V3580">
        <v>1</v>
      </c>
      <c r="W3580">
        <v>1</v>
      </c>
    </row>
    <row r="3581" spans="1:23" ht="114" x14ac:dyDescent="0.3">
      <c r="A3581" s="214">
        <v>44446</v>
      </c>
      <c r="B3581" s="214">
        <v>44446</v>
      </c>
      <c r="C3581" s="6">
        <v>9</v>
      </c>
      <c r="D3581" s="6">
        <v>1</v>
      </c>
      <c r="E3581" s="33">
        <v>2021</v>
      </c>
      <c r="F3581" s="7" t="s">
        <v>17</v>
      </c>
      <c r="G3581" s="16" t="s">
        <v>6260</v>
      </c>
      <c r="H3581" s="9" t="s">
        <v>64</v>
      </c>
      <c r="I3581" s="34" t="s">
        <v>5659</v>
      </c>
      <c r="J3581" s="58" t="s">
        <v>5660</v>
      </c>
      <c r="K3581" s="33">
        <v>0</v>
      </c>
      <c r="L3581" s="236">
        <v>0</v>
      </c>
      <c r="M3581" s="35">
        <v>0</v>
      </c>
      <c r="N3581" s="35">
        <v>0</v>
      </c>
      <c r="O3581" s="35">
        <v>2</v>
      </c>
      <c r="P3581" s="35">
        <v>0</v>
      </c>
      <c r="Q3581" s="35">
        <v>0</v>
      </c>
      <c r="R3581" s="42">
        <v>0</v>
      </c>
      <c r="S3581" s="7" t="s">
        <v>2777</v>
      </c>
      <c r="T3581" s="257">
        <f t="shared" si="117"/>
        <v>0</v>
      </c>
      <c r="U3581" s="257">
        <f t="shared" si="118"/>
        <v>2</v>
      </c>
      <c r="V3581">
        <v>0</v>
      </c>
      <c r="W3581">
        <v>1</v>
      </c>
    </row>
    <row r="3582" spans="1:23" ht="148.19999999999999" x14ac:dyDescent="0.3">
      <c r="A3582" s="214">
        <v>44446</v>
      </c>
      <c r="B3582" s="214">
        <v>44447</v>
      </c>
      <c r="C3582" s="6">
        <v>9</v>
      </c>
      <c r="D3582" s="6">
        <v>2</v>
      </c>
      <c r="E3582" s="33">
        <v>2021</v>
      </c>
      <c r="F3582" s="15" t="s">
        <v>22</v>
      </c>
      <c r="G3582" s="18" t="s">
        <v>6256</v>
      </c>
      <c r="H3582" s="9" t="s">
        <v>66</v>
      </c>
      <c r="I3582" s="34" t="s">
        <v>5661</v>
      </c>
      <c r="J3582" s="58" t="s">
        <v>5662</v>
      </c>
      <c r="K3582" s="33">
        <v>1</v>
      </c>
      <c r="L3582" s="236">
        <v>30</v>
      </c>
      <c r="M3582" s="35">
        <v>7</v>
      </c>
      <c r="N3582" s="35">
        <v>0</v>
      </c>
      <c r="O3582" s="35">
        <v>0</v>
      </c>
      <c r="P3582" s="35">
        <v>0</v>
      </c>
      <c r="Q3582" s="35">
        <v>0</v>
      </c>
      <c r="R3582" s="42">
        <v>0.11581817500000002</v>
      </c>
      <c r="S3582" s="7" t="s">
        <v>2777</v>
      </c>
      <c r="T3582" s="257">
        <f t="shared" si="117"/>
        <v>31</v>
      </c>
      <c r="U3582" s="257">
        <f t="shared" si="118"/>
        <v>7</v>
      </c>
      <c r="V3582">
        <v>1</v>
      </c>
      <c r="W3582">
        <v>1</v>
      </c>
    </row>
    <row r="3583" spans="1:23" ht="45.6" x14ac:dyDescent="0.3">
      <c r="A3583" s="214">
        <v>44448</v>
      </c>
      <c r="B3583" s="214">
        <v>44448</v>
      </c>
      <c r="C3583" s="6">
        <v>9</v>
      </c>
      <c r="D3583" s="6">
        <v>1</v>
      </c>
      <c r="E3583" s="33">
        <v>2021</v>
      </c>
      <c r="F3583" s="15" t="s">
        <v>22</v>
      </c>
      <c r="G3583" s="18" t="s">
        <v>6256</v>
      </c>
      <c r="H3583" s="9" t="s">
        <v>64</v>
      </c>
      <c r="I3583" s="34" t="s">
        <v>64</v>
      </c>
      <c r="J3583" s="58" t="s">
        <v>5663</v>
      </c>
      <c r="K3583" s="33">
        <v>0</v>
      </c>
      <c r="L3583" s="236">
        <v>160</v>
      </c>
      <c r="M3583" s="35">
        <v>40</v>
      </c>
      <c r="N3583" s="35">
        <v>0</v>
      </c>
      <c r="O3583" s="35">
        <v>0</v>
      </c>
      <c r="P3583" s="35">
        <v>0</v>
      </c>
      <c r="Q3583" s="35">
        <v>0</v>
      </c>
      <c r="R3583" s="42">
        <v>5.3360999999999999E-2</v>
      </c>
      <c r="S3583" s="7" t="s">
        <v>2777</v>
      </c>
      <c r="T3583" s="257">
        <f t="shared" si="117"/>
        <v>160</v>
      </c>
      <c r="U3583" s="257">
        <f t="shared" si="118"/>
        <v>40</v>
      </c>
      <c r="V3583">
        <v>1</v>
      </c>
      <c r="W3583">
        <v>1</v>
      </c>
    </row>
    <row r="3584" spans="1:23" ht="136.80000000000001" x14ac:dyDescent="0.3">
      <c r="A3584" s="214">
        <v>44448</v>
      </c>
      <c r="B3584" s="214">
        <v>44448</v>
      </c>
      <c r="C3584" s="6">
        <v>9</v>
      </c>
      <c r="D3584" s="6">
        <v>1</v>
      </c>
      <c r="E3584" s="33">
        <v>2021</v>
      </c>
      <c r="F3584" s="7" t="s">
        <v>17</v>
      </c>
      <c r="G3584" s="8" t="s">
        <v>6261</v>
      </c>
      <c r="H3584" s="9" t="s">
        <v>61</v>
      </c>
      <c r="I3584" s="34" t="s">
        <v>61</v>
      </c>
      <c r="J3584" s="58" t="s">
        <v>5664</v>
      </c>
      <c r="K3584" s="33">
        <v>0</v>
      </c>
      <c r="L3584" s="236">
        <v>4</v>
      </c>
      <c r="M3584" s="35">
        <v>1</v>
      </c>
      <c r="N3584" s="35">
        <v>0</v>
      </c>
      <c r="O3584" s="35">
        <v>0</v>
      </c>
      <c r="P3584" s="35">
        <v>0</v>
      </c>
      <c r="Q3584" s="35">
        <v>0</v>
      </c>
      <c r="R3584" s="42">
        <v>6.9877500000000018E-3</v>
      </c>
      <c r="S3584" s="7" t="s">
        <v>2777</v>
      </c>
      <c r="T3584" s="257">
        <f t="shared" si="117"/>
        <v>4</v>
      </c>
      <c r="U3584" s="257">
        <f t="shared" si="118"/>
        <v>1</v>
      </c>
      <c r="V3584">
        <v>1</v>
      </c>
      <c r="W3584">
        <v>1</v>
      </c>
    </row>
    <row r="3585" spans="1:23" ht="22.8" x14ac:dyDescent="0.3">
      <c r="A3585" s="214">
        <v>44448</v>
      </c>
      <c r="B3585" s="214">
        <v>44449</v>
      </c>
      <c r="C3585" s="6">
        <v>9</v>
      </c>
      <c r="D3585" s="6">
        <v>2</v>
      </c>
      <c r="E3585" s="33">
        <v>2021</v>
      </c>
      <c r="F3585" s="15" t="s">
        <v>22</v>
      </c>
      <c r="G3585" s="16" t="s">
        <v>6254</v>
      </c>
      <c r="H3585" s="9" t="s">
        <v>28</v>
      </c>
      <c r="I3585" s="34" t="s">
        <v>5665</v>
      </c>
      <c r="J3585" s="58" t="s">
        <v>5666</v>
      </c>
      <c r="K3585" s="33">
        <v>0</v>
      </c>
      <c r="L3585" s="236">
        <v>8037</v>
      </c>
      <c r="M3585" s="35">
        <v>0</v>
      </c>
      <c r="N3585" s="35">
        <v>0</v>
      </c>
      <c r="O3585" s="35">
        <v>0</v>
      </c>
      <c r="P3585" s="35">
        <v>0</v>
      </c>
      <c r="Q3585" s="35">
        <v>0</v>
      </c>
      <c r="R3585" s="42">
        <v>380.60352683999997</v>
      </c>
      <c r="S3585" s="7" t="s">
        <v>296</v>
      </c>
      <c r="T3585" s="257">
        <f t="shared" si="117"/>
        <v>8037</v>
      </c>
      <c r="U3585" s="257">
        <f t="shared" si="118"/>
        <v>0</v>
      </c>
      <c r="V3585">
        <v>1</v>
      </c>
      <c r="W3585">
        <v>0</v>
      </c>
    </row>
    <row r="3586" spans="1:23" ht="228" x14ac:dyDescent="0.3">
      <c r="A3586" s="214">
        <v>44449</v>
      </c>
      <c r="B3586" s="214">
        <v>44449</v>
      </c>
      <c r="C3586" s="6">
        <v>9</v>
      </c>
      <c r="D3586" s="6">
        <v>1</v>
      </c>
      <c r="E3586" s="33">
        <v>2021</v>
      </c>
      <c r="F3586" s="7" t="s">
        <v>17</v>
      </c>
      <c r="G3586" s="8" t="s">
        <v>6261</v>
      </c>
      <c r="H3586" s="9" t="s">
        <v>43</v>
      </c>
      <c r="I3586" s="34" t="s">
        <v>3449</v>
      </c>
      <c r="J3586" s="58" t="s">
        <v>5667</v>
      </c>
      <c r="K3586" s="33">
        <v>4</v>
      </c>
      <c r="L3586" s="236">
        <v>564</v>
      </c>
      <c r="M3586" s="35">
        <v>3</v>
      </c>
      <c r="N3586" s="35">
        <v>0</v>
      </c>
      <c r="O3586" s="35">
        <v>0</v>
      </c>
      <c r="P3586" s="35">
        <v>0</v>
      </c>
      <c r="Q3586" s="35">
        <v>0</v>
      </c>
      <c r="R3586" s="42">
        <v>0.57075390000000004</v>
      </c>
      <c r="S3586" s="7" t="s">
        <v>2777</v>
      </c>
      <c r="T3586" s="257">
        <f t="shared" si="117"/>
        <v>568</v>
      </c>
      <c r="U3586" s="257">
        <f t="shared" si="118"/>
        <v>3</v>
      </c>
      <c r="V3586">
        <v>1</v>
      </c>
      <c r="W3586">
        <v>1</v>
      </c>
    </row>
    <row r="3587" spans="1:23" ht="342" x14ac:dyDescent="0.3">
      <c r="A3587" s="214">
        <v>44450</v>
      </c>
      <c r="B3587" s="214">
        <v>44452</v>
      </c>
      <c r="C3587" s="6">
        <v>9</v>
      </c>
      <c r="D3587" s="6">
        <v>3</v>
      </c>
      <c r="E3587" s="33">
        <v>2021</v>
      </c>
      <c r="F3587" s="15" t="s">
        <v>22</v>
      </c>
      <c r="G3587" s="18" t="s">
        <v>6256</v>
      </c>
      <c r="H3587" s="9" t="s">
        <v>61</v>
      </c>
      <c r="I3587" s="34" t="s">
        <v>5668</v>
      </c>
      <c r="J3587" s="58" t="s">
        <v>5669</v>
      </c>
      <c r="K3587" s="33">
        <v>0</v>
      </c>
      <c r="L3587" s="236">
        <v>299</v>
      </c>
      <c r="M3587" s="35">
        <v>9</v>
      </c>
      <c r="N3587" s="35">
        <v>0</v>
      </c>
      <c r="O3587" s="35">
        <v>0</v>
      </c>
      <c r="P3587" s="35">
        <v>0</v>
      </c>
      <c r="Q3587" s="35">
        <v>0</v>
      </c>
      <c r="R3587" s="42">
        <v>9.1764810000000008</v>
      </c>
      <c r="S3587" s="7" t="s">
        <v>5529</v>
      </c>
      <c r="T3587" s="257">
        <f t="shared" ref="T3587:T3650" si="119">SUM(K3587:L3587)</f>
        <v>299</v>
      </c>
      <c r="U3587" s="257">
        <f t="shared" ref="U3587:U3650" si="120">SUM(M3587:P3587)</f>
        <v>9</v>
      </c>
      <c r="V3587">
        <v>1</v>
      </c>
      <c r="W3587">
        <v>1</v>
      </c>
    </row>
    <row r="3588" spans="1:23" ht="399" x14ac:dyDescent="0.3">
      <c r="A3588" s="214">
        <v>44450</v>
      </c>
      <c r="B3588" s="214">
        <v>44454</v>
      </c>
      <c r="C3588" s="6">
        <v>9</v>
      </c>
      <c r="D3588" s="6">
        <v>5</v>
      </c>
      <c r="E3588" s="33">
        <v>2021</v>
      </c>
      <c r="F3588" s="15" t="s">
        <v>22</v>
      </c>
      <c r="G3588" s="16" t="s">
        <v>6254</v>
      </c>
      <c r="H3588" s="9" t="s">
        <v>174</v>
      </c>
      <c r="I3588" s="34" t="s">
        <v>5670</v>
      </c>
      <c r="J3588" s="58" t="s">
        <v>5671</v>
      </c>
      <c r="K3588" s="33">
        <v>0</v>
      </c>
      <c r="L3588" s="236">
        <v>4086</v>
      </c>
      <c r="M3588" s="35">
        <v>1021</v>
      </c>
      <c r="N3588" s="35">
        <v>1</v>
      </c>
      <c r="O3588" s="35">
        <v>0</v>
      </c>
      <c r="P3588" s="35">
        <v>0</v>
      </c>
      <c r="Q3588" s="35">
        <v>0</v>
      </c>
      <c r="R3588" s="42">
        <v>2.4267744874999999</v>
      </c>
      <c r="S3588" s="7" t="s">
        <v>2777</v>
      </c>
      <c r="T3588" s="257">
        <f t="shared" si="119"/>
        <v>4086</v>
      </c>
      <c r="U3588" s="257">
        <f t="shared" si="120"/>
        <v>1022</v>
      </c>
      <c r="V3588">
        <v>1</v>
      </c>
      <c r="W3588">
        <v>2</v>
      </c>
    </row>
    <row r="3589" spans="1:23" ht="45.6" x14ac:dyDescent="0.3">
      <c r="A3589" s="214">
        <v>44451</v>
      </c>
      <c r="B3589" s="214">
        <v>44451</v>
      </c>
      <c r="C3589" s="6">
        <v>9</v>
      </c>
      <c r="D3589" s="6">
        <v>1</v>
      </c>
      <c r="E3589" s="33">
        <v>2021</v>
      </c>
      <c r="F3589" s="15" t="s">
        <v>22</v>
      </c>
      <c r="G3589" s="18" t="s">
        <v>6256</v>
      </c>
      <c r="H3589" s="9" t="s">
        <v>174</v>
      </c>
      <c r="I3589" s="34" t="s">
        <v>1020</v>
      </c>
      <c r="J3589" s="58" t="s">
        <v>5672</v>
      </c>
      <c r="K3589" s="33">
        <v>0</v>
      </c>
      <c r="L3589" s="236">
        <v>80</v>
      </c>
      <c r="M3589" s="35">
        <v>20</v>
      </c>
      <c r="N3589" s="35">
        <v>0</v>
      </c>
      <c r="O3589" s="35">
        <v>0</v>
      </c>
      <c r="P3589" s="35">
        <v>0</v>
      </c>
      <c r="Q3589" s="35">
        <v>0</v>
      </c>
      <c r="R3589" s="42">
        <v>2.6680499999999999E-2</v>
      </c>
      <c r="S3589" s="7" t="s">
        <v>2777</v>
      </c>
      <c r="T3589" s="257">
        <f t="shared" si="119"/>
        <v>80</v>
      </c>
      <c r="U3589" s="257">
        <f t="shared" si="120"/>
        <v>20</v>
      </c>
      <c r="V3589">
        <v>1</v>
      </c>
      <c r="W3589">
        <v>1</v>
      </c>
    </row>
    <row r="3590" spans="1:23" ht="171" x14ac:dyDescent="0.3">
      <c r="A3590" s="214">
        <v>44451</v>
      </c>
      <c r="B3590" s="214">
        <v>44452</v>
      </c>
      <c r="C3590" s="6">
        <v>9</v>
      </c>
      <c r="D3590" s="6">
        <v>2</v>
      </c>
      <c r="E3590" s="33">
        <v>2021</v>
      </c>
      <c r="F3590" s="15" t="s">
        <v>22</v>
      </c>
      <c r="G3590" s="18" t="s">
        <v>6256</v>
      </c>
      <c r="H3590" s="9" t="s">
        <v>55</v>
      </c>
      <c r="I3590" s="34" t="s">
        <v>5673</v>
      </c>
      <c r="J3590" s="58" t="s">
        <v>5674</v>
      </c>
      <c r="K3590" s="33">
        <v>0</v>
      </c>
      <c r="L3590" s="236">
        <v>21</v>
      </c>
      <c r="M3590" s="35">
        <v>5</v>
      </c>
      <c r="N3590" s="35">
        <v>0</v>
      </c>
      <c r="O3590" s="35">
        <v>0</v>
      </c>
      <c r="P3590" s="35">
        <v>0</v>
      </c>
      <c r="Q3590" s="35">
        <v>0</v>
      </c>
      <c r="R3590" s="42">
        <v>0.11315012500000002</v>
      </c>
      <c r="S3590" s="7" t="s">
        <v>2777</v>
      </c>
      <c r="T3590" s="257">
        <f t="shared" si="119"/>
        <v>21</v>
      </c>
      <c r="U3590" s="257">
        <f t="shared" si="120"/>
        <v>5</v>
      </c>
      <c r="V3590">
        <v>1</v>
      </c>
      <c r="W3590">
        <v>1</v>
      </c>
    </row>
    <row r="3591" spans="1:23" ht="114" x14ac:dyDescent="0.3">
      <c r="A3591" s="214">
        <v>44451</v>
      </c>
      <c r="B3591" s="214">
        <v>44452</v>
      </c>
      <c r="C3591" s="6">
        <v>9</v>
      </c>
      <c r="D3591" s="6">
        <v>2</v>
      </c>
      <c r="E3591" s="33">
        <v>2021</v>
      </c>
      <c r="F3591" s="15" t="s">
        <v>22</v>
      </c>
      <c r="G3591" s="18" t="s">
        <v>6256</v>
      </c>
      <c r="H3591" s="9" t="s">
        <v>55</v>
      </c>
      <c r="I3591" s="34" t="s">
        <v>5675</v>
      </c>
      <c r="J3591" s="58" t="s">
        <v>5676</v>
      </c>
      <c r="K3591" s="33">
        <v>0</v>
      </c>
      <c r="L3591" s="236">
        <v>243</v>
      </c>
      <c r="M3591" s="35">
        <v>58</v>
      </c>
      <c r="N3591" s="35">
        <v>0</v>
      </c>
      <c r="O3591" s="35">
        <v>0</v>
      </c>
      <c r="P3591" s="35">
        <v>0</v>
      </c>
      <c r="Q3591" s="35">
        <v>0</v>
      </c>
      <c r="R3591" s="42">
        <v>0.93160925000000017</v>
      </c>
      <c r="S3591" s="7" t="s">
        <v>2777</v>
      </c>
      <c r="T3591" s="257">
        <f t="shared" si="119"/>
        <v>243</v>
      </c>
      <c r="U3591" s="257">
        <f t="shared" si="120"/>
        <v>58</v>
      </c>
      <c r="V3591">
        <v>1</v>
      </c>
      <c r="W3591">
        <v>1</v>
      </c>
    </row>
    <row r="3592" spans="1:23" ht="91.2" x14ac:dyDescent="0.3">
      <c r="A3592" s="214">
        <v>44451</v>
      </c>
      <c r="B3592" s="214">
        <v>44452</v>
      </c>
      <c r="C3592" s="6">
        <v>9</v>
      </c>
      <c r="D3592" s="6">
        <v>2</v>
      </c>
      <c r="E3592" s="33">
        <v>2021</v>
      </c>
      <c r="F3592" s="7" t="s">
        <v>17</v>
      </c>
      <c r="G3592" s="8" t="s">
        <v>6261</v>
      </c>
      <c r="H3592" s="9" t="s">
        <v>31</v>
      </c>
      <c r="I3592" s="34" t="s">
        <v>5677</v>
      </c>
      <c r="J3592" s="58" t="s">
        <v>5678</v>
      </c>
      <c r="K3592" s="33">
        <v>1</v>
      </c>
      <c r="L3592" s="236">
        <v>2</v>
      </c>
      <c r="M3592" s="35">
        <v>2</v>
      </c>
      <c r="N3592" s="35">
        <v>0</v>
      </c>
      <c r="O3592" s="35">
        <v>0</v>
      </c>
      <c r="P3592" s="35">
        <v>0</v>
      </c>
      <c r="Q3592" s="35">
        <v>0</v>
      </c>
      <c r="R3592" s="42">
        <v>0.3061179</v>
      </c>
      <c r="S3592" s="7" t="s">
        <v>2777</v>
      </c>
      <c r="T3592" s="257">
        <f t="shared" si="119"/>
        <v>3</v>
      </c>
      <c r="U3592" s="257">
        <f t="shared" si="120"/>
        <v>2</v>
      </c>
      <c r="V3592">
        <v>1</v>
      </c>
      <c r="W3592">
        <v>1</v>
      </c>
    </row>
    <row r="3593" spans="1:23" ht="68.400000000000006" x14ac:dyDescent="0.3">
      <c r="A3593" s="214">
        <v>43011</v>
      </c>
      <c r="B3593" s="214">
        <v>43011</v>
      </c>
      <c r="C3593" s="6">
        <v>10</v>
      </c>
      <c r="D3593" s="6">
        <v>1</v>
      </c>
      <c r="E3593" s="33">
        <v>2017</v>
      </c>
      <c r="F3593" s="7" t="s">
        <v>17</v>
      </c>
      <c r="G3593" s="28" t="s">
        <v>6261</v>
      </c>
      <c r="H3593" s="9" t="s">
        <v>48</v>
      </c>
      <c r="I3593" s="34" t="s">
        <v>1259</v>
      </c>
      <c r="J3593" s="34" t="s">
        <v>5679</v>
      </c>
      <c r="K3593" s="33">
        <v>2</v>
      </c>
      <c r="L3593" s="236">
        <v>13</v>
      </c>
      <c r="M3593" s="35">
        <v>0</v>
      </c>
      <c r="N3593" s="35">
        <v>0</v>
      </c>
      <c r="O3593" s="35">
        <v>0</v>
      </c>
      <c r="P3593" s="35">
        <v>0</v>
      </c>
      <c r="Q3593" s="35">
        <v>0</v>
      </c>
      <c r="R3593" s="36">
        <v>0</v>
      </c>
      <c r="S3593" s="7" t="s">
        <v>115</v>
      </c>
      <c r="T3593" s="257">
        <f t="shared" si="119"/>
        <v>15</v>
      </c>
      <c r="U3593" s="257">
        <f t="shared" si="120"/>
        <v>0</v>
      </c>
      <c r="V3593">
        <v>1</v>
      </c>
      <c r="W3593">
        <v>0</v>
      </c>
    </row>
    <row r="3594" spans="1:23" ht="79.8" x14ac:dyDescent="0.3">
      <c r="A3594" s="214">
        <v>44454</v>
      </c>
      <c r="B3594" s="214">
        <v>44454</v>
      </c>
      <c r="C3594" s="6">
        <v>9</v>
      </c>
      <c r="D3594" s="6">
        <v>1</v>
      </c>
      <c r="E3594" s="33">
        <v>2021</v>
      </c>
      <c r="F3594" s="15" t="s">
        <v>22</v>
      </c>
      <c r="G3594" s="16" t="s">
        <v>6256</v>
      </c>
      <c r="H3594" s="9" t="s">
        <v>31</v>
      </c>
      <c r="I3594" s="34" t="s">
        <v>1041</v>
      </c>
      <c r="J3594" s="58" t="s">
        <v>5680</v>
      </c>
      <c r="K3594" s="33">
        <v>0</v>
      </c>
      <c r="L3594" s="236">
        <v>48</v>
      </c>
      <c r="M3594" s="35">
        <v>12</v>
      </c>
      <c r="N3594" s="35">
        <v>0</v>
      </c>
      <c r="O3594" s="35">
        <v>0</v>
      </c>
      <c r="P3594" s="35">
        <v>0</v>
      </c>
      <c r="Q3594" s="35">
        <v>0</v>
      </c>
      <c r="R3594" s="42">
        <v>1.60083E-2</v>
      </c>
      <c r="S3594" s="7" t="s">
        <v>2777</v>
      </c>
      <c r="T3594" s="257">
        <f t="shared" si="119"/>
        <v>48</v>
      </c>
      <c r="U3594" s="257">
        <f t="shared" si="120"/>
        <v>12</v>
      </c>
      <c r="V3594">
        <v>1</v>
      </c>
      <c r="W3594">
        <v>1</v>
      </c>
    </row>
    <row r="3595" spans="1:23" x14ac:dyDescent="0.3">
      <c r="A3595" s="214">
        <v>44455</v>
      </c>
      <c r="B3595" s="214">
        <v>44456</v>
      </c>
      <c r="C3595" s="6">
        <v>9</v>
      </c>
      <c r="D3595" s="6">
        <v>2</v>
      </c>
      <c r="E3595" s="33">
        <v>2021</v>
      </c>
      <c r="F3595" s="15" t="s">
        <v>22</v>
      </c>
      <c r="G3595" s="18" t="s">
        <v>6256</v>
      </c>
      <c r="H3595" s="9" t="s">
        <v>88</v>
      </c>
      <c r="I3595" s="51" t="s">
        <v>5681</v>
      </c>
      <c r="J3595" s="58" t="s">
        <v>5682</v>
      </c>
      <c r="K3595" s="33">
        <v>0</v>
      </c>
      <c r="L3595" s="236">
        <v>1271</v>
      </c>
      <c r="M3595" s="35">
        <v>0</v>
      </c>
      <c r="N3595" s="35">
        <v>0</v>
      </c>
      <c r="O3595" s="35">
        <v>0</v>
      </c>
      <c r="P3595" s="35">
        <v>0</v>
      </c>
      <c r="Q3595" s="35">
        <v>0</v>
      </c>
      <c r="R3595" s="42">
        <v>127.67250279000001</v>
      </c>
      <c r="S3595" s="7" t="s">
        <v>296</v>
      </c>
      <c r="T3595" s="257">
        <f t="shared" si="119"/>
        <v>1271</v>
      </c>
      <c r="U3595" s="257">
        <f t="shared" si="120"/>
        <v>0</v>
      </c>
      <c r="V3595">
        <v>1</v>
      </c>
      <c r="W3595">
        <v>0</v>
      </c>
    </row>
    <row r="3596" spans="1:23" ht="91.2" x14ac:dyDescent="0.3">
      <c r="A3596" s="214">
        <v>44455</v>
      </c>
      <c r="B3596" s="214">
        <v>44457</v>
      </c>
      <c r="C3596" s="6">
        <v>9</v>
      </c>
      <c r="D3596" s="6">
        <v>3</v>
      </c>
      <c r="E3596" s="33">
        <v>2021</v>
      </c>
      <c r="F3596" s="7" t="s">
        <v>17</v>
      </c>
      <c r="G3596" s="8" t="s">
        <v>6261</v>
      </c>
      <c r="H3596" s="9" t="s">
        <v>39</v>
      </c>
      <c r="I3596" s="34" t="s">
        <v>2918</v>
      </c>
      <c r="J3596" s="58" t="s">
        <v>5683</v>
      </c>
      <c r="K3596" s="33">
        <v>3</v>
      </c>
      <c r="L3596" s="236">
        <v>4</v>
      </c>
      <c r="M3596" s="35">
        <v>0</v>
      </c>
      <c r="N3596" s="35">
        <v>0</v>
      </c>
      <c r="O3596" s="35">
        <v>0</v>
      </c>
      <c r="P3596" s="35">
        <v>0</v>
      </c>
      <c r="Q3596" s="35">
        <v>0</v>
      </c>
      <c r="R3596" s="42">
        <v>1.1979000000000002E-3</v>
      </c>
      <c r="S3596" s="7" t="s">
        <v>2777</v>
      </c>
      <c r="T3596" s="257">
        <f t="shared" si="119"/>
        <v>7</v>
      </c>
      <c r="U3596" s="257">
        <f t="shared" si="120"/>
        <v>0</v>
      </c>
      <c r="V3596">
        <v>1</v>
      </c>
      <c r="W3596">
        <v>0</v>
      </c>
    </row>
    <row r="3597" spans="1:23" ht="91.2" x14ac:dyDescent="0.3">
      <c r="A3597" s="214">
        <v>44456</v>
      </c>
      <c r="B3597" s="214">
        <v>44456</v>
      </c>
      <c r="C3597" s="6">
        <v>9</v>
      </c>
      <c r="D3597" s="6">
        <v>1</v>
      </c>
      <c r="E3597" s="33">
        <v>2021</v>
      </c>
      <c r="F3597" s="15" t="s">
        <v>22</v>
      </c>
      <c r="G3597" s="18" t="s">
        <v>6256</v>
      </c>
      <c r="H3597" s="9" t="s">
        <v>46</v>
      </c>
      <c r="I3597" s="34" t="s">
        <v>46</v>
      </c>
      <c r="J3597" s="58" t="s">
        <v>5684</v>
      </c>
      <c r="K3597" s="33">
        <v>0</v>
      </c>
      <c r="L3597" s="236">
        <v>14</v>
      </c>
      <c r="M3597" s="35">
        <v>3</v>
      </c>
      <c r="N3597" s="35">
        <v>1</v>
      </c>
      <c r="O3597" s="35">
        <v>0</v>
      </c>
      <c r="P3597" s="35">
        <v>0</v>
      </c>
      <c r="Q3597" s="35">
        <v>0</v>
      </c>
      <c r="R3597" s="42">
        <v>0.22220343200000006</v>
      </c>
      <c r="S3597" s="7" t="s">
        <v>2777</v>
      </c>
      <c r="T3597" s="257">
        <f t="shared" si="119"/>
        <v>14</v>
      </c>
      <c r="U3597" s="257">
        <f t="shared" si="120"/>
        <v>4</v>
      </c>
      <c r="V3597">
        <v>1</v>
      </c>
      <c r="W3597">
        <v>1</v>
      </c>
    </row>
    <row r="3598" spans="1:23" ht="136.80000000000001" x14ac:dyDescent="0.3">
      <c r="A3598" s="214">
        <v>44456</v>
      </c>
      <c r="B3598" s="214">
        <v>44456</v>
      </c>
      <c r="C3598" s="6">
        <v>9</v>
      </c>
      <c r="D3598" s="6">
        <v>1</v>
      </c>
      <c r="E3598" s="33">
        <v>2021</v>
      </c>
      <c r="F3598" s="15" t="s">
        <v>22</v>
      </c>
      <c r="G3598" s="18" t="s">
        <v>6256</v>
      </c>
      <c r="H3598" s="9" t="s">
        <v>52</v>
      </c>
      <c r="I3598" s="34" t="s">
        <v>5685</v>
      </c>
      <c r="J3598" s="58" t="s">
        <v>5686</v>
      </c>
      <c r="K3598" s="33">
        <v>0</v>
      </c>
      <c r="L3598" s="236">
        <v>45</v>
      </c>
      <c r="M3598" s="35">
        <v>10</v>
      </c>
      <c r="N3598" s="35">
        <v>0</v>
      </c>
      <c r="O3598" s="35">
        <v>0</v>
      </c>
      <c r="P3598" s="35">
        <v>0</v>
      </c>
      <c r="Q3598" s="35">
        <v>0</v>
      </c>
      <c r="R3598" s="42">
        <v>0.16446622499999999</v>
      </c>
      <c r="S3598" s="7" t="s">
        <v>2777</v>
      </c>
      <c r="T3598" s="257">
        <f t="shared" si="119"/>
        <v>45</v>
      </c>
      <c r="U3598" s="257">
        <f t="shared" si="120"/>
        <v>10</v>
      </c>
      <c r="V3598">
        <v>1</v>
      </c>
      <c r="W3598">
        <v>1</v>
      </c>
    </row>
    <row r="3599" spans="1:23" ht="91.2" x14ac:dyDescent="0.3">
      <c r="A3599" s="214">
        <v>44457</v>
      </c>
      <c r="B3599" s="214">
        <v>44457</v>
      </c>
      <c r="C3599" s="6">
        <v>9</v>
      </c>
      <c r="D3599" s="6">
        <v>1</v>
      </c>
      <c r="E3599" s="33">
        <v>2021</v>
      </c>
      <c r="F3599" s="15" t="s">
        <v>22</v>
      </c>
      <c r="G3599" s="18" t="s">
        <v>6256</v>
      </c>
      <c r="H3599" s="9" t="s">
        <v>55</v>
      </c>
      <c r="I3599" s="34" t="s">
        <v>5687</v>
      </c>
      <c r="J3599" s="58" t="s">
        <v>5688</v>
      </c>
      <c r="K3599" s="33">
        <v>0</v>
      </c>
      <c r="L3599" s="236">
        <v>0</v>
      </c>
      <c r="M3599" s="35">
        <v>180</v>
      </c>
      <c r="N3599" s="35">
        <v>0</v>
      </c>
      <c r="O3599" s="35">
        <v>0</v>
      </c>
      <c r="P3599" s="35">
        <v>0</v>
      </c>
      <c r="Q3599" s="35">
        <v>0</v>
      </c>
      <c r="R3599" s="42">
        <v>1.0881832500000002</v>
      </c>
      <c r="S3599" s="7" t="s">
        <v>2777</v>
      </c>
      <c r="T3599" s="257">
        <f t="shared" si="119"/>
        <v>0</v>
      </c>
      <c r="U3599" s="257">
        <f t="shared" si="120"/>
        <v>180</v>
      </c>
      <c r="V3599">
        <v>0</v>
      </c>
      <c r="W3599">
        <v>1</v>
      </c>
    </row>
    <row r="3600" spans="1:23" ht="102.6" x14ac:dyDescent="0.3">
      <c r="A3600" s="214">
        <v>44457</v>
      </c>
      <c r="B3600" s="214">
        <v>44458</v>
      </c>
      <c r="C3600" s="6">
        <v>9</v>
      </c>
      <c r="D3600" s="6">
        <v>2</v>
      </c>
      <c r="E3600" s="33">
        <v>2021</v>
      </c>
      <c r="F3600" s="15" t="s">
        <v>22</v>
      </c>
      <c r="G3600" s="18" t="s">
        <v>6256</v>
      </c>
      <c r="H3600" s="9" t="s">
        <v>174</v>
      </c>
      <c r="I3600" s="34" t="s">
        <v>2603</v>
      </c>
      <c r="J3600" s="58" t="s">
        <v>5689</v>
      </c>
      <c r="K3600" s="33">
        <v>0</v>
      </c>
      <c r="L3600" s="236">
        <v>241</v>
      </c>
      <c r="M3600" s="35">
        <v>60</v>
      </c>
      <c r="N3600" s="35">
        <v>1</v>
      </c>
      <c r="O3600" s="35">
        <v>0</v>
      </c>
      <c r="P3600" s="35">
        <v>0</v>
      </c>
      <c r="Q3600" s="35">
        <v>0</v>
      </c>
      <c r="R3600" s="42">
        <v>7.737345000000001E-2</v>
      </c>
      <c r="S3600" s="7" t="s">
        <v>2777</v>
      </c>
      <c r="T3600" s="257">
        <f t="shared" si="119"/>
        <v>241</v>
      </c>
      <c r="U3600" s="257">
        <f t="shared" si="120"/>
        <v>61</v>
      </c>
      <c r="V3600">
        <v>1</v>
      </c>
      <c r="W3600">
        <v>1</v>
      </c>
    </row>
    <row r="3601" spans="1:23" ht="148.19999999999999" x14ac:dyDescent="0.3">
      <c r="A3601" s="214">
        <v>44457</v>
      </c>
      <c r="B3601" s="214">
        <v>44457</v>
      </c>
      <c r="C3601" s="6">
        <v>9</v>
      </c>
      <c r="D3601" s="6">
        <v>1</v>
      </c>
      <c r="E3601" s="33">
        <v>2021</v>
      </c>
      <c r="F3601" s="15" t="s">
        <v>22</v>
      </c>
      <c r="G3601" s="18" t="s">
        <v>6256</v>
      </c>
      <c r="H3601" s="9" t="s">
        <v>70</v>
      </c>
      <c r="I3601" s="34" t="s">
        <v>5690</v>
      </c>
      <c r="J3601" s="58" t="s">
        <v>5691</v>
      </c>
      <c r="K3601" s="33">
        <v>1</v>
      </c>
      <c r="L3601" s="236">
        <v>3</v>
      </c>
      <c r="M3601" s="35">
        <v>0</v>
      </c>
      <c r="N3601" s="35">
        <v>0</v>
      </c>
      <c r="O3601" s="35">
        <v>0</v>
      </c>
      <c r="P3601" s="35">
        <v>0</v>
      </c>
      <c r="Q3601" s="35">
        <v>0</v>
      </c>
      <c r="R3601" s="42">
        <v>0.22352535700000004</v>
      </c>
      <c r="S3601" s="7" t="s">
        <v>2777</v>
      </c>
      <c r="T3601" s="257">
        <f t="shared" si="119"/>
        <v>4</v>
      </c>
      <c r="U3601" s="257">
        <f t="shared" si="120"/>
        <v>0</v>
      </c>
      <c r="V3601">
        <v>1</v>
      </c>
      <c r="W3601">
        <v>0</v>
      </c>
    </row>
    <row r="3602" spans="1:23" ht="125.4" x14ac:dyDescent="0.3">
      <c r="A3602" s="214">
        <v>44461</v>
      </c>
      <c r="B3602" s="214">
        <v>44461</v>
      </c>
      <c r="C3602" s="6">
        <v>9</v>
      </c>
      <c r="D3602" s="6">
        <v>1</v>
      </c>
      <c r="E3602" s="33">
        <v>2021</v>
      </c>
      <c r="F3602" s="15" t="s">
        <v>22</v>
      </c>
      <c r="G3602" s="16" t="s">
        <v>6256</v>
      </c>
      <c r="H3602" s="9" t="s">
        <v>24</v>
      </c>
      <c r="I3602" s="34" t="s">
        <v>5692</v>
      </c>
      <c r="J3602" s="58" t="s">
        <v>5693</v>
      </c>
      <c r="K3602" s="33">
        <v>0</v>
      </c>
      <c r="L3602" s="236">
        <v>15</v>
      </c>
      <c r="M3602" s="35">
        <v>2</v>
      </c>
      <c r="N3602" s="35">
        <v>0</v>
      </c>
      <c r="O3602" s="35">
        <v>0</v>
      </c>
      <c r="P3602" s="35">
        <v>0</v>
      </c>
      <c r="Q3602" s="35">
        <v>0</v>
      </c>
      <c r="R3602" s="42">
        <v>1.2443277000000003E-2</v>
      </c>
      <c r="S3602" s="7" t="s">
        <v>2777</v>
      </c>
      <c r="T3602" s="257">
        <f t="shared" si="119"/>
        <v>15</v>
      </c>
      <c r="U3602" s="257">
        <f t="shared" si="120"/>
        <v>2</v>
      </c>
      <c r="V3602">
        <v>1</v>
      </c>
      <c r="W3602">
        <v>1</v>
      </c>
    </row>
    <row r="3603" spans="1:23" ht="57" x14ac:dyDescent="0.3">
      <c r="A3603" s="214">
        <v>44463</v>
      </c>
      <c r="B3603" s="214">
        <v>44463</v>
      </c>
      <c r="C3603" s="6">
        <v>9</v>
      </c>
      <c r="D3603" s="6">
        <v>1</v>
      </c>
      <c r="E3603" s="33">
        <v>2021</v>
      </c>
      <c r="F3603" s="15" t="s">
        <v>22</v>
      </c>
      <c r="G3603" s="82" t="s">
        <v>6256</v>
      </c>
      <c r="H3603" s="9" t="s">
        <v>74</v>
      </c>
      <c r="I3603" s="34" t="s">
        <v>4257</v>
      </c>
      <c r="J3603" s="58" t="s">
        <v>5694</v>
      </c>
      <c r="K3603" s="33">
        <v>1</v>
      </c>
      <c r="L3603" s="236">
        <v>1</v>
      </c>
      <c r="M3603" s="35">
        <v>0</v>
      </c>
      <c r="N3603" s="35">
        <v>0</v>
      </c>
      <c r="O3603" s="35">
        <v>0</v>
      </c>
      <c r="P3603" s="35">
        <v>0</v>
      </c>
      <c r="Q3603" s="35">
        <v>0</v>
      </c>
      <c r="R3603" s="42">
        <v>0</v>
      </c>
      <c r="S3603" s="7" t="s">
        <v>2777</v>
      </c>
      <c r="T3603" s="257">
        <f t="shared" si="119"/>
        <v>2</v>
      </c>
      <c r="U3603" s="257">
        <f t="shared" si="120"/>
        <v>0</v>
      </c>
      <c r="V3603">
        <v>1</v>
      </c>
      <c r="W3603">
        <v>0</v>
      </c>
    </row>
    <row r="3604" spans="1:23" ht="136.80000000000001" x14ac:dyDescent="0.3">
      <c r="A3604" s="214">
        <v>44464</v>
      </c>
      <c r="B3604" s="214">
        <v>44464</v>
      </c>
      <c r="C3604" s="6">
        <v>9</v>
      </c>
      <c r="D3604" s="6">
        <v>1</v>
      </c>
      <c r="E3604" s="33">
        <v>2021</v>
      </c>
      <c r="F3604" s="15" t="s">
        <v>22</v>
      </c>
      <c r="G3604" s="18" t="s">
        <v>6256</v>
      </c>
      <c r="H3604" s="9" t="s">
        <v>52</v>
      </c>
      <c r="I3604" s="34" t="s">
        <v>5695</v>
      </c>
      <c r="J3604" s="58" t="s">
        <v>5696</v>
      </c>
      <c r="K3604" s="33">
        <v>1</v>
      </c>
      <c r="L3604" s="236">
        <v>61</v>
      </c>
      <c r="M3604" s="35">
        <v>15</v>
      </c>
      <c r="N3604" s="35">
        <v>0</v>
      </c>
      <c r="O3604" s="35">
        <v>0</v>
      </c>
      <c r="P3604" s="35">
        <v>0</v>
      </c>
      <c r="Q3604" s="35">
        <v>0</v>
      </c>
      <c r="R3604" s="42">
        <v>2.0010375E-2</v>
      </c>
      <c r="S3604" s="7" t="s">
        <v>2777</v>
      </c>
      <c r="T3604" s="257">
        <f t="shared" si="119"/>
        <v>62</v>
      </c>
      <c r="U3604" s="257">
        <f t="shared" si="120"/>
        <v>15</v>
      </c>
      <c r="V3604">
        <v>1</v>
      </c>
      <c r="W3604">
        <v>1</v>
      </c>
    </row>
    <row r="3605" spans="1:23" ht="114" x14ac:dyDescent="0.3">
      <c r="A3605" s="214">
        <v>44464</v>
      </c>
      <c r="B3605" s="214">
        <v>44464</v>
      </c>
      <c r="C3605" s="6">
        <v>9</v>
      </c>
      <c r="D3605" s="6">
        <v>1</v>
      </c>
      <c r="E3605" s="33">
        <v>2021</v>
      </c>
      <c r="F3605" s="15" t="s">
        <v>22</v>
      </c>
      <c r="G3605" s="16" t="s">
        <v>6256</v>
      </c>
      <c r="H3605" s="9" t="s">
        <v>174</v>
      </c>
      <c r="I3605" s="34" t="s">
        <v>1265</v>
      </c>
      <c r="J3605" s="58" t="s">
        <v>5697</v>
      </c>
      <c r="K3605" s="33">
        <v>0</v>
      </c>
      <c r="L3605" s="236">
        <v>24</v>
      </c>
      <c r="M3605" s="35">
        <v>6</v>
      </c>
      <c r="N3605" s="35">
        <v>0</v>
      </c>
      <c r="O3605" s="35">
        <v>0</v>
      </c>
      <c r="P3605" s="35">
        <v>0</v>
      </c>
      <c r="Q3605" s="35">
        <v>0</v>
      </c>
      <c r="R3605" s="42">
        <v>1.4991900000000001E-2</v>
      </c>
      <c r="S3605" s="7" t="s">
        <v>2777</v>
      </c>
      <c r="T3605" s="257">
        <f t="shared" si="119"/>
        <v>24</v>
      </c>
      <c r="U3605" s="257">
        <f t="shared" si="120"/>
        <v>6</v>
      </c>
      <c r="V3605">
        <v>1</v>
      </c>
      <c r="W3605">
        <v>1</v>
      </c>
    </row>
    <row r="3606" spans="1:23" ht="68.400000000000006" x14ac:dyDescent="0.3">
      <c r="A3606" s="214">
        <v>44466</v>
      </c>
      <c r="B3606" s="214">
        <v>44466</v>
      </c>
      <c r="C3606" s="6">
        <v>9</v>
      </c>
      <c r="D3606" s="6">
        <v>1</v>
      </c>
      <c r="E3606" s="33">
        <v>2021</v>
      </c>
      <c r="F3606" s="15" t="s">
        <v>22</v>
      </c>
      <c r="G3606" s="18" t="s">
        <v>6256</v>
      </c>
      <c r="H3606" s="9" t="s">
        <v>61</v>
      </c>
      <c r="I3606" s="34" t="s">
        <v>5698</v>
      </c>
      <c r="J3606" s="58" t="s">
        <v>5699</v>
      </c>
      <c r="K3606" s="33">
        <v>0</v>
      </c>
      <c r="L3606" s="236">
        <v>40</v>
      </c>
      <c r="M3606" s="35">
        <v>10</v>
      </c>
      <c r="N3606" s="35">
        <v>0</v>
      </c>
      <c r="O3606" s="35">
        <v>0</v>
      </c>
      <c r="P3606" s="35">
        <v>0</v>
      </c>
      <c r="Q3606" s="35">
        <v>0</v>
      </c>
      <c r="R3606" s="42">
        <v>6.6701249999999998E-3</v>
      </c>
      <c r="S3606" s="7" t="s">
        <v>2777</v>
      </c>
      <c r="T3606" s="257">
        <f t="shared" si="119"/>
        <v>40</v>
      </c>
      <c r="U3606" s="257">
        <f t="shared" si="120"/>
        <v>10</v>
      </c>
      <c r="V3606">
        <v>1</v>
      </c>
      <c r="W3606">
        <v>1</v>
      </c>
    </row>
    <row r="3607" spans="1:23" ht="91.2" x14ac:dyDescent="0.3">
      <c r="A3607" s="214">
        <v>44466</v>
      </c>
      <c r="B3607" s="214">
        <v>44466</v>
      </c>
      <c r="C3607" s="6">
        <v>9</v>
      </c>
      <c r="D3607" s="6">
        <v>1</v>
      </c>
      <c r="E3607" s="33">
        <v>2021</v>
      </c>
      <c r="F3607" s="7" t="s">
        <v>17</v>
      </c>
      <c r="G3607" s="8" t="s">
        <v>6261</v>
      </c>
      <c r="H3607" s="9" t="s">
        <v>51</v>
      </c>
      <c r="I3607" s="34" t="s">
        <v>1037</v>
      </c>
      <c r="J3607" s="58" t="s">
        <v>5700</v>
      </c>
      <c r="K3607" s="33">
        <v>1</v>
      </c>
      <c r="L3607" s="236">
        <v>2</v>
      </c>
      <c r="M3607" s="35">
        <v>0</v>
      </c>
      <c r="N3607" s="35">
        <v>0</v>
      </c>
      <c r="O3607" s="35">
        <v>0</v>
      </c>
      <c r="P3607" s="35">
        <v>0</v>
      </c>
      <c r="Q3607" s="35">
        <v>0</v>
      </c>
      <c r="R3607" s="42">
        <v>0.43235925700000011</v>
      </c>
      <c r="S3607" s="7" t="s">
        <v>2777</v>
      </c>
      <c r="T3607" s="257">
        <f t="shared" si="119"/>
        <v>3</v>
      </c>
      <c r="U3607" s="257">
        <f t="shared" si="120"/>
        <v>0</v>
      </c>
      <c r="V3607">
        <v>1</v>
      </c>
      <c r="W3607">
        <v>0</v>
      </c>
    </row>
    <row r="3608" spans="1:23" ht="79.8" x14ac:dyDescent="0.3">
      <c r="A3608" s="214">
        <v>44468</v>
      </c>
      <c r="B3608" s="214">
        <v>44468</v>
      </c>
      <c r="C3608" s="6">
        <v>9</v>
      </c>
      <c r="D3608" s="6">
        <v>1</v>
      </c>
      <c r="E3608" s="33">
        <v>2021</v>
      </c>
      <c r="F3608" s="15" t="s">
        <v>22</v>
      </c>
      <c r="G3608" s="18" t="s">
        <v>6256</v>
      </c>
      <c r="H3608" s="9" t="s">
        <v>66</v>
      </c>
      <c r="I3608" s="34" t="s">
        <v>659</v>
      </c>
      <c r="J3608" s="58" t="s">
        <v>5701</v>
      </c>
      <c r="K3608" s="33">
        <v>0</v>
      </c>
      <c r="L3608" s="236">
        <v>40</v>
      </c>
      <c r="M3608" s="35">
        <v>10</v>
      </c>
      <c r="N3608" s="35">
        <v>0</v>
      </c>
      <c r="O3608" s="35">
        <v>0</v>
      </c>
      <c r="P3608" s="35">
        <v>0</v>
      </c>
      <c r="Q3608" s="35">
        <v>0</v>
      </c>
      <c r="R3608" s="42">
        <v>1.334025E-2</v>
      </c>
      <c r="S3608" s="7" t="s">
        <v>2777</v>
      </c>
      <c r="T3608" s="257">
        <f t="shared" si="119"/>
        <v>40</v>
      </c>
      <c r="U3608" s="257">
        <f t="shared" si="120"/>
        <v>10</v>
      </c>
      <c r="V3608">
        <v>1</v>
      </c>
      <c r="W3608">
        <v>1</v>
      </c>
    </row>
    <row r="3609" spans="1:23" ht="68.400000000000006" x14ac:dyDescent="0.3">
      <c r="A3609" s="214">
        <v>44468</v>
      </c>
      <c r="B3609" s="214">
        <v>44468</v>
      </c>
      <c r="C3609" s="6">
        <v>9</v>
      </c>
      <c r="D3609" s="6">
        <v>1</v>
      </c>
      <c r="E3609" s="33">
        <v>2021</v>
      </c>
      <c r="F3609" s="15" t="s">
        <v>22</v>
      </c>
      <c r="G3609" s="18" t="s">
        <v>6256</v>
      </c>
      <c r="H3609" s="9" t="s">
        <v>174</v>
      </c>
      <c r="I3609" s="34" t="s">
        <v>2290</v>
      </c>
      <c r="J3609" s="58" t="s">
        <v>5702</v>
      </c>
      <c r="K3609" s="33">
        <v>0</v>
      </c>
      <c r="L3609" s="236">
        <v>68</v>
      </c>
      <c r="M3609" s="35">
        <v>17</v>
      </c>
      <c r="N3609" s="35">
        <v>0</v>
      </c>
      <c r="O3609" s="35">
        <v>0</v>
      </c>
      <c r="P3609" s="35">
        <v>0</v>
      </c>
      <c r="Q3609" s="35">
        <v>0</v>
      </c>
      <c r="R3609" s="42">
        <v>2.2678425000000002E-2</v>
      </c>
      <c r="S3609" s="7" t="s">
        <v>2777</v>
      </c>
      <c r="T3609" s="257">
        <f t="shared" si="119"/>
        <v>68</v>
      </c>
      <c r="U3609" s="257">
        <f t="shared" si="120"/>
        <v>17</v>
      </c>
      <c r="V3609">
        <v>1</v>
      </c>
      <c r="W3609">
        <v>1</v>
      </c>
    </row>
    <row r="3610" spans="1:23" ht="182.4" x14ac:dyDescent="0.3">
      <c r="A3610" s="214">
        <v>44468</v>
      </c>
      <c r="B3610" s="214">
        <v>44468</v>
      </c>
      <c r="C3610" s="6">
        <v>9</v>
      </c>
      <c r="D3610" s="6">
        <v>1</v>
      </c>
      <c r="E3610" s="33">
        <v>2021</v>
      </c>
      <c r="F3610" s="7" t="s">
        <v>17</v>
      </c>
      <c r="G3610" s="8" t="s">
        <v>6261</v>
      </c>
      <c r="H3610" s="9" t="s">
        <v>43</v>
      </c>
      <c r="I3610" s="34" t="s">
        <v>721</v>
      </c>
      <c r="J3610" s="58" t="s">
        <v>5703</v>
      </c>
      <c r="K3610" s="33">
        <v>4</v>
      </c>
      <c r="L3610" s="236">
        <v>8</v>
      </c>
      <c r="M3610" s="35">
        <v>7</v>
      </c>
      <c r="N3610" s="35">
        <v>0</v>
      </c>
      <c r="O3610" s="35">
        <v>0</v>
      </c>
      <c r="P3610" s="35">
        <v>0</v>
      </c>
      <c r="Q3610" s="35">
        <v>0</v>
      </c>
      <c r="R3610" s="42">
        <v>1.0684178999999998</v>
      </c>
      <c r="S3610" s="7" t="s">
        <v>2777</v>
      </c>
      <c r="T3610" s="257">
        <f t="shared" si="119"/>
        <v>12</v>
      </c>
      <c r="U3610" s="257">
        <f t="shared" si="120"/>
        <v>7</v>
      </c>
      <c r="V3610">
        <v>1</v>
      </c>
      <c r="W3610">
        <v>1</v>
      </c>
    </row>
    <row r="3611" spans="1:23" ht="79.8" x14ac:dyDescent="0.3">
      <c r="A3611" s="214">
        <v>44470</v>
      </c>
      <c r="B3611" s="214">
        <v>44470</v>
      </c>
      <c r="C3611" s="6">
        <v>10</v>
      </c>
      <c r="D3611" s="6">
        <v>1</v>
      </c>
      <c r="E3611" s="33">
        <v>2021</v>
      </c>
      <c r="F3611" s="15" t="s">
        <v>22</v>
      </c>
      <c r="G3611" s="18" t="s">
        <v>6256</v>
      </c>
      <c r="H3611" s="9" t="s">
        <v>66</v>
      </c>
      <c r="I3611" s="34" t="s">
        <v>66</v>
      </c>
      <c r="J3611" s="58" t="s">
        <v>5704</v>
      </c>
      <c r="K3611" s="33">
        <v>0</v>
      </c>
      <c r="L3611" s="236">
        <v>80</v>
      </c>
      <c r="M3611" s="35">
        <v>20</v>
      </c>
      <c r="N3611" s="35">
        <v>0</v>
      </c>
      <c r="O3611" s="35">
        <v>0</v>
      </c>
      <c r="P3611" s="35">
        <v>0</v>
      </c>
      <c r="Q3611" s="35">
        <v>0</v>
      </c>
      <c r="R3611" s="42">
        <v>2.6680499999999999E-2</v>
      </c>
      <c r="S3611" s="7" t="s">
        <v>2777</v>
      </c>
      <c r="T3611" s="257">
        <f t="shared" si="119"/>
        <v>80</v>
      </c>
      <c r="U3611" s="257">
        <f t="shared" si="120"/>
        <v>20</v>
      </c>
      <c r="V3611">
        <v>1</v>
      </c>
      <c r="W3611">
        <v>1</v>
      </c>
    </row>
    <row r="3612" spans="1:23" ht="102.6" x14ac:dyDescent="0.3">
      <c r="A3612" s="214">
        <v>44470</v>
      </c>
      <c r="B3612" s="214">
        <v>44473</v>
      </c>
      <c r="C3612" s="6">
        <v>10</v>
      </c>
      <c r="D3612" s="6">
        <v>4</v>
      </c>
      <c r="E3612" s="33">
        <v>2021</v>
      </c>
      <c r="F3612" s="15" t="s">
        <v>22</v>
      </c>
      <c r="G3612" s="16" t="s">
        <v>6256</v>
      </c>
      <c r="H3612" s="9" t="s">
        <v>61</v>
      </c>
      <c r="I3612" s="34" t="s">
        <v>5705</v>
      </c>
      <c r="J3612" s="58" t="s">
        <v>5706</v>
      </c>
      <c r="K3612" s="33">
        <v>3</v>
      </c>
      <c r="L3612" s="236">
        <v>3</v>
      </c>
      <c r="M3612" s="35">
        <v>0</v>
      </c>
      <c r="N3612" s="35">
        <v>0</v>
      </c>
      <c r="O3612" s="35">
        <v>0</v>
      </c>
      <c r="P3612" s="35">
        <v>0</v>
      </c>
      <c r="Q3612" s="35">
        <v>0</v>
      </c>
      <c r="R3612" s="42">
        <v>0.10648000000000002</v>
      </c>
      <c r="S3612" s="7" t="s">
        <v>2777</v>
      </c>
      <c r="T3612" s="257">
        <f t="shared" si="119"/>
        <v>6</v>
      </c>
      <c r="U3612" s="257">
        <f t="shared" si="120"/>
        <v>0</v>
      </c>
      <c r="V3612">
        <v>1</v>
      </c>
      <c r="W3612">
        <v>0</v>
      </c>
    </row>
    <row r="3613" spans="1:23" ht="68.400000000000006" x14ac:dyDescent="0.3">
      <c r="A3613" s="214">
        <v>44471</v>
      </c>
      <c r="B3613" s="214">
        <v>44471</v>
      </c>
      <c r="C3613" s="6">
        <v>10</v>
      </c>
      <c r="D3613" s="6">
        <v>1</v>
      </c>
      <c r="E3613" s="33">
        <v>2021</v>
      </c>
      <c r="F3613" s="15" t="s">
        <v>22</v>
      </c>
      <c r="G3613" s="18" t="s">
        <v>6256</v>
      </c>
      <c r="H3613" s="9" t="s">
        <v>24</v>
      </c>
      <c r="I3613" s="34" t="s">
        <v>5707</v>
      </c>
      <c r="J3613" s="58" t="s">
        <v>5708</v>
      </c>
      <c r="K3613" s="33">
        <v>0</v>
      </c>
      <c r="L3613" s="236">
        <v>61</v>
      </c>
      <c r="M3613" s="35">
        <v>19</v>
      </c>
      <c r="N3613" s="35">
        <v>0</v>
      </c>
      <c r="O3613" s="35">
        <v>0</v>
      </c>
      <c r="P3613" s="35">
        <v>0</v>
      </c>
      <c r="Q3613" s="35">
        <v>0</v>
      </c>
      <c r="R3613" s="42">
        <v>2.5346475000000004E-2</v>
      </c>
      <c r="S3613" s="7" t="s">
        <v>2777</v>
      </c>
      <c r="T3613" s="257">
        <f t="shared" si="119"/>
        <v>61</v>
      </c>
      <c r="U3613" s="257">
        <f t="shared" si="120"/>
        <v>19</v>
      </c>
      <c r="V3613">
        <v>1</v>
      </c>
      <c r="W3613">
        <v>1</v>
      </c>
    </row>
    <row r="3614" spans="1:23" ht="125.4" x14ac:dyDescent="0.3">
      <c r="A3614" s="214">
        <v>44471</v>
      </c>
      <c r="B3614" s="214">
        <v>44471</v>
      </c>
      <c r="C3614" s="6">
        <v>10</v>
      </c>
      <c r="D3614" s="6">
        <v>1</v>
      </c>
      <c r="E3614" s="33">
        <v>2021</v>
      </c>
      <c r="F3614" s="7" t="s">
        <v>17</v>
      </c>
      <c r="G3614" s="8" t="s">
        <v>6261</v>
      </c>
      <c r="H3614" s="9" t="s">
        <v>118</v>
      </c>
      <c r="I3614" s="34" t="s">
        <v>639</v>
      </c>
      <c r="J3614" s="58" t="s">
        <v>5709</v>
      </c>
      <c r="K3614" s="33">
        <v>0</v>
      </c>
      <c r="L3614" s="236">
        <v>5</v>
      </c>
      <c r="M3614" s="35">
        <v>1</v>
      </c>
      <c r="N3614" s="35">
        <v>0</v>
      </c>
      <c r="O3614" s="35">
        <v>0</v>
      </c>
      <c r="P3614" s="35">
        <v>0</v>
      </c>
      <c r="Q3614" s="35">
        <v>0</v>
      </c>
      <c r="R3614" s="42">
        <v>0.15246000000000001</v>
      </c>
      <c r="S3614" s="7" t="s">
        <v>2777</v>
      </c>
      <c r="T3614" s="257">
        <f t="shared" si="119"/>
        <v>5</v>
      </c>
      <c r="U3614" s="257">
        <f t="shared" si="120"/>
        <v>1</v>
      </c>
      <c r="V3614">
        <v>1</v>
      </c>
      <c r="W3614">
        <v>1</v>
      </c>
    </row>
    <row r="3615" spans="1:23" ht="409.6" x14ac:dyDescent="0.3">
      <c r="A3615" s="214">
        <v>44471</v>
      </c>
      <c r="B3615" s="214">
        <v>44471</v>
      </c>
      <c r="C3615" s="6">
        <v>10</v>
      </c>
      <c r="D3615" s="6">
        <v>1</v>
      </c>
      <c r="E3615" s="33">
        <v>2021</v>
      </c>
      <c r="F3615" s="15" t="s">
        <v>22</v>
      </c>
      <c r="G3615" s="18" t="s">
        <v>6256</v>
      </c>
      <c r="H3615" s="9" t="s">
        <v>66</v>
      </c>
      <c r="I3615" s="34" t="s">
        <v>5710</v>
      </c>
      <c r="J3615" s="58" t="s">
        <v>5711</v>
      </c>
      <c r="K3615" s="33">
        <v>5</v>
      </c>
      <c r="L3615" s="236">
        <v>14440</v>
      </c>
      <c r="M3615" s="35">
        <v>3610</v>
      </c>
      <c r="N3615" s="35">
        <v>3</v>
      </c>
      <c r="O3615" s="35">
        <v>1</v>
      </c>
      <c r="P3615" s="35">
        <v>54</v>
      </c>
      <c r="Q3615" s="35">
        <v>0</v>
      </c>
      <c r="R3615" s="42">
        <v>5.1770076875000006</v>
      </c>
      <c r="S3615" s="7" t="s">
        <v>2777</v>
      </c>
      <c r="T3615" s="257">
        <f t="shared" si="119"/>
        <v>14445</v>
      </c>
      <c r="U3615" s="257">
        <f t="shared" si="120"/>
        <v>3668</v>
      </c>
      <c r="V3615">
        <v>2</v>
      </c>
      <c r="W3615">
        <v>2</v>
      </c>
    </row>
    <row r="3616" spans="1:23" ht="148.19999999999999" x14ac:dyDescent="0.3">
      <c r="A3616" s="214">
        <v>44472</v>
      </c>
      <c r="B3616" s="214">
        <v>44473</v>
      </c>
      <c r="C3616" s="6">
        <v>10</v>
      </c>
      <c r="D3616" s="6">
        <v>2</v>
      </c>
      <c r="E3616" s="33">
        <v>2021</v>
      </c>
      <c r="F3616" s="15" t="s">
        <v>22</v>
      </c>
      <c r="G3616" s="18" t="s">
        <v>6256</v>
      </c>
      <c r="H3616" s="9" t="s">
        <v>70</v>
      </c>
      <c r="I3616" s="34" t="s">
        <v>154</v>
      </c>
      <c r="J3616" s="58" t="s">
        <v>5712</v>
      </c>
      <c r="K3616" s="33">
        <v>0</v>
      </c>
      <c r="L3616" s="236">
        <v>71</v>
      </c>
      <c r="M3616" s="35">
        <v>0</v>
      </c>
      <c r="N3616" s="35">
        <v>0</v>
      </c>
      <c r="O3616" s="35">
        <v>0</v>
      </c>
      <c r="P3616" s="35">
        <v>0</v>
      </c>
      <c r="Q3616" s="35">
        <v>0</v>
      </c>
      <c r="R3616" s="42">
        <v>0</v>
      </c>
      <c r="S3616" s="7" t="s">
        <v>2777</v>
      </c>
      <c r="T3616" s="257">
        <f t="shared" si="119"/>
        <v>71</v>
      </c>
      <c r="U3616" s="257">
        <f t="shared" si="120"/>
        <v>0</v>
      </c>
      <c r="V3616">
        <v>1</v>
      </c>
      <c r="W3616">
        <v>0</v>
      </c>
    </row>
    <row r="3617" spans="1:23" ht="148.19999999999999" x14ac:dyDescent="0.3">
      <c r="A3617" s="214">
        <v>44474</v>
      </c>
      <c r="B3617" s="214">
        <v>44474</v>
      </c>
      <c r="C3617" s="6">
        <v>10</v>
      </c>
      <c r="D3617" s="6">
        <v>1</v>
      </c>
      <c r="E3617" s="33">
        <v>2021</v>
      </c>
      <c r="F3617" s="15" t="s">
        <v>22</v>
      </c>
      <c r="G3617" s="18" t="s">
        <v>6256</v>
      </c>
      <c r="H3617" s="9" t="s">
        <v>51</v>
      </c>
      <c r="I3617" s="34" t="s">
        <v>5713</v>
      </c>
      <c r="J3617" s="58" t="s">
        <v>5714</v>
      </c>
      <c r="K3617" s="33">
        <v>0</v>
      </c>
      <c r="L3617" s="236">
        <v>21</v>
      </c>
      <c r="M3617" s="35">
        <v>5</v>
      </c>
      <c r="N3617" s="35">
        <v>0</v>
      </c>
      <c r="O3617" s="35">
        <v>0</v>
      </c>
      <c r="P3617" s="35">
        <v>0</v>
      </c>
      <c r="Q3617" s="35">
        <v>0</v>
      </c>
      <c r="R3617" s="42">
        <v>1.1557738500000001E-2</v>
      </c>
      <c r="S3617" s="7" t="s">
        <v>2777</v>
      </c>
      <c r="T3617" s="257">
        <f t="shared" si="119"/>
        <v>21</v>
      </c>
      <c r="U3617" s="257">
        <f t="shared" si="120"/>
        <v>5</v>
      </c>
      <c r="V3617">
        <v>1</v>
      </c>
      <c r="W3617">
        <v>1</v>
      </c>
    </row>
    <row r="3618" spans="1:23" ht="91.2" x14ac:dyDescent="0.3">
      <c r="A3618" s="214">
        <v>44474</v>
      </c>
      <c r="B3618" s="214">
        <v>44475</v>
      </c>
      <c r="C3618" s="6">
        <v>10</v>
      </c>
      <c r="D3618" s="6">
        <v>2</v>
      </c>
      <c r="E3618" s="33">
        <v>2021</v>
      </c>
      <c r="F3618" s="15" t="s">
        <v>22</v>
      </c>
      <c r="G3618" s="18" t="s">
        <v>6256</v>
      </c>
      <c r="H3618" s="9" t="s">
        <v>174</v>
      </c>
      <c r="I3618" s="34" t="s">
        <v>5715</v>
      </c>
      <c r="J3618" s="58" t="s">
        <v>5716</v>
      </c>
      <c r="K3618" s="33">
        <v>0</v>
      </c>
      <c r="L3618" s="236">
        <v>332</v>
      </c>
      <c r="M3618" s="35">
        <v>83</v>
      </c>
      <c r="N3618" s="35">
        <v>0</v>
      </c>
      <c r="O3618" s="35">
        <v>0</v>
      </c>
      <c r="P3618" s="35">
        <v>0</v>
      </c>
      <c r="Q3618" s="35">
        <v>0</v>
      </c>
      <c r="R3618" s="42">
        <v>0.11072407500000001</v>
      </c>
      <c r="S3618" s="7" t="s">
        <v>2777</v>
      </c>
      <c r="T3618" s="257">
        <f t="shared" si="119"/>
        <v>332</v>
      </c>
      <c r="U3618" s="257">
        <f t="shared" si="120"/>
        <v>83</v>
      </c>
      <c r="V3618">
        <v>1</v>
      </c>
      <c r="W3618">
        <v>1</v>
      </c>
    </row>
    <row r="3619" spans="1:23" ht="353.4" x14ac:dyDescent="0.3">
      <c r="A3619" s="214">
        <v>44474</v>
      </c>
      <c r="B3619" s="214">
        <v>44474</v>
      </c>
      <c r="C3619" s="6">
        <v>10</v>
      </c>
      <c r="D3619" s="6">
        <v>1</v>
      </c>
      <c r="E3619" s="33">
        <v>2021</v>
      </c>
      <c r="F3619" s="15" t="s">
        <v>22</v>
      </c>
      <c r="G3619" s="18" t="s">
        <v>6256</v>
      </c>
      <c r="H3619" s="9" t="s">
        <v>51</v>
      </c>
      <c r="I3619" s="34" t="s">
        <v>5717</v>
      </c>
      <c r="J3619" s="58" t="s">
        <v>5718</v>
      </c>
      <c r="K3619" s="33">
        <v>0</v>
      </c>
      <c r="L3619" s="236">
        <v>1088</v>
      </c>
      <c r="M3619" s="35">
        <v>272</v>
      </c>
      <c r="N3619" s="35">
        <v>0</v>
      </c>
      <c r="O3619" s="35">
        <v>0</v>
      </c>
      <c r="P3619" s="35">
        <v>0</v>
      </c>
      <c r="Q3619" s="35">
        <v>0</v>
      </c>
      <c r="R3619" s="42">
        <v>1.0017348000000001</v>
      </c>
      <c r="S3619" s="7" t="s">
        <v>2777</v>
      </c>
      <c r="T3619" s="257">
        <f t="shared" si="119"/>
        <v>1088</v>
      </c>
      <c r="U3619" s="257">
        <f t="shared" si="120"/>
        <v>272</v>
      </c>
      <c r="V3619">
        <v>1</v>
      </c>
      <c r="W3619">
        <v>1</v>
      </c>
    </row>
    <row r="3620" spans="1:23" ht="91.2" x14ac:dyDescent="0.3">
      <c r="A3620" s="214">
        <v>44474</v>
      </c>
      <c r="B3620" s="214">
        <v>44474</v>
      </c>
      <c r="C3620" s="6">
        <v>10</v>
      </c>
      <c r="D3620" s="6">
        <v>1</v>
      </c>
      <c r="E3620" s="33">
        <v>2021</v>
      </c>
      <c r="F3620" s="15" t="s">
        <v>22</v>
      </c>
      <c r="G3620" s="16" t="s">
        <v>6256</v>
      </c>
      <c r="H3620" s="9" t="s">
        <v>51</v>
      </c>
      <c r="I3620" s="34" t="s">
        <v>5005</v>
      </c>
      <c r="J3620" s="58" t="s">
        <v>5719</v>
      </c>
      <c r="K3620" s="33">
        <v>1</v>
      </c>
      <c r="L3620" s="236">
        <v>1</v>
      </c>
      <c r="M3620" s="35">
        <v>0</v>
      </c>
      <c r="N3620" s="35">
        <v>0</v>
      </c>
      <c r="O3620" s="35">
        <v>0</v>
      </c>
      <c r="P3620" s="35">
        <v>0</v>
      </c>
      <c r="Q3620" s="35">
        <v>0</v>
      </c>
      <c r="R3620" s="42">
        <v>0</v>
      </c>
      <c r="S3620" s="7" t="s">
        <v>2777</v>
      </c>
      <c r="T3620" s="257">
        <f t="shared" si="119"/>
        <v>2</v>
      </c>
      <c r="U3620" s="257">
        <f t="shared" si="120"/>
        <v>0</v>
      </c>
      <c r="V3620">
        <v>1</v>
      </c>
      <c r="W3620">
        <v>0</v>
      </c>
    </row>
    <row r="3621" spans="1:23" ht="136.80000000000001" x14ac:dyDescent="0.3">
      <c r="A3621" s="214">
        <v>44475</v>
      </c>
      <c r="B3621" s="214">
        <v>44475</v>
      </c>
      <c r="C3621" s="6">
        <v>10</v>
      </c>
      <c r="D3621" s="6">
        <v>1</v>
      </c>
      <c r="E3621" s="33">
        <v>2021</v>
      </c>
      <c r="F3621" s="15" t="s">
        <v>22</v>
      </c>
      <c r="G3621" s="18" t="s">
        <v>6256</v>
      </c>
      <c r="H3621" s="9" t="s">
        <v>43</v>
      </c>
      <c r="I3621" s="34" t="s">
        <v>5720</v>
      </c>
      <c r="J3621" s="58" t="s">
        <v>5721</v>
      </c>
      <c r="K3621" s="33">
        <v>0</v>
      </c>
      <c r="L3621" s="236">
        <v>164</v>
      </c>
      <c r="M3621" s="35">
        <v>41</v>
      </c>
      <c r="N3621" s="35">
        <v>0</v>
      </c>
      <c r="O3621" s="35"/>
      <c r="P3621" s="35">
        <v>0</v>
      </c>
      <c r="Q3621" s="35">
        <v>0</v>
      </c>
      <c r="R3621" s="42">
        <v>8.8935E-2</v>
      </c>
      <c r="S3621" s="7" t="s">
        <v>2777</v>
      </c>
      <c r="T3621" s="257">
        <f t="shared" si="119"/>
        <v>164</v>
      </c>
      <c r="U3621" s="257">
        <f t="shared" si="120"/>
        <v>41</v>
      </c>
      <c r="V3621">
        <v>1</v>
      </c>
      <c r="W3621">
        <v>1</v>
      </c>
    </row>
    <row r="3622" spans="1:23" ht="57" x14ac:dyDescent="0.3">
      <c r="A3622" s="214">
        <v>44475</v>
      </c>
      <c r="B3622" s="214">
        <v>44475</v>
      </c>
      <c r="C3622" s="6">
        <v>10</v>
      </c>
      <c r="D3622" s="6">
        <v>1</v>
      </c>
      <c r="E3622" s="33">
        <v>2021</v>
      </c>
      <c r="F3622" s="15" t="s">
        <v>22</v>
      </c>
      <c r="G3622" s="82" t="s">
        <v>6256</v>
      </c>
      <c r="H3622" s="9" t="s">
        <v>43</v>
      </c>
      <c r="I3622" s="34" t="s">
        <v>4449</v>
      </c>
      <c r="J3622" s="58" t="s">
        <v>5722</v>
      </c>
      <c r="K3622" s="33">
        <v>1</v>
      </c>
      <c r="L3622" s="236">
        <v>1</v>
      </c>
      <c r="M3622" s="35">
        <v>0</v>
      </c>
      <c r="N3622" s="35">
        <v>0</v>
      </c>
      <c r="O3622" s="35">
        <v>0</v>
      </c>
      <c r="P3622" s="35">
        <v>0</v>
      </c>
      <c r="Q3622" s="35">
        <v>0</v>
      </c>
      <c r="R3622" s="42">
        <v>1.1979000000000002E-3</v>
      </c>
      <c r="S3622" s="7" t="s">
        <v>2777</v>
      </c>
      <c r="T3622" s="257">
        <f t="shared" si="119"/>
        <v>2</v>
      </c>
      <c r="U3622" s="257">
        <f t="shared" si="120"/>
        <v>0</v>
      </c>
      <c r="V3622">
        <v>1</v>
      </c>
      <c r="W3622">
        <v>0</v>
      </c>
    </row>
    <row r="3623" spans="1:23" ht="216.6" x14ac:dyDescent="0.3">
      <c r="A3623" s="214">
        <v>44477</v>
      </c>
      <c r="B3623" s="214">
        <v>44477</v>
      </c>
      <c r="C3623" s="6">
        <v>10</v>
      </c>
      <c r="D3623" s="6">
        <v>1</v>
      </c>
      <c r="E3623" s="33">
        <v>2021</v>
      </c>
      <c r="F3623" s="15" t="s">
        <v>22</v>
      </c>
      <c r="G3623" s="18" t="s">
        <v>6256</v>
      </c>
      <c r="H3623" s="9" t="s">
        <v>174</v>
      </c>
      <c r="I3623" s="34" t="s">
        <v>5723</v>
      </c>
      <c r="J3623" s="58" t="s">
        <v>5724</v>
      </c>
      <c r="K3623" s="33">
        <v>2</v>
      </c>
      <c r="L3623" s="236">
        <v>28912</v>
      </c>
      <c r="M3623" s="35">
        <v>7228</v>
      </c>
      <c r="N3623" s="35">
        <v>4</v>
      </c>
      <c r="O3623" s="35">
        <v>0</v>
      </c>
      <c r="P3623" s="35">
        <v>0</v>
      </c>
      <c r="Q3623" s="35">
        <v>0</v>
      </c>
      <c r="R3623" s="42">
        <v>7.0156374750000019</v>
      </c>
      <c r="S3623" s="7" t="s">
        <v>2777</v>
      </c>
      <c r="T3623" s="257">
        <f t="shared" si="119"/>
        <v>28914</v>
      </c>
      <c r="U3623" s="257">
        <f t="shared" si="120"/>
        <v>7232</v>
      </c>
      <c r="V3623">
        <v>2</v>
      </c>
      <c r="W3623">
        <v>2</v>
      </c>
    </row>
    <row r="3624" spans="1:23" ht="102.6" x14ac:dyDescent="0.3">
      <c r="A3624" s="214">
        <v>44478</v>
      </c>
      <c r="B3624" s="214">
        <v>44478</v>
      </c>
      <c r="C3624" s="6">
        <v>10</v>
      </c>
      <c r="D3624" s="6">
        <v>1</v>
      </c>
      <c r="E3624" s="33">
        <v>2021</v>
      </c>
      <c r="F3624" s="15" t="s">
        <v>22</v>
      </c>
      <c r="G3624" s="18" t="s">
        <v>6256</v>
      </c>
      <c r="H3624" s="9" t="s">
        <v>31</v>
      </c>
      <c r="I3624" s="34" t="s">
        <v>274</v>
      </c>
      <c r="J3624" s="58" t="s">
        <v>5725</v>
      </c>
      <c r="K3624" s="33">
        <v>0</v>
      </c>
      <c r="L3624" s="236">
        <v>16</v>
      </c>
      <c r="M3624" s="35">
        <v>4</v>
      </c>
      <c r="N3624" s="35">
        <v>0</v>
      </c>
      <c r="O3624" s="35">
        <v>0</v>
      </c>
      <c r="P3624" s="35">
        <v>0</v>
      </c>
      <c r="Q3624" s="35">
        <v>0</v>
      </c>
      <c r="R3624" s="42">
        <v>1.1025716625000004</v>
      </c>
      <c r="S3624" s="7" t="s">
        <v>2777</v>
      </c>
      <c r="T3624" s="257">
        <f t="shared" si="119"/>
        <v>16</v>
      </c>
      <c r="U3624" s="257">
        <f t="shared" si="120"/>
        <v>4</v>
      </c>
      <c r="V3624">
        <v>1</v>
      </c>
      <c r="W3624">
        <v>1</v>
      </c>
    </row>
    <row r="3625" spans="1:23" ht="22.8" x14ac:dyDescent="0.3">
      <c r="A3625" s="214">
        <v>44481</v>
      </c>
      <c r="B3625" s="214">
        <v>44482</v>
      </c>
      <c r="C3625" s="6">
        <v>10</v>
      </c>
      <c r="D3625" s="6">
        <v>2</v>
      </c>
      <c r="E3625" s="33">
        <v>2021</v>
      </c>
      <c r="F3625" s="15" t="s">
        <v>22</v>
      </c>
      <c r="G3625" s="16" t="s">
        <v>6254</v>
      </c>
      <c r="H3625" s="9" t="s">
        <v>72</v>
      </c>
      <c r="I3625" s="34" t="s">
        <v>5726</v>
      </c>
      <c r="J3625" s="58" t="s">
        <v>5727</v>
      </c>
      <c r="K3625" s="33">
        <v>0</v>
      </c>
      <c r="L3625" s="236">
        <v>12952</v>
      </c>
      <c r="M3625" s="35">
        <v>0</v>
      </c>
      <c r="N3625" s="35">
        <v>0</v>
      </c>
      <c r="O3625" s="35">
        <v>0</v>
      </c>
      <c r="P3625" s="35">
        <v>0</v>
      </c>
      <c r="Q3625" s="35">
        <v>0</v>
      </c>
      <c r="R3625" s="42">
        <v>8.0749487999999996</v>
      </c>
      <c r="S3625" s="7" t="s">
        <v>5442</v>
      </c>
      <c r="T3625" s="257">
        <f t="shared" si="119"/>
        <v>12952</v>
      </c>
      <c r="U3625" s="257">
        <f t="shared" si="120"/>
        <v>0</v>
      </c>
      <c r="V3625">
        <v>2</v>
      </c>
      <c r="W3625">
        <v>0</v>
      </c>
    </row>
    <row r="3626" spans="1:23" ht="307.8" x14ac:dyDescent="0.3">
      <c r="A3626" s="214">
        <v>44482</v>
      </c>
      <c r="B3626" s="214">
        <v>44484</v>
      </c>
      <c r="C3626" s="6">
        <v>10</v>
      </c>
      <c r="D3626" s="6">
        <v>3</v>
      </c>
      <c r="E3626" s="33">
        <v>2021</v>
      </c>
      <c r="F3626" s="15" t="s">
        <v>22</v>
      </c>
      <c r="G3626" s="16" t="s">
        <v>6254</v>
      </c>
      <c r="H3626" s="9" t="s">
        <v>56</v>
      </c>
      <c r="I3626" s="34" t="s">
        <v>5728</v>
      </c>
      <c r="J3626" s="58" t="s">
        <v>5729</v>
      </c>
      <c r="K3626" s="33">
        <v>3</v>
      </c>
      <c r="L3626" s="236">
        <v>21000</v>
      </c>
      <c r="M3626" s="35">
        <v>14201</v>
      </c>
      <c r="N3626" s="35">
        <v>0</v>
      </c>
      <c r="O3626" s="35">
        <v>0</v>
      </c>
      <c r="P3626" s="35">
        <v>0</v>
      </c>
      <c r="Q3626" s="35">
        <v>0</v>
      </c>
      <c r="R3626" s="42">
        <v>1934.11141294</v>
      </c>
      <c r="S3626" s="7" t="s">
        <v>5730</v>
      </c>
      <c r="T3626" s="257">
        <f t="shared" si="119"/>
        <v>21003</v>
      </c>
      <c r="U3626" s="257">
        <f t="shared" si="120"/>
        <v>14201</v>
      </c>
      <c r="V3626">
        <v>2</v>
      </c>
      <c r="W3626">
        <v>3</v>
      </c>
    </row>
    <row r="3627" spans="1:23" ht="102.6" x14ac:dyDescent="0.3">
      <c r="A3627" s="214">
        <v>44483</v>
      </c>
      <c r="B3627" s="214">
        <v>44491</v>
      </c>
      <c r="C3627" s="6">
        <v>10</v>
      </c>
      <c r="D3627" s="6">
        <v>9</v>
      </c>
      <c r="E3627" s="33">
        <v>2021</v>
      </c>
      <c r="F3627" s="15" t="s">
        <v>22</v>
      </c>
      <c r="G3627" s="16" t="s">
        <v>6256</v>
      </c>
      <c r="H3627" s="9" t="s">
        <v>41</v>
      </c>
      <c r="I3627" s="34" t="s">
        <v>41</v>
      </c>
      <c r="J3627" s="58" t="s">
        <v>5731</v>
      </c>
      <c r="K3627" s="33">
        <v>4</v>
      </c>
      <c r="L3627" s="236">
        <v>4</v>
      </c>
      <c r="M3627" s="35">
        <v>0</v>
      </c>
      <c r="N3627" s="35">
        <v>0</v>
      </c>
      <c r="O3627" s="35">
        <v>0</v>
      </c>
      <c r="P3627" s="35">
        <v>0</v>
      </c>
      <c r="Q3627" s="35">
        <v>0</v>
      </c>
      <c r="R3627" s="42">
        <v>0</v>
      </c>
      <c r="S3627" s="7" t="s">
        <v>2777</v>
      </c>
      <c r="T3627" s="257">
        <f t="shared" si="119"/>
        <v>8</v>
      </c>
      <c r="U3627" s="257">
        <f t="shared" si="120"/>
        <v>0</v>
      </c>
      <c r="V3627">
        <v>1</v>
      </c>
      <c r="W3627">
        <v>0</v>
      </c>
    </row>
    <row r="3628" spans="1:23" ht="250.8" x14ac:dyDescent="0.3">
      <c r="A3628" s="214">
        <v>44486</v>
      </c>
      <c r="B3628" s="214">
        <v>44486</v>
      </c>
      <c r="C3628" s="6">
        <v>10</v>
      </c>
      <c r="D3628" s="6">
        <v>1</v>
      </c>
      <c r="E3628" s="33">
        <v>2021</v>
      </c>
      <c r="F3628" s="15" t="s">
        <v>22</v>
      </c>
      <c r="G3628" s="18" t="s">
        <v>6256</v>
      </c>
      <c r="H3628" s="9" t="s">
        <v>174</v>
      </c>
      <c r="I3628" s="34" t="s">
        <v>5732</v>
      </c>
      <c r="J3628" s="58" t="s">
        <v>5733</v>
      </c>
      <c r="K3628" s="33">
        <v>0</v>
      </c>
      <c r="L3628" s="236">
        <v>708</v>
      </c>
      <c r="M3628" s="35">
        <v>177</v>
      </c>
      <c r="N3628" s="35">
        <v>0</v>
      </c>
      <c r="O3628" s="35">
        <v>0</v>
      </c>
      <c r="P3628" s="35">
        <v>0</v>
      </c>
      <c r="Q3628" s="35">
        <v>0</v>
      </c>
      <c r="R3628" s="42">
        <v>0.23612242500000002</v>
      </c>
      <c r="S3628" s="7" t="s">
        <v>2777</v>
      </c>
      <c r="T3628" s="257">
        <f t="shared" si="119"/>
        <v>708</v>
      </c>
      <c r="U3628" s="257">
        <f t="shared" si="120"/>
        <v>177</v>
      </c>
      <c r="V3628">
        <v>1</v>
      </c>
      <c r="W3628">
        <v>1</v>
      </c>
    </row>
    <row r="3629" spans="1:23" ht="125.4" x14ac:dyDescent="0.3">
      <c r="A3629" s="214">
        <v>44486</v>
      </c>
      <c r="B3629" s="214">
        <v>44487</v>
      </c>
      <c r="C3629" s="6">
        <v>10</v>
      </c>
      <c r="D3629" s="6">
        <v>2</v>
      </c>
      <c r="E3629" s="33">
        <v>2021</v>
      </c>
      <c r="F3629" s="15" t="s">
        <v>22</v>
      </c>
      <c r="G3629" s="18" t="s">
        <v>6256</v>
      </c>
      <c r="H3629" s="9" t="s">
        <v>31</v>
      </c>
      <c r="I3629" s="34" t="s">
        <v>5734</v>
      </c>
      <c r="J3629" s="58" t="s">
        <v>5735</v>
      </c>
      <c r="K3629" s="33">
        <v>0</v>
      </c>
      <c r="L3629" s="236">
        <v>44</v>
      </c>
      <c r="M3629" s="35">
        <v>10</v>
      </c>
      <c r="N3629" s="35">
        <v>0</v>
      </c>
      <c r="O3629" s="35">
        <v>0</v>
      </c>
      <c r="P3629" s="35">
        <v>0</v>
      </c>
      <c r="Q3629" s="35">
        <v>0</v>
      </c>
      <c r="R3629" s="42">
        <v>1.334025E-2</v>
      </c>
      <c r="S3629" s="7" t="s">
        <v>2777</v>
      </c>
      <c r="T3629" s="257">
        <f t="shared" si="119"/>
        <v>44</v>
      </c>
      <c r="U3629" s="257">
        <f t="shared" si="120"/>
        <v>10</v>
      </c>
      <c r="V3629">
        <v>1</v>
      </c>
      <c r="W3629">
        <v>1</v>
      </c>
    </row>
    <row r="3630" spans="1:23" ht="68.400000000000006" x14ac:dyDescent="0.3">
      <c r="A3630" s="214">
        <v>44487</v>
      </c>
      <c r="B3630" s="214">
        <v>44487</v>
      </c>
      <c r="C3630" s="6">
        <v>10</v>
      </c>
      <c r="D3630" s="6">
        <v>1</v>
      </c>
      <c r="E3630" s="33">
        <v>2021</v>
      </c>
      <c r="F3630" s="15" t="s">
        <v>22</v>
      </c>
      <c r="G3630" s="18" t="s">
        <v>6256</v>
      </c>
      <c r="H3630" s="17" t="s">
        <v>565</v>
      </c>
      <c r="I3630" s="34" t="s">
        <v>1266</v>
      </c>
      <c r="J3630" s="58" t="s">
        <v>5736</v>
      </c>
      <c r="K3630" s="33">
        <v>0</v>
      </c>
      <c r="L3630" s="236">
        <v>80</v>
      </c>
      <c r="M3630" s="35">
        <v>20</v>
      </c>
      <c r="N3630" s="35">
        <v>0</v>
      </c>
      <c r="O3630" s="35">
        <v>0</v>
      </c>
      <c r="P3630" s="35">
        <v>0</v>
      </c>
      <c r="Q3630" s="35">
        <v>0</v>
      </c>
      <c r="R3630" s="42">
        <v>2.6680499999999999E-2</v>
      </c>
      <c r="S3630" s="7" t="s">
        <v>2777</v>
      </c>
      <c r="T3630" s="257">
        <f t="shared" si="119"/>
        <v>80</v>
      </c>
      <c r="U3630" s="257">
        <f t="shared" si="120"/>
        <v>20</v>
      </c>
      <c r="V3630">
        <v>1</v>
      </c>
      <c r="W3630">
        <v>1</v>
      </c>
    </row>
    <row r="3631" spans="1:23" ht="125.4" x14ac:dyDescent="0.3">
      <c r="A3631" s="214">
        <v>44492</v>
      </c>
      <c r="B3631" s="214">
        <v>44493</v>
      </c>
      <c r="C3631" s="6">
        <v>10</v>
      </c>
      <c r="D3631" s="6">
        <v>2</v>
      </c>
      <c r="E3631" s="33">
        <v>2021</v>
      </c>
      <c r="F3631" s="15" t="s">
        <v>22</v>
      </c>
      <c r="G3631" s="18" t="s">
        <v>6256</v>
      </c>
      <c r="H3631" s="9" t="s">
        <v>55</v>
      </c>
      <c r="I3631" s="34" t="s">
        <v>1028</v>
      </c>
      <c r="J3631" s="58" t="s">
        <v>5737</v>
      </c>
      <c r="K3631" s="33">
        <v>1</v>
      </c>
      <c r="L3631" s="236">
        <v>0</v>
      </c>
      <c r="M3631" s="35">
        <v>18</v>
      </c>
      <c r="N3631" s="35">
        <v>0</v>
      </c>
      <c r="O3631" s="35">
        <v>0</v>
      </c>
      <c r="P3631" s="35">
        <v>0</v>
      </c>
      <c r="Q3631" s="35">
        <v>0</v>
      </c>
      <c r="R3631" s="42">
        <v>0.43992726250000008</v>
      </c>
      <c r="S3631" s="7" t="s">
        <v>2777</v>
      </c>
      <c r="T3631" s="257">
        <f t="shared" si="119"/>
        <v>1</v>
      </c>
      <c r="U3631" s="257">
        <f t="shared" si="120"/>
        <v>18</v>
      </c>
      <c r="V3631">
        <v>1</v>
      </c>
      <c r="W3631">
        <v>1</v>
      </c>
    </row>
    <row r="3632" spans="1:23" ht="114" x14ac:dyDescent="0.3">
      <c r="A3632" s="214">
        <v>42897</v>
      </c>
      <c r="B3632" s="214">
        <v>42897</v>
      </c>
      <c r="C3632" s="6">
        <v>6</v>
      </c>
      <c r="D3632" s="6">
        <v>1</v>
      </c>
      <c r="E3632" s="33">
        <v>2017</v>
      </c>
      <c r="F3632" s="15" t="s">
        <v>22</v>
      </c>
      <c r="G3632" s="18" t="s">
        <v>6256</v>
      </c>
      <c r="H3632" s="9" t="s">
        <v>48</v>
      </c>
      <c r="I3632" s="34" t="s">
        <v>5738</v>
      </c>
      <c r="J3632" s="34" t="s">
        <v>5739</v>
      </c>
      <c r="K3632" s="33">
        <v>6</v>
      </c>
      <c r="L3632" s="236">
        <v>10</v>
      </c>
      <c r="M3632" s="35">
        <v>0</v>
      </c>
      <c r="N3632" s="35">
        <v>0</v>
      </c>
      <c r="O3632" s="35">
        <v>0</v>
      </c>
      <c r="P3632" s="35">
        <v>0</v>
      </c>
      <c r="Q3632" s="35">
        <v>0</v>
      </c>
      <c r="R3632" s="36">
        <v>0</v>
      </c>
      <c r="S3632" s="7" t="s">
        <v>115</v>
      </c>
      <c r="T3632" s="257">
        <f t="shared" si="119"/>
        <v>16</v>
      </c>
      <c r="U3632" s="257">
        <f t="shared" si="120"/>
        <v>0</v>
      </c>
      <c r="V3632">
        <v>1</v>
      </c>
      <c r="W3632">
        <v>0</v>
      </c>
    </row>
    <row r="3633" spans="1:23" ht="125.4" x14ac:dyDescent="0.3">
      <c r="A3633" s="214">
        <v>44496</v>
      </c>
      <c r="B3633" s="214">
        <v>44496</v>
      </c>
      <c r="C3633" s="6">
        <v>10</v>
      </c>
      <c r="D3633" s="6">
        <v>1</v>
      </c>
      <c r="E3633" s="33">
        <v>2021</v>
      </c>
      <c r="F3633" s="7" t="s">
        <v>17</v>
      </c>
      <c r="G3633" s="8" t="s">
        <v>6261</v>
      </c>
      <c r="H3633" s="9" t="s">
        <v>31</v>
      </c>
      <c r="I3633" s="34" t="s">
        <v>5740</v>
      </c>
      <c r="J3633" s="58" t="s">
        <v>5741</v>
      </c>
      <c r="K3633" s="33">
        <v>1</v>
      </c>
      <c r="L3633" s="236">
        <v>4</v>
      </c>
      <c r="M3633" s="35">
        <v>0</v>
      </c>
      <c r="N3633" s="35">
        <v>0</v>
      </c>
      <c r="O3633" s="35">
        <v>0</v>
      </c>
      <c r="P3633" s="35">
        <v>0</v>
      </c>
      <c r="Q3633" s="35">
        <v>0</v>
      </c>
      <c r="R3633" s="42">
        <v>0.14104740100000002</v>
      </c>
      <c r="S3633" s="7" t="s">
        <v>2777</v>
      </c>
      <c r="T3633" s="257">
        <f t="shared" si="119"/>
        <v>5</v>
      </c>
      <c r="U3633" s="257">
        <f t="shared" si="120"/>
        <v>0</v>
      </c>
      <c r="V3633">
        <v>1</v>
      </c>
      <c r="W3633">
        <v>0</v>
      </c>
    </row>
    <row r="3634" spans="1:23" ht="114" x14ac:dyDescent="0.3">
      <c r="A3634" s="214">
        <v>44512</v>
      </c>
      <c r="B3634" s="214">
        <v>44513</v>
      </c>
      <c r="C3634" s="6">
        <v>11</v>
      </c>
      <c r="D3634" s="6">
        <v>2</v>
      </c>
      <c r="E3634" s="33">
        <v>2021</v>
      </c>
      <c r="F3634" s="15" t="s">
        <v>22</v>
      </c>
      <c r="G3634" s="18" t="s">
        <v>6256</v>
      </c>
      <c r="H3634" s="9" t="s">
        <v>31</v>
      </c>
      <c r="I3634" s="34" t="s">
        <v>5742</v>
      </c>
      <c r="J3634" s="58" t="s">
        <v>5743</v>
      </c>
      <c r="K3634" s="33">
        <v>0</v>
      </c>
      <c r="L3634" s="236">
        <v>328</v>
      </c>
      <c r="M3634" s="35">
        <v>82</v>
      </c>
      <c r="N3634" s="35">
        <v>0</v>
      </c>
      <c r="O3634" s="35">
        <v>0</v>
      </c>
      <c r="P3634" s="35">
        <v>0</v>
      </c>
      <c r="Q3634" s="35">
        <v>0</v>
      </c>
      <c r="R3634" s="42">
        <v>0.10939005</v>
      </c>
      <c r="S3634" s="7" t="s">
        <v>2777</v>
      </c>
      <c r="T3634" s="257">
        <f t="shared" si="119"/>
        <v>328</v>
      </c>
      <c r="U3634" s="257">
        <f t="shared" si="120"/>
        <v>82</v>
      </c>
      <c r="V3634">
        <v>1</v>
      </c>
      <c r="W3634">
        <v>1</v>
      </c>
    </row>
    <row r="3635" spans="1:23" ht="262.2" x14ac:dyDescent="0.3">
      <c r="A3635" s="214">
        <v>44522</v>
      </c>
      <c r="B3635" s="214">
        <v>44529</v>
      </c>
      <c r="C3635" s="6">
        <v>11</v>
      </c>
      <c r="D3635" s="6">
        <v>8</v>
      </c>
      <c r="E3635" s="33">
        <v>2021</v>
      </c>
      <c r="F3635" s="15" t="s">
        <v>22</v>
      </c>
      <c r="G3635" s="18" t="s">
        <v>6256</v>
      </c>
      <c r="H3635" s="9" t="s">
        <v>174</v>
      </c>
      <c r="I3635" s="34" t="s">
        <v>5744</v>
      </c>
      <c r="J3635" s="58" t="s">
        <v>5745</v>
      </c>
      <c r="K3635" s="33">
        <v>0</v>
      </c>
      <c r="L3635" s="236">
        <v>1192</v>
      </c>
      <c r="M3635" s="35">
        <v>298</v>
      </c>
      <c r="N3635" s="35">
        <v>1</v>
      </c>
      <c r="O3635" s="35">
        <v>0</v>
      </c>
      <c r="P3635" s="35">
        <v>2</v>
      </c>
      <c r="Q3635" s="35">
        <v>0</v>
      </c>
      <c r="R3635" s="42">
        <v>1.4947750125000001</v>
      </c>
      <c r="S3635" s="7" t="s">
        <v>2777</v>
      </c>
      <c r="T3635" s="257">
        <f t="shared" si="119"/>
        <v>1192</v>
      </c>
      <c r="U3635" s="257">
        <f t="shared" si="120"/>
        <v>301</v>
      </c>
      <c r="V3635">
        <v>1</v>
      </c>
      <c r="W3635">
        <v>1</v>
      </c>
    </row>
    <row r="3636" spans="1:23" ht="159.6" x14ac:dyDescent="0.3">
      <c r="A3636" s="214">
        <v>44543</v>
      </c>
      <c r="B3636" s="214">
        <v>44543</v>
      </c>
      <c r="C3636" s="6">
        <v>12</v>
      </c>
      <c r="D3636" s="6">
        <v>1</v>
      </c>
      <c r="E3636" s="33">
        <v>2021</v>
      </c>
      <c r="F3636" s="15" t="s">
        <v>22</v>
      </c>
      <c r="G3636" s="18" t="s">
        <v>6256</v>
      </c>
      <c r="H3636" s="9" t="s">
        <v>31</v>
      </c>
      <c r="I3636" s="34" t="s">
        <v>274</v>
      </c>
      <c r="J3636" s="58" t="s">
        <v>5746</v>
      </c>
      <c r="K3636" s="33">
        <v>0</v>
      </c>
      <c r="L3636" s="236">
        <v>44</v>
      </c>
      <c r="M3636" s="35">
        <v>11</v>
      </c>
      <c r="N3636" s="35">
        <v>0</v>
      </c>
      <c r="O3636" s="35">
        <v>0</v>
      </c>
      <c r="P3636" s="35">
        <v>0</v>
      </c>
      <c r="Q3636" s="35">
        <v>0</v>
      </c>
      <c r="R3636" s="42">
        <v>1.800415E-2</v>
      </c>
      <c r="S3636" s="7" t="s">
        <v>2777</v>
      </c>
      <c r="T3636" s="257">
        <f t="shared" si="119"/>
        <v>44</v>
      </c>
      <c r="U3636" s="257">
        <f t="shared" si="120"/>
        <v>11</v>
      </c>
      <c r="V3636">
        <v>1</v>
      </c>
      <c r="W3636">
        <v>1</v>
      </c>
    </row>
    <row r="3637" spans="1:23" ht="399" x14ac:dyDescent="0.3">
      <c r="A3637" s="214">
        <v>44544</v>
      </c>
      <c r="B3637" s="214">
        <v>44544</v>
      </c>
      <c r="C3637" s="6">
        <v>12</v>
      </c>
      <c r="D3637" s="6">
        <v>1</v>
      </c>
      <c r="E3637" s="33">
        <v>2021</v>
      </c>
      <c r="F3637" s="15" t="s">
        <v>22</v>
      </c>
      <c r="G3637" s="16" t="s">
        <v>6256</v>
      </c>
      <c r="H3637" s="9" t="s">
        <v>27</v>
      </c>
      <c r="I3637" s="34" t="s">
        <v>5747</v>
      </c>
      <c r="J3637" s="58" t="s">
        <v>5748</v>
      </c>
      <c r="K3637" s="33">
        <v>2</v>
      </c>
      <c r="L3637" s="236">
        <v>304</v>
      </c>
      <c r="M3637" s="35">
        <v>0</v>
      </c>
      <c r="N3637" s="35">
        <v>0</v>
      </c>
      <c r="O3637" s="35">
        <v>0</v>
      </c>
      <c r="P3637" s="35">
        <v>0</v>
      </c>
      <c r="Q3637" s="35">
        <v>0</v>
      </c>
      <c r="R3637" s="42">
        <v>0.10648000000000002</v>
      </c>
      <c r="S3637" s="7" t="s">
        <v>2777</v>
      </c>
      <c r="T3637" s="257">
        <f t="shared" si="119"/>
        <v>306</v>
      </c>
      <c r="U3637" s="257">
        <f t="shared" si="120"/>
        <v>0</v>
      </c>
      <c r="V3637">
        <v>1</v>
      </c>
      <c r="W3637">
        <v>0</v>
      </c>
    </row>
    <row r="3638" spans="1:23" ht="409.6" x14ac:dyDescent="0.3">
      <c r="A3638" s="214">
        <v>44544</v>
      </c>
      <c r="B3638" s="214">
        <v>44544</v>
      </c>
      <c r="C3638" s="6">
        <v>12</v>
      </c>
      <c r="D3638" s="6">
        <v>1</v>
      </c>
      <c r="E3638" s="33">
        <v>2021</v>
      </c>
      <c r="F3638" s="15" t="s">
        <v>22</v>
      </c>
      <c r="G3638" s="18" t="s">
        <v>6256</v>
      </c>
      <c r="H3638" s="9" t="s">
        <v>27</v>
      </c>
      <c r="I3638" s="34" t="s">
        <v>5747</v>
      </c>
      <c r="J3638" s="58" t="s">
        <v>5749</v>
      </c>
      <c r="K3638" s="33">
        <v>1</v>
      </c>
      <c r="L3638" s="236">
        <v>5</v>
      </c>
      <c r="M3638" s="35">
        <v>0</v>
      </c>
      <c r="N3638" s="35">
        <v>0</v>
      </c>
      <c r="O3638" s="35">
        <v>0</v>
      </c>
      <c r="P3638" s="35">
        <v>0</v>
      </c>
      <c r="Q3638" s="35">
        <v>0</v>
      </c>
      <c r="R3638" s="42">
        <v>0.10648000000000002</v>
      </c>
      <c r="S3638" s="7" t="s">
        <v>2777</v>
      </c>
      <c r="T3638" s="257">
        <f t="shared" si="119"/>
        <v>6</v>
      </c>
      <c r="U3638" s="257">
        <f t="shared" si="120"/>
        <v>0</v>
      </c>
      <c r="V3638">
        <v>1</v>
      </c>
      <c r="W3638">
        <v>0</v>
      </c>
    </row>
    <row r="3639" spans="1:23" ht="182.4" x14ac:dyDescent="0.3">
      <c r="A3639" s="214">
        <v>44561</v>
      </c>
      <c r="B3639" s="214">
        <v>44562</v>
      </c>
      <c r="C3639" s="6">
        <v>12</v>
      </c>
      <c r="D3639" s="6">
        <v>2</v>
      </c>
      <c r="E3639" s="33">
        <v>2021</v>
      </c>
      <c r="F3639" s="15" t="s">
        <v>22</v>
      </c>
      <c r="G3639" s="18" t="s">
        <v>6256</v>
      </c>
      <c r="H3639" s="9" t="s">
        <v>74</v>
      </c>
      <c r="I3639" s="34" t="s">
        <v>656</v>
      </c>
      <c r="J3639" s="58" t="s">
        <v>5750</v>
      </c>
      <c r="K3639" s="33">
        <v>0</v>
      </c>
      <c r="L3639" s="236">
        <v>12</v>
      </c>
      <c r="M3639" s="35">
        <v>1</v>
      </c>
      <c r="N3639" s="35">
        <v>0</v>
      </c>
      <c r="O3639" s="35">
        <v>0</v>
      </c>
      <c r="P3639" s="35">
        <v>0</v>
      </c>
      <c r="Q3639" s="35">
        <v>0</v>
      </c>
      <c r="R3639" s="42">
        <v>0.74669402500000015</v>
      </c>
      <c r="S3639" s="7" t="s">
        <v>2777</v>
      </c>
      <c r="T3639" s="257">
        <f t="shared" si="119"/>
        <v>12</v>
      </c>
      <c r="U3639" s="257">
        <f t="shared" si="120"/>
        <v>1</v>
      </c>
      <c r="V3639">
        <v>1</v>
      </c>
      <c r="W3639">
        <v>1</v>
      </c>
    </row>
    <row r="3640" spans="1:23" ht="409.6" x14ac:dyDescent="0.3">
      <c r="A3640" s="114">
        <v>44563</v>
      </c>
      <c r="B3640" s="114">
        <v>44565</v>
      </c>
      <c r="C3640" s="6">
        <v>1</v>
      </c>
      <c r="D3640" s="6">
        <v>3</v>
      </c>
      <c r="E3640" s="115">
        <v>2022</v>
      </c>
      <c r="F3640" s="15" t="s">
        <v>22</v>
      </c>
      <c r="G3640" s="9" t="s">
        <v>6257</v>
      </c>
      <c r="H3640" s="117" t="s">
        <v>5751</v>
      </c>
      <c r="I3640" s="117" t="s">
        <v>5752</v>
      </c>
      <c r="J3640" s="118" t="s">
        <v>5753</v>
      </c>
      <c r="K3640" s="117">
        <v>0</v>
      </c>
      <c r="L3640" s="245">
        <f>(18*4)*1</f>
        <v>72</v>
      </c>
      <c r="M3640" s="119">
        <v>18</v>
      </c>
      <c r="N3640" s="119">
        <v>0</v>
      </c>
      <c r="O3640" s="119">
        <v>0</v>
      </c>
      <c r="P3640" s="119">
        <v>0</v>
      </c>
      <c r="Q3640" s="119">
        <v>0</v>
      </c>
      <c r="R3640" s="120">
        <v>1.337289E-2</v>
      </c>
      <c r="S3640" s="119" t="s">
        <v>115</v>
      </c>
      <c r="T3640" s="257">
        <f t="shared" si="119"/>
        <v>72</v>
      </c>
      <c r="U3640" s="257">
        <f t="shared" si="120"/>
        <v>18</v>
      </c>
      <c r="V3640">
        <v>1</v>
      </c>
      <c r="W3640">
        <v>1</v>
      </c>
    </row>
    <row r="3641" spans="1:23" ht="120" x14ac:dyDescent="0.3">
      <c r="A3641" s="114">
        <v>44569</v>
      </c>
      <c r="B3641" s="114">
        <v>44569</v>
      </c>
      <c r="C3641" s="6">
        <v>1</v>
      </c>
      <c r="D3641" s="6">
        <v>1</v>
      </c>
      <c r="E3641" s="115">
        <v>2022</v>
      </c>
      <c r="F3641" s="15" t="s">
        <v>22</v>
      </c>
      <c r="G3641" s="82" t="s">
        <v>6256</v>
      </c>
      <c r="H3641" s="9" t="s">
        <v>64</v>
      </c>
      <c r="I3641" s="117" t="s">
        <v>2596</v>
      </c>
      <c r="J3641" s="118" t="s">
        <v>5754</v>
      </c>
      <c r="K3641" s="117">
        <v>0</v>
      </c>
      <c r="L3641" s="245">
        <v>28</v>
      </c>
      <c r="M3641" s="119">
        <v>7</v>
      </c>
      <c r="N3641" s="119">
        <v>0</v>
      </c>
      <c r="O3641" s="119">
        <v>0</v>
      </c>
      <c r="P3641" s="119">
        <v>0</v>
      </c>
      <c r="Q3641" s="119">
        <v>0</v>
      </c>
      <c r="R3641" s="120">
        <v>4.8914249999999999E-2</v>
      </c>
      <c r="S3641" s="119" t="s">
        <v>115</v>
      </c>
      <c r="T3641" s="257">
        <f t="shared" si="119"/>
        <v>28</v>
      </c>
      <c r="U3641" s="257">
        <f t="shared" si="120"/>
        <v>7</v>
      </c>
      <c r="V3641">
        <v>1</v>
      </c>
      <c r="W3641">
        <v>1</v>
      </c>
    </row>
    <row r="3642" spans="1:23" ht="84" x14ac:dyDescent="0.3">
      <c r="A3642" s="114">
        <v>44571</v>
      </c>
      <c r="B3642" s="114">
        <v>44571</v>
      </c>
      <c r="C3642" s="6">
        <v>1</v>
      </c>
      <c r="D3642" s="6">
        <v>1</v>
      </c>
      <c r="E3642" s="115">
        <v>2022</v>
      </c>
      <c r="F3642" s="15" t="s">
        <v>22</v>
      </c>
      <c r="G3642" s="9" t="s">
        <v>6257</v>
      </c>
      <c r="H3642" s="9" t="s">
        <v>174</v>
      </c>
      <c r="I3642" s="117" t="s">
        <v>5755</v>
      </c>
      <c r="J3642" s="118" t="s">
        <v>5756</v>
      </c>
      <c r="K3642" s="117">
        <v>0</v>
      </c>
      <c r="L3642" s="245">
        <v>348</v>
      </c>
      <c r="M3642" s="119">
        <v>87</v>
      </c>
      <c r="N3642" s="119">
        <v>2</v>
      </c>
      <c r="O3642" s="119">
        <v>0</v>
      </c>
      <c r="P3642" s="119">
        <v>0</v>
      </c>
      <c r="Q3642" s="119">
        <v>0</v>
      </c>
      <c r="R3642" s="120">
        <v>0.11432355</v>
      </c>
      <c r="S3642" s="119" t="s">
        <v>115</v>
      </c>
      <c r="T3642" s="257">
        <f t="shared" si="119"/>
        <v>348</v>
      </c>
      <c r="U3642" s="257">
        <f t="shared" si="120"/>
        <v>89</v>
      </c>
      <c r="V3642">
        <v>1</v>
      </c>
      <c r="W3642">
        <v>1</v>
      </c>
    </row>
    <row r="3643" spans="1:23" ht="60" x14ac:dyDescent="0.3">
      <c r="A3643" s="114">
        <v>44600</v>
      </c>
      <c r="B3643" s="114">
        <v>44600</v>
      </c>
      <c r="C3643" s="6">
        <v>2</v>
      </c>
      <c r="D3643" s="6">
        <v>1</v>
      </c>
      <c r="E3643" s="115">
        <v>2022</v>
      </c>
      <c r="F3643" s="15" t="s">
        <v>22</v>
      </c>
      <c r="G3643" s="82" t="s">
        <v>6256</v>
      </c>
      <c r="H3643" s="9" t="s">
        <v>52</v>
      </c>
      <c r="I3643" s="117" t="s">
        <v>737</v>
      </c>
      <c r="J3643" s="118" t="s">
        <v>5757</v>
      </c>
      <c r="K3643" s="117">
        <v>0</v>
      </c>
      <c r="L3643" s="245">
        <v>88</v>
      </c>
      <c r="M3643" s="119">
        <v>22</v>
      </c>
      <c r="N3643" s="119">
        <v>0</v>
      </c>
      <c r="O3643" s="119">
        <v>0</v>
      </c>
      <c r="P3643" s="119">
        <v>0</v>
      </c>
      <c r="Q3643" s="119">
        <v>0</v>
      </c>
      <c r="R3643" s="120">
        <v>0.15373049999999999</v>
      </c>
      <c r="S3643" s="119" t="s">
        <v>115</v>
      </c>
      <c r="T3643" s="257">
        <f t="shared" si="119"/>
        <v>88</v>
      </c>
      <c r="U3643" s="257">
        <f t="shared" si="120"/>
        <v>22</v>
      </c>
      <c r="V3643">
        <v>1</v>
      </c>
      <c r="W3643">
        <v>1</v>
      </c>
    </row>
    <row r="3644" spans="1:23" ht="72" x14ac:dyDescent="0.3">
      <c r="A3644" s="114">
        <v>44606</v>
      </c>
      <c r="B3644" s="114">
        <v>44606</v>
      </c>
      <c r="C3644" s="6">
        <v>2</v>
      </c>
      <c r="D3644" s="6">
        <v>1</v>
      </c>
      <c r="E3644" s="115">
        <v>2022</v>
      </c>
      <c r="F3644" s="15" t="s">
        <v>22</v>
      </c>
      <c r="G3644" s="116" t="s">
        <v>6256</v>
      </c>
      <c r="H3644" s="9" t="s">
        <v>31</v>
      </c>
      <c r="I3644" s="117" t="s">
        <v>5205</v>
      </c>
      <c r="J3644" s="118" t="s">
        <v>5758</v>
      </c>
      <c r="K3644" s="117">
        <v>0</v>
      </c>
      <c r="L3644" s="245">
        <v>12</v>
      </c>
      <c r="M3644" s="119">
        <v>3</v>
      </c>
      <c r="N3644" s="119">
        <v>0</v>
      </c>
      <c r="O3644" s="119">
        <v>0</v>
      </c>
      <c r="P3644" s="119">
        <v>0</v>
      </c>
      <c r="Q3644" s="119">
        <v>0</v>
      </c>
      <c r="R3644" s="120">
        <v>2.0963249999999999E-2</v>
      </c>
      <c r="S3644" s="119" t="s">
        <v>115</v>
      </c>
      <c r="T3644" s="257">
        <f t="shared" si="119"/>
        <v>12</v>
      </c>
      <c r="U3644" s="257">
        <f t="shared" si="120"/>
        <v>3</v>
      </c>
      <c r="V3644">
        <v>1</v>
      </c>
      <c r="W3644">
        <v>1</v>
      </c>
    </row>
    <row r="3645" spans="1:23" x14ac:dyDescent="0.3">
      <c r="A3645" s="114">
        <v>44620</v>
      </c>
      <c r="B3645" s="114">
        <v>44625</v>
      </c>
      <c r="C3645" s="6">
        <v>2</v>
      </c>
      <c r="D3645" s="6">
        <v>6</v>
      </c>
      <c r="E3645" s="115">
        <v>2022</v>
      </c>
      <c r="F3645" s="7" t="s">
        <v>17</v>
      </c>
      <c r="G3645" s="8" t="s">
        <v>6261</v>
      </c>
      <c r="H3645" s="9" t="s">
        <v>27</v>
      </c>
      <c r="I3645" s="117" t="s">
        <v>671</v>
      </c>
      <c r="J3645" s="180" t="s">
        <v>5759</v>
      </c>
      <c r="K3645" s="117">
        <v>0</v>
      </c>
      <c r="L3645" s="245">
        <v>599</v>
      </c>
      <c r="M3645" s="119">
        <v>120</v>
      </c>
      <c r="N3645" s="119">
        <v>0</v>
      </c>
      <c r="O3645" s="119">
        <v>0</v>
      </c>
      <c r="P3645" s="119">
        <v>0</v>
      </c>
      <c r="Q3645" s="119">
        <v>0</v>
      </c>
      <c r="R3645" s="120">
        <v>18.295200000000001</v>
      </c>
      <c r="S3645" s="119" t="s">
        <v>115</v>
      </c>
      <c r="T3645" s="257">
        <f t="shared" si="119"/>
        <v>599</v>
      </c>
      <c r="U3645" s="257">
        <f t="shared" si="120"/>
        <v>120</v>
      </c>
      <c r="V3645">
        <v>1</v>
      </c>
      <c r="W3645">
        <v>1</v>
      </c>
    </row>
    <row r="3646" spans="1:23" ht="409.6" x14ac:dyDescent="0.3">
      <c r="A3646" s="114">
        <v>44632</v>
      </c>
      <c r="B3646" s="114">
        <v>44633</v>
      </c>
      <c r="C3646" s="6">
        <v>3</v>
      </c>
      <c r="D3646" s="6">
        <v>2</v>
      </c>
      <c r="E3646" s="115">
        <v>2022</v>
      </c>
      <c r="F3646" s="15" t="s">
        <v>22</v>
      </c>
      <c r="G3646" s="9" t="s">
        <v>6257</v>
      </c>
      <c r="H3646" s="9" t="s">
        <v>174</v>
      </c>
      <c r="I3646" s="117" t="s">
        <v>5760</v>
      </c>
      <c r="J3646" s="118" t="s">
        <v>5761</v>
      </c>
      <c r="K3646" s="117">
        <v>0</v>
      </c>
      <c r="L3646" s="245">
        <v>192</v>
      </c>
      <c r="M3646" s="119">
        <v>48</v>
      </c>
      <c r="N3646" s="119">
        <v>6</v>
      </c>
      <c r="O3646" s="119">
        <v>0</v>
      </c>
      <c r="P3646" s="119">
        <v>11</v>
      </c>
      <c r="Q3646" s="119">
        <v>0</v>
      </c>
      <c r="R3646" s="120">
        <v>2.2360800000000004E-2</v>
      </c>
      <c r="S3646" s="119" t="s">
        <v>115</v>
      </c>
      <c r="T3646" s="257">
        <f t="shared" si="119"/>
        <v>192</v>
      </c>
      <c r="U3646" s="257">
        <f t="shared" si="120"/>
        <v>65</v>
      </c>
      <c r="V3646">
        <v>1</v>
      </c>
      <c r="W3646">
        <v>1</v>
      </c>
    </row>
    <row r="3647" spans="1:23" ht="156" x14ac:dyDescent="0.3">
      <c r="A3647" s="114">
        <v>44632</v>
      </c>
      <c r="B3647" s="114">
        <v>44633</v>
      </c>
      <c r="C3647" s="6">
        <v>3</v>
      </c>
      <c r="D3647" s="6">
        <v>2</v>
      </c>
      <c r="E3647" s="115">
        <v>2022</v>
      </c>
      <c r="F3647" s="15" t="s">
        <v>22</v>
      </c>
      <c r="G3647" s="9" t="s">
        <v>6257</v>
      </c>
      <c r="H3647" s="9" t="s">
        <v>31</v>
      </c>
      <c r="I3647" s="117" t="s">
        <v>5762</v>
      </c>
      <c r="J3647" s="118" t="s">
        <v>5763</v>
      </c>
      <c r="K3647" s="117">
        <v>0</v>
      </c>
      <c r="L3647" s="245">
        <v>16</v>
      </c>
      <c r="M3647" s="119">
        <v>4</v>
      </c>
      <c r="N3647" s="119">
        <v>0</v>
      </c>
      <c r="O3647" s="119">
        <v>0</v>
      </c>
      <c r="P3647" s="119">
        <v>0</v>
      </c>
      <c r="Q3647" s="119">
        <v>0</v>
      </c>
      <c r="R3647" s="120">
        <v>1.8634000000000001E-3</v>
      </c>
      <c r="S3647" s="119" t="s">
        <v>115</v>
      </c>
      <c r="T3647" s="257">
        <f t="shared" si="119"/>
        <v>16</v>
      </c>
      <c r="U3647" s="257">
        <f t="shared" si="120"/>
        <v>4</v>
      </c>
      <c r="V3647">
        <v>1</v>
      </c>
      <c r="W3647">
        <v>1</v>
      </c>
    </row>
    <row r="3648" spans="1:23" ht="72" x14ac:dyDescent="0.3">
      <c r="A3648" s="114">
        <v>44654</v>
      </c>
      <c r="B3648" s="114">
        <v>44654</v>
      </c>
      <c r="C3648" s="6">
        <v>4</v>
      </c>
      <c r="D3648" s="6">
        <v>1</v>
      </c>
      <c r="E3648" s="115">
        <v>2022</v>
      </c>
      <c r="F3648" s="15" t="s">
        <v>22</v>
      </c>
      <c r="G3648" s="9" t="s">
        <v>6257</v>
      </c>
      <c r="H3648" s="9" t="s">
        <v>121</v>
      </c>
      <c r="I3648" s="117" t="s">
        <v>1895</v>
      </c>
      <c r="J3648" s="118" t="s">
        <v>5765</v>
      </c>
      <c r="K3648" s="117">
        <v>0</v>
      </c>
      <c r="L3648" s="245">
        <v>49</v>
      </c>
      <c r="M3648" s="119">
        <v>0</v>
      </c>
      <c r="N3648" s="119">
        <v>0</v>
      </c>
      <c r="O3648" s="119">
        <v>0</v>
      </c>
      <c r="P3648" s="119">
        <v>1</v>
      </c>
      <c r="Q3648" s="119">
        <v>0</v>
      </c>
      <c r="R3648" s="120">
        <v>2.15622E-2</v>
      </c>
      <c r="S3648" s="119" t="s">
        <v>115</v>
      </c>
      <c r="T3648" s="257">
        <f t="shared" si="119"/>
        <v>49</v>
      </c>
      <c r="U3648" s="257">
        <f t="shared" si="120"/>
        <v>1</v>
      </c>
      <c r="V3648">
        <v>1</v>
      </c>
      <c r="W3648">
        <v>1</v>
      </c>
    </row>
    <row r="3649" spans="1:23" ht="36" x14ac:dyDescent="0.3">
      <c r="A3649" s="114">
        <v>44660</v>
      </c>
      <c r="B3649" s="114">
        <v>44660</v>
      </c>
      <c r="C3649" s="6">
        <v>4</v>
      </c>
      <c r="D3649" s="6">
        <v>1</v>
      </c>
      <c r="E3649" s="115">
        <v>2022</v>
      </c>
      <c r="F3649" s="15" t="s">
        <v>22</v>
      </c>
      <c r="G3649" s="82" t="s">
        <v>6256</v>
      </c>
      <c r="H3649" s="9" t="s">
        <v>121</v>
      </c>
      <c r="I3649" s="117" t="s">
        <v>5766</v>
      </c>
      <c r="J3649" s="118" t="s">
        <v>5767</v>
      </c>
      <c r="K3649" s="117">
        <v>0</v>
      </c>
      <c r="L3649" s="245">
        <v>46</v>
      </c>
      <c r="M3649" s="119">
        <v>11</v>
      </c>
      <c r="N3649" s="119">
        <v>0</v>
      </c>
      <c r="O3649" s="119">
        <v>0</v>
      </c>
      <c r="P3649" s="119">
        <v>0</v>
      </c>
      <c r="Q3649" s="119">
        <v>0</v>
      </c>
      <c r="R3649" s="120">
        <v>6.3857750000000005E-2</v>
      </c>
      <c r="S3649" s="119" t="s">
        <v>115</v>
      </c>
      <c r="T3649" s="257">
        <f t="shared" si="119"/>
        <v>46</v>
      </c>
      <c r="U3649" s="257">
        <f t="shared" si="120"/>
        <v>11</v>
      </c>
      <c r="V3649">
        <v>1</v>
      </c>
      <c r="W3649">
        <v>1</v>
      </c>
    </row>
    <row r="3650" spans="1:23" ht="36" x14ac:dyDescent="0.3">
      <c r="A3650" s="114">
        <v>44659</v>
      </c>
      <c r="B3650" s="114">
        <v>44660</v>
      </c>
      <c r="C3650" s="6">
        <v>4</v>
      </c>
      <c r="D3650" s="6">
        <v>2</v>
      </c>
      <c r="E3650" s="115">
        <v>2022</v>
      </c>
      <c r="F3650" s="15" t="s">
        <v>22</v>
      </c>
      <c r="G3650" s="116" t="s">
        <v>6256</v>
      </c>
      <c r="H3650" s="17" t="s">
        <v>565</v>
      </c>
      <c r="I3650" s="117" t="s">
        <v>1281</v>
      </c>
      <c r="J3650" s="118" t="s">
        <v>5768</v>
      </c>
      <c r="K3650" s="117">
        <v>0</v>
      </c>
      <c r="L3650" s="245">
        <v>180</v>
      </c>
      <c r="M3650" s="119">
        <v>45</v>
      </c>
      <c r="N3650" s="119">
        <v>0</v>
      </c>
      <c r="O3650" s="119">
        <v>0</v>
      </c>
      <c r="P3650" s="119">
        <v>0</v>
      </c>
      <c r="Q3650" s="119">
        <v>0</v>
      </c>
      <c r="R3650" s="120">
        <v>0.31444875</v>
      </c>
      <c r="S3650" s="119" t="s">
        <v>115</v>
      </c>
      <c r="T3650" s="257">
        <f t="shared" si="119"/>
        <v>180</v>
      </c>
      <c r="U3650" s="257">
        <f t="shared" si="120"/>
        <v>45</v>
      </c>
      <c r="V3650">
        <v>1</v>
      </c>
      <c r="W3650">
        <v>1</v>
      </c>
    </row>
    <row r="3651" spans="1:23" ht="120" x14ac:dyDescent="0.3">
      <c r="A3651" s="114">
        <v>44670</v>
      </c>
      <c r="B3651" s="114">
        <v>44670</v>
      </c>
      <c r="C3651" s="6">
        <v>4</v>
      </c>
      <c r="D3651" s="6">
        <v>1</v>
      </c>
      <c r="E3651" s="115">
        <v>2022</v>
      </c>
      <c r="F3651" s="15" t="s">
        <v>22</v>
      </c>
      <c r="G3651" s="16" t="s">
        <v>6256</v>
      </c>
      <c r="H3651" s="9" t="s">
        <v>43</v>
      </c>
      <c r="I3651" s="117" t="s">
        <v>5769</v>
      </c>
      <c r="J3651" s="118" t="s">
        <v>5770</v>
      </c>
      <c r="K3651" s="117">
        <v>0</v>
      </c>
      <c r="L3651" s="245">
        <v>80</v>
      </c>
      <c r="M3651" s="119">
        <v>25</v>
      </c>
      <c r="N3651" s="119">
        <v>0</v>
      </c>
      <c r="O3651" s="119">
        <v>0</v>
      </c>
      <c r="P3651" s="119">
        <v>0</v>
      </c>
      <c r="Q3651" s="119">
        <v>0</v>
      </c>
      <c r="R3651" s="120">
        <v>3.3350625000000002E-2</v>
      </c>
      <c r="S3651" s="119" t="s">
        <v>115</v>
      </c>
      <c r="T3651" s="257">
        <f t="shared" ref="T3651:T3714" si="121">SUM(K3651:L3651)</f>
        <v>80</v>
      </c>
      <c r="U3651" s="257">
        <f t="shared" ref="U3651:U3714" si="122">SUM(M3651:P3651)</f>
        <v>25</v>
      </c>
      <c r="V3651">
        <v>1</v>
      </c>
      <c r="W3651">
        <v>1</v>
      </c>
    </row>
    <row r="3652" spans="1:23" ht="252" x14ac:dyDescent="0.3">
      <c r="A3652" s="114">
        <v>44672</v>
      </c>
      <c r="B3652" s="114">
        <v>44673</v>
      </c>
      <c r="C3652" s="6">
        <v>4</v>
      </c>
      <c r="D3652" s="6">
        <v>2</v>
      </c>
      <c r="E3652" s="115">
        <v>2022</v>
      </c>
      <c r="F3652" s="15" t="s">
        <v>22</v>
      </c>
      <c r="G3652" s="82" t="s">
        <v>6256</v>
      </c>
      <c r="H3652" s="9" t="s">
        <v>64</v>
      </c>
      <c r="I3652" s="117" t="s">
        <v>5771</v>
      </c>
      <c r="J3652" s="181" t="s">
        <v>5772</v>
      </c>
      <c r="K3652" s="117">
        <v>0</v>
      </c>
      <c r="L3652" s="245">
        <v>44</v>
      </c>
      <c r="M3652" s="119">
        <v>8</v>
      </c>
      <c r="N3652" s="119">
        <v>0</v>
      </c>
      <c r="O3652" s="119">
        <v>0</v>
      </c>
      <c r="P3652" s="119">
        <v>0</v>
      </c>
      <c r="Q3652" s="119">
        <v>500</v>
      </c>
      <c r="R3652" s="120">
        <v>4.5949750000000003E-3</v>
      </c>
      <c r="S3652" s="119" t="s">
        <v>115</v>
      </c>
      <c r="T3652" s="257">
        <f t="shared" si="121"/>
        <v>44</v>
      </c>
      <c r="U3652" s="257">
        <f t="shared" si="122"/>
        <v>8</v>
      </c>
      <c r="V3652">
        <v>1</v>
      </c>
      <c r="W3652">
        <v>1</v>
      </c>
    </row>
    <row r="3653" spans="1:23" ht="36" x14ac:dyDescent="0.3">
      <c r="A3653" s="114">
        <v>44659</v>
      </c>
      <c r="B3653" s="114">
        <v>44659</v>
      </c>
      <c r="C3653" s="6">
        <v>4</v>
      </c>
      <c r="D3653" s="6">
        <v>1</v>
      </c>
      <c r="E3653" s="115">
        <v>2022</v>
      </c>
      <c r="F3653" s="7" t="s">
        <v>17</v>
      </c>
      <c r="G3653" s="8" t="s">
        <v>6261</v>
      </c>
      <c r="H3653" s="9" t="s">
        <v>31</v>
      </c>
      <c r="I3653" s="117" t="s">
        <v>5773</v>
      </c>
      <c r="J3653" s="181" t="s">
        <v>5774</v>
      </c>
      <c r="K3653" s="117">
        <v>0</v>
      </c>
      <c r="L3653" s="245">
        <v>1946</v>
      </c>
      <c r="M3653" s="119">
        <v>288</v>
      </c>
      <c r="N3653" s="119">
        <v>2</v>
      </c>
      <c r="O3653" s="119">
        <v>1</v>
      </c>
      <c r="P3653" s="119">
        <v>0</v>
      </c>
      <c r="Q3653" s="119">
        <v>0</v>
      </c>
      <c r="R3653" s="120">
        <v>35.531087999999997</v>
      </c>
      <c r="S3653" s="119" t="s">
        <v>5775</v>
      </c>
      <c r="T3653" s="257">
        <f t="shared" si="121"/>
        <v>1946</v>
      </c>
      <c r="U3653" s="257">
        <f t="shared" si="122"/>
        <v>291</v>
      </c>
      <c r="V3653">
        <v>1</v>
      </c>
      <c r="W3653">
        <v>1</v>
      </c>
    </row>
    <row r="3654" spans="1:23" ht="36" x14ac:dyDescent="0.3">
      <c r="A3654" s="114">
        <v>44677</v>
      </c>
      <c r="B3654" s="114">
        <v>44677</v>
      </c>
      <c r="C3654" s="6">
        <v>4</v>
      </c>
      <c r="D3654" s="6">
        <v>1</v>
      </c>
      <c r="E3654" s="115">
        <v>2022</v>
      </c>
      <c r="F3654" s="15" t="s">
        <v>22</v>
      </c>
      <c r="G3654" s="9" t="s">
        <v>6257</v>
      </c>
      <c r="H3654" s="9" t="s">
        <v>31</v>
      </c>
      <c r="I3654" s="117" t="s">
        <v>4212</v>
      </c>
      <c r="J3654" s="181" t="s">
        <v>5776</v>
      </c>
      <c r="K3654" s="117">
        <v>0</v>
      </c>
      <c r="L3654" s="245">
        <v>53</v>
      </c>
      <c r="M3654" s="119">
        <v>13</v>
      </c>
      <c r="N3654" s="119">
        <v>0</v>
      </c>
      <c r="O3654" s="119">
        <v>0</v>
      </c>
      <c r="P3654" s="119">
        <v>0</v>
      </c>
      <c r="Q3654" s="119">
        <v>0</v>
      </c>
      <c r="R3654" s="120">
        <v>6.0560500000000003E-3</v>
      </c>
      <c r="S3654" s="119" t="s">
        <v>115</v>
      </c>
      <c r="T3654" s="257">
        <f t="shared" si="121"/>
        <v>53</v>
      </c>
      <c r="U3654" s="257">
        <f t="shared" si="122"/>
        <v>13</v>
      </c>
      <c r="V3654">
        <v>1</v>
      </c>
      <c r="W3654">
        <v>1</v>
      </c>
    </row>
    <row r="3655" spans="1:23" ht="144" x14ac:dyDescent="0.3">
      <c r="A3655" s="114">
        <v>44677</v>
      </c>
      <c r="B3655" s="114">
        <v>44677</v>
      </c>
      <c r="C3655" s="6">
        <v>4</v>
      </c>
      <c r="D3655" s="6">
        <v>1</v>
      </c>
      <c r="E3655" s="115">
        <v>2022</v>
      </c>
      <c r="F3655" s="15" t="s">
        <v>22</v>
      </c>
      <c r="G3655" s="116" t="s">
        <v>6256</v>
      </c>
      <c r="H3655" s="9" t="s">
        <v>174</v>
      </c>
      <c r="I3655" s="179" t="s">
        <v>5777</v>
      </c>
      <c r="J3655" s="130" t="s">
        <v>5778</v>
      </c>
      <c r="K3655" s="117">
        <v>0</v>
      </c>
      <c r="L3655" s="245">
        <v>176</v>
      </c>
      <c r="M3655" s="119">
        <v>44</v>
      </c>
      <c r="N3655" s="119">
        <v>0</v>
      </c>
      <c r="O3655" s="119">
        <v>0</v>
      </c>
      <c r="P3655" s="119">
        <v>0</v>
      </c>
      <c r="Q3655" s="119">
        <v>0</v>
      </c>
      <c r="R3655" s="120">
        <v>2.0497400000000002E-2</v>
      </c>
      <c r="S3655" s="119" t="s">
        <v>115</v>
      </c>
      <c r="T3655" s="257">
        <f t="shared" si="121"/>
        <v>176</v>
      </c>
      <c r="U3655" s="257">
        <f t="shared" si="122"/>
        <v>44</v>
      </c>
      <c r="V3655">
        <v>1</v>
      </c>
      <c r="W3655">
        <v>1</v>
      </c>
    </row>
    <row r="3656" spans="1:23" ht="409.6" x14ac:dyDescent="0.3">
      <c r="A3656" s="114">
        <v>44677</v>
      </c>
      <c r="B3656" s="114">
        <v>44677</v>
      </c>
      <c r="C3656" s="6">
        <v>4</v>
      </c>
      <c r="D3656" s="6">
        <v>1</v>
      </c>
      <c r="E3656" s="115">
        <v>2022</v>
      </c>
      <c r="F3656" s="15" t="s">
        <v>22</v>
      </c>
      <c r="G3656" s="116" t="s">
        <v>6256</v>
      </c>
      <c r="H3656" s="9" t="s">
        <v>88</v>
      </c>
      <c r="I3656" s="117" t="s">
        <v>5779</v>
      </c>
      <c r="J3656" s="181" t="s">
        <v>5780</v>
      </c>
      <c r="K3656" s="117">
        <v>0</v>
      </c>
      <c r="L3656" s="245">
        <v>916</v>
      </c>
      <c r="M3656" s="119">
        <v>25</v>
      </c>
      <c r="N3656" s="119">
        <v>2</v>
      </c>
      <c r="O3656" s="119">
        <v>0</v>
      </c>
      <c r="P3656" s="119">
        <v>80</v>
      </c>
      <c r="Q3656" s="119">
        <v>0</v>
      </c>
      <c r="R3656" s="120">
        <v>4.4996874999999999E-2</v>
      </c>
      <c r="S3656" s="119" t="s">
        <v>115</v>
      </c>
      <c r="T3656" s="257">
        <f t="shared" si="121"/>
        <v>916</v>
      </c>
      <c r="U3656" s="257">
        <f t="shared" si="122"/>
        <v>107</v>
      </c>
      <c r="V3656">
        <v>1</v>
      </c>
      <c r="W3656">
        <v>1</v>
      </c>
    </row>
    <row r="3657" spans="1:23" ht="168.6" x14ac:dyDescent="0.3">
      <c r="A3657" s="114">
        <v>44677</v>
      </c>
      <c r="B3657" s="114">
        <v>44677</v>
      </c>
      <c r="C3657" s="6">
        <v>4</v>
      </c>
      <c r="D3657" s="6">
        <v>1</v>
      </c>
      <c r="E3657" s="115">
        <v>2022</v>
      </c>
      <c r="F3657" s="15" t="s">
        <v>22</v>
      </c>
      <c r="G3657" s="116" t="s">
        <v>6256</v>
      </c>
      <c r="H3657" s="9" t="s">
        <v>24</v>
      </c>
      <c r="I3657" s="117" t="s">
        <v>5781</v>
      </c>
      <c r="J3657" s="182" t="s">
        <v>5782</v>
      </c>
      <c r="K3657" s="117">
        <v>0</v>
      </c>
      <c r="L3657" s="245">
        <v>2080</v>
      </c>
      <c r="M3657" s="119">
        <v>520</v>
      </c>
      <c r="N3657" s="119">
        <v>0</v>
      </c>
      <c r="O3657" s="119">
        <v>0</v>
      </c>
      <c r="P3657" s="119">
        <v>0</v>
      </c>
      <c r="Q3657" s="119">
        <v>0</v>
      </c>
      <c r="R3657" s="120">
        <v>0.693693</v>
      </c>
      <c r="S3657" s="119" t="s">
        <v>115</v>
      </c>
      <c r="T3657" s="257">
        <f t="shared" si="121"/>
        <v>2080</v>
      </c>
      <c r="U3657" s="257">
        <f t="shared" si="122"/>
        <v>520</v>
      </c>
      <c r="V3657">
        <v>1</v>
      </c>
      <c r="W3657">
        <v>1</v>
      </c>
    </row>
    <row r="3658" spans="1:23" ht="132" x14ac:dyDescent="0.3">
      <c r="A3658" s="114">
        <v>44683</v>
      </c>
      <c r="B3658" s="114">
        <v>44683</v>
      </c>
      <c r="C3658" s="6">
        <v>5</v>
      </c>
      <c r="D3658" s="6">
        <v>1</v>
      </c>
      <c r="E3658" s="115">
        <v>2022</v>
      </c>
      <c r="F3658" s="15" t="s">
        <v>22</v>
      </c>
      <c r="G3658" s="82" t="s">
        <v>6256</v>
      </c>
      <c r="H3658" s="9" t="s">
        <v>84</v>
      </c>
      <c r="I3658" s="117" t="s">
        <v>529</v>
      </c>
      <c r="J3658" s="118" t="s">
        <v>5783</v>
      </c>
      <c r="K3658" s="117">
        <v>0</v>
      </c>
      <c r="L3658" s="245">
        <v>8</v>
      </c>
      <c r="M3658" s="119">
        <v>2</v>
      </c>
      <c r="N3658" s="119">
        <v>0</v>
      </c>
      <c r="O3658" s="119">
        <v>0</v>
      </c>
      <c r="P3658" s="119">
        <v>0</v>
      </c>
      <c r="Q3658" s="119">
        <v>0</v>
      </c>
      <c r="R3658" s="120">
        <v>1.39755E-2</v>
      </c>
      <c r="S3658" s="119" t="s">
        <v>115</v>
      </c>
      <c r="T3658" s="257">
        <f t="shared" si="121"/>
        <v>8</v>
      </c>
      <c r="U3658" s="257">
        <f t="shared" si="122"/>
        <v>2</v>
      </c>
      <c r="V3658">
        <v>1</v>
      </c>
      <c r="W3658">
        <v>1</v>
      </c>
    </row>
    <row r="3659" spans="1:23" ht="96" x14ac:dyDescent="0.3">
      <c r="A3659" s="114">
        <v>44685</v>
      </c>
      <c r="B3659" s="114">
        <v>44685</v>
      </c>
      <c r="C3659" s="6">
        <v>5</v>
      </c>
      <c r="D3659" s="6">
        <v>1</v>
      </c>
      <c r="E3659" s="115">
        <v>2022</v>
      </c>
      <c r="F3659" s="15" t="s">
        <v>22</v>
      </c>
      <c r="G3659" s="82" t="s">
        <v>6256</v>
      </c>
      <c r="H3659" s="9" t="s">
        <v>37</v>
      </c>
      <c r="I3659" s="117" t="s">
        <v>5785</v>
      </c>
      <c r="J3659" s="118" t="s">
        <v>5786</v>
      </c>
      <c r="K3659" s="117">
        <v>0</v>
      </c>
      <c r="L3659" s="245">
        <v>200</v>
      </c>
      <c r="M3659" s="119">
        <v>50</v>
      </c>
      <c r="N3659" s="119">
        <v>0</v>
      </c>
      <c r="O3659" s="119">
        <v>0</v>
      </c>
      <c r="P3659" s="119">
        <v>0</v>
      </c>
      <c r="Q3659" s="119">
        <v>0</v>
      </c>
      <c r="R3659" s="120">
        <v>2.46235E-2</v>
      </c>
      <c r="S3659" s="119" t="s">
        <v>115</v>
      </c>
      <c r="T3659" s="257">
        <f t="shared" si="121"/>
        <v>200</v>
      </c>
      <c r="U3659" s="257">
        <f t="shared" si="122"/>
        <v>50</v>
      </c>
      <c r="V3659">
        <v>1</v>
      </c>
      <c r="W3659">
        <v>1</v>
      </c>
    </row>
    <row r="3660" spans="1:23" ht="168" x14ac:dyDescent="0.3">
      <c r="A3660" s="114">
        <v>44687</v>
      </c>
      <c r="B3660" s="114">
        <v>44687</v>
      </c>
      <c r="C3660" s="6">
        <v>5</v>
      </c>
      <c r="D3660" s="6">
        <v>1</v>
      </c>
      <c r="E3660" s="115">
        <v>2022</v>
      </c>
      <c r="F3660" s="15" t="s">
        <v>22</v>
      </c>
      <c r="G3660" s="82" t="s">
        <v>6256</v>
      </c>
      <c r="H3660" s="9" t="s">
        <v>118</v>
      </c>
      <c r="I3660" s="117" t="s">
        <v>5787</v>
      </c>
      <c r="J3660" s="118" t="s">
        <v>5788</v>
      </c>
      <c r="K3660" s="117">
        <v>0</v>
      </c>
      <c r="L3660" s="245">
        <v>10</v>
      </c>
      <c r="M3660" s="119">
        <v>2</v>
      </c>
      <c r="N3660" s="119">
        <v>0</v>
      </c>
      <c r="O3660" s="119">
        <v>0</v>
      </c>
      <c r="P3660" s="119">
        <v>70</v>
      </c>
      <c r="Q3660" s="119">
        <v>0</v>
      </c>
      <c r="R3660" s="120">
        <v>1.39755E-2</v>
      </c>
      <c r="S3660" s="119" t="s">
        <v>115</v>
      </c>
      <c r="T3660" s="257">
        <f t="shared" si="121"/>
        <v>10</v>
      </c>
      <c r="U3660" s="257">
        <f t="shared" si="122"/>
        <v>72</v>
      </c>
      <c r="V3660">
        <v>1</v>
      </c>
      <c r="W3660">
        <v>1</v>
      </c>
    </row>
    <row r="3661" spans="1:23" ht="264" x14ac:dyDescent="0.3">
      <c r="A3661" s="114">
        <v>44687</v>
      </c>
      <c r="B3661" s="114">
        <v>44687</v>
      </c>
      <c r="C3661" s="6">
        <v>5</v>
      </c>
      <c r="D3661" s="6">
        <v>1</v>
      </c>
      <c r="E3661" s="115">
        <v>2022</v>
      </c>
      <c r="F3661" s="15" t="s">
        <v>22</v>
      </c>
      <c r="G3661" s="82" t="s">
        <v>6256</v>
      </c>
      <c r="H3661" s="9" t="s">
        <v>43</v>
      </c>
      <c r="I3661" s="117" t="s">
        <v>5789</v>
      </c>
      <c r="J3661" s="118" t="s">
        <v>5790</v>
      </c>
      <c r="K3661" s="117">
        <v>0</v>
      </c>
      <c r="L3661" s="245">
        <v>0</v>
      </c>
      <c r="M3661" s="119">
        <v>0</v>
      </c>
      <c r="N3661" s="119">
        <v>0</v>
      </c>
      <c r="O3661" s="119">
        <v>0</v>
      </c>
      <c r="P3661" s="119">
        <v>0</v>
      </c>
      <c r="Q3661" s="119">
        <v>0</v>
      </c>
      <c r="R3661" s="120">
        <v>0</v>
      </c>
      <c r="S3661" s="119" t="s">
        <v>115</v>
      </c>
      <c r="T3661" s="257">
        <f t="shared" si="121"/>
        <v>0</v>
      </c>
      <c r="U3661" s="257">
        <f t="shared" si="122"/>
        <v>0</v>
      </c>
      <c r="V3661">
        <v>0</v>
      </c>
      <c r="W3661">
        <v>0</v>
      </c>
    </row>
    <row r="3662" spans="1:23" ht="108" x14ac:dyDescent="0.3">
      <c r="A3662" s="114">
        <v>44693</v>
      </c>
      <c r="B3662" s="114">
        <v>44694</v>
      </c>
      <c r="C3662" s="6">
        <v>5</v>
      </c>
      <c r="D3662" s="6">
        <v>2</v>
      </c>
      <c r="E3662" s="115">
        <v>2022</v>
      </c>
      <c r="F3662" s="7" t="s">
        <v>17</v>
      </c>
      <c r="G3662" s="8" t="s">
        <v>6261</v>
      </c>
      <c r="H3662" s="9" t="s">
        <v>27</v>
      </c>
      <c r="I3662" s="117" t="s">
        <v>671</v>
      </c>
      <c r="J3662" s="118" t="s">
        <v>5791</v>
      </c>
      <c r="K3662" s="117">
        <v>0</v>
      </c>
      <c r="L3662" s="245">
        <v>16</v>
      </c>
      <c r="M3662" s="119">
        <v>0</v>
      </c>
      <c r="N3662" s="119">
        <v>0</v>
      </c>
      <c r="O3662" s="119">
        <v>0</v>
      </c>
      <c r="P3662" s="119">
        <v>0</v>
      </c>
      <c r="Q3662" s="119">
        <v>0</v>
      </c>
      <c r="R3662" s="120">
        <v>0</v>
      </c>
      <c r="S3662" s="119" t="s">
        <v>115</v>
      </c>
      <c r="T3662" s="257">
        <f t="shared" si="121"/>
        <v>16</v>
      </c>
      <c r="U3662" s="257">
        <f t="shared" si="122"/>
        <v>0</v>
      </c>
      <c r="V3662">
        <v>1</v>
      </c>
      <c r="W3662">
        <v>0</v>
      </c>
    </row>
    <row r="3663" spans="1:23" ht="168" x14ac:dyDescent="0.3">
      <c r="A3663" s="114">
        <v>44692</v>
      </c>
      <c r="B3663" s="114">
        <v>44693</v>
      </c>
      <c r="C3663" s="6">
        <v>5</v>
      </c>
      <c r="D3663" s="6">
        <v>2</v>
      </c>
      <c r="E3663" s="115">
        <v>2022</v>
      </c>
      <c r="F3663" s="15" t="s">
        <v>22</v>
      </c>
      <c r="G3663" s="116" t="s">
        <v>6256</v>
      </c>
      <c r="H3663" s="9" t="s">
        <v>31</v>
      </c>
      <c r="I3663" s="117" t="s">
        <v>5792</v>
      </c>
      <c r="J3663" s="118" t="s">
        <v>5793</v>
      </c>
      <c r="K3663" s="117">
        <v>2</v>
      </c>
      <c r="L3663" s="245">
        <v>12</v>
      </c>
      <c r="M3663" s="119">
        <v>4</v>
      </c>
      <c r="N3663" s="119">
        <v>0</v>
      </c>
      <c r="O3663" s="119">
        <v>0</v>
      </c>
      <c r="P3663" s="119">
        <v>0</v>
      </c>
      <c r="Q3663" s="119">
        <v>0</v>
      </c>
      <c r="R3663" s="120">
        <v>1.8634000000000001E-3</v>
      </c>
      <c r="S3663" s="119" t="s">
        <v>115</v>
      </c>
      <c r="T3663" s="257">
        <f t="shared" si="121"/>
        <v>14</v>
      </c>
      <c r="U3663" s="257">
        <f t="shared" si="122"/>
        <v>4</v>
      </c>
      <c r="V3663">
        <v>1</v>
      </c>
      <c r="W3663">
        <v>1</v>
      </c>
    </row>
    <row r="3664" spans="1:23" ht="96" x14ac:dyDescent="0.3">
      <c r="A3664" s="114">
        <v>44702</v>
      </c>
      <c r="B3664" s="114">
        <v>44703</v>
      </c>
      <c r="C3664" s="6">
        <v>5</v>
      </c>
      <c r="D3664" s="6">
        <v>2</v>
      </c>
      <c r="E3664" s="115">
        <v>2022</v>
      </c>
      <c r="F3664" s="15" t="s">
        <v>22</v>
      </c>
      <c r="G3664" s="116" t="s">
        <v>6256</v>
      </c>
      <c r="H3664" s="9" t="s">
        <v>34</v>
      </c>
      <c r="I3664" s="117" t="s">
        <v>5794</v>
      </c>
      <c r="J3664" s="118" t="s">
        <v>5795</v>
      </c>
      <c r="K3664" s="117">
        <v>2</v>
      </c>
      <c r="L3664" s="245">
        <v>2</v>
      </c>
      <c r="M3664" s="119">
        <v>0</v>
      </c>
      <c r="N3664" s="119">
        <v>0</v>
      </c>
      <c r="O3664" s="119">
        <v>0</v>
      </c>
      <c r="P3664" s="119">
        <v>0</v>
      </c>
      <c r="Q3664" s="119">
        <v>0</v>
      </c>
      <c r="R3664" s="120">
        <v>0</v>
      </c>
      <c r="S3664" s="119" t="s">
        <v>115</v>
      </c>
      <c r="T3664" s="257">
        <f t="shared" si="121"/>
        <v>4</v>
      </c>
      <c r="U3664" s="257">
        <f t="shared" si="122"/>
        <v>0</v>
      </c>
      <c r="V3664">
        <v>1</v>
      </c>
      <c r="W3664">
        <v>0</v>
      </c>
    </row>
    <row r="3665" spans="1:23" ht="72" x14ac:dyDescent="0.3">
      <c r="A3665" s="114">
        <v>44703</v>
      </c>
      <c r="B3665" s="114">
        <v>44703</v>
      </c>
      <c r="C3665" s="6">
        <v>5</v>
      </c>
      <c r="D3665" s="6">
        <v>1</v>
      </c>
      <c r="E3665" s="115">
        <v>2022</v>
      </c>
      <c r="F3665" s="15" t="s">
        <v>22</v>
      </c>
      <c r="G3665" s="116" t="s">
        <v>6256</v>
      </c>
      <c r="H3665" s="9" t="s">
        <v>43</v>
      </c>
      <c r="I3665" s="117" t="s">
        <v>5796</v>
      </c>
      <c r="J3665" s="118" t="s">
        <v>5797</v>
      </c>
      <c r="K3665" s="117">
        <v>0</v>
      </c>
      <c r="L3665" s="245">
        <v>2</v>
      </c>
      <c r="M3665" s="119">
        <v>1</v>
      </c>
      <c r="N3665" s="119">
        <v>0</v>
      </c>
      <c r="O3665" s="119">
        <v>0</v>
      </c>
      <c r="P3665" s="119">
        <v>0</v>
      </c>
      <c r="Q3665" s="119">
        <v>0</v>
      </c>
      <c r="R3665" s="120">
        <v>6.2216385000000004E-3</v>
      </c>
      <c r="S3665" s="119" t="s">
        <v>115</v>
      </c>
      <c r="T3665" s="257">
        <f t="shared" si="121"/>
        <v>2</v>
      </c>
      <c r="U3665" s="257">
        <f t="shared" si="122"/>
        <v>1</v>
      </c>
      <c r="V3665">
        <v>1</v>
      </c>
      <c r="W3665">
        <v>1</v>
      </c>
    </row>
    <row r="3666" spans="1:23" ht="132" x14ac:dyDescent="0.3">
      <c r="A3666" s="114">
        <v>44703</v>
      </c>
      <c r="B3666" s="114">
        <v>44703</v>
      </c>
      <c r="C3666" s="6">
        <v>5</v>
      </c>
      <c r="D3666" s="6">
        <v>1</v>
      </c>
      <c r="E3666" s="115">
        <v>2022</v>
      </c>
      <c r="F3666" s="15" t="s">
        <v>22</v>
      </c>
      <c r="G3666" s="116" t="s">
        <v>6256</v>
      </c>
      <c r="H3666" s="9" t="s">
        <v>57</v>
      </c>
      <c r="I3666" s="117" t="s">
        <v>5798</v>
      </c>
      <c r="J3666" s="118" t="s">
        <v>5799</v>
      </c>
      <c r="K3666" s="117">
        <v>1</v>
      </c>
      <c r="L3666" s="245">
        <v>1</v>
      </c>
      <c r="M3666" s="119">
        <v>1</v>
      </c>
      <c r="N3666" s="119">
        <v>0</v>
      </c>
      <c r="O3666" s="119">
        <v>0</v>
      </c>
      <c r="P3666" s="119">
        <v>0</v>
      </c>
      <c r="Q3666" s="119">
        <v>0</v>
      </c>
      <c r="R3666" s="120">
        <v>4.6585000000000002E-4</v>
      </c>
      <c r="S3666" s="119" t="s">
        <v>115</v>
      </c>
      <c r="T3666" s="257">
        <f t="shared" si="121"/>
        <v>2</v>
      </c>
      <c r="U3666" s="257">
        <f t="shared" si="122"/>
        <v>1</v>
      </c>
      <c r="V3666">
        <v>1</v>
      </c>
      <c r="W3666">
        <v>1</v>
      </c>
    </row>
    <row r="3667" spans="1:23" ht="72" x14ac:dyDescent="0.3">
      <c r="A3667" s="114">
        <v>44706</v>
      </c>
      <c r="B3667" s="114">
        <v>44706</v>
      </c>
      <c r="C3667" s="6">
        <v>5</v>
      </c>
      <c r="D3667" s="6">
        <v>1</v>
      </c>
      <c r="E3667" s="115">
        <v>2022</v>
      </c>
      <c r="F3667" s="15" t="s">
        <v>22</v>
      </c>
      <c r="G3667" s="116" t="s">
        <v>6256</v>
      </c>
      <c r="H3667" s="9" t="s">
        <v>31</v>
      </c>
      <c r="I3667" s="117" t="s">
        <v>636</v>
      </c>
      <c r="J3667" s="118" t="s">
        <v>5800</v>
      </c>
      <c r="K3667" s="117">
        <v>0</v>
      </c>
      <c r="L3667" s="245">
        <v>28</v>
      </c>
      <c r="M3667" s="119">
        <v>7</v>
      </c>
      <c r="N3667" s="119">
        <v>0</v>
      </c>
      <c r="O3667" s="119">
        <v>0</v>
      </c>
      <c r="P3667" s="119">
        <v>0</v>
      </c>
      <c r="Q3667" s="119">
        <v>0</v>
      </c>
      <c r="R3667" s="120">
        <v>9.3381750000000006E-3</v>
      </c>
      <c r="S3667" s="119" t="s">
        <v>115</v>
      </c>
      <c r="T3667" s="257">
        <f t="shared" si="121"/>
        <v>28</v>
      </c>
      <c r="U3667" s="257">
        <f t="shared" si="122"/>
        <v>7</v>
      </c>
      <c r="V3667">
        <v>1</v>
      </c>
      <c r="W3667">
        <v>1</v>
      </c>
    </row>
    <row r="3668" spans="1:23" ht="303.60000000000002" x14ac:dyDescent="0.3">
      <c r="A3668" s="114">
        <v>44711</v>
      </c>
      <c r="B3668" s="114">
        <v>44711</v>
      </c>
      <c r="C3668" s="6">
        <v>5</v>
      </c>
      <c r="D3668" s="6">
        <v>1</v>
      </c>
      <c r="E3668" s="115">
        <v>2022</v>
      </c>
      <c r="F3668" s="15" t="s">
        <v>22</v>
      </c>
      <c r="G3668" s="116" t="s">
        <v>6254</v>
      </c>
      <c r="H3668" s="9" t="s">
        <v>61</v>
      </c>
      <c r="I3668" s="117" t="s">
        <v>5802</v>
      </c>
      <c r="J3668" s="183" t="s">
        <v>5803</v>
      </c>
      <c r="K3668" s="117">
        <v>11</v>
      </c>
      <c r="L3668" s="245">
        <v>25134</v>
      </c>
      <c r="M3668" s="184" t="s">
        <v>5804</v>
      </c>
      <c r="N3668" s="119">
        <v>338</v>
      </c>
      <c r="O3668" s="119">
        <f>7+43+3+30+12</f>
        <v>95</v>
      </c>
      <c r="P3668" s="119">
        <v>841</v>
      </c>
      <c r="Q3668" s="119">
        <v>0</v>
      </c>
      <c r="R3668" s="120">
        <v>6385</v>
      </c>
      <c r="S3668" s="119" t="s">
        <v>5805</v>
      </c>
      <c r="T3668" s="257">
        <f t="shared" si="121"/>
        <v>25145</v>
      </c>
      <c r="U3668" s="257">
        <f t="shared" si="122"/>
        <v>1274</v>
      </c>
      <c r="V3668">
        <v>2</v>
      </c>
      <c r="W3668">
        <v>2</v>
      </c>
    </row>
    <row r="3669" spans="1:23" ht="144" x14ac:dyDescent="0.3">
      <c r="A3669" s="114">
        <v>44720</v>
      </c>
      <c r="B3669" s="114">
        <v>44721</v>
      </c>
      <c r="C3669" s="6">
        <v>6</v>
      </c>
      <c r="D3669" s="6">
        <v>2</v>
      </c>
      <c r="E3669" s="115">
        <v>2022</v>
      </c>
      <c r="F3669" s="15" t="s">
        <v>22</v>
      </c>
      <c r="G3669" s="116" t="s">
        <v>6256</v>
      </c>
      <c r="H3669" s="9" t="s">
        <v>31</v>
      </c>
      <c r="I3669" s="117" t="s">
        <v>312</v>
      </c>
      <c r="J3669" s="118" t="s">
        <v>5806</v>
      </c>
      <c r="K3669" s="117">
        <v>0</v>
      </c>
      <c r="L3669" s="245">
        <v>295</v>
      </c>
      <c r="M3669" s="119">
        <v>70</v>
      </c>
      <c r="N3669" s="119">
        <v>2</v>
      </c>
      <c r="O3669" s="119">
        <v>0</v>
      </c>
      <c r="P3669" s="119">
        <v>0</v>
      </c>
      <c r="Q3669" s="119">
        <v>0</v>
      </c>
      <c r="R3669" s="120">
        <v>0</v>
      </c>
      <c r="S3669" s="119" t="s">
        <v>115</v>
      </c>
      <c r="T3669" s="257">
        <f t="shared" si="121"/>
        <v>295</v>
      </c>
      <c r="U3669" s="257">
        <f t="shared" si="122"/>
        <v>72</v>
      </c>
      <c r="V3669">
        <v>1</v>
      </c>
      <c r="W3669">
        <v>1</v>
      </c>
    </row>
    <row r="3670" spans="1:23" ht="72" x14ac:dyDescent="0.3">
      <c r="A3670" s="114">
        <v>44723</v>
      </c>
      <c r="B3670" s="114">
        <v>44724</v>
      </c>
      <c r="C3670" s="6">
        <v>6</v>
      </c>
      <c r="D3670" s="6">
        <v>2</v>
      </c>
      <c r="E3670" s="115">
        <v>2022</v>
      </c>
      <c r="F3670" s="15" t="s">
        <v>22</v>
      </c>
      <c r="G3670" s="116" t="s">
        <v>6256</v>
      </c>
      <c r="H3670" s="9" t="s">
        <v>64</v>
      </c>
      <c r="I3670" s="117" t="s">
        <v>5807</v>
      </c>
      <c r="J3670" s="118" t="s">
        <v>5808</v>
      </c>
      <c r="K3670" s="117">
        <v>0</v>
      </c>
      <c r="L3670" s="245">
        <f>(4*8)*1</f>
        <v>32</v>
      </c>
      <c r="M3670" s="119">
        <v>8</v>
      </c>
      <c r="N3670" s="119">
        <v>0</v>
      </c>
      <c r="O3670" s="119">
        <v>0</v>
      </c>
      <c r="P3670" s="119">
        <v>0</v>
      </c>
      <c r="Q3670" s="119">
        <v>0</v>
      </c>
      <c r="R3670" s="120">
        <v>1.0672200000000001E-2</v>
      </c>
      <c r="S3670" s="119" t="s">
        <v>115</v>
      </c>
      <c r="T3670" s="257">
        <f t="shared" si="121"/>
        <v>32</v>
      </c>
      <c r="U3670" s="257">
        <f t="shared" si="122"/>
        <v>8</v>
      </c>
      <c r="V3670">
        <v>1</v>
      </c>
      <c r="W3670">
        <v>1</v>
      </c>
    </row>
    <row r="3671" spans="1:23" ht="120" x14ac:dyDescent="0.3">
      <c r="A3671" s="114">
        <v>44724</v>
      </c>
      <c r="B3671" s="114">
        <v>44725</v>
      </c>
      <c r="C3671" s="6">
        <v>6</v>
      </c>
      <c r="D3671" s="6">
        <v>2</v>
      </c>
      <c r="E3671" s="115">
        <v>2022</v>
      </c>
      <c r="F3671" s="15" t="s">
        <v>22</v>
      </c>
      <c r="G3671" s="82" t="s">
        <v>6256</v>
      </c>
      <c r="H3671" s="9" t="s">
        <v>118</v>
      </c>
      <c r="I3671" s="117" t="s">
        <v>672</v>
      </c>
      <c r="J3671" s="118" t="s">
        <v>5809</v>
      </c>
      <c r="K3671" s="117">
        <v>0</v>
      </c>
      <c r="L3671" s="245">
        <v>1</v>
      </c>
      <c r="M3671" s="119">
        <v>0</v>
      </c>
      <c r="N3671" s="119">
        <v>0</v>
      </c>
      <c r="O3671" s="119">
        <v>0</v>
      </c>
      <c r="P3671" s="119">
        <v>1</v>
      </c>
      <c r="Q3671" s="119">
        <v>0</v>
      </c>
      <c r="R3671" s="120">
        <v>1.1979E-3</v>
      </c>
      <c r="S3671" s="119" t="s">
        <v>115</v>
      </c>
      <c r="T3671" s="257">
        <f t="shared" si="121"/>
        <v>1</v>
      </c>
      <c r="U3671" s="257">
        <f t="shared" si="122"/>
        <v>1</v>
      </c>
      <c r="V3671">
        <v>1</v>
      </c>
      <c r="W3671">
        <v>1</v>
      </c>
    </row>
    <row r="3672" spans="1:23" ht="84" x14ac:dyDescent="0.3">
      <c r="A3672" s="114">
        <v>44725</v>
      </c>
      <c r="B3672" s="114">
        <v>44726</v>
      </c>
      <c r="C3672" s="6">
        <v>6</v>
      </c>
      <c r="D3672" s="6">
        <v>2</v>
      </c>
      <c r="E3672" s="115">
        <v>2022</v>
      </c>
      <c r="F3672" s="15" t="s">
        <v>22</v>
      </c>
      <c r="G3672" s="82" t="s">
        <v>6256</v>
      </c>
      <c r="H3672" s="9" t="s">
        <v>51</v>
      </c>
      <c r="I3672" s="117" t="s">
        <v>5810</v>
      </c>
      <c r="J3672" s="118" t="s">
        <v>5811</v>
      </c>
      <c r="K3672" s="117">
        <v>0</v>
      </c>
      <c r="L3672" s="245">
        <v>97</v>
      </c>
      <c r="M3672" s="119">
        <v>24</v>
      </c>
      <c r="N3672" s="119">
        <v>0</v>
      </c>
      <c r="O3672" s="119">
        <v>0</v>
      </c>
      <c r="P3672" s="119">
        <v>0</v>
      </c>
      <c r="Q3672" s="119">
        <v>0</v>
      </c>
      <c r="R3672" s="120">
        <v>0</v>
      </c>
      <c r="S3672" s="119" t="s">
        <v>115</v>
      </c>
      <c r="T3672" s="257">
        <f t="shared" si="121"/>
        <v>97</v>
      </c>
      <c r="U3672" s="257">
        <f t="shared" si="122"/>
        <v>24</v>
      </c>
      <c r="V3672">
        <v>1</v>
      </c>
      <c r="W3672">
        <v>1</v>
      </c>
    </row>
    <row r="3673" spans="1:23" ht="144" x14ac:dyDescent="0.3">
      <c r="A3673" s="114">
        <v>44728</v>
      </c>
      <c r="B3673" s="114">
        <v>44729</v>
      </c>
      <c r="C3673" s="6">
        <v>6</v>
      </c>
      <c r="D3673" s="6">
        <v>2</v>
      </c>
      <c r="E3673" s="115">
        <v>2022</v>
      </c>
      <c r="F3673" s="15" t="s">
        <v>22</v>
      </c>
      <c r="G3673" s="116" t="s">
        <v>6256</v>
      </c>
      <c r="H3673" s="9" t="s">
        <v>56</v>
      </c>
      <c r="I3673" s="117" t="s">
        <v>1385</v>
      </c>
      <c r="J3673" s="118" t="s">
        <v>5812</v>
      </c>
      <c r="K3673" s="117">
        <v>0</v>
      </c>
      <c r="L3673" s="245">
        <v>124</v>
      </c>
      <c r="M3673" s="119">
        <v>31</v>
      </c>
      <c r="N3673" s="119">
        <v>0</v>
      </c>
      <c r="O3673" s="119">
        <v>0</v>
      </c>
      <c r="P3673" s="119">
        <v>0</v>
      </c>
      <c r="Q3673" s="119">
        <v>0</v>
      </c>
      <c r="R3673" s="120">
        <v>4.1354775000000003E-2</v>
      </c>
      <c r="S3673" s="119" t="s">
        <v>115</v>
      </c>
      <c r="T3673" s="257">
        <f t="shared" si="121"/>
        <v>124</v>
      </c>
      <c r="U3673" s="257">
        <f t="shared" si="122"/>
        <v>31</v>
      </c>
      <c r="V3673">
        <v>1</v>
      </c>
      <c r="W3673">
        <v>1</v>
      </c>
    </row>
    <row r="3674" spans="1:23" ht="276" x14ac:dyDescent="0.3">
      <c r="A3674" s="114">
        <v>44730</v>
      </c>
      <c r="B3674" s="114">
        <v>44730</v>
      </c>
      <c r="C3674" s="6">
        <v>6</v>
      </c>
      <c r="D3674" s="6">
        <v>1</v>
      </c>
      <c r="E3674" s="115">
        <v>2022</v>
      </c>
      <c r="F3674" s="15" t="s">
        <v>22</v>
      </c>
      <c r="G3674" s="116" t="s">
        <v>6256</v>
      </c>
      <c r="H3674" s="9" t="s">
        <v>174</v>
      </c>
      <c r="I3674" s="179" t="s">
        <v>650</v>
      </c>
      <c r="J3674" s="118" t="s">
        <v>5813</v>
      </c>
      <c r="K3674" s="117">
        <v>0</v>
      </c>
      <c r="L3674" s="245">
        <v>80</v>
      </c>
      <c r="M3674" s="119">
        <v>20</v>
      </c>
      <c r="N3674" s="119">
        <v>0</v>
      </c>
      <c r="O3674" s="119">
        <v>0</v>
      </c>
      <c r="P3674" s="119">
        <v>0</v>
      </c>
      <c r="Q3674" s="119">
        <v>0</v>
      </c>
      <c r="R3674" s="120">
        <v>2.6680499999999999E-2</v>
      </c>
      <c r="S3674" s="119" t="s">
        <v>115</v>
      </c>
      <c r="T3674" s="257">
        <f t="shared" si="121"/>
        <v>80</v>
      </c>
      <c r="U3674" s="257">
        <f t="shared" si="122"/>
        <v>20</v>
      </c>
      <c r="V3674">
        <v>1</v>
      </c>
      <c r="W3674">
        <v>1</v>
      </c>
    </row>
    <row r="3675" spans="1:23" ht="204" x14ac:dyDescent="0.3">
      <c r="A3675" s="114">
        <v>44732</v>
      </c>
      <c r="B3675" s="114">
        <v>44732</v>
      </c>
      <c r="C3675" s="6">
        <v>6</v>
      </c>
      <c r="D3675" s="6">
        <v>1</v>
      </c>
      <c r="E3675" s="115">
        <v>2022</v>
      </c>
      <c r="F3675" s="15" t="s">
        <v>22</v>
      </c>
      <c r="G3675" s="116" t="s">
        <v>6254</v>
      </c>
      <c r="H3675" s="17" t="s">
        <v>565</v>
      </c>
      <c r="I3675" s="117" t="s">
        <v>5814</v>
      </c>
      <c r="J3675" s="118" t="s">
        <v>5815</v>
      </c>
      <c r="K3675" s="117">
        <v>0</v>
      </c>
      <c r="L3675" s="245">
        <v>96</v>
      </c>
      <c r="M3675" s="119">
        <v>24</v>
      </c>
      <c r="N3675" s="119">
        <v>0</v>
      </c>
      <c r="O3675" s="119">
        <v>0</v>
      </c>
      <c r="P3675" s="119">
        <v>0</v>
      </c>
      <c r="Q3675" s="119">
        <v>0</v>
      </c>
      <c r="R3675" s="120">
        <v>0.39201659999999999</v>
      </c>
      <c r="S3675" s="119" t="s">
        <v>115</v>
      </c>
      <c r="T3675" s="257">
        <f t="shared" si="121"/>
        <v>96</v>
      </c>
      <c r="U3675" s="257">
        <f t="shared" si="122"/>
        <v>24</v>
      </c>
      <c r="V3675">
        <v>1</v>
      </c>
      <c r="W3675">
        <v>1</v>
      </c>
    </row>
    <row r="3676" spans="1:23" ht="228" x14ac:dyDescent="0.3">
      <c r="A3676" s="185">
        <v>44733</v>
      </c>
      <c r="B3676" s="185">
        <v>44735</v>
      </c>
      <c r="C3676" s="6">
        <v>6</v>
      </c>
      <c r="D3676" s="6">
        <v>3</v>
      </c>
      <c r="E3676" s="115">
        <v>2022</v>
      </c>
      <c r="F3676" s="7" t="s">
        <v>17</v>
      </c>
      <c r="G3676" s="8" t="s">
        <v>6261</v>
      </c>
      <c r="H3676" s="9" t="s">
        <v>51</v>
      </c>
      <c r="I3676" s="186" t="s">
        <v>5816</v>
      </c>
      <c r="J3676" s="130" t="s">
        <v>5817</v>
      </c>
      <c r="K3676" s="117">
        <v>0</v>
      </c>
      <c r="L3676" s="245">
        <v>200</v>
      </c>
      <c r="M3676" s="119">
        <v>78</v>
      </c>
      <c r="N3676" s="119">
        <v>0</v>
      </c>
      <c r="O3676" s="119">
        <v>0</v>
      </c>
      <c r="P3676" s="119">
        <v>0</v>
      </c>
      <c r="Q3676" s="119">
        <v>0</v>
      </c>
      <c r="R3676" s="187">
        <v>3.7454339999999999</v>
      </c>
      <c r="S3676" s="119" t="s">
        <v>115</v>
      </c>
      <c r="T3676" s="257">
        <f t="shared" si="121"/>
        <v>200</v>
      </c>
      <c r="U3676" s="257">
        <f t="shared" si="122"/>
        <v>78</v>
      </c>
      <c r="V3676">
        <v>1</v>
      </c>
      <c r="W3676">
        <v>1</v>
      </c>
    </row>
    <row r="3677" spans="1:23" ht="156" x14ac:dyDescent="0.3">
      <c r="A3677" s="114">
        <v>44733</v>
      </c>
      <c r="B3677" s="114">
        <v>44733</v>
      </c>
      <c r="C3677" s="6">
        <v>6</v>
      </c>
      <c r="D3677" s="6">
        <v>1</v>
      </c>
      <c r="E3677" s="115">
        <v>2022</v>
      </c>
      <c r="F3677" s="15" t="s">
        <v>22</v>
      </c>
      <c r="G3677" s="116" t="s">
        <v>6256</v>
      </c>
      <c r="H3677" s="9" t="s">
        <v>43</v>
      </c>
      <c r="I3677" s="117" t="s">
        <v>5818</v>
      </c>
      <c r="J3677" s="118" t="s">
        <v>5819</v>
      </c>
      <c r="K3677" s="117">
        <v>0</v>
      </c>
      <c r="L3677" s="245">
        <v>196</v>
      </c>
      <c r="M3677" s="119">
        <v>49</v>
      </c>
      <c r="N3677" s="119">
        <v>0</v>
      </c>
      <c r="O3677" s="119">
        <v>0</v>
      </c>
      <c r="P3677" s="119">
        <v>0</v>
      </c>
      <c r="Q3677" s="119">
        <v>0</v>
      </c>
      <c r="R3677" s="120">
        <v>6.5367225000000001E-2</v>
      </c>
      <c r="S3677" s="119" t="s">
        <v>115</v>
      </c>
      <c r="T3677" s="257">
        <f t="shared" si="121"/>
        <v>196</v>
      </c>
      <c r="U3677" s="257">
        <f t="shared" si="122"/>
        <v>49</v>
      </c>
      <c r="V3677">
        <v>1</v>
      </c>
      <c r="W3677">
        <v>1</v>
      </c>
    </row>
    <row r="3678" spans="1:23" ht="132" x14ac:dyDescent="0.3">
      <c r="A3678" s="114">
        <v>44732</v>
      </c>
      <c r="B3678" s="114">
        <v>44734</v>
      </c>
      <c r="C3678" s="6">
        <v>6</v>
      </c>
      <c r="D3678" s="6">
        <v>3</v>
      </c>
      <c r="E3678" s="115">
        <v>2022</v>
      </c>
      <c r="F3678" s="15" t="s">
        <v>22</v>
      </c>
      <c r="G3678" s="116" t="s">
        <v>6256</v>
      </c>
      <c r="H3678" s="9" t="s">
        <v>31</v>
      </c>
      <c r="I3678" s="117" t="s">
        <v>5820</v>
      </c>
      <c r="J3678" s="118" t="s">
        <v>5821</v>
      </c>
      <c r="K3678" s="117">
        <v>0</v>
      </c>
      <c r="L3678" s="245">
        <v>800</v>
      </c>
      <c r="M3678" s="119">
        <v>210</v>
      </c>
      <c r="N3678" s="119">
        <v>2</v>
      </c>
      <c r="O3678" s="119">
        <v>0</v>
      </c>
      <c r="P3678" s="119">
        <v>0</v>
      </c>
      <c r="Q3678" s="119">
        <v>0</v>
      </c>
      <c r="R3678" s="120">
        <v>16.959826</v>
      </c>
      <c r="S3678" s="119" t="s">
        <v>5822</v>
      </c>
      <c r="T3678" s="257">
        <f t="shared" si="121"/>
        <v>800</v>
      </c>
      <c r="U3678" s="257">
        <f t="shared" si="122"/>
        <v>212</v>
      </c>
      <c r="V3678">
        <v>1</v>
      </c>
      <c r="W3678">
        <v>1</v>
      </c>
    </row>
    <row r="3679" spans="1:23" ht="408" x14ac:dyDescent="0.3">
      <c r="A3679" s="114">
        <v>44729</v>
      </c>
      <c r="B3679" s="114">
        <v>44735</v>
      </c>
      <c r="C3679" s="6">
        <v>6</v>
      </c>
      <c r="D3679" s="6">
        <v>7</v>
      </c>
      <c r="E3679" s="115">
        <v>2022</v>
      </c>
      <c r="F3679" s="15" t="s">
        <v>22</v>
      </c>
      <c r="G3679" s="116" t="s">
        <v>6256</v>
      </c>
      <c r="H3679" s="9" t="s">
        <v>174</v>
      </c>
      <c r="I3679" s="179" t="s">
        <v>5823</v>
      </c>
      <c r="J3679" s="118" t="s">
        <v>5824</v>
      </c>
      <c r="K3679" s="117">
        <v>1</v>
      </c>
      <c r="L3679" s="245">
        <v>2184</v>
      </c>
      <c r="M3679" s="119">
        <v>546</v>
      </c>
      <c r="N3679" s="119">
        <v>21</v>
      </c>
      <c r="O3679" s="119">
        <v>0</v>
      </c>
      <c r="P3679" s="119">
        <v>0</v>
      </c>
      <c r="Q3679" s="119">
        <v>0</v>
      </c>
      <c r="R3679" s="120">
        <v>650.29407000000003</v>
      </c>
      <c r="S3679" s="119" t="s">
        <v>5822</v>
      </c>
      <c r="T3679" s="257">
        <f t="shared" si="121"/>
        <v>2185</v>
      </c>
      <c r="U3679" s="257">
        <f t="shared" si="122"/>
        <v>567</v>
      </c>
      <c r="V3679">
        <v>1</v>
      </c>
      <c r="W3679">
        <v>1</v>
      </c>
    </row>
    <row r="3680" spans="1:23" ht="180" x14ac:dyDescent="0.3">
      <c r="A3680" s="114">
        <v>45465</v>
      </c>
      <c r="B3680" s="114"/>
      <c r="C3680" s="6">
        <v>6</v>
      </c>
      <c r="D3680" s="6">
        <v>1</v>
      </c>
      <c r="E3680" s="115">
        <v>2022</v>
      </c>
      <c r="F3680" s="15" t="s">
        <v>22</v>
      </c>
      <c r="G3680" s="116" t="s">
        <v>6256</v>
      </c>
      <c r="H3680" s="9" t="s">
        <v>61</v>
      </c>
      <c r="I3680" s="117" t="s">
        <v>5825</v>
      </c>
      <c r="J3680" s="118" t="s">
        <v>5826</v>
      </c>
      <c r="K3680" s="117">
        <v>1</v>
      </c>
      <c r="L3680" s="245">
        <v>1</v>
      </c>
      <c r="M3680" s="119">
        <v>133</v>
      </c>
      <c r="N3680" s="119">
        <v>0</v>
      </c>
      <c r="O3680" s="119">
        <v>0</v>
      </c>
      <c r="P3680" s="119">
        <v>0</v>
      </c>
      <c r="Q3680" s="119">
        <v>0</v>
      </c>
      <c r="R3680" s="120">
        <v>0.82747792050000002</v>
      </c>
      <c r="S3680" s="119" t="s">
        <v>115</v>
      </c>
      <c r="T3680" s="257">
        <f t="shared" si="121"/>
        <v>2</v>
      </c>
      <c r="U3680" s="257">
        <f t="shared" si="122"/>
        <v>133</v>
      </c>
      <c r="V3680">
        <v>1</v>
      </c>
      <c r="W3680">
        <v>1</v>
      </c>
    </row>
    <row r="3681" spans="1:23" ht="108" x14ac:dyDescent="0.3">
      <c r="A3681" s="114">
        <v>44741</v>
      </c>
      <c r="B3681" s="114">
        <v>44741</v>
      </c>
      <c r="C3681" s="6">
        <v>6</v>
      </c>
      <c r="D3681" s="6">
        <v>1</v>
      </c>
      <c r="E3681" s="115">
        <v>2022</v>
      </c>
      <c r="F3681" s="15" t="s">
        <v>22</v>
      </c>
      <c r="G3681" s="16" t="s">
        <v>6256</v>
      </c>
      <c r="H3681" s="9" t="s">
        <v>51</v>
      </c>
      <c r="I3681" s="117" t="s">
        <v>1275</v>
      </c>
      <c r="J3681" s="118" t="s">
        <v>5827</v>
      </c>
      <c r="K3681" s="117">
        <v>0</v>
      </c>
      <c r="L3681" s="245">
        <v>40</v>
      </c>
      <c r="M3681" s="119">
        <v>10</v>
      </c>
      <c r="N3681" s="119">
        <v>0</v>
      </c>
      <c r="O3681" s="119">
        <v>0</v>
      </c>
      <c r="P3681" s="119">
        <v>0</v>
      </c>
      <c r="Q3681" s="119">
        <v>0</v>
      </c>
      <c r="R3681" s="120">
        <v>4.3340249999999997E-2</v>
      </c>
      <c r="S3681" s="119" t="s">
        <v>115</v>
      </c>
      <c r="T3681" s="257">
        <f t="shared" si="121"/>
        <v>40</v>
      </c>
      <c r="U3681" s="257">
        <f t="shared" si="122"/>
        <v>10</v>
      </c>
      <c r="V3681">
        <v>1</v>
      </c>
      <c r="W3681">
        <v>1</v>
      </c>
    </row>
    <row r="3682" spans="1:23" ht="132" x14ac:dyDescent="0.3">
      <c r="A3682" s="114">
        <v>44745</v>
      </c>
      <c r="B3682" s="114">
        <v>44745</v>
      </c>
      <c r="C3682" s="6">
        <v>7</v>
      </c>
      <c r="D3682" s="6">
        <v>1</v>
      </c>
      <c r="E3682" s="115">
        <v>2022</v>
      </c>
      <c r="F3682" s="15" t="s">
        <v>22</v>
      </c>
      <c r="G3682" s="16" t="s">
        <v>6256</v>
      </c>
      <c r="H3682" s="9" t="s">
        <v>70</v>
      </c>
      <c r="I3682" s="117" t="s">
        <v>5828</v>
      </c>
      <c r="J3682" s="118" t="s">
        <v>5829</v>
      </c>
      <c r="K3682" s="117">
        <v>0</v>
      </c>
      <c r="L3682" s="245">
        <v>8</v>
      </c>
      <c r="M3682" s="119">
        <v>2</v>
      </c>
      <c r="N3682" s="119">
        <v>0</v>
      </c>
      <c r="O3682" s="119">
        <v>0</v>
      </c>
      <c r="P3682" s="119">
        <v>0</v>
      </c>
      <c r="Q3682" s="119">
        <v>0</v>
      </c>
      <c r="R3682" s="120">
        <v>2.6680500000000004E-3</v>
      </c>
      <c r="S3682" s="119" t="s">
        <v>115</v>
      </c>
      <c r="T3682" s="257">
        <f t="shared" si="121"/>
        <v>8</v>
      </c>
      <c r="U3682" s="257">
        <f t="shared" si="122"/>
        <v>2</v>
      </c>
      <c r="V3682">
        <v>1</v>
      </c>
      <c r="W3682">
        <v>1</v>
      </c>
    </row>
    <row r="3683" spans="1:23" ht="96" x14ac:dyDescent="0.3">
      <c r="A3683" s="114">
        <v>44746</v>
      </c>
      <c r="B3683" s="114">
        <v>44747</v>
      </c>
      <c r="C3683" s="6">
        <v>7</v>
      </c>
      <c r="D3683" s="6">
        <v>2</v>
      </c>
      <c r="E3683" s="115">
        <v>2022</v>
      </c>
      <c r="F3683" s="15" t="s">
        <v>22</v>
      </c>
      <c r="G3683" s="116" t="s">
        <v>6256</v>
      </c>
      <c r="H3683" s="9" t="s">
        <v>51</v>
      </c>
      <c r="I3683" s="117" t="s">
        <v>5816</v>
      </c>
      <c r="J3683" s="118" t="s">
        <v>5830</v>
      </c>
      <c r="K3683" s="117">
        <v>0</v>
      </c>
      <c r="L3683" s="245">
        <v>60</v>
      </c>
      <c r="M3683" s="119">
        <v>15</v>
      </c>
      <c r="N3683" s="119">
        <v>0</v>
      </c>
      <c r="O3683" s="119">
        <v>0</v>
      </c>
      <c r="P3683" s="119">
        <v>0</v>
      </c>
      <c r="Q3683" s="119">
        <v>0</v>
      </c>
      <c r="R3683" s="120">
        <v>2.0010449999999999E-2</v>
      </c>
      <c r="S3683" s="119" t="s">
        <v>115</v>
      </c>
      <c r="T3683" s="257">
        <f t="shared" si="121"/>
        <v>60</v>
      </c>
      <c r="U3683" s="257">
        <f t="shared" si="122"/>
        <v>15</v>
      </c>
      <c r="V3683">
        <v>1</v>
      </c>
      <c r="W3683">
        <v>1</v>
      </c>
    </row>
    <row r="3684" spans="1:23" ht="48" x14ac:dyDescent="0.3">
      <c r="A3684" s="114">
        <v>44751</v>
      </c>
      <c r="B3684" s="114">
        <v>44752</v>
      </c>
      <c r="C3684" s="6">
        <v>7</v>
      </c>
      <c r="D3684" s="6">
        <v>2</v>
      </c>
      <c r="E3684" s="115">
        <v>2022</v>
      </c>
      <c r="F3684" s="15" t="s">
        <v>22</v>
      </c>
      <c r="G3684" s="82" t="s">
        <v>6256</v>
      </c>
      <c r="H3684" s="9" t="s">
        <v>43</v>
      </c>
      <c r="I3684" s="117" t="s">
        <v>5832</v>
      </c>
      <c r="J3684" s="188" t="s">
        <v>5833</v>
      </c>
      <c r="K3684" s="117">
        <v>0</v>
      </c>
      <c r="L3684" s="245">
        <v>8</v>
      </c>
      <c r="M3684" s="119">
        <v>2</v>
      </c>
      <c r="N3684" s="119">
        <v>0</v>
      </c>
      <c r="O3684" s="119">
        <v>0</v>
      </c>
      <c r="P3684" s="119">
        <v>0</v>
      </c>
      <c r="Q3684" s="119">
        <v>0</v>
      </c>
      <c r="R3684" s="120">
        <v>2.6680599999999999E-3</v>
      </c>
      <c r="S3684" s="119" t="s">
        <v>115</v>
      </c>
      <c r="T3684" s="257">
        <f t="shared" si="121"/>
        <v>8</v>
      </c>
      <c r="U3684" s="257">
        <f t="shared" si="122"/>
        <v>2</v>
      </c>
      <c r="V3684">
        <v>1</v>
      </c>
      <c r="W3684">
        <v>1</v>
      </c>
    </row>
    <row r="3685" spans="1:23" ht="156" x14ac:dyDescent="0.3">
      <c r="A3685" s="114">
        <v>44752</v>
      </c>
      <c r="B3685" s="114">
        <v>44753</v>
      </c>
      <c r="C3685" s="6">
        <v>7</v>
      </c>
      <c r="D3685" s="6">
        <v>2</v>
      </c>
      <c r="E3685" s="115">
        <v>2022</v>
      </c>
      <c r="F3685" s="15" t="s">
        <v>22</v>
      </c>
      <c r="G3685" s="9" t="s">
        <v>6257</v>
      </c>
      <c r="H3685" s="9" t="s">
        <v>51</v>
      </c>
      <c r="I3685" s="117" t="s">
        <v>655</v>
      </c>
      <c r="J3685" s="118" t="s">
        <v>5834</v>
      </c>
      <c r="K3685" s="117">
        <v>2</v>
      </c>
      <c r="L3685" s="245">
        <v>4</v>
      </c>
      <c r="M3685" s="119">
        <v>0</v>
      </c>
      <c r="N3685" s="119">
        <v>0</v>
      </c>
      <c r="O3685" s="119">
        <v>0</v>
      </c>
      <c r="P3685" s="119">
        <v>0</v>
      </c>
      <c r="Q3685" s="119">
        <v>0</v>
      </c>
      <c r="R3685" s="120">
        <v>0</v>
      </c>
      <c r="S3685" s="119" t="s">
        <v>5784</v>
      </c>
      <c r="T3685" s="257">
        <f t="shared" si="121"/>
        <v>6</v>
      </c>
      <c r="U3685" s="257">
        <f t="shared" si="122"/>
        <v>0</v>
      </c>
      <c r="V3685">
        <v>1</v>
      </c>
      <c r="W3685">
        <v>0</v>
      </c>
    </row>
    <row r="3686" spans="1:23" ht="228" x14ac:dyDescent="0.3">
      <c r="A3686" s="114">
        <v>44751</v>
      </c>
      <c r="B3686" s="114">
        <v>44751</v>
      </c>
      <c r="C3686" s="6">
        <v>7</v>
      </c>
      <c r="D3686" s="6">
        <v>1</v>
      </c>
      <c r="E3686" s="115">
        <v>2022</v>
      </c>
      <c r="F3686" s="15" t="s">
        <v>22</v>
      </c>
      <c r="G3686" s="82" t="s">
        <v>6256</v>
      </c>
      <c r="H3686" s="9" t="s">
        <v>51</v>
      </c>
      <c r="I3686" s="117" t="s">
        <v>5835</v>
      </c>
      <c r="J3686" s="118" t="s">
        <v>5836</v>
      </c>
      <c r="K3686" s="117">
        <v>0</v>
      </c>
      <c r="L3686" s="245">
        <f>(17*4)*1</f>
        <v>68</v>
      </c>
      <c r="M3686" s="119">
        <v>17</v>
      </c>
      <c r="N3686" s="119">
        <v>0</v>
      </c>
      <c r="O3686" s="119">
        <v>0</v>
      </c>
      <c r="P3686" s="119">
        <v>0</v>
      </c>
      <c r="Q3686" s="119">
        <v>0</v>
      </c>
      <c r="R3686" s="120">
        <v>2.2678509999999999E-2</v>
      </c>
      <c r="S3686" s="119" t="s">
        <v>115</v>
      </c>
      <c r="T3686" s="257">
        <f t="shared" si="121"/>
        <v>68</v>
      </c>
      <c r="U3686" s="257">
        <f t="shared" si="122"/>
        <v>17</v>
      </c>
      <c r="V3686">
        <v>1</v>
      </c>
      <c r="W3686">
        <v>1</v>
      </c>
    </row>
    <row r="3687" spans="1:23" ht="168" x14ac:dyDescent="0.3">
      <c r="A3687" s="114">
        <v>44753</v>
      </c>
      <c r="B3687" s="114">
        <v>44753</v>
      </c>
      <c r="C3687" s="6">
        <v>7</v>
      </c>
      <c r="D3687" s="6">
        <v>1</v>
      </c>
      <c r="E3687" s="115">
        <v>2022</v>
      </c>
      <c r="F3687" s="15" t="s">
        <v>22</v>
      </c>
      <c r="G3687" s="9" t="s">
        <v>6257</v>
      </c>
      <c r="H3687" s="9" t="s">
        <v>118</v>
      </c>
      <c r="I3687" s="117" t="s">
        <v>5837</v>
      </c>
      <c r="J3687" s="118" t="s">
        <v>5838</v>
      </c>
      <c r="K3687" s="117">
        <v>0</v>
      </c>
      <c r="L3687" s="245">
        <f>(61*4)*1</f>
        <v>244</v>
      </c>
      <c r="M3687" s="119">
        <v>61</v>
      </c>
      <c r="N3687" s="119">
        <v>2</v>
      </c>
      <c r="O3687" s="119">
        <v>1</v>
      </c>
      <c r="P3687" s="119">
        <v>0</v>
      </c>
      <c r="Q3687" s="119">
        <v>0</v>
      </c>
      <c r="R3687" s="120">
        <v>8.1375829999999996E-2</v>
      </c>
      <c r="S3687" s="119" t="s">
        <v>115</v>
      </c>
      <c r="T3687" s="257">
        <f t="shared" si="121"/>
        <v>244</v>
      </c>
      <c r="U3687" s="257">
        <f t="shared" si="122"/>
        <v>64</v>
      </c>
      <c r="V3687">
        <v>1</v>
      </c>
      <c r="W3687">
        <v>1</v>
      </c>
    </row>
    <row r="3688" spans="1:23" ht="409.6" x14ac:dyDescent="0.3">
      <c r="A3688" s="114">
        <v>44754</v>
      </c>
      <c r="B3688" s="114">
        <v>44755</v>
      </c>
      <c r="C3688" s="6">
        <v>7</v>
      </c>
      <c r="D3688" s="6">
        <v>2</v>
      </c>
      <c r="E3688" s="115">
        <v>2022</v>
      </c>
      <c r="F3688" s="15" t="s">
        <v>22</v>
      </c>
      <c r="G3688" s="82" t="s">
        <v>6256</v>
      </c>
      <c r="H3688" s="9" t="s">
        <v>51</v>
      </c>
      <c r="I3688" s="117" t="s">
        <v>5839</v>
      </c>
      <c r="J3688" s="118" t="s">
        <v>5840</v>
      </c>
      <c r="K3688" s="117">
        <v>0</v>
      </c>
      <c r="L3688" s="245">
        <v>40</v>
      </c>
      <c r="M3688" s="119">
        <v>10</v>
      </c>
      <c r="N3688" s="119">
        <v>0</v>
      </c>
      <c r="O3688" s="119">
        <v>0</v>
      </c>
      <c r="P3688" s="119">
        <v>0</v>
      </c>
      <c r="Q3688" s="119">
        <v>0</v>
      </c>
      <c r="R3688" s="120">
        <v>6.2216399999999998E-2</v>
      </c>
      <c r="S3688" s="119" t="s">
        <v>115</v>
      </c>
      <c r="T3688" s="257">
        <f t="shared" si="121"/>
        <v>40</v>
      </c>
      <c r="U3688" s="257">
        <f t="shared" si="122"/>
        <v>10</v>
      </c>
      <c r="V3688">
        <v>1</v>
      </c>
      <c r="W3688">
        <v>1</v>
      </c>
    </row>
    <row r="3689" spans="1:23" ht="84" x14ac:dyDescent="0.3">
      <c r="A3689" s="114">
        <v>44756</v>
      </c>
      <c r="B3689" s="114">
        <v>44756</v>
      </c>
      <c r="C3689" s="6">
        <v>7</v>
      </c>
      <c r="D3689" s="6">
        <v>1</v>
      </c>
      <c r="E3689" s="115">
        <v>2022</v>
      </c>
      <c r="F3689" s="15" t="s">
        <v>22</v>
      </c>
      <c r="G3689" s="116" t="s">
        <v>6256</v>
      </c>
      <c r="H3689" s="9" t="s">
        <v>52</v>
      </c>
      <c r="I3689" s="117" t="s">
        <v>5841</v>
      </c>
      <c r="J3689" s="118" t="s">
        <v>5842</v>
      </c>
      <c r="K3689" s="117">
        <v>0</v>
      </c>
      <c r="L3689" s="245">
        <v>5</v>
      </c>
      <c r="M3689" s="119">
        <v>1</v>
      </c>
      <c r="N3689" s="119">
        <v>0</v>
      </c>
      <c r="O3689" s="119">
        <v>0</v>
      </c>
      <c r="P3689" s="119">
        <v>0</v>
      </c>
      <c r="Q3689" s="119">
        <v>0</v>
      </c>
      <c r="R3689" s="120">
        <v>1.3340299999999999E-3</v>
      </c>
      <c r="S3689" s="119" t="s">
        <v>115</v>
      </c>
      <c r="T3689" s="257">
        <f t="shared" si="121"/>
        <v>5</v>
      </c>
      <c r="U3689" s="257">
        <f t="shared" si="122"/>
        <v>1</v>
      </c>
      <c r="V3689">
        <v>1</v>
      </c>
      <c r="W3689">
        <v>1</v>
      </c>
    </row>
    <row r="3690" spans="1:23" ht="24" x14ac:dyDescent="0.3">
      <c r="A3690" s="114">
        <v>44732</v>
      </c>
      <c r="B3690" s="114">
        <v>44735</v>
      </c>
      <c r="C3690" s="6">
        <v>6</v>
      </c>
      <c r="D3690" s="6">
        <v>4</v>
      </c>
      <c r="E3690" s="115">
        <v>2022</v>
      </c>
      <c r="F3690" s="7" t="s">
        <v>17</v>
      </c>
      <c r="G3690" s="8" t="s">
        <v>6261</v>
      </c>
      <c r="H3690" s="9" t="s">
        <v>174</v>
      </c>
      <c r="I3690" s="179" t="s">
        <v>5843</v>
      </c>
      <c r="J3690" s="189" t="s">
        <v>5844</v>
      </c>
      <c r="K3690" s="117">
        <v>0</v>
      </c>
      <c r="L3690" s="245">
        <v>200</v>
      </c>
      <c r="M3690" s="119">
        <v>0</v>
      </c>
      <c r="N3690" s="119">
        <v>0</v>
      </c>
      <c r="O3690" s="119">
        <v>0</v>
      </c>
      <c r="P3690" s="119">
        <v>0</v>
      </c>
      <c r="Q3690" s="119">
        <v>0</v>
      </c>
      <c r="R3690" s="120">
        <v>32.659253999999997</v>
      </c>
      <c r="S3690" s="119" t="s">
        <v>5775</v>
      </c>
      <c r="T3690" s="257">
        <f t="shared" si="121"/>
        <v>200</v>
      </c>
      <c r="U3690" s="257">
        <f t="shared" si="122"/>
        <v>0</v>
      </c>
      <c r="V3690">
        <v>1</v>
      </c>
      <c r="W3690">
        <v>0</v>
      </c>
    </row>
    <row r="3691" spans="1:23" ht="204" x14ac:dyDescent="0.3">
      <c r="A3691" s="114">
        <v>44755</v>
      </c>
      <c r="B3691" s="114">
        <v>44756</v>
      </c>
      <c r="C3691" s="6">
        <v>7</v>
      </c>
      <c r="D3691" s="6">
        <v>2</v>
      </c>
      <c r="E3691" s="115">
        <v>2022</v>
      </c>
      <c r="F3691" s="15" t="s">
        <v>22</v>
      </c>
      <c r="G3691" s="9" t="s">
        <v>6257</v>
      </c>
      <c r="H3691" s="9" t="s">
        <v>174</v>
      </c>
      <c r="I3691" s="179" t="s">
        <v>5845</v>
      </c>
      <c r="J3691" s="118" t="s">
        <v>5846</v>
      </c>
      <c r="K3691" s="117">
        <v>1</v>
      </c>
      <c r="L3691" s="245">
        <v>185</v>
      </c>
      <c r="M3691" s="119">
        <v>46</v>
      </c>
      <c r="N3691" s="119">
        <v>0</v>
      </c>
      <c r="O3691" s="119">
        <v>0</v>
      </c>
      <c r="P3691" s="119">
        <v>0</v>
      </c>
      <c r="Q3691" s="119">
        <v>0</v>
      </c>
      <c r="R3691" s="120">
        <v>0</v>
      </c>
      <c r="S3691" s="119" t="s">
        <v>115</v>
      </c>
      <c r="T3691" s="257">
        <f t="shared" si="121"/>
        <v>186</v>
      </c>
      <c r="U3691" s="257">
        <f t="shared" si="122"/>
        <v>46</v>
      </c>
      <c r="V3691">
        <v>1</v>
      </c>
      <c r="W3691">
        <v>1</v>
      </c>
    </row>
    <row r="3692" spans="1:23" ht="108" x14ac:dyDescent="0.3">
      <c r="A3692" s="114">
        <v>44756</v>
      </c>
      <c r="B3692" s="114">
        <v>44756</v>
      </c>
      <c r="C3692" s="6">
        <v>7</v>
      </c>
      <c r="D3692" s="6">
        <v>1</v>
      </c>
      <c r="E3692" s="115">
        <v>2022</v>
      </c>
      <c r="F3692" s="15" t="s">
        <v>22</v>
      </c>
      <c r="G3692" s="9" t="s">
        <v>6257</v>
      </c>
      <c r="H3692" s="9" t="s">
        <v>174</v>
      </c>
      <c r="I3692" s="179" t="s">
        <v>5847</v>
      </c>
      <c r="J3692" s="118" t="s">
        <v>5848</v>
      </c>
      <c r="K3692" s="117">
        <v>0</v>
      </c>
      <c r="L3692" s="245">
        <f>(13*4)*1</f>
        <v>52</v>
      </c>
      <c r="M3692" s="119">
        <v>13</v>
      </c>
      <c r="N3692" s="119">
        <v>0</v>
      </c>
      <c r="O3692" s="119">
        <v>0</v>
      </c>
      <c r="P3692" s="119">
        <v>0</v>
      </c>
      <c r="Q3692" s="119">
        <v>0</v>
      </c>
      <c r="R3692" s="120">
        <v>6.0560500000000003E-3</v>
      </c>
      <c r="S3692" s="119" t="s">
        <v>115</v>
      </c>
      <c r="T3692" s="257">
        <f t="shared" si="121"/>
        <v>52</v>
      </c>
      <c r="U3692" s="257">
        <f t="shared" si="122"/>
        <v>13</v>
      </c>
      <c r="V3692">
        <v>1</v>
      </c>
      <c r="W3692">
        <v>1</v>
      </c>
    </row>
    <row r="3693" spans="1:23" ht="168" x14ac:dyDescent="0.3">
      <c r="A3693" s="114">
        <v>44756</v>
      </c>
      <c r="B3693" s="114">
        <v>44757</v>
      </c>
      <c r="C3693" s="6">
        <v>7</v>
      </c>
      <c r="D3693" s="6">
        <v>2</v>
      </c>
      <c r="E3693" s="115">
        <v>2022</v>
      </c>
      <c r="F3693" s="15" t="s">
        <v>22</v>
      </c>
      <c r="G3693" s="116" t="s">
        <v>6256</v>
      </c>
      <c r="H3693" s="9" t="s">
        <v>51</v>
      </c>
      <c r="I3693" s="117" t="s">
        <v>5849</v>
      </c>
      <c r="J3693" s="118" t="s">
        <v>5850</v>
      </c>
      <c r="K3693" s="117">
        <v>0</v>
      </c>
      <c r="L3693" s="245">
        <v>32</v>
      </c>
      <c r="M3693" s="119">
        <v>8</v>
      </c>
      <c r="N3693" s="119">
        <v>0</v>
      </c>
      <c r="O3693" s="119">
        <v>0</v>
      </c>
      <c r="P3693" s="119">
        <v>0</v>
      </c>
      <c r="Q3693" s="119">
        <v>0</v>
      </c>
      <c r="R3693" s="120">
        <v>1.067224E-2</v>
      </c>
      <c r="S3693" s="119" t="s">
        <v>115</v>
      </c>
      <c r="T3693" s="257">
        <f t="shared" si="121"/>
        <v>32</v>
      </c>
      <c r="U3693" s="257">
        <f t="shared" si="122"/>
        <v>8</v>
      </c>
      <c r="V3693">
        <v>1</v>
      </c>
      <c r="W3693">
        <v>1</v>
      </c>
    </row>
    <row r="3694" spans="1:23" ht="396" x14ac:dyDescent="0.3">
      <c r="A3694" s="114">
        <v>44758</v>
      </c>
      <c r="B3694" s="114">
        <v>44759</v>
      </c>
      <c r="C3694" s="6">
        <v>7</v>
      </c>
      <c r="D3694" s="6">
        <v>2</v>
      </c>
      <c r="E3694" s="115">
        <v>2022</v>
      </c>
      <c r="F3694" s="15" t="s">
        <v>22</v>
      </c>
      <c r="G3694" s="116" t="s">
        <v>6256</v>
      </c>
      <c r="H3694" s="9" t="s">
        <v>46</v>
      </c>
      <c r="I3694" s="117" t="s">
        <v>5851</v>
      </c>
      <c r="J3694" s="118" t="s">
        <v>5852</v>
      </c>
      <c r="K3694" s="117">
        <v>0</v>
      </c>
      <c r="L3694" s="245">
        <v>25</v>
      </c>
      <c r="M3694" s="119">
        <v>4</v>
      </c>
      <c r="N3694" s="119">
        <v>0</v>
      </c>
      <c r="O3694" s="119">
        <v>0</v>
      </c>
      <c r="P3694" s="119">
        <v>4</v>
      </c>
      <c r="Q3694" s="119">
        <v>0</v>
      </c>
      <c r="R3694" s="120">
        <v>5.3361199999999998E-3</v>
      </c>
      <c r="S3694" s="119" t="s">
        <v>115</v>
      </c>
      <c r="T3694" s="257">
        <f t="shared" si="121"/>
        <v>25</v>
      </c>
      <c r="U3694" s="257">
        <f t="shared" si="122"/>
        <v>8</v>
      </c>
      <c r="V3694">
        <v>1</v>
      </c>
      <c r="W3694">
        <v>1</v>
      </c>
    </row>
    <row r="3695" spans="1:23" ht="168" x14ac:dyDescent="0.3">
      <c r="A3695" s="114">
        <v>44768</v>
      </c>
      <c r="B3695" s="114">
        <v>44769</v>
      </c>
      <c r="C3695" s="6">
        <v>7</v>
      </c>
      <c r="D3695" s="6">
        <v>2</v>
      </c>
      <c r="E3695" s="115">
        <v>2022</v>
      </c>
      <c r="F3695" s="7" t="s">
        <v>17</v>
      </c>
      <c r="G3695" s="8" t="s">
        <v>6261</v>
      </c>
      <c r="H3695" s="9" t="s">
        <v>174</v>
      </c>
      <c r="I3695" s="179" t="s">
        <v>5853</v>
      </c>
      <c r="J3695" s="118" t="s">
        <v>5854</v>
      </c>
      <c r="K3695" s="117">
        <v>1</v>
      </c>
      <c r="L3695" s="245">
        <v>3</v>
      </c>
      <c r="M3695" s="119">
        <v>21</v>
      </c>
      <c r="N3695" s="119">
        <v>0</v>
      </c>
      <c r="O3695" s="119">
        <v>0</v>
      </c>
      <c r="P3695" s="119">
        <v>0</v>
      </c>
      <c r="Q3695" s="119">
        <v>0</v>
      </c>
      <c r="R3695" s="120">
        <v>0.747054</v>
      </c>
      <c r="S3695" s="119" t="s">
        <v>5822</v>
      </c>
      <c r="T3695" s="257">
        <f t="shared" si="121"/>
        <v>4</v>
      </c>
      <c r="U3695" s="257">
        <f t="shared" si="122"/>
        <v>21</v>
      </c>
      <c r="V3695">
        <v>1</v>
      </c>
      <c r="W3695">
        <v>1</v>
      </c>
    </row>
    <row r="3696" spans="1:23" ht="252" x14ac:dyDescent="0.3">
      <c r="A3696" s="114">
        <v>44769</v>
      </c>
      <c r="B3696" s="114">
        <v>44770</v>
      </c>
      <c r="C3696" s="6">
        <v>7</v>
      </c>
      <c r="D3696" s="6">
        <v>2</v>
      </c>
      <c r="E3696" s="115">
        <v>2022</v>
      </c>
      <c r="F3696" s="15" t="s">
        <v>22</v>
      </c>
      <c r="G3696" s="116" t="s">
        <v>6256</v>
      </c>
      <c r="H3696" s="9" t="s">
        <v>52</v>
      </c>
      <c r="I3696" s="117" t="s">
        <v>126</v>
      </c>
      <c r="J3696" s="118" t="s">
        <v>5855</v>
      </c>
      <c r="K3696" s="117">
        <v>0</v>
      </c>
      <c r="L3696" s="245">
        <v>30</v>
      </c>
      <c r="M3696" s="119">
        <v>9</v>
      </c>
      <c r="N3696" s="119">
        <v>0</v>
      </c>
      <c r="O3696" s="119">
        <v>0</v>
      </c>
      <c r="P3696" s="119">
        <v>0</v>
      </c>
      <c r="Q3696" s="119">
        <v>0</v>
      </c>
      <c r="R3696" s="120">
        <v>5.5994760000000005E-2</v>
      </c>
      <c r="S3696" s="119" t="s">
        <v>115</v>
      </c>
      <c r="T3696" s="257">
        <f t="shared" si="121"/>
        <v>30</v>
      </c>
      <c r="U3696" s="257">
        <f t="shared" si="122"/>
        <v>9</v>
      </c>
      <c r="V3696">
        <v>1</v>
      </c>
      <c r="W3696">
        <v>1</v>
      </c>
    </row>
    <row r="3697" spans="1:23" ht="132" x14ac:dyDescent="0.3">
      <c r="A3697" s="114">
        <v>44770</v>
      </c>
      <c r="B3697" s="114">
        <v>44771</v>
      </c>
      <c r="C3697" s="6">
        <v>7</v>
      </c>
      <c r="D3697" s="6">
        <v>2</v>
      </c>
      <c r="E3697" s="115">
        <v>2022</v>
      </c>
      <c r="F3697" s="15" t="s">
        <v>22</v>
      </c>
      <c r="G3697" s="116" t="s">
        <v>6256</v>
      </c>
      <c r="H3697" s="9" t="s">
        <v>72</v>
      </c>
      <c r="I3697" s="117" t="s">
        <v>1503</v>
      </c>
      <c r="J3697" s="118" t="s">
        <v>5856</v>
      </c>
      <c r="K3697" s="117">
        <v>0</v>
      </c>
      <c r="L3697" s="245">
        <f>(247*4)*1</f>
        <v>988</v>
      </c>
      <c r="M3697" s="119">
        <v>247</v>
      </c>
      <c r="N3697" s="119">
        <v>0</v>
      </c>
      <c r="O3697" s="119">
        <v>0</v>
      </c>
      <c r="P3697" s="119">
        <v>0</v>
      </c>
      <c r="Q3697" s="119">
        <v>0</v>
      </c>
      <c r="R3697" s="120">
        <v>0.32950541</v>
      </c>
      <c r="S3697" s="119" t="s">
        <v>115</v>
      </c>
      <c r="T3697" s="257">
        <f t="shared" si="121"/>
        <v>988</v>
      </c>
      <c r="U3697" s="257">
        <f t="shared" si="122"/>
        <v>247</v>
      </c>
      <c r="V3697">
        <v>1</v>
      </c>
      <c r="W3697">
        <v>1</v>
      </c>
    </row>
    <row r="3698" spans="1:23" ht="168" x14ac:dyDescent="0.3">
      <c r="A3698" s="114">
        <v>44773</v>
      </c>
      <c r="B3698" s="114">
        <v>44773</v>
      </c>
      <c r="C3698" s="6">
        <v>7</v>
      </c>
      <c r="D3698" s="6">
        <v>1</v>
      </c>
      <c r="E3698" s="115">
        <v>2022</v>
      </c>
      <c r="F3698" s="15" t="s">
        <v>22</v>
      </c>
      <c r="G3698" s="116" t="s">
        <v>6256</v>
      </c>
      <c r="H3698" s="9" t="s">
        <v>74</v>
      </c>
      <c r="I3698" s="117" t="s">
        <v>5857</v>
      </c>
      <c r="J3698" s="118" t="s">
        <v>5858</v>
      </c>
      <c r="K3698" s="117">
        <v>0</v>
      </c>
      <c r="L3698" s="245">
        <v>100</v>
      </c>
      <c r="M3698" s="119">
        <v>25</v>
      </c>
      <c r="N3698" s="119">
        <v>0</v>
      </c>
      <c r="O3698" s="119">
        <v>0</v>
      </c>
      <c r="P3698" s="119">
        <v>0</v>
      </c>
      <c r="Q3698" s="119">
        <v>0</v>
      </c>
      <c r="R3698" s="120">
        <v>3.3350749999999998E-2</v>
      </c>
      <c r="S3698" s="119" t="s">
        <v>115</v>
      </c>
      <c r="T3698" s="257">
        <f t="shared" si="121"/>
        <v>100</v>
      </c>
      <c r="U3698" s="257">
        <f t="shared" si="122"/>
        <v>25</v>
      </c>
      <c r="V3698">
        <v>1</v>
      </c>
      <c r="W3698">
        <v>1</v>
      </c>
    </row>
    <row r="3699" spans="1:23" ht="108" x14ac:dyDescent="0.3">
      <c r="A3699" s="114">
        <v>44775</v>
      </c>
      <c r="B3699" s="114">
        <v>44776</v>
      </c>
      <c r="C3699" s="6">
        <v>8</v>
      </c>
      <c r="D3699" s="6">
        <v>2</v>
      </c>
      <c r="E3699" s="115">
        <v>2022</v>
      </c>
      <c r="F3699" s="15" t="s">
        <v>22</v>
      </c>
      <c r="G3699" s="9" t="s">
        <v>6257</v>
      </c>
      <c r="H3699" s="9" t="s">
        <v>31</v>
      </c>
      <c r="I3699" s="117" t="s">
        <v>5859</v>
      </c>
      <c r="J3699" s="118" t="s">
        <v>5860</v>
      </c>
      <c r="K3699" s="117">
        <v>0</v>
      </c>
      <c r="L3699" s="245">
        <v>3</v>
      </c>
      <c r="M3699" s="119">
        <v>2</v>
      </c>
      <c r="N3699" s="119">
        <v>0</v>
      </c>
      <c r="O3699" s="119">
        <v>0</v>
      </c>
      <c r="P3699" s="119">
        <v>0</v>
      </c>
      <c r="Q3699" s="119">
        <v>0</v>
      </c>
      <c r="R3699" s="120">
        <v>9.3170000000000004E-4</v>
      </c>
      <c r="S3699" s="119" t="s">
        <v>115</v>
      </c>
      <c r="T3699" s="257">
        <f t="shared" si="121"/>
        <v>3</v>
      </c>
      <c r="U3699" s="257">
        <f t="shared" si="122"/>
        <v>2</v>
      </c>
      <c r="V3699">
        <v>1</v>
      </c>
      <c r="W3699">
        <v>1</v>
      </c>
    </row>
    <row r="3700" spans="1:23" ht="108" x14ac:dyDescent="0.3">
      <c r="A3700" s="114">
        <v>44776</v>
      </c>
      <c r="B3700" s="114">
        <v>44776</v>
      </c>
      <c r="C3700" s="6">
        <v>8</v>
      </c>
      <c r="D3700" s="6">
        <v>1</v>
      </c>
      <c r="E3700" s="115">
        <v>2022</v>
      </c>
      <c r="F3700" s="15" t="s">
        <v>22</v>
      </c>
      <c r="G3700" s="116" t="s">
        <v>6256</v>
      </c>
      <c r="H3700" s="9" t="s">
        <v>34</v>
      </c>
      <c r="I3700" s="117" t="s">
        <v>5861</v>
      </c>
      <c r="J3700" s="118" t="s">
        <v>5862</v>
      </c>
      <c r="K3700" s="117">
        <v>0</v>
      </c>
      <c r="L3700" s="245">
        <v>42</v>
      </c>
      <c r="M3700" s="119">
        <v>10</v>
      </c>
      <c r="N3700" s="119">
        <v>0</v>
      </c>
      <c r="O3700" s="119">
        <v>0</v>
      </c>
      <c r="P3700" s="119">
        <v>0</v>
      </c>
      <c r="Q3700" s="119">
        <v>0</v>
      </c>
      <c r="R3700" s="120">
        <v>3.4636300000000002E-2</v>
      </c>
      <c r="S3700" s="119" t="s">
        <v>115</v>
      </c>
      <c r="T3700" s="257">
        <f t="shared" si="121"/>
        <v>42</v>
      </c>
      <c r="U3700" s="257">
        <f t="shared" si="122"/>
        <v>10</v>
      </c>
      <c r="V3700">
        <v>1</v>
      </c>
      <c r="W3700">
        <v>1</v>
      </c>
    </row>
    <row r="3701" spans="1:23" ht="57" x14ac:dyDescent="0.3">
      <c r="A3701" s="214">
        <v>42886</v>
      </c>
      <c r="B3701" s="214">
        <v>42886</v>
      </c>
      <c r="C3701" s="6">
        <v>5</v>
      </c>
      <c r="D3701" s="6">
        <v>1</v>
      </c>
      <c r="E3701" s="33">
        <v>2017</v>
      </c>
      <c r="F3701" s="15" t="s">
        <v>22</v>
      </c>
      <c r="G3701" s="18" t="s">
        <v>6256</v>
      </c>
      <c r="H3701" s="9" t="s">
        <v>48</v>
      </c>
      <c r="I3701" s="34" t="s">
        <v>3172</v>
      </c>
      <c r="J3701" s="34" t="s">
        <v>5863</v>
      </c>
      <c r="K3701" s="33">
        <v>0</v>
      </c>
      <c r="L3701" s="236">
        <v>60</v>
      </c>
      <c r="M3701" s="35">
        <v>15</v>
      </c>
      <c r="N3701" s="35">
        <v>0</v>
      </c>
      <c r="O3701" s="35">
        <v>0</v>
      </c>
      <c r="P3701" s="35">
        <v>0</v>
      </c>
      <c r="Q3701" s="35">
        <v>0</v>
      </c>
      <c r="R3701" s="36">
        <v>0</v>
      </c>
      <c r="S3701" s="7" t="s">
        <v>115</v>
      </c>
      <c r="T3701" s="257">
        <f t="shared" si="121"/>
        <v>60</v>
      </c>
      <c r="U3701" s="257">
        <f t="shared" si="122"/>
        <v>15</v>
      </c>
      <c r="V3701">
        <v>1</v>
      </c>
      <c r="W3701">
        <v>1</v>
      </c>
    </row>
    <row r="3702" spans="1:23" ht="79.8" x14ac:dyDescent="0.3">
      <c r="A3702" s="214">
        <v>42905</v>
      </c>
      <c r="B3702" s="214">
        <v>42905</v>
      </c>
      <c r="C3702" s="6">
        <v>6</v>
      </c>
      <c r="D3702" s="6">
        <v>1</v>
      </c>
      <c r="E3702" s="33">
        <v>2017</v>
      </c>
      <c r="F3702" s="15" t="s">
        <v>22</v>
      </c>
      <c r="G3702" s="18" t="s">
        <v>6256</v>
      </c>
      <c r="H3702" s="9" t="s">
        <v>48</v>
      </c>
      <c r="I3702" s="34" t="s">
        <v>5864</v>
      </c>
      <c r="J3702" s="34" t="s">
        <v>5865</v>
      </c>
      <c r="K3702" s="33">
        <v>0</v>
      </c>
      <c r="L3702" s="236">
        <v>292</v>
      </c>
      <c r="M3702" s="35">
        <v>73</v>
      </c>
      <c r="N3702" s="35">
        <v>1</v>
      </c>
      <c r="O3702" s="35">
        <v>0</v>
      </c>
      <c r="P3702" s="35">
        <v>0</v>
      </c>
      <c r="Q3702" s="35">
        <v>0</v>
      </c>
      <c r="R3702" s="36">
        <v>0</v>
      </c>
      <c r="S3702" s="7" t="s">
        <v>115</v>
      </c>
      <c r="T3702" s="257">
        <f t="shared" si="121"/>
        <v>292</v>
      </c>
      <c r="U3702" s="257">
        <f t="shared" si="122"/>
        <v>74</v>
      </c>
      <c r="V3702">
        <v>1</v>
      </c>
      <c r="W3702">
        <v>1</v>
      </c>
    </row>
    <row r="3703" spans="1:23" ht="96" x14ac:dyDescent="0.3">
      <c r="A3703" s="114">
        <v>44780</v>
      </c>
      <c r="B3703" s="114">
        <v>44781</v>
      </c>
      <c r="C3703" s="6">
        <v>8</v>
      </c>
      <c r="D3703" s="6">
        <v>2</v>
      </c>
      <c r="E3703" s="115">
        <v>2022</v>
      </c>
      <c r="F3703" s="15" t="s">
        <v>22</v>
      </c>
      <c r="G3703" s="116" t="s">
        <v>6256</v>
      </c>
      <c r="H3703" s="9" t="s">
        <v>74</v>
      </c>
      <c r="I3703" s="117" t="s">
        <v>5866</v>
      </c>
      <c r="J3703" s="118" t="s">
        <v>5867</v>
      </c>
      <c r="K3703" s="117"/>
      <c r="L3703" s="245">
        <v>264</v>
      </c>
      <c r="M3703" s="119">
        <v>0</v>
      </c>
      <c r="N3703" s="119">
        <v>0</v>
      </c>
      <c r="O3703" s="119">
        <v>0</v>
      </c>
      <c r="P3703" s="119">
        <v>0</v>
      </c>
      <c r="Q3703" s="119">
        <v>0</v>
      </c>
      <c r="R3703" s="120">
        <v>0.42592000000000002</v>
      </c>
      <c r="S3703" s="119" t="s">
        <v>115</v>
      </c>
      <c r="T3703" s="257">
        <f t="shared" si="121"/>
        <v>264</v>
      </c>
      <c r="U3703" s="257">
        <f t="shared" si="122"/>
        <v>0</v>
      </c>
      <c r="V3703">
        <v>1</v>
      </c>
      <c r="W3703">
        <v>0</v>
      </c>
    </row>
    <row r="3704" spans="1:23" x14ac:dyDescent="0.3">
      <c r="A3704" s="114">
        <v>44782</v>
      </c>
      <c r="B3704" s="114">
        <v>44782</v>
      </c>
      <c r="C3704" s="6">
        <v>8</v>
      </c>
      <c r="D3704" s="6">
        <v>1</v>
      </c>
      <c r="E3704" s="115">
        <v>2022</v>
      </c>
      <c r="F3704" s="15" t="s">
        <v>22</v>
      </c>
      <c r="G3704" s="116" t="s">
        <v>6256</v>
      </c>
      <c r="H3704" s="9" t="s">
        <v>27</v>
      </c>
      <c r="I3704" s="117" t="s">
        <v>211</v>
      </c>
      <c r="J3704" s="180" t="s">
        <v>5868</v>
      </c>
      <c r="K3704" s="117"/>
      <c r="L3704" s="245">
        <v>3</v>
      </c>
      <c r="M3704" s="119">
        <v>1</v>
      </c>
      <c r="N3704" s="119">
        <v>0</v>
      </c>
      <c r="O3704" s="119">
        <v>0</v>
      </c>
      <c r="P3704" s="119">
        <v>0</v>
      </c>
      <c r="Q3704" s="119">
        <v>0</v>
      </c>
      <c r="R3704" s="120">
        <v>0</v>
      </c>
      <c r="S3704" s="119" t="s">
        <v>115</v>
      </c>
      <c r="T3704" s="257">
        <f t="shared" si="121"/>
        <v>3</v>
      </c>
      <c r="U3704" s="257">
        <f t="shared" si="122"/>
        <v>1</v>
      </c>
      <c r="V3704">
        <v>1</v>
      </c>
      <c r="W3704">
        <v>1</v>
      </c>
    </row>
    <row r="3705" spans="1:23" ht="132" x14ac:dyDescent="0.3">
      <c r="A3705" s="114">
        <v>44781</v>
      </c>
      <c r="B3705" s="114">
        <v>44783</v>
      </c>
      <c r="C3705" s="6">
        <v>8</v>
      </c>
      <c r="D3705" s="6">
        <v>3</v>
      </c>
      <c r="E3705" s="115">
        <v>2022</v>
      </c>
      <c r="F3705" s="15" t="s">
        <v>22</v>
      </c>
      <c r="G3705" s="116" t="s">
        <v>6256</v>
      </c>
      <c r="H3705" s="9" t="s">
        <v>52</v>
      </c>
      <c r="I3705" s="117" t="s">
        <v>5036</v>
      </c>
      <c r="J3705" s="118" t="s">
        <v>5869</v>
      </c>
      <c r="K3705" s="117"/>
      <c r="L3705" s="245">
        <v>120</v>
      </c>
      <c r="M3705" s="119">
        <v>25</v>
      </c>
      <c r="N3705" s="119">
        <v>0</v>
      </c>
      <c r="O3705" s="119">
        <v>0</v>
      </c>
      <c r="P3705" s="119">
        <v>5</v>
      </c>
      <c r="Q3705" s="119">
        <v>0</v>
      </c>
      <c r="R3705" s="120">
        <v>3.3350625000000002E-2</v>
      </c>
      <c r="S3705" s="119" t="s">
        <v>115</v>
      </c>
      <c r="T3705" s="257">
        <f t="shared" si="121"/>
        <v>120</v>
      </c>
      <c r="U3705" s="257">
        <f t="shared" si="122"/>
        <v>30</v>
      </c>
      <c r="V3705">
        <v>1</v>
      </c>
      <c r="W3705">
        <v>1</v>
      </c>
    </row>
    <row r="3706" spans="1:23" ht="156" x14ac:dyDescent="0.3">
      <c r="A3706" s="114">
        <v>44783</v>
      </c>
      <c r="B3706" s="114">
        <v>44783</v>
      </c>
      <c r="C3706" s="6">
        <v>8</v>
      </c>
      <c r="D3706" s="6">
        <v>1</v>
      </c>
      <c r="E3706" s="115">
        <v>2022</v>
      </c>
      <c r="F3706" s="15" t="s">
        <v>22</v>
      </c>
      <c r="G3706" s="116" t="s">
        <v>6256</v>
      </c>
      <c r="H3706" s="9" t="s">
        <v>51</v>
      </c>
      <c r="I3706" s="117" t="s">
        <v>5870</v>
      </c>
      <c r="J3706" s="118" t="s">
        <v>5871</v>
      </c>
      <c r="K3706" s="117">
        <v>0</v>
      </c>
      <c r="L3706" s="245">
        <v>250</v>
      </c>
      <c r="M3706" s="119">
        <v>50</v>
      </c>
      <c r="N3706" s="119">
        <v>0</v>
      </c>
      <c r="O3706" s="119">
        <v>0</v>
      </c>
      <c r="P3706" s="119">
        <v>0</v>
      </c>
      <c r="Q3706" s="119">
        <v>0</v>
      </c>
      <c r="R3706" s="120">
        <v>0.31108192499999998</v>
      </c>
      <c r="S3706" s="119" t="s">
        <v>115</v>
      </c>
      <c r="T3706" s="257">
        <f t="shared" si="121"/>
        <v>250</v>
      </c>
      <c r="U3706" s="257">
        <f t="shared" si="122"/>
        <v>50</v>
      </c>
      <c r="V3706">
        <v>1</v>
      </c>
      <c r="W3706">
        <v>1</v>
      </c>
    </row>
    <row r="3707" spans="1:23" ht="252" x14ac:dyDescent="0.3">
      <c r="A3707" s="114">
        <v>44786</v>
      </c>
      <c r="B3707" s="114">
        <v>44787</v>
      </c>
      <c r="C3707" s="6">
        <v>8</v>
      </c>
      <c r="D3707" s="6">
        <v>2</v>
      </c>
      <c r="E3707" s="115">
        <v>2022</v>
      </c>
      <c r="F3707" s="15" t="s">
        <v>22</v>
      </c>
      <c r="G3707" s="116" t="s">
        <v>6256</v>
      </c>
      <c r="H3707" s="9" t="s">
        <v>74</v>
      </c>
      <c r="I3707" s="117" t="s">
        <v>350</v>
      </c>
      <c r="J3707" s="118" t="s">
        <v>5872</v>
      </c>
      <c r="K3707" s="117">
        <v>3</v>
      </c>
      <c r="L3707" s="245">
        <v>22</v>
      </c>
      <c r="M3707" s="119">
        <v>7</v>
      </c>
      <c r="N3707" s="119">
        <v>0</v>
      </c>
      <c r="O3707" s="119">
        <v>0</v>
      </c>
      <c r="P3707" s="119">
        <v>0</v>
      </c>
      <c r="Q3707" s="119">
        <v>0</v>
      </c>
      <c r="R3707" s="120">
        <v>0</v>
      </c>
      <c r="S3707" s="119" t="s">
        <v>115</v>
      </c>
      <c r="T3707" s="257">
        <f t="shared" si="121"/>
        <v>25</v>
      </c>
      <c r="U3707" s="257">
        <f t="shared" si="122"/>
        <v>7</v>
      </c>
      <c r="V3707">
        <v>1</v>
      </c>
      <c r="W3707">
        <v>1</v>
      </c>
    </row>
    <row r="3708" spans="1:23" ht="216" x14ac:dyDescent="0.3">
      <c r="A3708" s="114">
        <v>44786</v>
      </c>
      <c r="B3708" s="114">
        <v>44787</v>
      </c>
      <c r="C3708" s="6">
        <v>8</v>
      </c>
      <c r="D3708" s="6">
        <v>2</v>
      </c>
      <c r="E3708" s="115">
        <v>2022</v>
      </c>
      <c r="F3708" s="15" t="s">
        <v>22</v>
      </c>
      <c r="G3708" s="116" t="s">
        <v>6256</v>
      </c>
      <c r="H3708" s="9" t="s">
        <v>46</v>
      </c>
      <c r="I3708" s="117" t="s">
        <v>5873</v>
      </c>
      <c r="J3708" s="118" t="s">
        <v>5874</v>
      </c>
      <c r="K3708" s="117">
        <v>0</v>
      </c>
      <c r="L3708" s="245">
        <v>20</v>
      </c>
      <c r="M3708" s="119">
        <v>8</v>
      </c>
      <c r="N3708" s="119">
        <v>0</v>
      </c>
      <c r="O3708" s="119">
        <v>0</v>
      </c>
      <c r="P3708" s="119">
        <v>0</v>
      </c>
      <c r="Q3708" s="119">
        <v>0</v>
      </c>
      <c r="R3708" s="120">
        <v>5.2441158000000002E-2</v>
      </c>
      <c r="S3708" s="119" t="s">
        <v>115</v>
      </c>
      <c r="T3708" s="257">
        <f t="shared" si="121"/>
        <v>20</v>
      </c>
      <c r="U3708" s="257">
        <f t="shared" si="122"/>
        <v>8</v>
      </c>
      <c r="V3708">
        <v>1</v>
      </c>
      <c r="W3708">
        <v>1</v>
      </c>
    </row>
    <row r="3709" spans="1:23" ht="180" x14ac:dyDescent="0.3">
      <c r="A3709" s="114">
        <v>44788</v>
      </c>
      <c r="B3709" s="114">
        <v>44788</v>
      </c>
      <c r="C3709" s="6">
        <v>8</v>
      </c>
      <c r="D3709" s="6">
        <v>1</v>
      </c>
      <c r="E3709" s="115">
        <v>2022</v>
      </c>
      <c r="F3709" s="15" t="s">
        <v>22</v>
      </c>
      <c r="G3709" s="116" t="s">
        <v>6256</v>
      </c>
      <c r="H3709" s="9" t="s">
        <v>74</v>
      </c>
      <c r="I3709" s="117" t="s">
        <v>5831</v>
      </c>
      <c r="J3709" s="118" t="s">
        <v>5875</v>
      </c>
      <c r="K3709" s="117">
        <v>0</v>
      </c>
      <c r="L3709" s="245">
        <v>89</v>
      </c>
      <c r="M3709" s="119">
        <v>6</v>
      </c>
      <c r="N3709" s="119">
        <v>0</v>
      </c>
      <c r="O3709" s="119">
        <v>0</v>
      </c>
      <c r="P3709" s="119">
        <v>0</v>
      </c>
      <c r="Q3709" s="119">
        <v>0</v>
      </c>
      <c r="R3709" s="120">
        <v>4.1926499999999998E-2</v>
      </c>
      <c r="S3709" s="119" t="s">
        <v>115</v>
      </c>
      <c r="T3709" s="257">
        <f t="shared" si="121"/>
        <v>89</v>
      </c>
      <c r="U3709" s="257">
        <f t="shared" si="122"/>
        <v>6</v>
      </c>
      <c r="V3709">
        <v>1</v>
      </c>
      <c r="W3709">
        <v>1</v>
      </c>
    </row>
    <row r="3710" spans="1:23" ht="180" x14ac:dyDescent="0.3">
      <c r="A3710" s="114">
        <v>44788</v>
      </c>
      <c r="B3710" s="114">
        <v>44789</v>
      </c>
      <c r="C3710" s="6">
        <v>8</v>
      </c>
      <c r="D3710" s="6">
        <v>2</v>
      </c>
      <c r="E3710" s="115">
        <v>2022</v>
      </c>
      <c r="F3710" s="15" t="s">
        <v>22</v>
      </c>
      <c r="G3710" s="16" t="s">
        <v>6256</v>
      </c>
      <c r="H3710" s="9" t="s">
        <v>70</v>
      </c>
      <c r="I3710" s="117" t="s">
        <v>525</v>
      </c>
      <c r="J3710" s="118" t="s">
        <v>5876</v>
      </c>
      <c r="K3710" s="117">
        <v>1</v>
      </c>
      <c r="L3710" s="245">
        <v>1</v>
      </c>
      <c r="M3710" s="119">
        <v>0</v>
      </c>
      <c r="N3710" s="119">
        <v>0</v>
      </c>
      <c r="O3710" s="119">
        <v>0</v>
      </c>
      <c r="P3710" s="119">
        <v>0</v>
      </c>
      <c r="Q3710" s="119">
        <v>0</v>
      </c>
      <c r="R3710" s="120">
        <v>0.21820135700000004</v>
      </c>
      <c r="S3710" s="119" t="s">
        <v>115</v>
      </c>
      <c r="T3710" s="257">
        <f t="shared" si="121"/>
        <v>2</v>
      </c>
      <c r="U3710" s="257">
        <f t="shared" si="122"/>
        <v>0</v>
      </c>
      <c r="V3710">
        <v>1</v>
      </c>
      <c r="W3710">
        <v>0</v>
      </c>
    </row>
    <row r="3711" spans="1:23" ht="228" x14ac:dyDescent="0.3">
      <c r="A3711" s="114">
        <v>44788</v>
      </c>
      <c r="B3711" s="114">
        <v>44788</v>
      </c>
      <c r="C3711" s="6">
        <v>8</v>
      </c>
      <c r="D3711" s="6">
        <v>1</v>
      </c>
      <c r="E3711" s="115">
        <v>2022</v>
      </c>
      <c r="F3711" s="15" t="s">
        <v>22</v>
      </c>
      <c r="G3711" s="116" t="s">
        <v>6256</v>
      </c>
      <c r="H3711" s="9" t="s">
        <v>46</v>
      </c>
      <c r="I3711" s="117" t="s">
        <v>5877</v>
      </c>
      <c r="J3711" s="118" t="s">
        <v>5878</v>
      </c>
      <c r="K3711" s="117">
        <v>0</v>
      </c>
      <c r="L3711" s="245">
        <v>208</v>
      </c>
      <c r="M3711" s="119">
        <v>52</v>
      </c>
      <c r="N3711" s="119">
        <v>0</v>
      </c>
      <c r="O3711" s="119">
        <v>0</v>
      </c>
      <c r="P3711" s="119">
        <v>0</v>
      </c>
      <c r="Q3711" s="119">
        <v>0</v>
      </c>
      <c r="R3711" s="120">
        <v>6.9369E-2</v>
      </c>
      <c r="S3711" s="119" t="s">
        <v>115</v>
      </c>
      <c r="T3711" s="257">
        <f t="shared" si="121"/>
        <v>208</v>
      </c>
      <c r="U3711" s="257">
        <f t="shared" si="122"/>
        <v>52</v>
      </c>
      <c r="V3711">
        <v>1</v>
      </c>
      <c r="W3711">
        <v>1</v>
      </c>
    </row>
    <row r="3712" spans="1:23" ht="228" x14ac:dyDescent="0.3">
      <c r="A3712" s="114">
        <v>44788</v>
      </c>
      <c r="B3712" s="114">
        <v>44789</v>
      </c>
      <c r="C3712" s="6">
        <v>8</v>
      </c>
      <c r="D3712" s="6">
        <v>2</v>
      </c>
      <c r="E3712" s="115">
        <v>2022</v>
      </c>
      <c r="F3712" s="15" t="s">
        <v>22</v>
      </c>
      <c r="G3712" s="116" t="s">
        <v>6256</v>
      </c>
      <c r="H3712" s="9" t="s">
        <v>66</v>
      </c>
      <c r="I3712" s="117" t="s">
        <v>5879</v>
      </c>
      <c r="J3712" s="118" t="s">
        <v>5880</v>
      </c>
      <c r="K3712" s="117">
        <v>0</v>
      </c>
      <c r="L3712" s="245">
        <v>25</v>
      </c>
      <c r="M3712" s="119">
        <v>7</v>
      </c>
      <c r="N3712" s="119">
        <v>0</v>
      </c>
      <c r="O3712" s="119">
        <v>0</v>
      </c>
      <c r="P3712" s="119">
        <v>0</v>
      </c>
      <c r="Q3712" s="119">
        <v>0</v>
      </c>
      <c r="R3712" s="120">
        <v>4.1282175000000004E-2</v>
      </c>
      <c r="S3712" s="119" t="s">
        <v>115</v>
      </c>
      <c r="T3712" s="257">
        <f t="shared" si="121"/>
        <v>25</v>
      </c>
      <c r="U3712" s="257">
        <f t="shared" si="122"/>
        <v>7</v>
      </c>
      <c r="V3712">
        <v>1</v>
      </c>
      <c r="W3712">
        <v>1</v>
      </c>
    </row>
    <row r="3713" spans="1:23" ht="288" x14ac:dyDescent="0.3">
      <c r="A3713" s="114">
        <v>44789</v>
      </c>
      <c r="B3713" s="114">
        <v>44789</v>
      </c>
      <c r="C3713" s="6">
        <v>8</v>
      </c>
      <c r="D3713" s="6">
        <v>1</v>
      </c>
      <c r="E3713" s="115">
        <v>2022</v>
      </c>
      <c r="F3713" s="15" t="s">
        <v>22</v>
      </c>
      <c r="G3713" s="82" t="s">
        <v>6256</v>
      </c>
      <c r="H3713" s="9" t="s">
        <v>66</v>
      </c>
      <c r="I3713" s="117" t="s">
        <v>5881</v>
      </c>
      <c r="J3713" s="118" t="s">
        <v>5882</v>
      </c>
      <c r="K3713" s="117">
        <v>1</v>
      </c>
      <c r="L3713" s="245">
        <v>9</v>
      </c>
      <c r="M3713" s="119">
        <v>2</v>
      </c>
      <c r="N3713" s="119">
        <v>0</v>
      </c>
      <c r="O3713" s="119">
        <v>0</v>
      </c>
      <c r="P3713" s="119">
        <v>0</v>
      </c>
      <c r="Q3713" s="119">
        <v>0</v>
      </c>
      <c r="R3713" s="120">
        <v>0</v>
      </c>
      <c r="S3713" s="119" t="s">
        <v>115</v>
      </c>
      <c r="T3713" s="257">
        <f t="shared" si="121"/>
        <v>10</v>
      </c>
      <c r="U3713" s="257">
        <f t="shared" si="122"/>
        <v>2</v>
      </c>
      <c r="V3713">
        <v>1</v>
      </c>
      <c r="W3713">
        <v>1</v>
      </c>
    </row>
    <row r="3714" spans="1:23" ht="168" x14ac:dyDescent="0.3">
      <c r="A3714" s="114">
        <v>44788</v>
      </c>
      <c r="B3714" s="114">
        <v>44790</v>
      </c>
      <c r="C3714" s="6">
        <v>8</v>
      </c>
      <c r="D3714" s="6">
        <v>3</v>
      </c>
      <c r="E3714" s="115">
        <v>2022</v>
      </c>
      <c r="F3714" s="15" t="s">
        <v>22</v>
      </c>
      <c r="G3714" s="16" t="s">
        <v>6256</v>
      </c>
      <c r="H3714" s="9" t="s">
        <v>88</v>
      </c>
      <c r="I3714" s="117" t="s">
        <v>5883</v>
      </c>
      <c r="J3714" s="118" t="s">
        <v>5884</v>
      </c>
      <c r="K3714" s="117">
        <v>0</v>
      </c>
      <c r="L3714" s="245">
        <v>60</v>
      </c>
      <c r="M3714" s="119">
        <v>15</v>
      </c>
      <c r="N3714" s="119">
        <v>0</v>
      </c>
      <c r="O3714" s="119">
        <v>0</v>
      </c>
      <c r="P3714" s="119">
        <v>2</v>
      </c>
      <c r="Q3714" s="119">
        <v>0</v>
      </c>
      <c r="R3714" s="120">
        <v>3.0658375000000002E-2</v>
      </c>
      <c r="S3714" s="119" t="s">
        <v>115</v>
      </c>
      <c r="T3714" s="257">
        <f t="shared" si="121"/>
        <v>60</v>
      </c>
      <c r="U3714" s="257">
        <f t="shared" si="122"/>
        <v>17</v>
      </c>
      <c r="V3714">
        <v>1</v>
      </c>
      <c r="W3714">
        <v>1</v>
      </c>
    </row>
    <row r="3715" spans="1:23" ht="204" x14ac:dyDescent="0.3">
      <c r="A3715" s="114">
        <v>44791</v>
      </c>
      <c r="B3715" s="114">
        <v>44791</v>
      </c>
      <c r="C3715" s="6">
        <v>8</v>
      </c>
      <c r="D3715" s="6">
        <v>1</v>
      </c>
      <c r="E3715" s="115">
        <v>2022</v>
      </c>
      <c r="F3715" s="15" t="s">
        <v>22</v>
      </c>
      <c r="G3715" s="116" t="s">
        <v>6256</v>
      </c>
      <c r="H3715" s="9" t="s">
        <v>74</v>
      </c>
      <c r="I3715" s="117" t="s">
        <v>5885</v>
      </c>
      <c r="J3715" s="118" t="s">
        <v>5886</v>
      </c>
      <c r="K3715" s="117">
        <v>1</v>
      </c>
      <c r="L3715" s="245">
        <v>6</v>
      </c>
      <c r="M3715" s="119">
        <v>0</v>
      </c>
      <c r="N3715" s="119">
        <v>0</v>
      </c>
      <c r="O3715" s="119">
        <v>0</v>
      </c>
      <c r="P3715" s="119">
        <v>0</v>
      </c>
      <c r="Q3715" s="119">
        <v>0</v>
      </c>
      <c r="R3715" s="120">
        <v>0</v>
      </c>
      <c r="S3715" s="119" t="s">
        <v>115</v>
      </c>
      <c r="T3715" s="257">
        <f t="shared" ref="T3715:T3778" si="123">SUM(K3715:L3715)</f>
        <v>7</v>
      </c>
      <c r="U3715" s="257">
        <f t="shared" ref="U3715:U3778" si="124">SUM(M3715:P3715)</f>
        <v>0</v>
      </c>
      <c r="V3715">
        <v>1</v>
      </c>
      <c r="W3715">
        <v>0</v>
      </c>
    </row>
    <row r="3716" spans="1:23" ht="409.6" x14ac:dyDescent="0.3">
      <c r="A3716" s="114">
        <v>44791</v>
      </c>
      <c r="B3716" s="114">
        <v>44791</v>
      </c>
      <c r="C3716" s="6">
        <v>8</v>
      </c>
      <c r="D3716" s="6">
        <v>1</v>
      </c>
      <c r="E3716" s="115">
        <v>2022</v>
      </c>
      <c r="F3716" s="15" t="s">
        <v>22</v>
      </c>
      <c r="G3716" s="116" t="s">
        <v>6256</v>
      </c>
      <c r="H3716" s="9" t="s">
        <v>69</v>
      </c>
      <c r="I3716" s="117" t="s">
        <v>5887</v>
      </c>
      <c r="J3716" s="118" t="s">
        <v>5888</v>
      </c>
      <c r="K3716" s="117">
        <v>0</v>
      </c>
      <c r="L3716" s="245">
        <v>120</v>
      </c>
      <c r="M3716" s="119">
        <v>30</v>
      </c>
      <c r="N3716" s="119">
        <v>0</v>
      </c>
      <c r="O3716" s="119">
        <v>0</v>
      </c>
      <c r="P3716" s="119">
        <v>0</v>
      </c>
      <c r="Q3716" s="119">
        <v>0</v>
      </c>
      <c r="R3716" s="120">
        <v>1.3177808999999998</v>
      </c>
      <c r="S3716" s="119" t="s">
        <v>115</v>
      </c>
      <c r="T3716" s="257">
        <f t="shared" si="123"/>
        <v>120</v>
      </c>
      <c r="U3716" s="257">
        <f t="shared" si="124"/>
        <v>30</v>
      </c>
      <c r="V3716">
        <v>1</v>
      </c>
      <c r="W3716">
        <v>1</v>
      </c>
    </row>
    <row r="3717" spans="1:23" ht="84" x14ac:dyDescent="0.3">
      <c r="A3717" s="114">
        <v>44790</v>
      </c>
      <c r="B3717" s="114">
        <v>44791</v>
      </c>
      <c r="C3717" s="6">
        <v>8</v>
      </c>
      <c r="D3717" s="6">
        <v>2</v>
      </c>
      <c r="E3717" s="115">
        <v>2022</v>
      </c>
      <c r="F3717" s="15" t="s">
        <v>22</v>
      </c>
      <c r="G3717" s="116" t="s">
        <v>6256</v>
      </c>
      <c r="H3717" s="9" t="s">
        <v>72</v>
      </c>
      <c r="I3717" s="117" t="s">
        <v>657</v>
      </c>
      <c r="J3717" s="118" t="s">
        <v>5889</v>
      </c>
      <c r="K3717" s="117">
        <v>0</v>
      </c>
      <c r="L3717" s="245">
        <v>18</v>
      </c>
      <c r="M3717" s="119">
        <v>3</v>
      </c>
      <c r="N3717" s="119">
        <v>0</v>
      </c>
      <c r="O3717" s="119">
        <v>0</v>
      </c>
      <c r="P3717" s="119">
        <v>0</v>
      </c>
      <c r="Q3717" s="119">
        <v>0</v>
      </c>
      <c r="R3717" s="120">
        <v>4.0020749999999999E-3</v>
      </c>
      <c r="S3717" s="119" t="s">
        <v>115</v>
      </c>
      <c r="T3717" s="257">
        <f t="shared" si="123"/>
        <v>18</v>
      </c>
      <c r="U3717" s="257">
        <f t="shared" si="124"/>
        <v>3</v>
      </c>
      <c r="V3717">
        <v>1</v>
      </c>
      <c r="W3717">
        <v>1</v>
      </c>
    </row>
    <row r="3718" spans="1:23" ht="252" x14ac:dyDescent="0.3">
      <c r="A3718" s="114">
        <v>44792</v>
      </c>
      <c r="B3718" s="114">
        <v>44792</v>
      </c>
      <c r="C3718" s="6">
        <v>8</v>
      </c>
      <c r="D3718" s="6">
        <v>1</v>
      </c>
      <c r="E3718" s="115">
        <v>2022</v>
      </c>
      <c r="F3718" s="15" t="s">
        <v>22</v>
      </c>
      <c r="G3718" s="116" t="s">
        <v>6256</v>
      </c>
      <c r="H3718" s="9" t="s">
        <v>31</v>
      </c>
      <c r="I3718" s="117" t="s">
        <v>5890</v>
      </c>
      <c r="J3718" s="118" t="s">
        <v>5891</v>
      </c>
      <c r="K3718" s="117">
        <v>0</v>
      </c>
      <c r="L3718" s="245">
        <v>96</v>
      </c>
      <c r="M3718" s="119">
        <v>24</v>
      </c>
      <c r="N3718" s="119">
        <v>0</v>
      </c>
      <c r="O3718" s="119">
        <v>0</v>
      </c>
      <c r="P3718" s="119">
        <v>0</v>
      </c>
      <c r="Q3718" s="119">
        <v>0</v>
      </c>
      <c r="R3718" s="120">
        <v>3.2016719999999999E-2</v>
      </c>
      <c r="S3718" s="119" t="s">
        <v>115</v>
      </c>
      <c r="T3718" s="257">
        <f t="shared" si="123"/>
        <v>96</v>
      </c>
      <c r="U3718" s="257">
        <f t="shared" si="124"/>
        <v>24</v>
      </c>
      <c r="V3718">
        <v>1</v>
      </c>
      <c r="W3718">
        <v>1</v>
      </c>
    </row>
    <row r="3719" spans="1:23" ht="132" x14ac:dyDescent="0.3">
      <c r="A3719" s="114">
        <v>44794</v>
      </c>
      <c r="B3719" s="114">
        <v>44794</v>
      </c>
      <c r="C3719" s="6">
        <v>8</v>
      </c>
      <c r="D3719" s="6">
        <v>1</v>
      </c>
      <c r="E3719" s="115">
        <v>2022</v>
      </c>
      <c r="F3719" s="15" t="s">
        <v>22</v>
      </c>
      <c r="G3719" s="116" t="s">
        <v>6256</v>
      </c>
      <c r="H3719" s="9" t="s">
        <v>52</v>
      </c>
      <c r="I3719" s="117" t="s">
        <v>655</v>
      </c>
      <c r="J3719" s="118" t="s">
        <v>5892</v>
      </c>
      <c r="K3719" s="117">
        <v>0</v>
      </c>
      <c r="L3719" s="245">
        <v>16</v>
      </c>
      <c r="M3719" s="119">
        <v>4</v>
      </c>
      <c r="N3719" s="119">
        <v>0</v>
      </c>
      <c r="O3719" s="119">
        <v>0</v>
      </c>
      <c r="P3719" s="119">
        <v>0</v>
      </c>
      <c r="Q3719" s="119">
        <v>0</v>
      </c>
      <c r="R3719" s="120">
        <v>5.3361000000000007E-3</v>
      </c>
      <c r="S3719" s="119" t="s">
        <v>115</v>
      </c>
      <c r="T3719" s="257">
        <f t="shared" si="123"/>
        <v>16</v>
      </c>
      <c r="U3719" s="257">
        <f t="shared" si="124"/>
        <v>4</v>
      </c>
      <c r="V3719">
        <v>1</v>
      </c>
      <c r="W3719">
        <v>1</v>
      </c>
    </row>
    <row r="3720" spans="1:23" ht="84" x14ac:dyDescent="0.3">
      <c r="A3720" s="114">
        <v>44794</v>
      </c>
      <c r="B3720" s="114">
        <v>44795</v>
      </c>
      <c r="C3720" s="6">
        <v>8</v>
      </c>
      <c r="D3720" s="6">
        <v>2</v>
      </c>
      <c r="E3720" s="115">
        <v>2022</v>
      </c>
      <c r="F3720" s="15" t="s">
        <v>22</v>
      </c>
      <c r="G3720" s="9" t="s">
        <v>6257</v>
      </c>
      <c r="H3720" s="9" t="s">
        <v>46</v>
      </c>
      <c r="I3720" s="117" t="s">
        <v>2914</v>
      </c>
      <c r="J3720" s="118" t="s">
        <v>5893</v>
      </c>
      <c r="K3720" s="117">
        <v>1</v>
      </c>
      <c r="L3720" s="245">
        <v>5</v>
      </c>
      <c r="M3720" s="119">
        <v>1</v>
      </c>
      <c r="N3720" s="119">
        <v>0</v>
      </c>
      <c r="O3720" s="119">
        <v>0</v>
      </c>
      <c r="P3720" s="119">
        <v>0</v>
      </c>
      <c r="Q3720" s="119">
        <v>0</v>
      </c>
      <c r="R3720" s="120">
        <v>3.5574000000000001E-2</v>
      </c>
      <c r="S3720" s="119" t="s">
        <v>115</v>
      </c>
      <c r="T3720" s="257">
        <f t="shared" si="123"/>
        <v>6</v>
      </c>
      <c r="U3720" s="257">
        <f t="shared" si="124"/>
        <v>1</v>
      </c>
      <c r="V3720">
        <v>1</v>
      </c>
      <c r="W3720">
        <v>1</v>
      </c>
    </row>
    <row r="3721" spans="1:23" ht="84" x14ac:dyDescent="0.3">
      <c r="A3721" s="114">
        <v>44794</v>
      </c>
      <c r="B3721" s="114">
        <v>44795</v>
      </c>
      <c r="C3721" s="6">
        <v>8</v>
      </c>
      <c r="D3721" s="6">
        <v>2</v>
      </c>
      <c r="E3721" s="115">
        <v>2022</v>
      </c>
      <c r="F3721" s="15" t="s">
        <v>22</v>
      </c>
      <c r="G3721" s="82" t="s">
        <v>6256</v>
      </c>
      <c r="H3721" s="9" t="s">
        <v>31</v>
      </c>
      <c r="I3721" s="117" t="s">
        <v>1029</v>
      </c>
      <c r="J3721" s="118" t="s">
        <v>5894</v>
      </c>
      <c r="K3721" s="117">
        <v>1</v>
      </c>
      <c r="L3721" s="245">
        <v>6</v>
      </c>
      <c r="M3721" s="119">
        <v>0</v>
      </c>
      <c r="N3721" s="119">
        <v>0</v>
      </c>
      <c r="O3721" s="119">
        <v>0</v>
      </c>
      <c r="P3721" s="119">
        <v>0</v>
      </c>
      <c r="Q3721" s="119">
        <v>0</v>
      </c>
      <c r="R3721" s="120">
        <v>5.9895E-3</v>
      </c>
      <c r="S3721" s="119" t="s">
        <v>115</v>
      </c>
      <c r="T3721" s="257">
        <f t="shared" si="123"/>
        <v>7</v>
      </c>
      <c r="U3721" s="257">
        <f t="shared" si="124"/>
        <v>0</v>
      </c>
      <c r="V3721">
        <v>1</v>
      </c>
      <c r="W3721">
        <v>0</v>
      </c>
    </row>
    <row r="3722" spans="1:23" ht="408" x14ac:dyDescent="0.3">
      <c r="A3722" s="114">
        <v>44793</v>
      </c>
      <c r="B3722" s="114">
        <v>44793</v>
      </c>
      <c r="C3722" s="6">
        <v>8</v>
      </c>
      <c r="D3722" s="6">
        <v>1</v>
      </c>
      <c r="E3722" s="115">
        <v>2022</v>
      </c>
      <c r="F3722" s="15" t="s">
        <v>22</v>
      </c>
      <c r="G3722" s="16" t="s">
        <v>6256</v>
      </c>
      <c r="H3722" s="9" t="s">
        <v>72</v>
      </c>
      <c r="I3722" s="117" t="s">
        <v>657</v>
      </c>
      <c r="J3722" s="118" t="s">
        <v>5895</v>
      </c>
      <c r="K3722" s="117">
        <v>1</v>
      </c>
      <c r="L3722" s="245">
        <v>1</v>
      </c>
      <c r="M3722" s="119">
        <v>0</v>
      </c>
      <c r="N3722" s="119">
        <v>0</v>
      </c>
      <c r="O3722" s="119">
        <v>0</v>
      </c>
      <c r="P3722" s="119">
        <v>0</v>
      </c>
      <c r="Q3722" s="119">
        <v>0</v>
      </c>
      <c r="R3722" s="120">
        <v>0</v>
      </c>
      <c r="S3722" s="119" t="s">
        <v>115</v>
      </c>
      <c r="T3722" s="257">
        <f t="shared" si="123"/>
        <v>2</v>
      </c>
      <c r="U3722" s="257">
        <f t="shared" si="124"/>
        <v>0</v>
      </c>
      <c r="V3722">
        <v>1</v>
      </c>
      <c r="W3722">
        <v>0</v>
      </c>
    </row>
    <row r="3723" spans="1:23" ht="360" x14ac:dyDescent="0.3">
      <c r="A3723" s="114">
        <v>44796</v>
      </c>
      <c r="B3723" s="114">
        <v>44797</v>
      </c>
      <c r="C3723" s="6">
        <v>8</v>
      </c>
      <c r="D3723" s="6">
        <v>2</v>
      </c>
      <c r="E3723" s="115">
        <v>2022</v>
      </c>
      <c r="F3723" s="15" t="s">
        <v>22</v>
      </c>
      <c r="G3723" s="116" t="s">
        <v>6256</v>
      </c>
      <c r="H3723" s="9" t="s">
        <v>72</v>
      </c>
      <c r="I3723" s="117" t="s">
        <v>5896</v>
      </c>
      <c r="J3723" s="118" t="s">
        <v>5897</v>
      </c>
      <c r="K3723" s="117">
        <v>0</v>
      </c>
      <c r="L3723" s="245">
        <v>172</v>
      </c>
      <c r="M3723" s="119">
        <v>43</v>
      </c>
      <c r="N3723" s="119">
        <v>1</v>
      </c>
      <c r="O3723" s="119">
        <v>0</v>
      </c>
      <c r="P3723" s="119">
        <v>0</v>
      </c>
      <c r="Q3723" s="119">
        <v>0</v>
      </c>
      <c r="R3723" s="120">
        <v>5.7363075000000006E-2</v>
      </c>
      <c r="S3723" s="119" t="s">
        <v>115</v>
      </c>
      <c r="T3723" s="257">
        <f t="shared" si="123"/>
        <v>172</v>
      </c>
      <c r="U3723" s="257">
        <f t="shared" si="124"/>
        <v>44</v>
      </c>
      <c r="V3723">
        <v>1</v>
      </c>
      <c r="W3723">
        <v>1</v>
      </c>
    </row>
    <row r="3724" spans="1:23" ht="216" x14ac:dyDescent="0.3">
      <c r="A3724" s="114">
        <v>44797</v>
      </c>
      <c r="B3724" s="114">
        <v>44797</v>
      </c>
      <c r="C3724" s="6">
        <v>8</v>
      </c>
      <c r="D3724" s="6">
        <v>1</v>
      </c>
      <c r="E3724" s="115">
        <v>2022</v>
      </c>
      <c r="F3724" s="15" t="s">
        <v>22</v>
      </c>
      <c r="G3724" s="116" t="s">
        <v>6256</v>
      </c>
      <c r="H3724" s="9" t="s">
        <v>51</v>
      </c>
      <c r="I3724" s="117" t="s">
        <v>1011</v>
      </c>
      <c r="J3724" s="118" t="s">
        <v>5898</v>
      </c>
      <c r="K3724" s="117">
        <v>0</v>
      </c>
      <c r="L3724" s="245">
        <v>39</v>
      </c>
      <c r="M3724" s="119">
        <v>6</v>
      </c>
      <c r="N3724" s="119">
        <v>0</v>
      </c>
      <c r="O3724" s="119">
        <v>0</v>
      </c>
      <c r="P3724" s="119">
        <v>2</v>
      </c>
      <c r="Q3724" s="119">
        <v>0</v>
      </c>
      <c r="R3724" s="120">
        <v>0.42258672829999999</v>
      </c>
      <c r="S3724" s="119" t="s">
        <v>115</v>
      </c>
      <c r="T3724" s="257">
        <f t="shared" si="123"/>
        <v>39</v>
      </c>
      <c r="U3724" s="257">
        <f t="shared" si="124"/>
        <v>8</v>
      </c>
      <c r="V3724">
        <v>1</v>
      </c>
      <c r="W3724">
        <v>1</v>
      </c>
    </row>
    <row r="3725" spans="1:23" ht="348" x14ac:dyDescent="0.3">
      <c r="A3725" s="114">
        <v>44791</v>
      </c>
      <c r="B3725" s="114">
        <v>44798</v>
      </c>
      <c r="C3725" s="6">
        <v>8</v>
      </c>
      <c r="D3725" s="6">
        <v>8</v>
      </c>
      <c r="E3725" s="115">
        <v>2022</v>
      </c>
      <c r="F3725" s="15" t="s">
        <v>22</v>
      </c>
      <c r="G3725" s="116" t="s">
        <v>6256</v>
      </c>
      <c r="H3725" s="9" t="s">
        <v>74</v>
      </c>
      <c r="I3725" s="117" t="s">
        <v>5899</v>
      </c>
      <c r="J3725" s="118" t="s">
        <v>5900</v>
      </c>
      <c r="K3725" s="117">
        <v>2</v>
      </c>
      <c r="L3725" s="245">
        <v>6500</v>
      </c>
      <c r="M3725" s="119">
        <v>1500</v>
      </c>
      <c r="N3725" s="119">
        <v>0</v>
      </c>
      <c r="O3725" s="119">
        <v>0</v>
      </c>
      <c r="P3725" s="119">
        <v>0</v>
      </c>
      <c r="Q3725" s="119">
        <v>0</v>
      </c>
      <c r="R3725" s="120">
        <v>2.25</v>
      </c>
      <c r="S3725" s="119" t="s">
        <v>115</v>
      </c>
      <c r="T3725" s="257">
        <f t="shared" si="123"/>
        <v>6502</v>
      </c>
      <c r="U3725" s="257">
        <f t="shared" si="124"/>
        <v>1500</v>
      </c>
      <c r="V3725">
        <v>1</v>
      </c>
      <c r="W3725">
        <v>2</v>
      </c>
    </row>
    <row r="3726" spans="1:23" ht="120" x14ac:dyDescent="0.3">
      <c r="A3726" s="114">
        <v>44798</v>
      </c>
      <c r="B3726" s="114">
        <v>44798</v>
      </c>
      <c r="C3726" s="6">
        <v>8</v>
      </c>
      <c r="D3726" s="6">
        <v>1</v>
      </c>
      <c r="E3726" s="115">
        <v>2022</v>
      </c>
      <c r="F3726" s="15" t="s">
        <v>22</v>
      </c>
      <c r="G3726" s="116" t="s">
        <v>6256</v>
      </c>
      <c r="H3726" s="9" t="s">
        <v>34</v>
      </c>
      <c r="I3726" s="117" t="s">
        <v>5901</v>
      </c>
      <c r="J3726" s="118" t="s">
        <v>5902</v>
      </c>
      <c r="K3726" s="117">
        <v>0</v>
      </c>
      <c r="L3726" s="245">
        <v>160</v>
      </c>
      <c r="M3726" s="119">
        <v>40</v>
      </c>
      <c r="N3726" s="119">
        <v>0</v>
      </c>
      <c r="O3726" s="119">
        <v>1</v>
      </c>
      <c r="P3726" s="119">
        <v>0</v>
      </c>
      <c r="Q3726" s="119">
        <v>0</v>
      </c>
      <c r="R3726" s="120">
        <v>5.3360999999999999E-2</v>
      </c>
      <c r="S3726" s="119" t="s">
        <v>115</v>
      </c>
      <c r="T3726" s="257">
        <f t="shared" si="123"/>
        <v>160</v>
      </c>
      <c r="U3726" s="257">
        <f t="shared" si="124"/>
        <v>41</v>
      </c>
      <c r="V3726">
        <v>1</v>
      </c>
      <c r="W3726">
        <v>1</v>
      </c>
    </row>
    <row r="3727" spans="1:23" ht="120" x14ac:dyDescent="0.3">
      <c r="A3727" s="114">
        <v>44798</v>
      </c>
      <c r="B3727" s="114">
        <v>44798</v>
      </c>
      <c r="C3727" s="6">
        <v>8</v>
      </c>
      <c r="D3727" s="6">
        <v>1</v>
      </c>
      <c r="E3727" s="115">
        <v>2022</v>
      </c>
      <c r="F3727" s="15" t="s">
        <v>22</v>
      </c>
      <c r="G3727" s="116" t="s">
        <v>6256</v>
      </c>
      <c r="H3727" s="9" t="s">
        <v>174</v>
      </c>
      <c r="I3727" s="179" t="s">
        <v>5903</v>
      </c>
      <c r="J3727" s="118" t="s">
        <v>5904</v>
      </c>
      <c r="K3727" s="117">
        <v>0</v>
      </c>
      <c r="L3727" s="245">
        <f>(88*4)*1</f>
        <v>352</v>
      </c>
      <c r="M3727" s="119">
        <v>88</v>
      </c>
      <c r="N3727" s="119">
        <v>0</v>
      </c>
      <c r="O3727" s="119">
        <v>0</v>
      </c>
      <c r="P3727" s="119">
        <v>0</v>
      </c>
      <c r="Q3727" s="119">
        <v>0</v>
      </c>
      <c r="R3727" s="120">
        <v>1.3340250000000002E-3</v>
      </c>
      <c r="S3727" s="119" t="s">
        <v>115</v>
      </c>
      <c r="T3727" s="257">
        <f t="shared" si="123"/>
        <v>352</v>
      </c>
      <c r="U3727" s="257">
        <f t="shared" si="124"/>
        <v>88</v>
      </c>
      <c r="V3727">
        <v>1</v>
      </c>
      <c r="W3727">
        <v>1</v>
      </c>
    </row>
    <row r="3728" spans="1:23" ht="132" x14ac:dyDescent="0.3">
      <c r="A3728" s="114">
        <v>44800</v>
      </c>
      <c r="B3728" s="114">
        <v>44800</v>
      </c>
      <c r="C3728" s="6">
        <v>8</v>
      </c>
      <c r="D3728" s="6">
        <v>1</v>
      </c>
      <c r="E3728" s="115">
        <v>2022</v>
      </c>
      <c r="F3728" s="15" t="s">
        <v>22</v>
      </c>
      <c r="G3728" s="116" t="s">
        <v>6256</v>
      </c>
      <c r="H3728" s="9" t="s">
        <v>72</v>
      </c>
      <c r="I3728" s="117" t="s">
        <v>5905</v>
      </c>
      <c r="J3728" s="118" t="s">
        <v>5906</v>
      </c>
      <c r="K3728" s="117">
        <v>0</v>
      </c>
      <c r="L3728" s="245">
        <v>73</v>
      </c>
      <c r="M3728" s="119">
        <v>33</v>
      </c>
      <c r="N3728" s="119">
        <v>0</v>
      </c>
      <c r="O3728" s="119">
        <v>0</v>
      </c>
      <c r="P3728" s="119">
        <v>0</v>
      </c>
      <c r="Q3728" s="119">
        <v>0</v>
      </c>
      <c r="R3728" s="120">
        <v>4.4022825000000002E-2</v>
      </c>
      <c r="S3728" s="119" t="s">
        <v>115</v>
      </c>
      <c r="T3728" s="257">
        <f t="shared" si="123"/>
        <v>73</v>
      </c>
      <c r="U3728" s="257">
        <f t="shared" si="124"/>
        <v>33</v>
      </c>
      <c r="V3728">
        <v>1</v>
      </c>
      <c r="W3728">
        <v>1</v>
      </c>
    </row>
    <row r="3729" spans="1:23" ht="84" x14ac:dyDescent="0.3">
      <c r="A3729" s="114">
        <v>44799</v>
      </c>
      <c r="B3729" s="114">
        <v>44800</v>
      </c>
      <c r="C3729" s="6">
        <v>8</v>
      </c>
      <c r="D3729" s="6">
        <v>2</v>
      </c>
      <c r="E3729" s="115">
        <v>2022</v>
      </c>
      <c r="F3729" s="15" t="s">
        <v>22</v>
      </c>
      <c r="G3729" s="116" t="s">
        <v>6256</v>
      </c>
      <c r="H3729" s="9" t="s">
        <v>31</v>
      </c>
      <c r="I3729" s="117" t="s">
        <v>5907</v>
      </c>
      <c r="J3729" s="118" t="s">
        <v>5908</v>
      </c>
      <c r="K3729" s="117">
        <v>0</v>
      </c>
      <c r="L3729" s="245">
        <v>132</v>
      </c>
      <c r="M3729" s="119">
        <v>8</v>
      </c>
      <c r="N3729" s="119">
        <v>0</v>
      </c>
      <c r="O3729" s="119">
        <v>0</v>
      </c>
      <c r="P3729" s="119">
        <v>0</v>
      </c>
      <c r="Q3729" s="119">
        <v>0</v>
      </c>
      <c r="R3729" s="120">
        <v>1.0672200000000001E-2</v>
      </c>
      <c r="S3729" s="119" t="s">
        <v>115</v>
      </c>
      <c r="T3729" s="257">
        <f t="shared" si="123"/>
        <v>132</v>
      </c>
      <c r="U3729" s="257">
        <f t="shared" si="124"/>
        <v>8</v>
      </c>
      <c r="V3729">
        <v>1</v>
      </c>
      <c r="W3729">
        <v>1</v>
      </c>
    </row>
    <row r="3730" spans="1:23" ht="96" x14ac:dyDescent="0.3">
      <c r="A3730" s="114">
        <v>44800</v>
      </c>
      <c r="B3730" s="114">
        <v>44801</v>
      </c>
      <c r="C3730" s="6">
        <v>8</v>
      </c>
      <c r="D3730" s="6">
        <v>2</v>
      </c>
      <c r="E3730" s="115">
        <v>2022</v>
      </c>
      <c r="F3730" s="15" t="s">
        <v>22</v>
      </c>
      <c r="G3730" s="116" t="s">
        <v>6256</v>
      </c>
      <c r="H3730" s="9" t="s">
        <v>121</v>
      </c>
      <c r="I3730" s="117" t="s">
        <v>5909</v>
      </c>
      <c r="J3730" s="118" t="s">
        <v>5910</v>
      </c>
      <c r="K3730" s="117">
        <v>0</v>
      </c>
      <c r="L3730" s="245">
        <v>120</v>
      </c>
      <c r="M3730" s="119">
        <v>30</v>
      </c>
      <c r="N3730" s="119">
        <v>0</v>
      </c>
      <c r="O3730" s="119">
        <v>0</v>
      </c>
      <c r="P3730" s="119">
        <v>0</v>
      </c>
      <c r="Q3730" s="119">
        <v>0</v>
      </c>
      <c r="R3730" s="120">
        <v>0.18664915500000001</v>
      </c>
      <c r="S3730" s="119" t="s">
        <v>115</v>
      </c>
      <c r="T3730" s="257">
        <f t="shared" si="123"/>
        <v>120</v>
      </c>
      <c r="U3730" s="257">
        <f t="shared" si="124"/>
        <v>30</v>
      </c>
      <c r="V3730">
        <v>1</v>
      </c>
      <c r="W3730">
        <v>1</v>
      </c>
    </row>
    <row r="3731" spans="1:23" ht="156" x14ac:dyDescent="0.3">
      <c r="A3731" s="114">
        <v>44800</v>
      </c>
      <c r="B3731" s="114">
        <v>44801</v>
      </c>
      <c r="C3731" s="6">
        <v>8</v>
      </c>
      <c r="D3731" s="6">
        <v>2</v>
      </c>
      <c r="E3731" s="115">
        <v>2022</v>
      </c>
      <c r="F3731" s="15" t="s">
        <v>22</v>
      </c>
      <c r="G3731" s="116" t="s">
        <v>6256</v>
      </c>
      <c r="H3731" s="9" t="s">
        <v>64</v>
      </c>
      <c r="I3731" s="117" t="s">
        <v>2075</v>
      </c>
      <c r="J3731" s="118" t="s">
        <v>5911</v>
      </c>
      <c r="K3731" s="117">
        <v>0</v>
      </c>
      <c r="L3731" s="245">
        <v>4</v>
      </c>
      <c r="M3731" s="119">
        <v>1</v>
      </c>
      <c r="N3731" s="119">
        <v>0</v>
      </c>
      <c r="O3731" s="119">
        <v>0</v>
      </c>
      <c r="P3731" s="119">
        <v>1</v>
      </c>
      <c r="Q3731" s="119">
        <v>0</v>
      </c>
      <c r="R3731" s="120">
        <v>1.3340250000000002E-3</v>
      </c>
      <c r="S3731" s="119" t="s">
        <v>115</v>
      </c>
      <c r="T3731" s="257">
        <f t="shared" si="123"/>
        <v>4</v>
      </c>
      <c r="U3731" s="257">
        <f t="shared" si="124"/>
        <v>2</v>
      </c>
      <c r="V3731">
        <v>1</v>
      </c>
      <c r="W3731">
        <v>1</v>
      </c>
    </row>
    <row r="3732" spans="1:23" ht="168" x14ac:dyDescent="0.3">
      <c r="A3732" s="114">
        <v>44802</v>
      </c>
      <c r="B3732" s="114">
        <v>44802</v>
      </c>
      <c r="C3732" s="6">
        <v>8</v>
      </c>
      <c r="D3732" s="6">
        <v>1</v>
      </c>
      <c r="E3732" s="115">
        <v>2022</v>
      </c>
      <c r="F3732" s="15" t="s">
        <v>22</v>
      </c>
      <c r="G3732" s="9" t="s">
        <v>6257</v>
      </c>
      <c r="H3732" s="9" t="s">
        <v>64</v>
      </c>
      <c r="I3732" s="117" t="s">
        <v>5807</v>
      </c>
      <c r="J3732" s="118" t="s">
        <v>5912</v>
      </c>
      <c r="K3732" s="117">
        <v>1</v>
      </c>
      <c r="L3732" s="245">
        <v>2</v>
      </c>
      <c r="M3732" s="119">
        <v>0</v>
      </c>
      <c r="N3732" s="119">
        <v>0</v>
      </c>
      <c r="O3732" s="119">
        <v>0</v>
      </c>
      <c r="P3732" s="119">
        <v>1</v>
      </c>
      <c r="Q3732" s="119">
        <v>0</v>
      </c>
      <c r="R3732" s="120">
        <v>0</v>
      </c>
      <c r="S3732" s="119" t="s">
        <v>115</v>
      </c>
      <c r="T3732" s="257">
        <f t="shared" si="123"/>
        <v>3</v>
      </c>
      <c r="U3732" s="257">
        <f t="shared" si="124"/>
        <v>1</v>
      </c>
      <c r="V3732">
        <v>1</v>
      </c>
      <c r="W3732">
        <v>1</v>
      </c>
    </row>
    <row r="3733" spans="1:23" ht="132" x14ac:dyDescent="0.3">
      <c r="A3733" s="114">
        <v>44802</v>
      </c>
      <c r="B3733" s="114">
        <v>44802</v>
      </c>
      <c r="C3733" s="6">
        <v>8</v>
      </c>
      <c r="D3733" s="6">
        <v>1</v>
      </c>
      <c r="E3733" s="115">
        <v>2022</v>
      </c>
      <c r="F3733" s="15" t="s">
        <v>22</v>
      </c>
      <c r="G3733" s="116" t="s">
        <v>6256</v>
      </c>
      <c r="H3733" s="9" t="s">
        <v>31</v>
      </c>
      <c r="I3733" s="117" t="s">
        <v>5913</v>
      </c>
      <c r="J3733" s="118" t="s">
        <v>5914</v>
      </c>
      <c r="K3733" s="117">
        <v>0</v>
      </c>
      <c r="L3733" s="245">
        <v>252</v>
      </c>
      <c r="M3733" s="119">
        <v>63</v>
      </c>
      <c r="N3733" s="119">
        <v>0</v>
      </c>
      <c r="O3733" s="119">
        <v>0</v>
      </c>
      <c r="P3733" s="119">
        <v>0</v>
      </c>
      <c r="Q3733" s="119">
        <v>0</v>
      </c>
      <c r="R3733" s="120">
        <v>0.25511004750000005</v>
      </c>
      <c r="S3733" s="119" t="s">
        <v>115</v>
      </c>
      <c r="T3733" s="257">
        <f t="shared" si="123"/>
        <v>252</v>
      </c>
      <c r="U3733" s="257">
        <f t="shared" si="124"/>
        <v>63</v>
      </c>
      <c r="V3733">
        <v>1</v>
      </c>
      <c r="W3733">
        <v>1</v>
      </c>
    </row>
    <row r="3734" spans="1:23" ht="144" x14ac:dyDescent="0.3">
      <c r="A3734" s="114">
        <v>44801</v>
      </c>
      <c r="B3734" s="114">
        <v>44802</v>
      </c>
      <c r="C3734" s="6">
        <v>8</v>
      </c>
      <c r="D3734" s="6">
        <v>2</v>
      </c>
      <c r="E3734" s="115">
        <v>2022</v>
      </c>
      <c r="F3734" s="15" t="s">
        <v>22</v>
      </c>
      <c r="G3734" s="116" t="s">
        <v>6256</v>
      </c>
      <c r="H3734" s="9" t="s">
        <v>55</v>
      </c>
      <c r="I3734" s="117" t="s">
        <v>5915</v>
      </c>
      <c r="J3734" s="118" t="s">
        <v>5916</v>
      </c>
      <c r="K3734" s="117">
        <v>0</v>
      </c>
      <c r="L3734" s="245">
        <v>1700</v>
      </c>
      <c r="M3734" s="119">
        <v>425</v>
      </c>
      <c r="N3734" s="119">
        <v>0</v>
      </c>
      <c r="O3734" s="119">
        <v>0</v>
      </c>
      <c r="P3734" s="119">
        <v>0</v>
      </c>
      <c r="Q3734" s="119">
        <v>0</v>
      </c>
      <c r="R3734" s="120">
        <v>0.566960625</v>
      </c>
      <c r="S3734" s="119" t="s">
        <v>115</v>
      </c>
      <c r="T3734" s="257">
        <f t="shared" si="123"/>
        <v>1700</v>
      </c>
      <c r="U3734" s="257">
        <f t="shared" si="124"/>
        <v>425</v>
      </c>
      <c r="V3734">
        <v>1</v>
      </c>
      <c r="W3734">
        <v>1</v>
      </c>
    </row>
    <row r="3735" spans="1:23" ht="216" x14ac:dyDescent="0.3">
      <c r="A3735" s="114">
        <v>44800</v>
      </c>
      <c r="B3735" s="114">
        <v>44803</v>
      </c>
      <c r="C3735" s="6">
        <v>8</v>
      </c>
      <c r="D3735" s="6">
        <v>4</v>
      </c>
      <c r="E3735" s="115">
        <v>2022</v>
      </c>
      <c r="F3735" s="15" t="s">
        <v>22</v>
      </c>
      <c r="G3735" s="116" t="s">
        <v>6256</v>
      </c>
      <c r="H3735" s="9" t="s">
        <v>72</v>
      </c>
      <c r="I3735" s="117" t="s">
        <v>2597</v>
      </c>
      <c r="J3735" s="118" t="s">
        <v>5917</v>
      </c>
      <c r="K3735" s="117">
        <v>0</v>
      </c>
      <c r="L3735" s="245">
        <v>31</v>
      </c>
      <c r="M3735" s="119">
        <v>1</v>
      </c>
      <c r="N3735" s="119">
        <v>0</v>
      </c>
      <c r="O3735" s="119">
        <v>0</v>
      </c>
      <c r="P3735" s="119">
        <v>0</v>
      </c>
      <c r="Q3735" s="119">
        <v>0</v>
      </c>
      <c r="R3735" s="120">
        <v>6.9877500000000018E-3</v>
      </c>
      <c r="S3735" s="119" t="s">
        <v>115</v>
      </c>
      <c r="T3735" s="257">
        <f t="shared" si="123"/>
        <v>31</v>
      </c>
      <c r="U3735" s="257">
        <f t="shared" si="124"/>
        <v>1</v>
      </c>
      <c r="V3735">
        <v>1</v>
      </c>
      <c r="W3735">
        <v>1</v>
      </c>
    </row>
    <row r="3736" spans="1:23" ht="216" x14ac:dyDescent="0.3">
      <c r="A3736" s="114">
        <v>44802</v>
      </c>
      <c r="B3736" s="114">
        <v>44803</v>
      </c>
      <c r="C3736" s="6">
        <v>8</v>
      </c>
      <c r="D3736" s="6">
        <v>2</v>
      </c>
      <c r="E3736" s="115">
        <v>2022</v>
      </c>
      <c r="F3736" s="15" t="s">
        <v>22</v>
      </c>
      <c r="G3736" s="16" t="s">
        <v>6256</v>
      </c>
      <c r="H3736" s="9" t="s">
        <v>72</v>
      </c>
      <c r="I3736" s="117" t="s">
        <v>1503</v>
      </c>
      <c r="J3736" s="118" t="s">
        <v>5918</v>
      </c>
      <c r="K3736" s="117">
        <v>0</v>
      </c>
      <c r="L3736" s="245">
        <v>15</v>
      </c>
      <c r="M3736" s="119">
        <v>100</v>
      </c>
      <c r="N3736" s="119">
        <v>0</v>
      </c>
      <c r="O3736" s="119">
        <v>0</v>
      </c>
      <c r="P3736" s="119">
        <v>0</v>
      </c>
      <c r="Q3736" s="119">
        <v>0</v>
      </c>
      <c r="R3736" s="120">
        <v>0.62216384999999996</v>
      </c>
      <c r="S3736" s="119" t="s">
        <v>115</v>
      </c>
      <c r="T3736" s="257">
        <f t="shared" si="123"/>
        <v>15</v>
      </c>
      <c r="U3736" s="257">
        <f t="shared" si="124"/>
        <v>100</v>
      </c>
      <c r="V3736">
        <v>1</v>
      </c>
      <c r="W3736">
        <v>1</v>
      </c>
    </row>
    <row r="3737" spans="1:23" ht="204" x14ac:dyDescent="0.3">
      <c r="A3737" s="114">
        <v>44802</v>
      </c>
      <c r="B3737" s="114">
        <v>44804</v>
      </c>
      <c r="C3737" s="6">
        <v>8</v>
      </c>
      <c r="D3737" s="6">
        <v>3</v>
      </c>
      <c r="E3737" s="115">
        <v>2022</v>
      </c>
      <c r="F3737" s="15" t="s">
        <v>22</v>
      </c>
      <c r="G3737" s="16" t="s">
        <v>6256</v>
      </c>
      <c r="H3737" s="9" t="s">
        <v>72</v>
      </c>
      <c r="I3737" s="117" t="s">
        <v>5919</v>
      </c>
      <c r="J3737" s="118" t="s">
        <v>5920</v>
      </c>
      <c r="K3737" s="117">
        <v>1</v>
      </c>
      <c r="L3737" s="245">
        <v>10</v>
      </c>
      <c r="M3737" s="119">
        <v>2</v>
      </c>
      <c r="N3737" s="119">
        <v>0</v>
      </c>
      <c r="O3737" s="119">
        <v>0</v>
      </c>
      <c r="P3737" s="119">
        <v>0</v>
      </c>
      <c r="Q3737" s="119">
        <v>0</v>
      </c>
      <c r="R3737" s="120">
        <v>1.2443277000000001E-2</v>
      </c>
      <c r="S3737" s="119" t="s">
        <v>115</v>
      </c>
      <c r="T3737" s="257">
        <f t="shared" si="123"/>
        <v>11</v>
      </c>
      <c r="U3737" s="257">
        <f t="shared" si="124"/>
        <v>2</v>
      </c>
      <c r="V3737">
        <v>1</v>
      </c>
      <c r="W3737">
        <v>1</v>
      </c>
    </row>
    <row r="3738" spans="1:23" ht="372" x14ac:dyDescent="0.3">
      <c r="A3738" s="114">
        <v>44804</v>
      </c>
      <c r="B3738" s="114">
        <v>44805</v>
      </c>
      <c r="C3738" s="6">
        <v>8</v>
      </c>
      <c r="D3738" s="6">
        <v>2</v>
      </c>
      <c r="E3738" s="115">
        <v>2022</v>
      </c>
      <c r="F3738" s="15" t="s">
        <v>22</v>
      </c>
      <c r="G3738" s="16" t="s">
        <v>6256</v>
      </c>
      <c r="H3738" s="9" t="s">
        <v>39</v>
      </c>
      <c r="I3738" s="117" t="s">
        <v>5921</v>
      </c>
      <c r="J3738" s="118" t="s">
        <v>5922</v>
      </c>
      <c r="K3738" s="117">
        <v>0</v>
      </c>
      <c r="L3738" s="245">
        <v>16</v>
      </c>
      <c r="M3738" s="119">
        <v>4</v>
      </c>
      <c r="N3738" s="119">
        <v>0</v>
      </c>
      <c r="O3738" s="119">
        <v>0</v>
      </c>
      <c r="P3738" s="119">
        <v>0</v>
      </c>
      <c r="Q3738" s="119">
        <v>0</v>
      </c>
      <c r="R3738" s="120">
        <v>5.3361000000000007E-3</v>
      </c>
      <c r="S3738" s="119" t="s">
        <v>115</v>
      </c>
      <c r="T3738" s="257">
        <f t="shared" si="123"/>
        <v>16</v>
      </c>
      <c r="U3738" s="257">
        <f t="shared" si="124"/>
        <v>4</v>
      </c>
      <c r="V3738">
        <v>1</v>
      </c>
      <c r="W3738">
        <v>1</v>
      </c>
    </row>
    <row r="3739" spans="1:23" ht="84" x14ac:dyDescent="0.3">
      <c r="A3739" s="114">
        <v>44806</v>
      </c>
      <c r="B3739" s="114">
        <v>44806</v>
      </c>
      <c r="C3739" s="6">
        <v>9</v>
      </c>
      <c r="D3739" s="6">
        <v>1</v>
      </c>
      <c r="E3739" s="115">
        <v>2022</v>
      </c>
      <c r="F3739" s="15" t="s">
        <v>22</v>
      </c>
      <c r="G3739" s="116" t="s">
        <v>6256</v>
      </c>
      <c r="H3739" s="9" t="s">
        <v>118</v>
      </c>
      <c r="I3739" s="117" t="s">
        <v>170</v>
      </c>
      <c r="J3739" s="118" t="s">
        <v>5923</v>
      </c>
      <c r="K3739" s="117">
        <v>0</v>
      </c>
      <c r="L3739" s="245">
        <v>4</v>
      </c>
      <c r="M3739" s="119">
        <v>0</v>
      </c>
      <c r="N3739" s="119">
        <v>0</v>
      </c>
      <c r="O3739" s="119">
        <v>0</v>
      </c>
      <c r="P3739" s="119">
        <v>0</v>
      </c>
      <c r="Q3739" s="119">
        <v>0</v>
      </c>
      <c r="R3739" s="120">
        <v>0</v>
      </c>
      <c r="S3739" s="119" t="s">
        <v>115</v>
      </c>
      <c r="T3739" s="257">
        <f t="shared" si="123"/>
        <v>4</v>
      </c>
      <c r="U3739" s="257">
        <f t="shared" si="124"/>
        <v>0</v>
      </c>
      <c r="V3739">
        <v>1</v>
      </c>
      <c r="W3739">
        <v>0</v>
      </c>
    </row>
    <row r="3740" spans="1:23" ht="192" x14ac:dyDescent="0.3">
      <c r="A3740" s="114">
        <v>44807</v>
      </c>
      <c r="B3740" s="114">
        <v>44807</v>
      </c>
      <c r="C3740" s="6">
        <v>9</v>
      </c>
      <c r="D3740" s="6">
        <v>1</v>
      </c>
      <c r="E3740" s="115">
        <v>2022</v>
      </c>
      <c r="F3740" s="15" t="s">
        <v>22</v>
      </c>
      <c r="G3740" s="116" t="s">
        <v>6256</v>
      </c>
      <c r="H3740" s="9" t="s">
        <v>51</v>
      </c>
      <c r="I3740" s="117" t="s">
        <v>1275</v>
      </c>
      <c r="J3740" s="118" t="s">
        <v>5924</v>
      </c>
      <c r="K3740" s="117">
        <v>0</v>
      </c>
      <c r="L3740" s="245">
        <f>(18*4)*1</f>
        <v>72</v>
      </c>
      <c r="M3740" s="119">
        <v>18</v>
      </c>
      <c r="N3740" s="119">
        <v>0</v>
      </c>
      <c r="O3740" s="119">
        <v>0</v>
      </c>
      <c r="P3740" s="119">
        <v>0</v>
      </c>
      <c r="Q3740" s="119">
        <v>0</v>
      </c>
      <c r="R3740" s="120">
        <v>2.4012450000000001E-2</v>
      </c>
      <c r="S3740" s="119" t="s">
        <v>115</v>
      </c>
      <c r="T3740" s="257">
        <f t="shared" si="123"/>
        <v>72</v>
      </c>
      <c r="U3740" s="257">
        <f t="shared" si="124"/>
        <v>18</v>
      </c>
      <c r="V3740">
        <v>1</v>
      </c>
      <c r="W3740">
        <v>1</v>
      </c>
    </row>
    <row r="3741" spans="1:23" ht="240" x14ac:dyDescent="0.3">
      <c r="A3741" s="114">
        <v>44806</v>
      </c>
      <c r="B3741" s="114">
        <v>44809</v>
      </c>
      <c r="C3741" s="6">
        <v>9</v>
      </c>
      <c r="D3741" s="6">
        <v>4</v>
      </c>
      <c r="E3741" s="115">
        <v>2022</v>
      </c>
      <c r="F3741" s="15" t="s">
        <v>22</v>
      </c>
      <c r="G3741" s="116" t="s">
        <v>6254</v>
      </c>
      <c r="H3741" s="9" t="s">
        <v>28</v>
      </c>
      <c r="I3741" s="117" t="s">
        <v>5925</v>
      </c>
      <c r="J3741" s="118" t="s">
        <v>5926</v>
      </c>
      <c r="K3741" s="117">
        <v>0</v>
      </c>
      <c r="L3741" s="245">
        <v>207</v>
      </c>
      <c r="M3741" s="119">
        <v>50</v>
      </c>
      <c r="N3741" s="119">
        <v>0</v>
      </c>
      <c r="O3741" s="119">
        <v>1</v>
      </c>
      <c r="P3741" s="119">
        <v>0</v>
      </c>
      <c r="Q3741" s="119">
        <v>0</v>
      </c>
      <c r="R3741" s="120">
        <v>116.51893800000001</v>
      </c>
      <c r="S3741" s="119" t="s">
        <v>5822</v>
      </c>
      <c r="T3741" s="257">
        <f t="shared" si="123"/>
        <v>207</v>
      </c>
      <c r="U3741" s="257">
        <f t="shared" si="124"/>
        <v>51</v>
      </c>
      <c r="V3741">
        <v>1</v>
      </c>
      <c r="W3741">
        <v>1</v>
      </c>
    </row>
    <row r="3742" spans="1:23" ht="36" x14ac:dyDescent="0.3">
      <c r="A3742" s="114">
        <v>44811</v>
      </c>
      <c r="B3742" s="114">
        <v>44813</v>
      </c>
      <c r="C3742" s="6">
        <v>9</v>
      </c>
      <c r="D3742" s="6">
        <v>3</v>
      </c>
      <c r="E3742" s="115">
        <v>2022</v>
      </c>
      <c r="F3742" s="15" t="s">
        <v>22</v>
      </c>
      <c r="G3742" s="116" t="s">
        <v>6254</v>
      </c>
      <c r="H3742" s="9" t="s">
        <v>28</v>
      </c>
      <c r="I3742" s="117" t="s">
        <v>5927</v>
      </c>
      <c r="J3742" s="118" t="s">
        <v>5928</v>
      </c>
      <c r="K3742" s="117">
        <v>0</v>
      </c>
      <c r="L3742" s="245">
        <v>0</v>
      </c>
      <c r="M3742" s="119">
        <v>0</v>
      </c>
      <c r="N3742" s="119">
        <v>0</v>
      </c>
      <c r="O3742" s="119">
        <v>0</v>
      </c>
      <c r="P3742" s="119">
        <v>0</v>
      </c>
      <c r="Q3742" s="119">
        <v>0</v>
      </c>
      <c r="R3742" s="120">
        <v>577.42108367999992</v>
      </c>
      <c r="S3742" s="119" t="s">
        <v>5775</v>
      </c>
      <c r="T3742" s="257">
        <f t="shared" si="123"/>
        <v>0</v>
      </c>
      <c r="U3742" s="257">
        <f t="shared" si="124"/>
        <v>0</v>
      </c>
      <c r="V3742">
        <v>0</v>
      </c>
      <c r="W3742">
        <v>0</v>
      </c>
    </row>
    <row r="3743" spans="1:23" ht="41.4" x14ac:dyDescent="0.3">
      <c r="A3743" s="114">
        <v>44813</v>
      </c>
      <c r="B3743" s="114">
        <v>44815</v>
      </c>
      <c r="C3743" s="6">
        <v>9</v>
      </c>
      <c r="D3743" s="6">
        <v>3</v>
      </c>
      <c r="E3743" s="115">
        <v>2022</v>
      </c>
      <c r="F3743" s="15" t="s">
        <v>22</v>
      </c>
      <c r="G3743" s="116" t="s">
        <v>6254</v>
      </c>
      <c r="H3743" s="9" t="s">
        <v>27</v>
      </c>
      <c r="I3743" s="117" t="s">
        <v>5929</v>
      </c>
      <c r="J3743" s="118" t="s">
        <v>5930</v>
      </c>
      <c r="K3743" s="117">
        <v>0</v>
      </c>
      <c r="L3743" s="245">
        <v>0</v>
      </c>
      <c r="M3743" s="119">
        <v>0</v>
      </c>
      <c r="N3743" s="119">
        <v>0</v>
      </c>
      <c r="O3743" s="119">
        <v>0</v>
      </c>
      <c r="P3743" s="119">
        <v>0</v>
      </c>
      <c r="Q3743" s="119">
        <v>0</v>
      </c>
      <c r="R3743" s="120">
        <v>461.64877157999996</v>
      </c>
      <c r="S3743" s="119" t="s">
        <v>5775</v>
      </c>
      <c r="T3743" s="257">
        <f t="shared" si="123"/>
        <v>0</v>
      </c>
      <c r="U3743" s="257">
        <f t="shared" si="124"/>
        <v>0</v>
      </c>
      <c r="V3743">
        <v>0</v>
      </c>
      <c r="W3743">
        <v>0</v>
      </c>
    </row>
    <row r="3744" spans="1:23" ht="60" x14ac:dyDescent="0.3">
      <c r="A3744" s="114">
        <v>44805</v>
      </c>
      <c r="B3744" s="114">
        <v>44807</v>
      </c>
      <c r="C3744" s="6">
        <v>9</v>
      </c>
      <c r="D3744" s="6">
        <v>3</v>
      </c>
      <c r="E3744" s="115">
        <v>2022</v>
      </c>
      <c r="F3744" s="15" t="s">
        <v>22</v>
      </c>
      <c r="G3744" s="116" t="s">
        <v>6256</v>
      </c>
      <c r="H3744" s="9" t="s">
        <v>41</v>
      </c>
      <c r="I3744" s="117" t="s">
        <v>5931</v>
      </c>
      <c r="J3744" s="118" t="s">
        <v>5932</v>
      </c>
      <c r="K3744" s="117">
        <v>4</v>
      </c>
      <c r="L3744" s="245">
        <v>46</v>
      </c>
      <c r="M3744" s="119">
        <v>9</v>
      </c>
      <c r="N3744" s="119">
        <v>0</v>
      </c>
      <c r="O3744" s="119">
        <v>0</v>
      </c>
      <c r="P3744" s="119">
        <v>0</v>
      </c>
      <c r="Q3744" s="119">
        <v>0</v>
      </c>
      <c r="R3744" s="120">
        <v>0.22606950300000003</v>
      </c>
      <c r="S3744" s="119" t="s">
        <v>115</v>
      </c>
      <c r="T3744" s="257">
        <f t="shared" si="123"/>
        <v>50</v>
      </c>
      <c r="U3744" s="257">
        <f t="shared" si="124"/>
        <v>9</v>
      </c>
      <c r="V3744">
        <v>1</v>
      </c>
      <c r="W3744">
        <v>1</v>
      </c>
    </row>
    <row r="3745" spans="1:23" ht="324" x14ac:dyDescent="0.3">
      <c r="A3745" s="114">
        <v>44810</v>
      </c>
      <c r="B3745" s="114">
        <v>44811</v>
      </c>
      <c r="C3745" s="6">
        <v>9</v>
      </c>
      <c r="D3745" s="6">
        <v>2</v>
      </c>
      <c r="E3745" s="115">
        <v>2022</v>
      </c>
      <c r="F3745" s="15" t="s">
        <v>22</v>
      </c>
      <c r="G3745" s="16" t="s">
        <v>6256</v>
      </c>
      <c r="H3745" s="9" t="s">
        <v>88</v>
      </c>
      <c r="I3745" s="117" t="s">
        <v>878</v>
      </c>
      <c r="J3745" s="118" t="s">
        <v>5933</v>
      </c>
      <c r="K3745" s="117">
        <v>0</v>
      </c>
      <c r="L3745" s="245">
        <v>260</v>
      </c>
      <c r="M3745" s="119">
        <v>65</v>
      </c>
      <c r="N3745" s="119">
        <v>0</v>
      </c>
      <c r="O3745" s="119">
        <v>0</v>
      </c>
      <c r="P3745" s="119">
        <v>0</v>
      </c>
      <c r="Q3745" s="119">
        <v>0</v>
      </c>
      <c r="R3745" s="120">
        <v>1.2294065025000003</v>
      </c>
      <c r="S3745" s="119" t="s">
        <v>115</v>
      </c>
      <c r="T3745" s="257">
        <f t="shared" si="123"/>
        <v>260</v>
      </c>
      <c r="U3745" s="257">
        <f t="shared" si="124"/>
        <v>65</v>
      </c>
      <c r="V3745">
        <v>1</v>
      </c>
      <c r="W3745">
        <v>1</v>
      </c>
    </row>
    <row r="3746" spans="1:23" ht="102.6" x14ac:dyDescent="0.3">
      <c r="A3746" s="224">
        <v>43317</v>
      </c>
      <c r="B3746" s="224">
        <v>43317</v>
      </c>
      <c r="C3746" s="6">
        <v>8</v>
      </c>
      <c r="D3746" s="6">
        <v>1</v>
      </c>
      <c r="E3746" s="84">
        <v>2018</v>
      </c>
      <c r="F3746" s="15" t="s">
        <v>22</v>
      </c>
      <c r="G3746" s="18" t="s">
        <v>6254</v>
      </c>
      <c r="H3746" s="9" t="s">
        <v>48</v>
      </c>
      <c r="I3746" s="86" t="s">
        <v>310</v>
      </c>
      <c r="J3746" s="34" t="s">
        <v>5934</v>
      </c>
      <c r="K3746" s="84">
        <v>2</v>
      </c>
      <c r="L3746" s="173">
        <v>2</v>
      </c>
      <c r="M3746" s="84">
        <v>0</v>
      </c>
      <c r="N3746" s="84">
        <v>0</v>
      </c>
      <c r="O3746" s="84">
        <v>0</v>
      </c>
      <c r="P3746" s="84">
        <v>0</v>
      </c>
      <c r="Q3746" s="88">
        <v>0</v>
      </c>
      <c r="R3746" s="126">
        <v>0</v>
      </c>
      <c r="S3746" s="89" t="s">
        <v>115</v>
      </c>
      <c r="T3746" s="257">
        <f t="shared" si="123"/>
        <v>4</v>
      </c>
      <c r="U3746" s="257">
        <f t="shared" si="124"/>
        <v>0</v>
      </c>
      <c r="V3746">
        <v>1</v>
      </c>
      <c r="W3746">
        <v>0</v>
      </c>
    </row>
    <row r="3747" spans="1:23" ht="96" x14ac:dyDescent="0.3">
      <c r="A3747" s="114">
        <v>44812</v>
      </c>
      <c r="B3747" s="114">
        <v>44812</v>
      </c>
      <c r="C3747" s="6">
        <v>9</v>
      </c>
      <c r="D3747" s="6">
        <v>1</v>
      </c>
      <c r="E3747" s="115">
        <v>2022</v>
      </c>
      <c r="F3747" s="15" t="s">
        <v>22</v>
      </c>
      <c r="G3747" s="116" t="s">
        <v>6256</v>
      </c>
      <c r="H3747" s="9" t="s">
        <v>55</v>
      </c>
      <c r="I3747" s="117" t="s">
        <v>5935</v>
      </c>
      <c r="J3747" s="118" t="s">
        <v>5936</v>
      </c>
      <c r="K3747" s="117">
        <v>0</v>
      </c>
      <c r="L3747" s="245">
        <f>(55*4)*1</f>
        <v>220</v>
      </c>
      <c r="M3747" s="119">
        <v>55</v>
      </c>
      <c r="N3747" s="119">
        <v>0</v>
      </c>
      <c r="O3747" s="119">
        <v>0</v>
      </c>
      <c r="P3747" s="119">
        <v>0</v>
      </c>
      <c r="Q3747" s="119">
        <v>0</v>
      </c>
      <c r="R3747" s="120">
        <v>7.3371375000000003E-2</v>
      </c>
      <c r="S3747" s="119" t="s">
        <v>115</v>
      </c>
      <c r="T3747" s="257">
        <f t="shared" si="123"/>
        <v>220</v>
      </c>
      <c r="U3747" s="257">
        <f t="shared" si="124"/>
        <v>55</v>
      </c>
      <c r="V3747">
        <v>1</v>
      </c>
      <c r="W3747">
        <v>1</v>
      </c>
    </row>
    <row r="3748" spans="1:23" ht="156" x14ac:dyDescent="0.3">
      <c r="A3748" s="114">
        <v>44810</v>
      </c>
      <c r="B3748" s="114">
        <v>44812</v>
      </c>
      <c r="C3748" s="6">
        <v>9</v>
      </c>
      <c r="D3748" s="6">
        <v>3</v>
      </c>
      <c r="E3748" s="115">
        <v>2022</v>
      </c>
      <c r="F3748" s="15" t="s">
        <v>22</v>
      </c>
      <c r="G3748" s="116" t="s">
        <v>6256</v>
      </c>
      <c r="H3748" s="9" t="s">
        <v>72</v>
      </c>
      <c r="I3748" s="117" t="s">
        <v>5937</v>
      </c>
      <c r="J3748" s="118" t="s">
        <v>5938</v>
      </c>
      <c r="K3748" s="117">
        <v>0</v>
      </c>
      <c r="L3748" s="245">
        <v>160</v>
      </c>
      <c r="M3748" s="119">
        <v>192</v>
      </c>
      <c r="N3748" s="119">
        <v>0</v>
      </c>
      <c r="O3748" s="119">
        <v>0</v>
      </c>
      <c r="P3748" s="119">
        <v>0</v>
      </c>
      <c r="Q3748" s="119">
        <v>0</v>
      </c>
      <c r="R3748" s="120">
        <v>0.5755728</v>
      </c>
      <c r="S3748" s="119" t="s">
        <v>115</v>
      </c>
      <c r="T3748" s="257">
        <f t="shared" si="123"/>
        <v>160</v>
      </c>
      <c r="U3748" s="257">
        <f t="shared" si="124"/>
        <v>192</v>
      </c>
      <c r="V3748">
        <v>1</v>
      </c>
      <c r="W3748">
        <v>1</v>
      </c>
    </row>
    <row r="3749" spans="1:23" ht="180" x14ac:dyDescent="0.3">
      <c r="A3749" s="114">
        <v>44810</v>
      </c>
      <c r="B3749" s="114">
        <v>44813</v>
      </c>
      <c r="C3749" s="6">
        <v>9</v>
      </c>
      <c r="D3749" s="6">
        <v>4</v>
      </c>
      <c r="E3749" s="115">
        <v>2022</v>
      </c>
      <c r="F3749" s="15" t="s">
        <v>22</v>
      </c>
      <c r="G3749" s="116" t="s">
        <v>6256</v>
      </c>
      <c r="H3749" s="9" t="s">
        <v>41</v>
      </c>
      <c r="I3749" s="117" t="s">
        <v>5939</v>
      </c>
      <c r="J3749" s="118" t="s">
        <v>5940</v>
      </c>
      <c r="K3749" s="117">
        <v>0</v>
      </c>
      <c r="L3749" s="245">
        <v>6300</v>
      </c>
      <c r="M3749" s="119">
        <v>1575</v>
      </c>
      <c r="N3749" s="119">
        <v>0</v>
      </c>
      <c r="O3749" s="119">
        <v>0</v>
      </c>
      <c r="P3749" s="119">
        <v>0</v>
      </c>
      <c r="Q3749" s="119">
        <v>0</v>
      </c>
      <c r="R3749" s="120">
        <v>2.1010893749999999</v>
      </c>
      <c r="S3749" s="119" t="s">
        <v>115</v>
      </c>
      <c r="T3749" s="257">
        <f t="shared" si="123"/>
        <v>6300</v>
      </c>
      <c r="U3749" s="257">
        <f t="shared" si="124"/>
        <v>1575</v>
      </c>
      <c r="V3749">
        <v>1</v>
      </c>
      <c r="W3749">
        <v>2</v>
      </c>
    </row>
    <row r="3750" spans="1:23" ht="264" x14ac:dyDescent="0.3">
      <c r="A3750" s="114">
        <v>44813</v>
      </c>
      <c r="B3750" s="114">
        <v>44814</v>
      </c>
      <c r="C3750" s="6">
        <v>9</v>
      </c>
      <c r="D3750" s="6">
        <v>2</v>
      </c>
      <c r="E3750" s="115">
        <v>2022</v>
      </c>
      <c r="F3750" s="15" t="s">
        <v>22</v>
      </c>
      <c r="G3750" s="116" t="s">
        <v>6256</v>
      </c>
      <c r="H3750" s="9" t="s">
        <v>39</v>
      </c>
      <c r="I3750" s="117" t="s">
        <v>5941</v>
      </c>
      <c r="J3750" s="118" t="s">
        <v>5942</v>
      </c>
      <c r="K3750" s="117">
        <v>0</v>
      </c>
      <c r="L3750" s="245">
        <v>21</v>
      </c>
      <c r="M3750" s="119">
        <v>4</v>
      </c>
      <c r="N3750" s="119">
        <v>0</v>
      </c>
      <c r="O3750" s="119">
        <v>0</v>
      </c>
      <c r="P3750" s="119">
        <v>0</v>
      </c>
      <c r="Q3750" s="119">
        <v>0</v>
      </c>
      <c r="R3750" s="120">
        <v>0.53773609999999994</v>
      </c>
      <c r="S3750" s="119" t="s">
        <v>115</v>
      </c>
      <c r="T3750" s="257">
        <f t="shared" si="123"/>
        <v>21</v>
      </c>
      <c r="U3750" s="257">
        <f t="shared" si="124"/>
        <v>4</v>
      </c>
      <c r="V3750">
        <v>1</v>
      </c>
      <c r="W3750">
        <v>1</v>
      </c>
    </row>
    <row r="3751" spans="1:23" ht="228" x14ac:dyDescent="0.3">
      <c r="A3751" s="114">
        <v>44813</v>
      </c>
      <c r="B3751" s="114">
        <v>44814</v>
      </c>
      <c r="C3751" s="6">
        <v>9</v>
      </c>
      <c r="D3751" s="6">
        <v>2</v>
      </c>
      <c r="E3751" s="115">
        <v>2022</v>
      </c>
      <c r="F3751" s="15" t="s">
        <v>22</v>
      </c>
      <c r="G3751" s="116" t="s">
        <v>6256</v>
      </c>
      <c r="H3751" s="9" t="s">
        <v>174</v>
      </c>
      <c r="I3751" s="179" t="s">
        <v>3448</v>
      </c>
      <c r="J3751" s="118" t="s">
        <v>5943</v>
      </c>
      <c r="K3751" s="117">
        <v>0</v>
      </c>
      <c r="L3751" s="245">
        <v>50</v>
      </c>
      <c r="M3751" s="119">
        <v>1</v>
      </c>
      <c r="N3751" s="119">
        <v>0</v>
      </c>
      <c r="O3751" s="119">
        <v>0</v>
      </c>
      <c r="P3751" s="119">
        <v>0</v>
      </c>
      <c r="Q3751" s="119">
        <v>0</v>
      </c>
      <c r="R3751" s="120">
        <v>1947.38963812</v>
      </c>
      <c r="S3751" s="119" t="s">
        <v>5822</v>
      </c>
      <c r="T3751" s="257">
        <f t="shared" si="123"/>
        <v>50</v>
      </c>
      <c r="U3751" s="257">
        <f t="shared" si="124"/>
        <v>1</v>
      </c>
      <c r="V3751">
        <v>1</v>
      </c>
      <c r="W3751">
        <v>1</v>
      </c>
    </row>
    <row r="3752" spans="1:23" ht="120" x14ac:dyDescent="0.3">
      <c r="A3752" s="114">
        <v>44813</v>
      </c>
      <c r="B3752" s="114">
        <v>44814</v>
      </c>
      <c r="C3752" s="6">
        <v>9</v>
      </c>
      <c r="D3752" s="6">
        <v>2</v>
      </c>
      <c r="E3752" s="115">
        <v>2022</v>
      </c>
      <c r="F3752" s="15" t="s">
        <v>22</v>
      </c>
      <c r="G3752" s="16" t="s">
        <v>6256</v>
      </c>
      <c r="H3752" s="9" t="s">
        <v>51</v>
      </c>
      <c r="I3752" s="117" t="s">
        <v>3120</v>
      </c>
      <c r="J3752" s="118" t="s">
        <v>5944</v>
      </c>
      <c r="K3752" s="117">
        <v>0</v>
      </c>
      <c r="L3752" s="245">
        <f>(57*4)*1</f>
        <v>228</v>
      </c>
      <c r="M3752" s="119">
        <v>57</v>
      </c>
      <c r="N3752" s="119">
        <v>0</v>
      </c>
      <c r="O3752" s="119">
        <v>0</v>
      </c>
      <c r="P3752" s="119">
        <v>0</v>
      </c>
      <c r="Q3752" s="119">
        <v>0</v>
      </c>
      <c r="R3752" s="120">
        <v>7.6039425000000008E-2</v>
      </c>
      <c r="S3752" s="119" t="s">
        <v>115</v>
      </c>
      <c r="T3752" s="257">
        <f t="shared" si="123"/>
        <v>228</v>
      </c>
      <c r="U3752" s="257">
        <f t="shared" si="124"/>
        <v>57</v>
      </c>
      <c r="V3752">
        <v>1</v>
      </c>
      <c r="W3752">
        <v>1</v>
      </c>
    </row>
    <row r="3753" spans="1:23" ht="132" x14ac:dyDescent="0.3">
      <c r="A3753" s="114">
        <v>44814</v>
      </c>
      <c r="B3753" s="114">
        <v>44815</v>
      </c>
      <c r="C3753" s="6">
        <v>9</v>
      </c>
      <c r="D3753" s="6">
        <v>2</v>
      </c>
      <c r="E3753" s="115">
        <v>2022</v>
      </c>
      <c r="F3753" s="15" t="s">
        <v>22</v>
      </c>
      <c r="G3753" s="116" t="s">
        <v>6256</v>
      </c>
      <c r="H3753" s="9" t="s">
        <v>56</v>
      </c>
      <c r="I3753" s="117" t="s">
        <v>5945</v>
      </c>
      <c r="J3753" s="118" t="s">
        <v>5946</v>
      </c>
      <c r="K3753" s="117">
        <v>0</v>
      </c>
      <c r="L3753" s="245">
        <v>12</v>
      </c>
      <c r="M3753" s="119">
        <v>3</v>
      </c>
      <c r="N3753" s="119">
        <v>0</v>
      </c>
      <c r="O3753" s="119">
        <v>0</v>
      </c>
      <c r="P3753" s="119">
        <v>0</v>
      </c>
      <c r="Q3753" s="119">
        <v>0</v>
      </c>
      <c r="R3753" s="120">
        <v>1.86649155E-2</v>
      </c>
      <c r="S3753" s="119" t="s">
        <v>115</v>
      </c>
      <c r="T3753" s="257">
        <f t="shared" si="123"/>
        <v>12</v>
      </c>
      <c r="U3753" s="257">
        <f t="shared" si="124"/>
        <v>3</v>
      </c>
      <c r="V3753">
        <v>1</v>
      </c>
      <c r="W3753">
        <v>1</v>
      </c>
    </row>
    <row r="3754" spans="1:23" ht="156" x14ac:dyDescent="0.3">
      <c r="A3754" s="114">
        <v>44815</v>
      </c>
      <c r="B3754" s="114">
        <v>44815</v>
      </c>
      <c r="C3754" s="6">
        <v>9</v>
      </c>
      <c r="D3754" s="6">
        <v>1</v>
      </c>
      <c r="E3754" s="115">
        <v>2022</v>
      </c>
      <c r="F3754" s="7" t="s">
        <v>17</v>
      </c>
      <c r="G3754" s="8" t="s">
        <v>6261</v>
      </c>
      <c r="H3754" s="9" t="s">
        <v>31</v>
      </c>
      <c r="I3754" s="117" t="s">
        <v>5947</v>
      </c>
      <c r="J3754" s="118" t="s">
        <v>5948</v>
      </c>
      <c r="K3754" s="117">
        <v>0</v>
      </c>
      <c r="L3754" s="245">
        <v>8</v>
      </c>
      <c r="M3754" s="119">
        <v>2</v>
      </c>
      <c r="N3754" s="119">
        <v>1</v>
      </c>
      <c r="O3754" s="119">
        <v>0</v>
      </c>
      <c r="P3754" s="119">
        <v>0</v>
      </c>
      <c r="Q3754" s="119">
        <v>0</v>
      </c>
      <c r="R3754" s="120">
        <v>1.39755E-2</v>
      </c>
      <c r="S3754" s="119" t="s">
        <v>115</v>
      </c>
      <c r="T3754" s="257">
        <f t="shared" si="123"/>
        <v>8</v>
      </c>
      <c r="U3754" s="257">
        <f t="shared" si="124"/>
        <v>3</v>
      </c>
      <c r="V3754">
        <v>1</v>
      </c>
      <c r="W3754">
        <v>1</v>
      </c>
    </row>
    <row r="3755" spans="1:23" ht="120" x14ac:dyDescent="0.3">
      <c r="A3755" s="114">
        <v>44814</v>
      </c>
      <c r="B3755" s="114">
        <v>44815</v>
      </c>
      <c r="C3755" s="6">
        <v>9</v>
      </c>
      <c r="D3755" s="6">
        <v>2</v>
      </c>
      <c r="E3755" s="115">
        <v>2022</v>
      </c>
      <c r="F3755" s="15" t="s">
        <v>22</v>
      </c>
      <c r="G3755" s="9" t="s">
        <v>6257</v>
      </c>
      <c r="H3755" s="9" t="s">
        <v>31</v>
      </c>
      <c r="I3755" s="117" t="s">
        <v>1710</v>
      </c>
      <c r="J3755" s="118" t="s">
        <v>5949</v>
      </c>
      <c r="K3755" s="117">
        <v>0</v>
      </c>
      <c r="L3755" s="245">
        <v>12</v>
      </c>
      <c r="M3755" s="119">
        <v>3</v>
      </c>
      <c r="N3755" s="119">
        <v>0</v>
      </c>
      <c r="O3755" s="119">
        <v>0</v>
      </c>
      <c r="P3755" s="119">
        <v>0</v>
      </c>
      <c r="Q3755" s="119">
        <v>0</v>
      </c>
      <c r="R3755" s="120">
        <v>1.3975500000000002E-3</v>
      </c>
      <c r="S3755" s="119" t="s">
        <v>115</v>
      </c>
      <c r="T3755" s="257">
        <f t="shared" si="123"/>
        <v>12</v>
      </c>
      <c r="U3755" s="257">
        <f t="shared" si="124"/>
        <v>3</v>
      </c>
      <c r="V3755">
        <v>1</v>
      </c>
      <c r="W3755">
        <v>1</v>
      </c>
    </row>
    <row r="3756" spans="1:23" ht="204" x14ac:dyDescent="0.3">
      <c r="A3756" s="114">
        <v>44814</v>
      </c>
      <c r="B3756" s="114">
        <v>44814</v>
      </c>
      <c r="C3756" s="6">
        <v>9</v>
      </c>
      <c r="D3756" s="6">
        <v>1</v>
      </c>
      <c r="E3756" s="115">
        <v>2022</v>
      </c>
      <c r="F3756" s="15" t="s">
        <v>22</v>
      </c>
      <c r="G3756" s="116" t="s">
        <v>6256</v>
      </c>
      <c r="H3756" s="9" t="s">
        <v>52</v>
      </c>
      <c r="I3756" s="117" t="s">
        <v>5000</v>
      </c>
      <c r="J3756" s="118" t="s">
        <v>5950</v>
      </c>
      <c r="K3756" s="117">
        <v>0</v>
      </c>
      <c r="L3756" s="245">
        <v>94</v>
      </c>
      <c r="M3756" s="119">
        <v>23</v>
      </c>
      <c r="N3756" s="119">
        <v>0</v>
      </c>
      <c r="O3756" s="119">
        <v>0</v>
      </c>
      <c r="P3756" s="119">
        <v>0</v>
      </c>
      <c r="Q3756" s="119">
        <v>0</v>
      </c>
      <c r="R3756" s="120">
        <v>3.0682575E-2</v>
      </c>
      <c r="S3756" s="119" t="s">
        <v>115</v>
      </c>
      <c r="T3756" s="257">
        <f t="shared" si="123"/>
        <v>94</v>
      </c>
      <c r="U3756" s="257">
        <f t="shared" si="124"/>
        <v>23</v>
      </c>
      <c r="V3756">
        <v>1</v>
      </c>
      <c r="W3756">
        <v>1</v>
      </c>
    </row>
    <row r="3757" spans="1:23" ht="240" x14ac:dyDescent="0.3">
      <c r="A3757" s="114">
        <v>44816</v>
      </c>
      <c r="B3757" s="114">
        <v>44816</v>
      </c>
      <c r="C3757" s="6">
        <v>9</v>
      </c>
      <c r="D3757" s="6">
        <v>1</v>
      </c>
      <c r="E3757" s="115">
        <v>2022</v>
      </c>
      <c r="F3757" s="15" t="s">
        <v>22</v>
      </c>
      <c r="G3757" s="116" t="s">
        <v>6256</v>
      </c>
      <c r="H3757" s="9" t="s">
        <v>56</v>
      </c>
      <c r="I3757" s="117" t="s">
        <v>5951</v>
      </c>
      <c r="J3757" s="118" t="s">
        <v>5952</v>
      </c>
      <c r="K3757" s="117">
        <v>1</v>
      </c>
      <c r="L3757" s="245">
        <v>13</v>
      </c>
      <c r="M3757" s="119">
        <v>0</v>
      </c>
      <c r="N3757" s="119">
        <v>0</v>
      </c>
      <c r="O3757" s="119">
        <v>0</v>
      </c>
      <c r="P3757" s="119">
        <v>0</v>
      </c>
      <c r="Q3757" s="119">
        <v>0</v>
      </c>
      <c r="R3757" s="120">
        <v>0</v>
      </c>
      <c r="S3757" s="119" t="s">
        <v>115</v>
      </c>
      <c r="T3757" s="257">
        <f t="shared" si="123"/>
        <v>14</v>
      </c>
      <c r="U3757" s="257">
        <f t="shared" si="124"/>
        <v>0</v>
      </c>
      <c r="V3757">
        <v>1</v>
      </c>
      <c r="W3757">
        <v>0</v>
      </c>
    </row>
    <row r="3758" spans="1:23" ht="324" x14ac:dyDescent="0.3">
      <c r="A3758" s="114">
        <v>44811</v>
      </c>
      <c r="B3758" s="114">
        <v>44811</v>
      </c>
      <c r="C3758" s="6">
        <v>9</v>
      </c>
      <c r="D3758" s="6">
        <v>1</v>
      </c>
      <c r="E3758" s="115">
        <v>2022</v>
      </c>
      <c r="F3758" s="15" t="s">
        <v>22</v>
      </c>
      <c r="G3758" s="116" t="s">
        <v>6256</v>
      </c>
      <c r="H3758" s="9" t="s">
        <v>37</v>
      </c>
      <c r="I3758" s="117" t="s">
        <v>5953</v>
      </c>
      <c r="J3758" s="118" t="s">
        <v>5954</v>
      </c>
      <c r="K3758" s="117">
        <v>0</v>
      </c>
      <c r="L3758" s="245">
        <v>120</v>
      </c>
      <c r="M3758" s="119">
        <v>0</v>
      </c>
      <c r="N3758" s="119">
        <v>0</v>
      </c>
      <c r="O3758" s="119">
        <v>0</v>
      </c>
      <c r="P3758" s="119">
        <v>0</v>
      </c>
      <c r="Q3758" s="119">
        <v>0</v>
      </c>
      <c r="R3758" s="120">
        <v>4.0020750000000001E-2</v>
      </c>
      <c r="S3758" s="119" t="s">
        <v>115</v>
      </c>
      <c r="T3758" s="257">
        <f t="shared" si="123"/>
        <v>120</v>
      </c>
      <c r="U3758" s="257">
        <f t="shared" si="124"/>
        <v>0</v>
      </c>
      <c r="V3758">
        <v>1</v>
      </c>
      <c r="W3758">
        <v>0</v>
      </c>
    </row>
    <row r="3759" spans="1:23" ht="168" x14ac:dyDescent="0.3">
      <c r="A3759" s="114">
        <v>44811</v>
      </c>
      <c r="B3759" s="114">
        <v>44811</v>
      </c>
      <c r="C3759" s="6">
        <v>9</v>
      </c>
      <c r="D3759" s="6">
        <v>1</v>
      </c>
      <c r="E3759" s="115">
        <v>2022</v>
      </c>
      <c r="F3759" s="15" t="s">
        <v>22</v>
      </c>
      <c r="G3759" s="116" t="s">
        <v>6256</v>
      </c>
      <c r="H3759" s="9" t="s">
        <v>41</v>
      </c>
      <c r="I3759" s="117" t="s">
        <v>41</v>
      </c>
      <c r="J3759" s="118" t="s">
        <v>5955</v>
      </c>
      <c r="K3759" s="117">
        <v>0</v>
      </c>
      <c r="L3759" s="245">
        <v>100</v>
      </c>
      <c r="M3759" s="119">
        <v>12</v>
      </c>
      <c r="N3759" s="119">
        <v>0</v>
      </c>
      <c r="O3759" s="119">
        <v>0</v>
      </c>
      <c r="P3759" s="119">
        <v>0</v>
      </c>
      <c r="Q3759" s="119">
        <v>0</v>
      </c>
      <c r="R3759" s="120">
        <v>1.60083E-2</v>
      </c>
      <c r="S3759" s="119" t="s">
        <v>115</v>
      </c>
      <c r="T3759" s="257">
        <f t="shared" si="123"/>
        <v>100</v>
      </c>
      <c r="U3759" s="257">
        <f t="shared" si="124"/>
        <v>12</v>
      </c>
      <c r="V3759">
        <v>1</v>
      </c>
      <c r="W3759">
        <v>1</v>
      </c>
    </row>
    <row r="3760" spans="1:23" x14ac:dyDescent="0.3">
      <c r="A3760" s="114">
        <v>44815</v>
      </c>
      <c r="B3760" s="114">
        <v>44816</v>
      </c>
      <c r="C3760" s="6">
        <v>9</v>
      </c>
      <c r="D3760" s="6">
        <v>2</v>
      </c>
      <c r="E3760" s="115">
        <v>2022</v>
      </c>
      <c r="F3760" s="15" t="s">
        <v>22</v>
      </c>
      <c r="G3760" s="116" t="s">
        <v>6256</v>
      </c>
      <c r="H3760" s="9" t="s">
        <v>27</v>
      </c>
      <c r="I3760" s="117" t="s">
        <v>670</v>
      </c>
      <c r="J3760" s="180" t="s">
        <v>5956</v>
      </c>
      <c r="K3760" s="117"/>
      <c r="L3760" s="245">
        <v>160</v>
      </c>
      <c r="M3760" s="119">
        <v>22</v>
      </c>
      <c r="N3760" s="119">
        <v>0</v>
      </c>
      <c r="O3760" s="119">
        <v>0</v>
      </c>
      <c r="P3760" s="119">
        <v>0</v>
      </c>
      <c r="Q3760" s="119">
        <v>0</v>
      </c>
      <c r="R3760" s="120">
        <v>2.9348549999999998E-2</v>
      </c>
      <c r="S3760" s="119" t="s">
        <v>115</v>
      </c>
      <c r="T3760" s="257">
        <f t="shared" si="123"/>
        <v>160</v>
      </c>
      <c r="U3760" s="257">
        <f t="shared" si="124"/>
        <v>22</v>
      </c>
      <c r="V3760">
        <v>1</v>
      </c>
      <c r="W3760">
        <v>1</v>
      </c>
    </row>
    <row r="3761" spans="1:23" ht="34.200000000000003" x14ac:dyDescent="0.3">
      <c r="A3761" s="232">
        <v>43466</v>
      </c>
      <c r="B3761" s="232">
        <v>43830</v>
      </c>
      <c r="C3761" s="6">
        <v>1</v>
      </c>
      <c r="D3761" s="6">
        <v>365</v>
      </c>
      <c r="E3761" s="33">
        <v>2019</v>
      </c>
      <c r="F3761" s="15" t="s">
        <v>22</v>
      </c>
      <c r="G3761" s="9" t="s">
        <v>6258</v>
      </c>
      <c r="H3761" s="9" t="s">
        <v>48</v>
      </c>
      <c r="I3761" s="20" t="s">
        <v>1109</v>
      </c>
      <c r="J3761" s="152" t="s">
        <v>5957</v>
      </c>
      <c r="K3761" s="40">
        <v>0</v>
      </c>
      <c r="L3761" s="235">
        <v>3</v>
      </c>
      <c r="M3761" s="35">
        <v>0</v>
      </c>
      <c r="N3761" s="35">
        <v>0</v>
      </c>
      <c r="O3761" s="35">
        <v>0</v>
      </c>
      <c r="P3761" s="35">
        <v>0</v>
      </c>
      <c r="Q3761" s="35">
        <v>0</v>
      </c>
      <c r="R3761" s="42">
        <v>0</v>
      </c>
      <c r="S3761" s="33" t="s">
        <v>1219</v>
      </c>
      <c r="T3761" s="257">
        <f t="shared" si="123"/>
        <v>3</v>
      </c>
      <c r="U3761" s="257">
        <f t="shared" si="124"/>
        <v>0</v>
      </c>
      <c r="V3761">
        <v>1</v>
      </c>
      <c r="W3761">
        <v>0</v>
      </c>
    </row>
    <row r="3762" spans="1:23" ht="132" x14ac:dyDescent="0.3">
      <c r="A3762" s="114">
        <v>44817</v>
      </c>
      <c r="B3762" s="114">
        <v>44817</v>
      </c>
      <c r="C3762" s="6">
        <v>9</v>
      </c>
      <c r="D3762" s="6">
        <v>1</v>
      </c>
      <c r="E3762" s="115">
        <v>2022</v>
      </c>
      <c r="F3762" s="15" t="s">
        <v>22</v>
      </c>
      <c r="G3762" s="116" t="s">
        <v>6256</v>
      </c>
      <c r="H3762" s="9" t="s">
        <v>55</v>
      </c>
      <c r="I3762" s="117" t="s">
        <v>5958</v>
      </c>
      <c r="J3762" s="118" t="s">
        <v>5959</v>
      </c>
      <c r="K3762" s="117">
        <v>0</v>
      </c>
      <c r="L3762" s="245">
        <v>140</v>
      </c>
      <c r="M3762" s="119">
        <v>35</v>
      </c>
      <c r="N3762" s="119">
        <v>0</v>
      </c>
      <c r="O3762" s="119">
        <v>0</v>
      </c>
      <c r="P3762" s="119">
        <v>0</v>
      </c>
      <c r="Q3762" s="119">
        <v>0</v>
      </c>
      <c r="R3762" s="120">
        <v>4.6690875E-2</v>
      </c>
      <c r="S3762" s="119" t="s">
        <v>115</v>
      </c>
      <c r="T3762" s="257">
        <f t="shared" si="123"/>
        <v>140</v>
      </c>
      <c r="U3762" s="257">
        <f t="shared" si="124"/>
        <v>35</v>
      </c>
      <c r="V3762">
        <v>1</v>
      </c>
      <c r="W3762">
        <v>1</v>
      </c>
    </row>
    <row r="3763" spans="1:23" ht="216" x14ac:dyDescent="0.3">
      <c r="A3763" s="114">
        <v>44818</v>
      </c>
      <c r="B3763" s="114">
        <v>44818</v>
      </c>
      <c r="C3763" s="6">
        <v>9</v>
      </c>
      <c r="D3763" s="6">
        <v>1</v>
      </c>
      <c r="E3763" s="115">
        <v>2022</v>
      </c>
      <c r="F3763" s="7" t="s">
        <v>17</v>
      </c>
      <c r="G3763" s="8" t="s">
        <v>6261</v>
      </c>
      <c r="H3763" s="9" t="s">
        <v>55</v>
      </c>
      <c r="I3763" s="117" t="s">
        <v>926</v>
      </c>
      <c r="J3763" s="118" t="s">
        <v>5960</v>
      </c>
      <c r="K3763" s="117">
        <v>3</v>
      </c>
      <c r="L3763" s="245">
        <v>6</v>
      </c>
      <c r="M3763" s="119">
        <v>2</v>
      </c>
      <c r="N3763" s="119">
        <v>0</v>
      </c>
      <c r="O3763" s="119">
        <v>0</v>
      </c>
      <c r="P3763" s="119">
        <v>0</v>
      </c>
      <c r="Q3763" s="119">
        <v>0</v>
      </c>
      <c r="R3763" s="120">
        <v>0.3085137</v>
      </c>
      <c r="S3763" s="119" t="s">
        <v>115</v>
      </c>
      <c r="T3763" s="257">
        <f t="shared" si="123"/>
        <v>9</v>
      </c>
      <c r="U3763" s="257">
        <f t="shared" si="124"/>
        <v>2</v>
      </c>
      <c r="V3763">
        <v>1</v>
      </c>
      <c r="W3763">
        <v>1</v>
      </c>
    </row>
    <row r="3764" spans="1:23" ht="192" x14ac:dyDescent="0.3">
      <c r="A3764" s="114">
        <v>44819</v>
      </c>
      <c r="B3764" s="114">
        <v>44819</v>
      </c>
      <c r="C3764" s="6">
        <v>9</v>
      </c>
      <c r="D3764" s="6">
        <v>1</v>
      </c>
      <c r="E3764" s="115">
        <v>2022</v>
      </c>
      <c r="F3764" s="15" t="s">
        <v>22</v>
      </c>
      <c r="G3764" s="116" t="s">
        <v>6256</v>
      </c>
      <c r="H3764" s="9" t="s">
        <v>174</v>
      </c>
      <c r="I3764" s="179" t="s">
        <v>5961</v>
      </c>
      <c r="J3764" s="118" t="s">
        <v>5962</v>
      </c>
      <c r="K3764" s="117">
        <v>0</v>
      </c>
      <c r="L3764" s="245">
        <v>21</v>
      </c>
      <c r="M3764" s="119">
        <v>2</v>
      </c>
      <c r="N3764" s="119">
        <v>0</v>
      </c>
      <c r="O3764" s="119">
        <v>0</v>
      </c>
      <c r="P3764" s="119">
        <v>13</v>
      </c>
      <c r="Q3764" s="119">
        <v>0</v>
      </c>
      <c r="R3764" s="120">
        <v>1.2443277000000001E-2</v>
      </c>
      <c r="S3764" s="119" t="s">
        <v>115</v>
      </c>
      <c r="T3764" s="257">
        <f t="shared" si="123"/>
        <v>21</v>
      </c>
      <c r="U3764" s="257">
        <f t="shared" si="124"/>
        <v>15</v>
      </c>
      <c r="V3764">
        <v>1</v>
      </c>
      <c r="W3764">
        <v>1</v>
      </c>
    </row>
    <row r="3765" spans="1:23" ht="168" x14ac:dyDescent="0.3">
      <c r="A3765" s="114">
        <v>44822</v>
      </c>
      <c r="B3765" s="114">
        <v>44825</v>
      </c>
      <c r="C3765" s="6">
        <v>9</v>
      </c>
      <c r="D3765" s="6">
        <v>4</v>
      </c>
      <c r="E3765" s="115">
        <v>2022</v>
      </c>
      <c r="F3765" s="15" t="s">
        <v>22</v>
      </c>
      <c r="G3765" s="116" t="s">
        <v>6256</v>
      </c>
      <c r="H3765" s="9" t="s">
        <v>55</v>
      </c>
      <c r="I3765" s="117" t="s">
        <v>5963</v>
      </c>
      <c r="J3765" s="118" t="s">
        <v>5964</v>
      </c>
      <c r="K3765" s="117">
        <v>0</v>
      </c>
      <c r="L3765" s="245">
        <f>(53-4)*1</f>
        <v>49</v>
      </c>
      <c r="M3765" s="119">
        <v>23</v>
      </c>
      <c r="N3765" s="119">
        <v>0</v>
      </c>
      <c r="O3765" s="119">
        <v>0</v>
      </c>
      <c r="P3765" s="119">
        <v>0</v>
      </c>
      <c r="Q3765" s="119">
        <v>0</v>
      </c>
      <c r="R3765" s="120">
        <v>0.32974684049999997</v>
      </c>
      <c r="S3765" s="119" t="s">
        <v>115</v>
      </c>
      <c r="T3765" s="257">
        <f t="shared" si="123"/>
        <v>49</v>
      </c>
      <c r="U3765" s="257">
        <f t="shared" si="124"/>
        <v>23</v>
      </c>
      <c r="V3765">
        <v>1</v>
      </c>
      <c r="W3765">
        <v>1</v>
      </c>
    </row>
    <row r="3766" spans="1:23" ht="41.4" x14ac:dyDescent="0.3">
      <c r="A3766" s="114">
        <v>44823</v>
      </c>
      <c r="B3766" s="114">
        <v>44823</v>
      </c>
      <c r="C3766" s="6">
        <v>9</v>
      </c>
      <c r="D3766" s="6">
        <v>1</v>
      </c>
      <c r="E3766" s="115">
        <v>2022</v>
      </c>
      <c r="F3766" s="7" t="s">
        <v>17</v>
      </c>
      <c r="G3766" s="116" t="s">
        <v>6260</v>
      </c>
      <c r="H3766" s="9" t="s">
        <v>52</v>
      </c>
      <c r="I3766" s="117" t="s">
        <v>5965</v>
      </c>
      <c r="J3766" s="118" t="s">
        <v>5966</v>
      </c>
      <c r="K3766" s="117">
        <v>0</v>
      </c>
      <c r="L3766" s="245">
        <v>18846</v>
      </c>
      <c r="M3766" s="119">
        <v>5119</v>
      </c>
      <c r="N3766" s="119">
        <v>269</v>
      </c>
      <c r="O3766" s="119">
        <v>41</v>
      </c>
      <c r="P3766" s="119">
        <v>30</v>
      </c>
      <c r="Q3766" s="119">
        <v>0</v>
      </c>
      <c r="R3766" s="120">
        <v>789</v>
      </c>
      <c r="S3766" s="119" t="s">
        <v>5805</v>
      </c>
      <c r="T3766" s="257">
        <f t="shared" si="123"/>
        <v>18846</v>
      </c>
      <c r="U3766" s="257">
        <f t="shared" si="124"/>
        <v>5459</v>
      </c>
      <c r="V3766">
        <v>2</v>
      </c>
      <c r="W3766">
        <v>2</v>
      </c>
    </row>
    <row r="3767" spans="1:23" ht="96.6" x14ac:dyDescent="0.3">
      <c r="A3767" s="114">
        <v>44823</v>
      </c>
      <c r="B3767" s="114">
        <v>44823</v>
      </c>
      <c r="C3767" s="6">
        <v>9</v>
      </c>
      <c r="D3767" s="6">
        <v>1</v>
      </c>
      <c r="E3767" s="115">
        <v>2022</v>
      </c>
      <c r="F3767" s="7" t="s">
        <v>17</v>
      </c>
      <c r="G3767" s="116" t="s">
        <v>6260</v>
      </c>
      <c r="H3767" s="9" t="s">
        <v>39</v>
      </c>
      <c r="I3767" s="117" t="s">
        <v>5967</v>
      </c>
      <c r="J3767" s="118" t="s">
        <v>5966</v>
      </c>
      <c r="K3767" s="117">
        <v>3</v>
      </c>
      <c r="L3767" s="245">
        <v>10381</v>
      </c>
      <c r="M3767" s="119">
        <v>7226</v>
      </c>
      <c r="N3767" s="119">
        <v>181</v>
      </c>
      <c r="O3767" s="119">
        <v>10</v>
      </c>
      <c r="P3767" s="119">
        <v>180</v>
      </c>
      <c r="Q3767" s="119">
        <v>0</v>
      </c>
      <c r="R3767" s="120">
        <v>1021</v>
      </c>
      <c r="S3767" s="119" t="s">
        <v>5805</v>
      </c>
      <c r="T3767" s="257">
        <f t="shared" si="123"/>
        <v>10384</v>
      </c>
      <c r="U3767" s="257">
        <f t="shared" si="124"/>
        <v>7597</v>
      </c>
      <c r="V3767">
        <v>2</v>
      </c>
      <c r="W3767">
        <v>2</v>
      </c>
    </row>
    <row r="3768" spans="1:23" ht="216" x14ac:dyDescent="0.3">
      <c r="A3768" s="114">
        <v>44821</v>
      </c>
      <c r="B3768" s="114">
        <v>44825</v>
      </c>
      <c r="C3768" s="6">
        <v>9</v>
      </c>
      <c r="D3768" s="6">
        <v>5</v>
      </c>
      <c r="E3768" s="115">
        <v>2022</v>
      </c>
      <c r="F3768" s="15" t="s">
        <v>22</v>
      </c>
      <c r="G3768" s="116" t="s">
        <v>6256</v>
      </c>
      <c r="H3768" s="17" t="s">
        <v>565</v>
      </c>
      <c r="I3768" s="117" t="s">
        <v>5968</v>
      </c>
      <c r="J3768" s="118" t="s">
        <v>5969</v>
      </c>
      <c r="K3768" s="117">
        <v>0</v>
      </c>
      <c r="L3768" s="245">
        <f>(35*4)*1</f>
        <v>140</v>
      </c>
      <c r="M3768" s="119">
        <v>35</v>
      </c>
      <c r="N3768" s="119">
        <v>0</v>
      </c>
      <c r="O3768" s="119">
        <v>0</v>
      </c>
      <c r="P3768" s="119">
        <v>0</v>
      </c>
      <c r="Q3768" s="119">
        <v>0</v>
      </c>
      <c r="R3768" s="120">
        <v>4.6690875E-2</v>
      </c>
      <c r="S3768" s="119" t="s">
        <v>115</v>
      </c>
      <c r="T3768" s="257">
        <f t="shared" si="123"/>
        <v>140</v>
      </c>
      <c r="U3768" s="257">
        <f t="shared" si="124"/>
        <v>35</v>
      </c>
      <c r="V3768">
        <v>1</v>
      </c>
      <c r="W3768">
        <v>1</v>
      </c>
    </row>
    <row r="3769" spans="1:23" ht="276" x14ac:dyDescent="0.3">
      <c r="A3769" s="114">
        <v>44823</v>
      </c>
      <c r="B3769" s="114">
        <v>44825</v>
      </c>
      <c r="C3769" s="6">
        <v>9</v>
      </c>
      <c r="D3769" s="6">
        <v>3</v>
      </c>
      <c r="E3769" s="115">
        <v>2022</v>
      </c>
      <c r="F3769" s="15" t="s">
        <v>22</v>
      </c>
      <c r="G3769" s="116" t="s">
        <v>6256</v>
      </c>
      <c r="H3769" s="9" t="s">
        <v>174</v>
      </c>
      <c r="I3769" s="179" t="s">
        <v>5970</v>
      </c>
      <c r="J3769" s="118" t="s">
        <v>5971</v>
      </c>
      <c r="K3769" s="117">
        <v>0</v>
      </c>
      <c r="L3769" s="245">
        <v>4000</v>
      </c>
      <c r="M3769" s="119">
        <v>0</v>
      </c>
      <c r="N3769" s="119">
        <v>3</v>
      </c>
      <c r="O3769" s="119">
        <v>0</v>
      </c>
      <c r="P3769" s="119">
        <v>0</v>
      </c>
      <c r="Q3769" s="119">
        <v>0</v>
      </c>
      <c r="R3769" s="120">
        <v>1.3380270750000003</v>
      </c>
      <c r="S3769" s="119" t="s">
        <v>115</v>
      </c>
      <c r="T3769" s="257">
        <f t="shared" si="123"/>
        <v>4000</v>
      </c>
      <c r="U3769" s="257">
        <f t="shared" si="124"/>
        <v>3</v>
      </c>
      <c r="V3769">
        <v>1</v>
      </c>
      <c r="W3769">
        <v>1</v>
      </c>
    </row>
    <row r="3770" spans="1:23" ht="60" x14ac:dyDescent="0.3">
      <c r="A3770" s="114">
        <v>44825</v>
      </c>
      <c r="B3770" s="114">
        <v>44825</v>
      </c>
      <c r="C3770" s="6">
        <v>9</v>
      </c>
      <c r="D3770" s="6">
        <v>1</v>
      </c>
      <c r="E3770" s="115">
        <v>2022</v>
      </c>
      <c r="F3770" s="15" t="s">
        <v>22</v>
      </c>
      <c r="G3770" s="116" t="s">
        <v>6256</v>
      </c>
      <c r="H3770" s="9" t="s">
        <v>174</v>
      </c>
      <c r="I3770" s="179" t="s">
        <v>1265</v>
      </c>
      <c r="J3770" s="118" t="s">
        <v>5972</v>
      </c>
      <c r="K3770" s="117">
        <v>0</v>
      </c>
      <c r="L3770" s="245">
        <v>4</v>
      </c>
      <c r="M3770" s="119">
        <v>1</v>
      </c>
      <c r="N3770" s="119">
        <v>0</v>
      </c>
      <c r="O3770" s="119">
        <v>0</v>
      </c>
      <c r="P3770" s="119">
        <v>0</v>
      </c>
      <c r="Q3770" s="119">
        <v>0</v>
      </c>
      <c r="R3770" s="120">
        <v>6.98775E-3</v>
      </c>
      <c r="S3770" s="119" t="s">
        <v>115</v>
      </c>
      <c r="T3770" s="257">
        <f t="shared" si="123"/>
        <v>4</v>
      </c>
      <c r="U3770" s="257">
        <f t="shared" si="124"/>
        <v>1</v>
      </c>
      <c r="V3770">
        <v>1</v>
      </c>
      <c r="W3770">
        <v>1</v>
      </c>
    </row>
    <row r="3771" spans="1:23" ht="409.6" x14ac:dyDescent="0.3">
      <c r="A3771" s="114">
        <v>44824</v>
      </c>
      <c r="B3771" s="114">
        <v>44825</v>
      </c>
      <c r="C3771" s="6">
        <v>9</v>
      </c>
      <c r="D3771" s="6">
        <v>2</v>
      </c>
      <c r="E3771" s="115">
        <v>2022</v>
      </c>
      <c r="F3771" s="15" t="s">
        <v>22</v>
      </c>
      <c r="G3771" s="116" t="s">
        <v>6256</v>
      </c>
      <c r="H3771" s="9" t="s">
        <v>31</v>
      </c>
      <c r="I3771" s="117" t="s">
        <v>5973</v>
      </c>
      <c r="J3771" s="118" t="s">
        <v>5974</v>
      </c>
      <c r="K3771" s="117">
        <v>0</v>
      </c>
      <c r="L3771" s="245">
        <v>56</v>
      </c>
      <c r="M3771" s="119">
        <v>14</v>
      </c>
      <c r="N3771" s="119">
        <v>1</v>
      </c>
      <c r="O3771" s="119">
        <v>0</v>
      </c>
      <c r="P3771" s="119">
        <v>0</v>
      </c>
      <c r="Q3771" s="119">
        <v>0</v>
      </c>
      <c r="R3771" s="120">
        <v>3.3117170625000001</v>
      </c>
      <c r="S3771" s="119" t="s">
        <v>115</v>
      </c>
      <c r="T3771" s="257">
        <f t="shared" si="123"/>
        <v>56</v>
      </c>
      <c r="U3771" s="257">
        <f t="shared" si="124"/>
        <v>15</v>
      </c>
      <c r="V3771">
        <v>1</v>
      </c>
      <c r="W3771">
        <v>1</v>
      </c>
    </row>
    <row r="3772" spans="1:23" ht="240" x14ac:dyDescent="0.3">
      <c r="A3772" s="114">
        <v>44824</v>
      </c>
      <c r="B3772" s="114">
        <v>44826</v>
      </c>
      <c r="C3772" s="6">
        <v>9</v>
      </c>
      <c r="D3772" s="6">
        <v>3</v>
      </c>
      <c r="E3772" s="115">
        <v>2022</v>
      </c>
      <c r="F3772" s="15" t="s">
        <v>22</v>
      </c>
      <c r="G3772" s="116" t="s">
        <v>6256</v>
      </c>
      <c r="H3772" s="9" t="s">
        <v>52</v>
      </c>
      <c r="I3772" s="117" t="s">
        <v>5975</v>
      </c>
      <c r="J3772" s="118" t="s">
        <v>5976</v>
      </c>
      <c r="K3772" s="117">
        <v>0</v>
      </c>
      <c r="L3772" s="245">
        <v>80</v>
      </c>
      <c r="M3772" s="119">
        <v>20</v>
      </c>
      <c r="N3772" s="119">
        <v>0</v>
      </c>
      <c r="O3772" s="119">
        <v>0</v>
      </c>
      <c r="P3772" s="119">
        <v>0</v>
      </c>
      <c r="Q3772" s="119">
        <v>0</v>
      </c>
      <c r="R3772" s="120">
        <v>2.6680499999999999E-2</v>
      </c>
      <c r="S3772" s="119" t="s">
        <v>115</v>
      </c>
      <c r="T3772" s="257">
        <f t="shared" si="123"/>
        <v>80</v>
      </c>
      <c r="U3772" s="257">
        <f t="shared" si="124"/>
        <v>20</v>
      </c>
      <c r="V3772">
        <v>1</v>
      </c>
      <c r="W3772">
        <v>1</v>
      </c>
    </row>
    <row r="3773" spans="1:23" ht="204" x14ac:dyDescent="0.3">
      <c r="A3773" s="114">
        <v>44822</v>
      </c>
      <c r="B3773" s="114">
        <v>44827</v>
      </c>
      <c r="C3773" s="6">
        <v>9</v>
      </c>
      <c r="D3773" s="6">
        <v>6</v>
      </c>
      <c r="E3773" s="115">
        <v>2022</v>
      </c>
      <c r="F3773" s="15" t="s">
        <v>22</v>
      </c>
      <c r="G3773" s="16" t="s">
        <v>6256</v>
      </c>
      <c r="H3773" s="9" t="s">
        <v>31</v>
      </c>
      <c r="I3773" s="117" t="s">
        <v>5977</v>
      </c>
      <c r="J3773" s="118" t="s">
        <v>5978</v>
      </c>
      <c r="K3773" s="117">
        <v>0</v>
      </c>
      <c r="L3773" s="245">
        <f>(105*4)*1</f>
        <v>420</v>
      </c>
      <c r="M3773" s="119">
        <v>105</v>
      </c>
      <c r="N3773" s="119">
        <v>0</v>
      </c>
      <c r="O3773" s="119">
        <v>0</v>
      </c>
      <c r="P3773" s="119">
        <v>0</v>
      </c>
      <c r="Q3773" s="119">
        <v>0</v>
      </c>
      <c r="R3773" s="120">
        <v>589.44875200000001</v>
      </c>
      <c r="S3773" s="119" t="s">
        <v>5822</v>
      </c>
      <c r="T3773" s="257">
        <f t="shared" si="123"/>
        <v>420</v>
      </c>
      <c r="U3773" s="257">
        <f t="shared" si="124"/>
        <v>105</v>
      </c>
      <c r="V3773">
        <v>1</v>
      </c>
      <c r="W3773">
        <v>1</v>
      </c>
    </row>
    <row r="3774" spans="1:23" ht="180" x14ac:dyDescent="0.3">
      <c r="A3774" s="114">
        <v>44826</v>
      </c>
      <c r="B3774" s="114">
        <v>44827</v>
      </c>
      <c r="C3774" s="6">
        <v>9</v>
      </c>
      <c r="D3774" s="6">
        <v>2</v>
      </c>
      <c r="E3774" s="115">
        <v>2022</v>
      </c>
      <c r="F3774" s="15" t="s">
        <v>22</v>
      </c>
      <c r="G3774" s="9" t="s">
        <v>6257</v>
      </c>
      <c r="H3774" s="9" t="s">
        <v>72</v>
      </c>
      <c r="I3774" s="117" t="s">
        <v>5979</v>
      </c>
      <c r="J3774" s="118" t="s">
        <v>5980</v>
      </c>
      <c r="K3774" s="117">
        <v>0</v>
      </c>
      <c r="L3774" s="245">
        <v>8</v>
      </c>
      <c r="M3774" s="119">
        <v>4</v>
      </c>
      <c r="N3774" s="119">
        <v>0</v>
      </c>
      <c r="O3774" s="119">
        <v>0</v>
      </c>
      <c r="P3774" s="119">
        <v>0</v>
      </c>
      <c r="Q3774" s="119">
        <v>0</v>
      </c>
      <c r="R3774" s="120">
        <v>1.8634000000000001E-3</v>
      </c>
      <c r="S3774" s="119" t="s">
        <v>115</v>
      </c>
      <c r="T3774" s="257">
        <f t="shared" si="123"/>
        <v>8</v>
      </c>
      <c r="U3774" s="257">
        <f t="shared" si="124"/>
        <v>4</v>
      </c>
      <c r="V3774">
        <v>1</v>
      </c>
      <c r="W3774">
        <v>1</v>
      </c>
    </row>
    <row r="3775" spans="1:23" ht="324" x14ac:dyDescent="0.3">
      <c r="A3775" s="114">
        <v>44825</v>
      </c>
      <c r="B3775" s="114">
        <v>44827</v>
      </c>
      <c r="C3775" s="6">
        <v>9</v>
      </c>
      <c r="D3775" s="6">
        <v>3</v>
      </c>
      <c r="E3775" s="115">
        <v>2022</v>
      </c>
      <c r="F3775" s="15" t="s">
        <v>22</v>
      </c>
      <c r="G3775" s="116" t="s">
        <v>6256</v>
      </c>
      <c r="H3775" s="9" t="s">
        <v>39</v>
      </c>
      <c r="I3775" s="117" t="s">
        <v>5981</v>
      </c>
      <c r="J3775" s="118" t="s">
        <v>5982</v>
      </c>
      <c r="K3775" s="117">
        <v>1</v>
      </c>
      <c r="L3775" s="245">
        <v>1</v>
      </c>
      <c r="M3775" s="119">
        <v>0</v>
      </c>
      <c r="N3775" s="119">
        <v>0</v>
      </c>
      <c r="O3775" s="119">
        <v>0</v>
      </c>
      <c r="P3775" s="119">
        <v>0</v>
      </c>
      <c r="Q3775" s="119">
        <v>0</v>
      </c>
      <c r="R3775" s="120">
        <v>0.10648000000000002</v>
      </c>
      <c r="S3775" s="119" t="s">
        <v>115</v>
      </c>
      <c r="T3775" s="257">
        <f t="shared" si="123"/>
        <v>2</v>
      </c>
      <c r="U3775" s="257">
        <f t="shared" si="124"/>
        <v>0</v>
      </c>
      <c r="V3775">
        <v>1</v>
      </c>
      <c r="W3775">
        <v>0</v>
      </c>
    </row>
    <row r="3776" spans="1:23" ht="252" x14ac:dyDescent="0.3">
      <c r="A3776" s="114">
        <v>44828</v>
      </c>
      <c r="B3776" s="114">
        <v>44829</v>
      </c>
      <c r="C3776" s="6">
        <v>9</v>
      </c>
      <c r="D3776" s="6">
        <v>2</v>
      </c>
      <c r="E3776" s="115">
        <v>2022</v>
      </c>
      <c r="F3776" s="15" t="s">
        <v>22</v>
      </c>
      <c r="G3776" s="116" t="s">
        <v>6256</v>
      </c>
      <c r="H3776" s="9" t="s">
        <v>64</v>
      </c>
      <c r="I3776" s="117" t="s">
        <v>5807</v>
      </c>
      <c r="J3776" s="118" t="s">
        <v>5983</v>
      </c>
      <c r="K3776" s="117">
        <v>0</v>
      </c>
      <c r="L3776" s="245">
        <f>(24*4)*1</f>
        <v>96</v>
      </c>
      <c r="M3776" s="119">
        <v>24</v>
      </c>
      <c r="N3776" s="119">
        <v>1</v>
      </c>
      <c r="O3776" s="119">
        <v>0</v>
      </c>
      <c r="P3776" s="119">
        <v>1</v>
      </c>
      <c r="Q3776" s="119">
        <v>0</v>
      </c>
      <c r="R3776" s="120">
        <v>3.2016599999999999E-2</v>
      </c>
      <c r="S3776" s="119" t="s">
        <v>115</v>
      </c>
      <c r="T3776" s="257">
        <f t="shared" si="123"/>
        <v>96</v>
      </c>
      <c r="U3776" s="257">
        <f t="shared" si="124"/>
        <v>26</v>
      </c>
      <c r="V3776">
        <v>1</v>
      </c>
      <c r="W3776">
        <v>1</v>
      </c>
    </row>
    <row r="3777" spans="1:23" ht="132" x14ac:dyDescent="0.3">
      <c r="A3777" s="114">
        <v>44776</v>
      </c>
      <c r="B3777" s="114">
        <v>44776</v>
      </c>
      <c r="C3777" s="6">
        <v>8</v>
      </c>
      <c r="D3777" s="6">
        <v>1</v>
      </c>
      <c r="E3777" s="115">
        <v>2022</v>
      </c>
      <c r="F3777" s="15" t="s">
        <v>22</v>
      </c>
      <c r="G3777" s="116" t="s">
        <v>6256</v>
      </c>
      <c r="H3777" s="9" t="s">
        <v>48</v>
      </c>
      <c r="I3777" s="117" t="s">
        <v>310</v>
      </c>
      <c r="J3777" s="118" t="s">
        <v>5984</v>
      </c>
      <c r="K3777" s="117">
        <v>1</v>
      </c>
      <c r="L3777" s="245">
        <v>1</v>
      </c>
      <c r="M3777" s="119">
        <v>0</v>
      </c>
      <c r="N3777" s="119">
        <v>0</v>
      </c>
      <c r="O3777" s="119">
        <v>0</v>
      </c>
      <c r="P3777" s="119">
        <v>0</v>
      </c>
      <c r="Q3777" s="119">
        <v>0</v>
      </c>
      <c r="R3777" s="120">
        <v>0</v>
      </c>
      <c r="S3777" s="119" t="s">
        <v>115</v>
      </c>
      <c r="T3777" s="257">
        <f t="shared" si="123"/>
        <v>2</v>
      </c>
      <c r="U3777" s="257">
        <f t="shared" si="124"/>
        <v>0</v>
      </c>
      <c r="V3777">
        <v>1</v>
      </c>
      <c r="W3777">
        <v>0</v>
      </c>
    </row>
    <row r="3778" spans="1:23" ht="138" x14ac:dyDescent="0.3">
      <c r="A3778" s="114">
        <v>44819</v>
      </c>
      <c r="B3778" s="114">
        <v>44831</v>
      </c>
      <c r="C3778" s="6">
        <v>9</v>
      </c>
      <c r="D3778" s="6">
        <v>13</v>
      </c>
      <c r="E3778" s="115">
        <v>2022</v>
      </c>
      <c r="F3778" s="15" t="s">
        <v>22</v>
      </c>
      <c r="G3778" s="116" t="s">
        <v>6254</v>
      </c>
      <c r="H3778" s="9" t="s">
        <v>61</v>
      </c>
      <c r="I3778" s="117" t="s">
        <v>5985</v>
      </c>
      <c r="J3778" s="118" t="s">
        <v>5986</v>
      </c>
      <c r="K3778" s="117">
        <v>0</v>
      </c>
      <c r="L3778" s="245">
        <v>6</v>
      </c>
      <c r="M3778" s="119">
        <v>1</v>
      </c>
      <c r="N3778" s="119">
        <v>0</v>
      </c>
      <c r="O3778" s="119">
        <v>0</v>
      </c>
      <c r="P3778" s="119">
        <v>0</v>
      </c>
      <c r="Q3778" s="119">
        <v>0</v>
      </c>
      <c r="R3778" s="120">
        <v>0.43773673899999999</v>
      </c>
      <c r="S3778" s="119" t="s">
        <v>115</v>
      </c>
      <c r="T3778" s="257">
        <f t="shared" si="123"/>
        <v>6</v>
      </c>
      <c r="U3778" s="257">
        <f t="shared" si="124"/>
        <v>1</v>
      </c>
      <c r="V3778">
        <v>1</v>
      </c>
      <c r="W3778">
        <v>1</v>
      </c>
    </row>
    <row r="3779" spans="1:23" ht="132" x14ac:dyDescent="0.3">
      <c r="A3779" s="114">
        <v>44830</v>
      </c>
      <c r="B3779" s="114">
        <v>44832</v>
      </c>
      <c r="C3779" s="6">
        <v>9</v>
      </c>
      <c r="D3779" s="6">
        <v>3</v>
      </c>
      <c r="E3779" s="115">
        <v>2022</v>
      </c>
      <c r="F3779" s="15" t="s">
        <v>22</v>
      </c>
      <c r="G3779" s="116" t="s">
        <v>6256</v>
      </c>
      <c r="H3779" s="9" t="s">
        <v>31</v>
      </c>
      <c r="I3779" s="117" t="s">
        <v>5987</v>
      </c>
      <c r="J3779" s="118" t="s">
        <v>5988</v>
      </c>
      <c r="K3779" s="117">
        <v>0</v>
      </c>
      <c r="L3779" s="245">
        <f>(210+47)*1</f>
        <v>257</v>
      </c>
      <c r="M3779" s="119">
        <v>194</v>
      </c>
      <c r="N3779" s="119">
        <v>0</v>
      </c>
      <c r="O3779" s="119">
        <v>0</v>
      </c>
      <c r="P3779" s="119">
        <v>0</v>
      </c>
      <c r="Q3779" s="119">
        <v>0</v>
      </c>
      <c r="R3779" s="120">
        <v>0.25078177499999998</v>
      </c>
      <c r="S3779" s="119" t="s">
        <v>115</v>
      </c>
      <c r="T3779" s="257">
        <f t="shared" ref="T3779:T3842" si="125">SUM(K3779:L3779)</f>
        <v>257</v>
      </c>
      <c r="U3779" s="257">
        <f t="shared" ref="U3779:U3842" si="126">SUM(M3779:P3779)</f>
        <v>194</v>
      </c>
      <c r="V3779">
        <v>1</v>
      </c>
      <c r="W3779">
        <v>1</v>
      </c>
    </row>
    <row r="3780" spans="1:23" x14ac:dyDescent="0.3">
      <c r="A3780" s="114">
        <v>44832</v>
      </c>
      <c r="B3780" s="114">
        <v>44833</v>
      </c>
      <c r="C3780" s="6">
        <v>9</v>
      </c>
      <c r="D3780" s="6">
        <v>2</v>
      </c>
      <c r="E3780" s="115">
        <v>2022</v>
      </c>
      <c r="F3780" s="15" t="s">
        <v>22</v>
      </c>
      <c r="G3780" s="116" t="s">
        <v>6256</v>
      </c>
      <c r="H3780" s="9" t="s">
        <v>28</v>
      </c>
      <c r="I3780" s="117" t="s">
        <v>4532</v>
      </c>
      <c r="J3780" s="180" t="s">
        <v>5989</v>
      </c>
      <c r="K3780" s="117">
        <v>0</v>
      </c>
      <c r="L3780" s="245">
        <v>374</v>
      </c>
      <c r="M3780" s="119">
        <v>85</v>
      </c>
      <c r="N3780" s="119">
        <v>0</v>
      </c>
      <c r="O3780" s="119">
        <v>0</v>
      </c>
      <c r="P3780" s="119">
        <v>0</v>
      </c>
      <c r="Q3780" s="119">
        <v>0</v>
      </c>
      <c r="R3780" s="120">
        <v>2.0518200000000002</v>
      </c>
      <c r="S3780" s="119" t="s">
        <v>115</v>
      </c>
      <c r="T3780" s="257">
        <f t="shared" si="125"/>
        <v>374</v>
      </c>
      <c r="U3780" s="257">
        <f t="shared" si="126"/>
        <v>85</v>
      </c>
      <c r="V3780">
        <v>1</v>
      </c>
      <c r="W3780">
        <v>1</v>
      </c>
    </row>
    <row r="3781" spans="1:23" ht="168" x14ac:dyDescent="0.3">
      <c r="A3781" s="114">
        <v>44830</v>
      </c>
      <c r="B3781" s="114">
        <v>44831</v>
      </c>
      <c r="C3781" s="6">
        <v>9</v>
      </c>
      <c r="D3781" s="6">
        <v>2</v>
      </c>
      <c r="E3781" s="115">
        <v>2022</v>
      </c>
      <c r="F3781" s="15" t="s">
        <v>22</v>
      </c>
      <c r="G3781" s="116" t="s">
        <v>6256</v>
      </c>
      <c r="H3781" s="9" t="s">
        <v>78</v>
      </c>
      <c r="I3781" s="117" t="s">
        <v>1267</v>
      </c>
      <c r="J3781" s="118" t="s">
        <v>5990</v>
      </c>
      <c r="K3781" s="117">
        <v>0</v>
      </c>
      <c r="L3781" s="245">
        <v>3</v>
      </c>
      <c r="M3781" s="119">
        <v>0</v>
      </c>
      <c r="N3781" s="119">
        <v>0</v>
      </c>
      <c r="O3781" s="119">
        <v>0</v>
      </c>
      <c r="P3781" s="119">
        <v>0</v>
      </c>
      <c r="Q3781" s="119">
        <v>0</v>
      </c>
      <c r="R3781" s="120">
        <v>3.5937000000000005E-3</v>
      </c>
      <c r="S3781" s="119" t="s">
        <v>115</v>
      </c>
      <c r="T3781" s="257">
        <f t="shared" si="125"/>
        <v>3</v>
      </c>
      <c r="U3781" s="257">
        <f t="shared" si="126"/>
        <v>0</v>
      </c>
      <c r="V3781">
        <v>1</v>
      </c>
      <c r="W3781">
        <v>0</v>
      </c>
    </row>
    <row r="3782" spans="1:23" ht="204" x14ac:dyDescent="0.3">
      <c r="A3782" s="114">
        <v>44833</v>
      </c>
      <c r="B3782" s="114">
        <v>44833</v>
      </c>
      <c r="C3782" s="6">
        <v>9</v>
      </c>
      <c r="D3782" s="6">
        <v>1</v>
      </c>
      <c r="E3782" s="115">
        <v>2022</v>
      </c>
      <c r="F3782" s="15" t="s">
        <v>22</v>
      </c>
      <c r="G3782" s="116" t="s">
        <v>6256</v>
      </c>
      <c r="H3782" s="9" t="s">
        <v>174</v>
      </c>
      <c r="I3782" s="179" t="s">
        <v>654</v>
      </c>
      <c r="J3782" s="118" t="s">
        <v>5991</v>
      </c>
      <c r="K3782" s="117">
        <v>0</v>
      </c>
      <c r="L3782" s="245">
        <v>13</v>
      </c>
      <c r="M3782" s="119">
        <v>3</v>
      </c>
      <c r="N3782" s="119">
        <v>0</v>
      </c>
      <c r="O3782" s="119">
        <v>0</v>
      </c>
      <c r="P3782" s="119">
        <v>0</v>
      </c>
      <c r="Q3782" s="119">
        <v>0</v>
      </c>
      <c r="R3782" s="120">
        <v>4.0020749999999999E-3</v>
      </c>
      <c r="S3782" s="119" t="s">
        <v>115</v>
      </c>
      <c r="T3782" s="257">
        <f t="shared" si="125"/>
        <v>13</v>
      </c>
      <c r="U3782" s="257">
        <f t="shared" si="126"/>
        <v>3</v>
      </c>
      <c r="V3782">
        <v>1</v>
      </c>
      <c r="W3782">
        <v>1</v>
      </c>
    </row>
    <row r="3783" spans="1:23" ht="372" x14ac:dyDescent="0.3">
      <c r="A3783" s="114">
        <v>44838</v>
      </c>
      <c r="B3783" s="114">
        <v>44839</v>
      </c>
      <c r="C3783" s="6">
        <v>10</v>
      </c>
      <c r="D3783" s="6">
        <v>2</v>
      </c>
      <c r="E3783" s="115">
        <v>2022</v>
      </c>
      <c r="F3783" s="15" t="s">
        <v>22</v>
      </c>
      <c r="G3783" s="116" t="s">
        <v>6256</v>
      </c>
      <c r="H3783" s="9" t="s">
        <v>43</v>
      </c>
      <c r="I3783" s="117" t="s">
        <v>5992</v>
      </c>
      <c r="J3783" s="118" t="s">
        <v>5993</v>
      </c>
      <c r="K3783" s="117">
        <v>0</v>
      </c>
      <c r="L3783" s="245">
        <v>16</v>
      </c>
      <c r="M3783" s="119">
        <v>4</v>
      </c>
      <c r="N3783" s="119">
        <v>0</v>
      </c>
      <c r="O3783" s="119">
        <v>0</v>
      </c>
      <c r="P3783" s="119">
        <v>0</v>
      </c>
      <c r="Q3783" s="119">
        <v>0</v>
      </c>
      <c r="R3783" s="120">
        <v>5.3361000000000007E-3</v>
      </c>
      <c r="S3783" s="119" t="s">
        <v>115</v>
      </c>
      <c r="T3783" s="257">
        <f t="shared" si="125"/>
        <v>16</v>
      </c>
      <c r="U3783" s="257">
        <f t="shared" si="126"/>
        <v>4</v>
      </c>
      <c r="V3783">
        <v>1</v>
      </c>
      <c r="W3783">
        <v>1</v>
      </c>
    </row>
    <row r="3784" spans="1:23" ht="41.4" x14ac:dyDescent="0.3">
      <c r="A3784" s="114">
        <v>44848</v>
      </c>
      <c r="B3784" s="114">
        <v>44848</v>
      </c>
      <c r="C3784" s="6">
        <v>10</v>
      </c>
      <c r="D3784" s="6">
        <v>1</v>
      </c>
      <c r="E3784" s="115">
        <v>2022</v>
      </c>
      <c r="F3784" s="15" t="s">
        <v>22</v>
      </c>
      <c r="G3784" s="116" t="s">
        <v>6256</v>
      </c>
      <c r="H3784" s="9" t="s">
        <v>31</v>
      </c>
      <c r="I3784" s="117" t="s">
        <v>5994</v>
      </c>
      <c r="J3784" s="189" t="s">
        <v>5995</v>
      </c>
      <c r="K3784" s="117">
        <v>0</v>
      </c>
      <c r="L3784" s="245">
        <v>31148</v>
      </c>
      <c r="M3784" s="119">
        <v>0</v>
      </c>
      <c r="N3784" s="119">
        <v>0</v>
      </c>
      <c r="O3784" s="119">
        <v>0</v>
      </c>
      <c r="P3784" s="119">
        <v>0</v>
      </c>
      <c r="Q3784" s="119">
        <v>0</v>
      </c>
      <c r="R3784" s="120">
        <v>1393.8112289999999</v>
      </c>
      <c r="S3784" s="119" t="s">
        <v>5775</v>
      </c>
      <c r="T3784" s="257">
        <f t="shared" si="125"/>
        <v>31148</v>
      </c>
      <c r="U3784" s="257">
        <f t="shared" si="126"/>
        <v>0</v>
      </c>
      <c r="V3784">
        <v>2</v>
      </c>
      <c r="W3784">
        <v>0</v>
      </c>
    </row>
    <row r="3785" spans="1:23" x14ac:dyDescent="0.3">
      <c r="A3785" s="114">
        <v>44849</v>
      </c>
      <c r="B3785" s="114">
        <v>44850</v>
      </c>
      <c r="C3785" s="6">
        <v>10</v>
      </c>
      <c r="D3785" s="6">
        <v>2</v>
      </c>
      <c r="E3785" s="115">
        <v>2022</v>
      </c>
      <c r="F3785" s="15" t="s">
        <v>22</v>
      </c>
      <c r="G3785" s="116" t="s">
        <v>6256</v>
      </c>
      <c r="H3785" s="9" t="s">
        <v>27</v>
      </c>
      <c r="I3785" s="117" t="s">
        <v>652</v>
      </c>
      <c r="J3785" s="180" t="s">
        <v>5996</v>
      </c>
      <c r="K3785" s="117">
        <v>0</v>
      </c>
      <c r="L3785" s="245">
        <v>25</v>
      </c>
      <c r="M3785" s="119">
        <v>7</v>
      </c>
      <c r="N3785" s="119">
        <v>0</v>
      </c>
      <c r="O3785" s="119">
        <v>0</v>
      </c>
      <c r="P3785" s="119">
        <v>0</v>
      </c>
      <c r="Q3785" s="119">
        <v>0</v>
      </c>
      <c r="R3785" s="120">
        <v>2.5431175E-2</v>
      </c>
      <c r="S3785" s="119" t="s">
        <v>115</v>
      </c>
      <c r="T3785" s="257">
        <f t="shared" si="125"/>
        <v>25</v>
      </c>
      <c r="U3785" s="257">
        <f t="shared" si="126"/>
        <v>7</v>
      </c>
      <c r="V3785">
        <v>1</v>
      </c>
      <c r="W3785">
        <v>1</v>
      </c>
    </row>
    <row r="3786" spans="1:23" ht="240" x14ac:dyDescent="0.3">
      <c r="A3786" s="114">
        <v>44853</v>
      </c>
      <c r="B3786" s="114">
        <v>44853</v>
      </c>
      <c r="C3786" s="6">
        <v>10</v>
      </c>
      <c r="D3786" s="6">
        <v>1</v>
      </c>
      <c r="E3786" s="115">
        <v>2022</v>
      </c>
      <c r="F3786" s="15" t="s">
        <v>22</v>
      </c>
      <c r="G3786" s="116" t="s">
        <v>6256</v>
      </c>
      <c r="H3786" s="17" t="s">
        <v>565</v>
      </c>
      <c r="I3786" s="117" t="s">
        <v>3070</v>
      </c>
      <c r="J3786" s="118" t="s">
        <v>5997</v>
      </c>
      <c r="K3786" s="117">
        <v>0</v>
      </c>
      <c r="L3786" s="245">
        <v>80</v>
      </c>
      <c r="M3786" s="119">
        <v>20</v>
      </c>
      <c r="N3786" s="119">
        <v>0</v>
      </c>
      <c r="O3786" s="119">
        <v>0</v>
      </c>
      <c r="P3786" s="119">
        <v>0</v>
      </c>
      <c r="Q3786" s="119">
        <v>0</v>
      </c>
      <c r="R3786" s="120">
        <v>2.6680499999999999E-2</v>
      </c>
      <c r="S3786" s="119" t="s">
        <v>115</v>
      </c>
      <c r="T3786" s="257">
        <f t="shared" si="125"/>
        <v>80</v>
      </c>
      <c r="U3786" s="257">
        <f t="shared" si="126"/>
        <v>20</v>
      </c>
      <c r="V3786">
        <v>1</v>
      </c>
      <c r="W3786">
        <v>1</v>
      </c>
    </row>
    <row r="3787" spans="1:23" ht="144" x14ac:dyDescent="0.3">
      <c r="A3787" s="114">
        <v>44864</v>
      </c>
      <c r="B3787" s="190">
        <v>44864</v>
      </c>
      <c r="C3787" s="6">
        <v>10</v>
      </c>
      <c r="D3787" s="6">
        <v>1</v>
      </c>
      <c r="E3787" s="115">
        <v>2022</v>
      </c>
      <c r="F3787" s="15" t="s">
        <v>22</v>
      </c>
      <c r="G3787" s="16" t="s">
        <v>6256</v>
      </c>
      <c r="H3787" s="9" t="s">
        <v>64</v>
      </c>
      <c r="I3787" s="117" t="s">
        <v>64</v>
      </c>
      <c r="J3787" s="118" t="s">
        <v>5998</v>
      </c>
      <c r="K3787" s="117">
        <v>0</v>
      </c>
      <c r="L3787" s="245">
        <v>26</v>
      </c>
      <c r="M3787" s="119">
        <v>8</v>
      </c>
      <c r="N3787" s="119">
        <v>0</v>
      </c>
      <c r="O3787" s="119">
        <v>0</v>
      </c>
      <c r="P3787" s="119">
        <v>0</v>
      </c>
      <c r="Q3787" s="119">
        <v>0</v>
      </c>
      <c r="R3787" s="120">
        <v>7.4560199999999993E-2</v>
      </c>
      <c r="S3787" s="119" t="s">
        <v>115</v>
      </c>
      <c r="T3787" s="257">
        <f t="shared" si="125"/>
        <v>26</v>
      </c>
      <c r="U3787" s="257">
        <f t="shared" si="126"/>
        <v>8</v>
      </c>
      <c r="V3787">
        <v>1</v>
      </c>
      <c r="W3787">
        <v>1</v>
      </c>
    </row>
    <row r="3788" spans="1:23" ht="276" x14ac:dyDescent="0.3">
      <c r="A3788" s="114">
        <v>44868</v>
      </c>
      <c r="B3788" s="114">
        <v>44869</v>
      </c>
      <c r="C3788" s="6">
        <v>11</v>
      </c>
      <c r="D3788" s="6">
        <v>2</v>
      </c>
      <c r="E3788" s="115">
        <v>2022</v>
      </c>
      <c r="F3788" s="15" t="s">
        <v>22</v>
      </c>
      <c r="G3788" s="116" t="s">
        <v>6256</v>
      </c>
      <c r="H3788" s="9" t="s">
        <v>174</v>
      </c>
      <c r="I3788" s="117" t="s">
        <v>5999</v>
      </c>
      <c r="J3788" s="118" t="s">
        <v>6000</v>
      </c>
      <c r="K3788" s="117">
        <v>0</v>
      </c>
      <c r="L3788" s="245">
        <f>(40+240+92)*1</f>
        <v>372</v>
      </c>
      <c r="M3788" s="119">
        <v>93</v>
      </c>
      <c r="N3788" s="119">
        <v>0</v>
      </c>
      <c r="O3788" s="119">
        <v>0</v>
      </c>
      <c r="P3788" s="119">
        <v>0</v>
      </c>
      <c r="Q3788" s="119">
        <v>0</v>
      </c>
      <c r="R3788" s="120">
        <v>0.12406432500000002</v>
      </c>
      <c r="S3788" s="119" t="s">
        <v>115</v>
      </c>
      <c r="T3788" s="257">
        <f t="shared" si="125"/>
        <v>372</v>
      </c>
      <c r="U3788" s="257">
        <f t="shared" si="126"/>
        <v>93</v>
      </c>
      <c r="V3788">
        <v>1</v>
      </c>
      <c r="W3788">
        <v>1</v>
      </c>
    </row>
    <row r="3789" spans="1:23" ht="409.6" x14ac:dyDescent="0.3">
      <c r="A3789" s="114">
        <v>44868</v>
      </c>
      <c r="B3789" s="114">
        <v>44869</v>
      </c>
      <c r="C3789" s="6">
        <v>11</v>
      </c>
      <c r="D3789" s="6">
        <v>2</v>
      </c>
      <c r="E3789" s="115">
        <v>2022</v>
      </c>
      <c r="F3789" s="15" t="s">
        <v>22</v>
      </c>
      <c r="G3789" s="116" t="s">
        <v>6256</v>
      </c>
      <c r="H3789" s="17" t="s">
        <v>565</v>
      </c>
      <c r="I3789" s="117" t="s">
        <v>6001</v>
      </c>
      <c r="J3789" s="118" t="s">
        <v>6002</v>
      </c>
      <c r="K3789" s="117">
        <v>0</v>
      </c>
      <c r="L3789" s="245">
        <v>39</v>
      </c>
      <c r="M3789" s="119">
        <v>22</v>
      </c>
      <c r="N3789" s="119">
        <v>0</v>
      </c>
      <c r="O3789" s="119">
        <v>0</v>
      </c>
      <c r="P3789" s="119">
        <v>0</v>
      </c>
      <c r="Q3789" s="119">
        <v>0</v>
      </c>
      <c r="R3789" s="120">
        <v>2.9348550000000004E-2</v>
      </c>
      <c r="S3789" s="119" t="s">
        <v>115</v>
      </c>
      <c r="T3789" s="257">
        <f t="shared" si="125"/>
        <v>39</v>
      </c>
      <c r="U3789" s="257">
        <f t="shared" si="126"/>
        <v>22</v>
      </c>
      <c r="V3789">
        <v>1</v>
      </c>
      <c r="W3789">
        <v>1</v>
      </c>
    </row>
    <row r="3790" spans="1:23" ht="27.6" x14ac:dyDescent="0.3">
      <c r="A3790" s="114">
        <v>44873</v>
      </c>
      <c r="B3790" s="114">
        <v>44875</v>
      </c>
      <c r="C3790" s="6">
        <v>11</v>
      </c>
      <c r="D3790" s="6">
        <v>3</v>
      </c>
      <c r="E3790" s="115">
        <v>2022</v>
      </c>
      <c r="F3790" s="15" t="s">
        <v>22</v>
      </c>
      <c r="G3790" s="116" t="s">
        <v>6256</v>
      </c>
      <c r="H3790" s="9" t="s">
        <v>27</v>
      </c>
      <c r="I3790" s="117" t="s">
        <v>6003</v>
      </c>
      <c r="J3790" s="180" t="s">
        <v>6004</v>
      </c>
      <c r="K3790" s="117">
        <v>1</v>
      </c>
      <c r="L3790" s="245">
        <v>1</v>
      </c>
      <c r="M3790" s="119">
        <v>14</v>
      </c>
      <c r="N3790" s="119">
        <v>0</v>
      </c>
      <c r="O3790" s="119">
        <v>0</v>
      </c>
      <c r="P3790" s="119">
        <v>0</v>
      </c>
      <c r="Q3790" s="119">
        <v>0</v>
      </c>
      <c r="R3790" s="120">
        <v>0.23163635000000002</v>
      </c>
      <c r="S3790" s="119" t="s">
        <v>115</v>
      </c>
      <c r="T3790" s="257">
        <f t="shared" si="125"/>
        <v>2</v>
      </c>
      <c r="U3790" s="257">
        <f t="shared" si="126"/>
        <v>14</v>
      </c>
      <c r="V3790">
        <v>1</v>
      </c>
      <c r="W3790">
        <v>1</v>
      </c>
    </row>
    <row r="3791" spans="1:23" ht="409.6" x14ac:dyDescent="0.3">
      <c r="A3791" s="114">
        <v>44881</v>
      </c>
      <c r="B3791" s="114">
        <v>44882</v>
      </c>
      <c r="C3791" s="6">
        <v>11</v>
      </c>
      <c r="D3791" s="6">
        <v>2</v>
      </c>
      <c r="E3791" s="115">
        <v>2022</v>
      </c>
      <c r="F3791" s="15" t="s">
        <v>22</v>
      </c>
      <c r="G3791" s="116" t="s">
        <v>6256</v>
      </c>
      <c r="H3791" s="17" t="s">
        <v>565</v>
      </c>
      <c r="I3791" s="117" t="s">
        <v>6005</v>
      </c>
      <c r="J3791" s="118" t="s">
        <v>6006</v>
      </c>
      <c r="K3791" s="117">
        <v>0</v>
      </c>
      <c r="L3791" s="245">
        <v>336</v>
      </c>
      <c r="M3791" s="119">
        <v>83</v>
      </c>
      <c r="N3791" s="119">
        <v>0</v>
      </c>
      <c r="O3791" s="119">
        <v>0</v>
      </c>
      <c r="P3791" s="119">
        <v>0</v>
      </c>
      <c r="Q3791" s="119">
        <v>0</v>
      </c>
      <c r="R3791" s="120">
        <v>0.11072407500000001</v>
      </c>
      <c r="S3791" s="119" t="s">
        <v>115</v>
      </c>
      <c r="T3791" s="257">
        <f t="shared" si="125"/>
        <v>336</v>
      </c>
      <c r="U3791" s="257">
        <f t="shared" si="126"/>
        <v>83</v>
      </c>
      <c r="V3791">
        <v>1</v>
      </c>
      <c r="W3791">
        <v>1</v>
      </c>
    </row>
    <row r="3792" spans="1:23" ht="55.2" x14ac:dyDescent="0.3">
      <c r="A3792" s="114">
        <v>44887</v>
      </c>
      <c r="B3792" s="114">
        <v>44887</v>
      </c>
      <c r="C3792" s="6">
        <v>11</v>
      </c>
      <c r="D3792" s="6">
        <v>1</v>
      </c>
      <c r="E3792" s="115">
        <v>2022</v>
      </c>
      <c r="F3792" s="15" t="s">
        <v>22</v>
      </c>
      <c r="G3792" s="116" t="s">
        <v>6256</v>
      </c>
      <c r="H3792" s="9" t="s">
        <v>31</v>
      </c>
      <c r="I3792" s="117" t="s">
        <v>6007</v>
      </c>
      <c r="J3792" s="118" t="s">
        <v>6008</v>
      </c>
      <c r="K3792" s="117">
        <v>0</v>
      </c>
      <c r="L3792" s="245">
        <v>0</v>
      </c>
      <c r="M3792" s="119">
        <v>0</v>
      </c>
      <c r="N3792" s="119">
        <v>0</v>
      </c>
      <c r="O3792" s="119">
        <v>0</v>
      </c>
      <c r="P3792" s="119">
        <v>0</v>
      </c>
      <c r="Q3792" s="119">
        <v>0</v>
      </c>
      <c r="R3792" s="120">
        <v>330.66059300000001</v>
      </c>
      <c r="S3792" s="119" t="s">
        <v>5775</v>
      </c>
      <c r="T3792" s="257">
        <f t="shared" si="125"/>
        <v>0</v>
      </c>
      <c r="U3792" s="257">
        <f t="shared" si="126"/>
        <v>0</v>
      </c>
      <c r="V3792">
        <v>0</v>
      </c>
      <c r="W3792">
        <v>0</v>
      </c>
    </row>
    <row r="3793" spans="1:23" ht="144" x14ac:dyDescent="0.3">
      <c r="A3793" s="114">
        <v>44887</v>
      </c>
      <c r="B3793" s="114">
        <v>44889</v>
      </c>
      <c r="C3793" s="6">
        <v>11</v>
      </c>
      <c r="D3793" s="6">
        <v>3</v>
      </c>
      <c r="E3793" s="115">
        <v>2022</v>
      </c>
      <c r="F3793" s="15" t="s">
        <v>22</v>
      </c>
      <c r="G3793" s="116" t="s">
        <v>6256</v>
      </c>
      <c r="H3793" s="17" t="s">
        <v>565</v>
      </c>
      <c r="I3793" s="117" t="s">
        <v>5823</v>
      </c>
      <c r="J3793" s="118" t="s">
        <v>6009</v>
      </c>
      <c r="K3793" s="117">
        <v>0</v>
      </c>
      <c r="L3793" s="245">
        <v>5146</v>
      </c>
      <c r="M3793" s="119">
        <v>1141</v>
      </c>
      <c r="N3793" s="119">
        <v>4</v>
      </c>
      <c r="O3793" s="119">
        <v>1</v>
      </c>
      <c r="P3793" s="119">
        <v>0</v>
      </c>
      <c r="Q3793" s="119">
        <v>0</v>
      </c>
      <c r="R3793" s="120">
        <v>1.5221225250000001</v>
      </c>
      <c r="S3793" s="119" t="s">
        <v>115</v>
      </c>
      <c r="T3793" s="257">
        <f t="shared" si="125"/>
        <v>5146</v>
      </c>
      <c r="U3793" s="257">
        <f t="shared" si="126"/>
        <v>1146</v>
      </c>
      <c r="V3793">
        <v>1</v>
      </c>
      <c r="W3793">
        <v>2</v>
      </c>
    </row>
    <row r="3794" spans="1:23" ht="108" x14ac:dyDescent="0.3">
      <c r="A3794" s="114">
        <v>44896</v>
      </c>
      <c r="B3794" s="114">
        <v>44896</v>
      </c>
      <c r="C3794" s="6">
        <v>12</v>
      </c>
      <c r="D3794" s="6">
        <v>1</v>
      </c>
      <c r="E3794" s="115">
        <v>2022</v>
      </c>
      <c r="F3794" s="15" t="s">
        <v>22</v>
      </c>
      <c r="G3794" s="116" t="s">
        <v>6256</v>
      </c>
      <c r="H3794" s="9" t="s">
        <v>174</v>
      </c>
      <c r="I3794" s="179" t="s">
        <v>6010</v>
      </c>
      <c r="J3794" s="118" t="s">
        <v>6011</v>
      </c>
      <c r="K3794" s="117">
        <v>0</v>
      </c>
      <c r="L3794" s="245">
        <v>580</v>
      </c>
      <c r="M3794" s="119">
        <v>145</v>
      </c>
      <c r="N3794" s="119">
        <v>0</v>
      </c>
      <c r="O3794" s="119">
        <v>0</v>
      </c>
      <c r="P3794" s="119">
        <v>0</v>
      </c>
      <c r="Q3794" s="119">
        <v>0</v>
      </c>
      <c r="R3794" s="120">
        <v>0.193433625</v>
      </c>
      <c r="S3794" s="119" t="s">
        <v>115</v>
      </c>
      <c r="T3794" s="257">
        <f t="shared" si="125"/>
        <v>580</v>
      </c>
      <c r="U3794" s="257">
        <f t="shared" si="126"/>
        <v>145</v>
      </c>
      <c r="V3794">
        <v>1</v>
      </c>
      <c r="W3794">
        <v>1</v>
      </c>
    </row>
    <row r="3795" spans="1:23" ht="84" x14ac:dyDescent="0.3">
      <c r="A3795" s="114">
        <v>44804</v>
      </c>
      <c r="B3795" s="114">
        <v>44805</v>
      </c>
      <c r="C3795" s="6">
        <v>8</v>
      </c>
      <c r="D3795" s="6">
        <v>2</v>
      </c>
      <c r="E3795" s="115">
        <v>2022</v>
      </c>
      <c r="F3795" s="15" t="s">
        <v>22</v>
      </c>
      <c r="G3795" s="16" t="s">
        <v>6256</v>
      </c>
      <c r="H3795" s="9" t="s">
        <v>48</v>
      </c>
      <c r="I3795" s="117" t="s">
        <v>6012</v>
      </c>
      <c r="J3795" s="191" t="s">
        <v>6013</v>
      </c>
      <c r="K3795" s="117">
        <v>0</v>
      </c>
      <c r="L3795" s="245">
        <v>120</v>
      </c>
      <c r="M3795" s="119">
        <v>30</v>
      </c>
      <c r="N3795" s="119">
        <v>0</v>
      </c>
      <c r="O3795" s="119">
        <v>0</v>
      </c>
      <c r="P3795" s="119">
        <v>0</v>
      </c>
      <c r="Q3795" s="119">
        <v>0</v>
      </c>
      <c r="R3795" s="120">
        <v>0</v>
      </c>
      <c r="S3795" s="119" t="s">
        <v>115</v>
      </c>
      <c r="T3795" s="257">
        <f t="shared" si="125"/>
        <v>120</v>
      </c>
      <c r="U3795" s="257">
        <f t="shared" si="126"/>
        <v>30</v>
      </c>
      <c r="V3795">
        <v>1</v>
      </c>
      <c r="W3795">
        <v>1</v>
      </c>
    </row>
    <row r="3796" spans="1:23" ht="144" x14ac:dyDescent="0.3">
      <c r="A3796" s="114">
        <v>44918</v>
      </c>
      <c r="B3796" s="114">
        <v>44920</v>
      </c>
      <c r="C3796" s="6">
        <v>12</v>
      </c>
      <c r="D3796" s="6">
        <v>3</v>
      </c>
      <c r="E3796" s="115">
        <v>2022</v>
      </c>
      <c r="F3796" s="15" t="s">
        <v>22</v>
      </c>
      <c r="G3796" s="116" t="s">
        <v>6256</v>
      </c>
      <c r="H3796" s="9" t="s">
        <v>174</v>
      </c>
      <c r="I3796" s="117" t="s">
        <v>6014</v>
      </c>
      <c r="J3796" s="118" t="s">
        <v>6015</v>
      </c>
      <c r="K3796" s="117">
        <v>0</v>
      </c>
      <c r="L3796" s="245">
        <v>70</v>
      </c>
      <c r="M3796" s="119">
        <v>19</v>
      </c>
      <c r="N3796" s="119">
        <v>0</v>
      </c>
      <c r="O3796" s="119">
        <v>0</v>
      </c>
      <c r="P3796" s="119">
        <v>0</v>
      </c>
      <c r="Q3796" s="119">
        <v>0</v>
      </c>
      <c r="R3796" s="120">
        <v>2.189495E-2</v>
      </c>
      <c r="S3796" s="119" t="s">
        <v>115</v>
      </c>
      <c r="T3796" s="257">
        <f t="shared" si="125"/>
        <v>70</v>
      </c>
      <c r="U3796" s="257">
        <f t="shared" si="126"/>
        <v>19</v>
      </c>
      <c r="V3796">
        <v>1</v>
      </c>
      <c r="W3796">
        <v>1</v>
      </c>
    </row>
    <row r="3797" spans="1:23" ht="96" x14ac:dyDescent="0.3">
      <c r="A3797" s="114">
        <v>44918</v>
      </c>
      <c r="B3797" s="114">
        <v>44921</v>
      </c>
      <c r="C3797" s="6">
        <v>12</v>
      </c>
      <c r="D3797" s="6">
        <v>4</v>
      </c>
      <c r="E3797" s="115">
        <v>2022</v>
      </c>
      <c r="F3797" s="15" t="s">
        <v>22</v>
      </c>
      <c r="G3797" s="116" t="s">
        <v>6256</v>
      </c>
      <c r="H3797" s="9" t="s">
        <v>31</v>
      </c>
      <c r="I3797" s="117" t="s">
        <v>6016</v>
      </c>
      <c r="J3797" s="118" t="s">
        <v>6017</v>
      </c>
      <c r="K3797" s="117">
        <v>0</v>
      </c>
      <c r="L3797" s="245">
        <v>20</v>
      </c>
      <c r="M3797" s="119">
        <v>10</v>
      </c>
      <c r="N3797" s="119">
        <v>0</v>
      </c>
      <c r="O3797" s="119">
        <v>0</v>
      </c>
      <c r="P3797" s="119">
        <v>0</v>
      </c>
      <c r="Q3797" s="119">
        <v>0</v>
      </c>
      <c r="R3797" s="120">
        <v>1.334025E-2</v>
      </c>
      <c r="S3797" s="119" t="s">
        <v>115</v>
      </c>
      <c r="T3797" s="257">
        <f t="shared" si="125"/>
        <v>20</v>
      </c>
      <c r="U3797" s="257">
        <f t="shared" si="126"/>
        <v>10</v>
      </c>
      <c r="V3797">
        <v>1</v>
      </c>
      <c r="W3797">
        <v>1</v>
      </c>
    </row>
    <row r="3798" spans="1:23" ht="55.2" x14ac:dyDescent="0.3">
      <c r="A3798" s="114">
        <v>44857</v>
      </c>
      <c r="B3798" s="114">
        <v>44858</v>
      </c>
      <c r="C3798" s="6">
        <v>10</v>
      </c>
      <c r="D3798" s="6">
        <v>2</v>
      </c>
      <c r="E3798" s="115">
        <v>2022</v>
      </c>
      <c r="F3798" s="15" t="s">
        <v>22</v>
      </c>
      <c r="G3798" s="116" t="s">
        <v>6254</v>
      </c>
      <c r="H3798" s="9" t="s">
        <v>56</v>
      </c>
      <c r="I3798" s="117" t="s">
        <v>6018</v>
      </c>
      <c r="J3798" s="118" t="s">
        <v>6019</v>
      </c>
      <c r="K3798" s="117">
        <v>0</v>
      </c>
      <c r="L3798" s="245">
        <v>34375</v>
      </c>
      <c r="M3798" s="119">
        <v>0</v>
      </c>
      <c r="N3798" s="119">
        <v>0</v>
      </c>
      <c r="O3798" s="119">
        <v>0</v>
      </c>
      <c r="P3798" s="119">
        <v>0</v>
      </c>
      <c r="Q3798" s="119">
        <v>0</v>
      </c>
      <c r="R3798" s="120">
        <v>990.64619550999998</v>
      </c>
      <c r="S3798" s="119" t="s">
        <v>6020</v>
      </c>
      <c r="T3798" s="257">
        <f t="shared" si="125"/>
        <v>34375</v>
      </c>
      <c r="U3798" s="257">
        <f t="shared" si="126"/>
        <v>0</v>
      </c>
      <c r="V3798">
        <v>2</v>
      </c>
      <c r="W3798">
        <v>0</v>
      </c>
    </row>
    <row r="3799" spans="1:23" ht="48" x14ac:dyDescent="0.3">
      <c r="A3799" s="114">
        <v>44562</v>
      </c>
      <c r="B3799" s="114">
        <v>44926</v>
      </c>
      <c r="C3799" s="6">
        <v>1</v>
      </c>
      <c r="D3799" s="6">
        <v>365</v>
      </c>
      <c r="E3799" s="115">
        <v>2022</v>
      </c>
      <c r="F3799" s="15" t="s">
        <v>22</v>
      </c>
      <c r="G3799" s="18" t="s">
        <v>6255</v>
      </c>
      <c r="H3799" s="9" t="s">
        <v>34</v>
      </c>
      <c r="I3799" s="117" t="s">
        <v>25</v>
      </c>
      <c r="J3799" s="118" t="s">
        <v>6021</v>
      </c>
      <c r="K3799" s="117">
        <v>21</v>
      </c>
      <c r="L3799" s="245">
        <v>76</v>
      </c>
      <c r="M3799" s="119">
        <v>0</v>
      </c>
      <c r="N3799" s="119">
        <v>0</v>
      </c>
      <c r="O3799" s="119">
        <v>0</v>
      </c>
      <c r="P3799" s="119">
        <v>0</v>
      </c>
      <c r="Q3799" s="119">
        <v>0</v>
      </c>
      <c r="R3799" s="120">
        <v>0</v>
      </c>
      <c r="S3799" s="119" t="s">
        <v>6022</v>
      </c>
      <c r="T3799" s="257">
        <f t="shared" si="125"/>
        <v>97</v>
      </c>
      <c r="U3799" s="257">
        <f t="shared" si="126"/>
        <v>0</v>
      </c>
      <c r="V3799">
        <v>1</v>
      </c>
      <c r="W3799">
        <v>0</v>
      </c>
    </row>
    <row r="3800" spans="1:23" ht="48" x14ac:dyDescent="0.3">
      <c r="A3800" s="114">
        <v>44562</v>
      </c>
      <c r="B3800" s="114">
        <v>44926</v>
      </c>
      <c r="C3800" s="6">
        <v>1</v>
      </c>
      <c r="D3800" s="6">
        <v>365</v>
      </c>
      <c r="E3800" s="115">
        <v>2022</v>
      </c>
      <c r="F3800" s="15" t="s">
        <v>22</v>
      </c>
      <c r="G3800" s="18" t="s">
        <v>6255</v>
      </c>
      <c r="H3800" s="9" t="s">
        <v>74</v>
      </c>
      <c r="I3800" s="117" t="s">
        <v>25</v>
      </c>
      <c r="J3800" s="118" t="s">
        <v>6023</v>
      </c>
      <c r="K3800" s="117">
        <v>5</v>
      </c>
      <c r="L3800" s="245">
        <v>33</v>
      </c>
      <c r="M3800" s="119">
        <v>0</v>
      </c>
      <c r="N3800" s="119">
        <v>0</v>
      </c>
      <c r="O3800" s="119">
        <v>0</v>
      </c>
      <c r="P3800" s="119">
        <v>0</v>
      </c>
      <c r="Q3800" s="119">
        <v>0</v>
      </c>
      <c r="R3800" s="120">
        <v>0</v>
      </c>
      <c r="S3800" s="119" t="s">
        <v>6022</v>
      </c>
      <c r="T3800" s="257">
        <f t="shared" si="125"/>
        <v>38</v>
      </c>
      <c r="U3800" s="257">
        <f t="shared" si="126"/>
        <v>0</v>
      </c>
      <c r="V3800">
        <v>1</v>
      </c>
      <c r="W3800">
        <v>0</v>
      </c>
    </row>
    <row r="3801" spans="1:23" x14ac:dyDescent="0.3">
      <c r="A3801" s="114">
        <v>44562</v>
      </c>
      <c r="B3801" s="114">
        <v>44926</v>
      </c>
      <c r="C3801" s="6">
        <v>1</v>
      </c>
      <c r="D3801" s="6">
        <v>365</v>
      </c>
      <c r="E3801" s="115">
        <v>2022</v>
      </c>
      <c r="F3801" s="15" t="s">
        <v>22</v>
      </c>
      <c r="G3801" s="18" t="s">
        <v>6255</v>
      </c>
      <c r="H3801" s="9" t="s">
        <v>64</v>
      </c>
      <c r="I3801" s="117" t="s">
        <v>25</v>
      </c>
      <c r="J3801" s="118" t="s">
        <v>6024</v>
      </c>
      <c r="K3801" s="117">
        <v>0</v>
      </c>
      <c r="L3801" s="245">
        <v>6</v>
      </c>
      <c r="M3801" s="119">
        <v>0</v>
      </c>
      <c r="N3801" s="119">
        <v>0</v>
      </c>
      <c r="O3801" s="119">
        <v>0</v>
      </c>
      <c r="P3801" s="119">
        <v>0</v>
      </c>
      <c r="Q3801" s="119">
        <v>0</v>
      </c>
      <c r="R3801" s="120">
        <v>0</v>
      </c>
      <c r="S3801" s="119" t="s">
        <v>6022</v>
      </c>
      <c r="T3801" s="257">
        <f t="shared" si="125"/>
        <v>6</v>
      </c>
      <c r="U3801" s="257">
        <f t="shared" si="126"/>
        <v>0</v>
      </c>
      <c r="V3801">
        <v>1</v>
      </c>
      <c r="W3801">
        <v>0</v>
      </c>
    </row>
    <row r="3802" spans="1:23" ht="24" x14ac:dyDescent="0.3">
      <c r="A3802" s="114">
        <v>44562</v>
      </c>
      <c r="B3802" s="114">
        <v>44926</v>
      </c>
      <c r="C3802" s="6">
        <v>1</v>
      </c>
      <c r="D3802" s="6">
        <v>365</v>
      </c>
      <c r="E3802" s="115">
        <v>2022</v>
      </c>
      <c r="F3802" s="15" t="s">
        <v>22</v>
      </c>
      <c r="G3802" s="18" t="s">
        <v>6255</v>
      </c>
      <c r="H3802" s="9" t="s">
        <v>174</v>
      </c>
      <c r="I3802" s="179" t="s">
        <v>25</v>
      </c>
      <c r="J3802" s="118" t="s">
        <v>6025</v>
      </c>
      <c r="K3802" s="117">
        <v>2</v>
      </c>
      <c r="L3802" s="245">
        <v>4</v>
      </c>
      <c r="M3802" s="119">
        <v>0</v>
      </c>
      <c r="N3802" s="119">
        <v>0</v>
      </c>
      <c r="O3802" s="119">
        <v>0</v>
      </c>
      <c r="P3802" s="119">
        <v>0</v>
      </c>
      <c r="Q3802" s="119">
        <v>0</v>
      </c>
      <c r="R3802" s="120">
        <v>0</v>
      </c>
      <c r="S3802" s="119" t="s">
        <v>6022</v>
      </c>
      <c r="T3802" s="257">
        <f t="shared" si="125"/>
        <v>6</v>
      </c>
      <c r="U3802" s="257">
        <f t="shared" si="126"/>
        <v>0</v>
      </c>
      <c r="V3802">
        <v>1</v>
      </c>
      <c r="W3802">
        <v>0</v>
      </c>
    </row>
    <row r="3803" spans="1:23" x14ac:dyDescent="0.3">
      <c r="A3803" s="114">
        <v>44562</v>
      </c>
      <c r="B3803" s="114">
        <v>44926</v>
      </c>
      <c r="C3803" s="6">
        <v>1</v>
      </c>
      <c r="D3803" s="6">
        <v>365</v>
      </c>
      <c r="E3803" s="115">
        <v>2022</v>
      </c>
      <c r="F3803" s="15" t="s">
        <v>22</v>
      </c>
      <c r="G3803" s="18" t="s">
        <v>6255</v>
      </c>
      <c r="H3803" s="9" t="s">
        <v>31</v>
      </c>
      <c r="I3803" s="117" t="s">
        <v>25</v>
      </c>
      <c r="J3803" s="118" t="s">
        <v>6024</v>
      </c>
      <c r="K3803" s="117">
        <v>0</v>
      </c>
      <c r="L3803" s="245">
        <v>6</v>
      </c>
      <c r="M3803" s="119">
        <v>0</v>
      </c>
      <c r="N3803" s="119">
        <v>0</v>
      </c>
      <c r="O3803" s="119">
        <v>0</v>
      </c>
      <c r="P3803" s="119">
        <v>0</v>
      </c>
      <c r="Q3803" s="119">
        <v>0</v>
      </c>
      <c r="R3803" s="120">
        <v>0</v>
      </c>
      <c r="S3803" s="119" t="s">
        <v>6022</v>
      </c>
      <c r="T3803" s="257">
        <f t="shared" si="125"/>
        <v>6</v>
      </c>
      <c r="U3803" s="257">
        <f t="shared" si="126"/>
        <v>0</v>
      </c>
      <c r="V3803">
        <v>1</v>
      </c>
      <c r="W3803">
        <v>0</v>
      </c>
    </row>
    <row r="3804" spans="1:23" x14ac:dyDescent="0.3">
      <c r="A3804" s="114">
        <v>44562</v>
      </c>
      <c r="B3804" s="114">
        <v>44926</v>
      </c>
      <c r="C3804" s="6">
        <v>1</v>
      </c>
      <c r="D3804" s="6">
        <v>365</v>
      </c>
      <c r="E3804" s="115">
        <v>2022</v>
      </c>
      <c r="F3804" s="15" t="s">
        <v>22</v>
      </c>
      <c r="G3804" s="18" t="s">
        <v>6255</v>
      </c>
      <c r="H3804" s="9" t="s">
        <v>70</v>
      </c>
      <c r="I3804" s="117" t="s">
        <v>25</v>
      </c>
      <c r="J3804" s="118" t="s">
        <v>6026</v>
      </c>
      <c r="K3804" s="117">
        <v>1</v>
      </c>
      <c r="L3804" s="245">
        <v>1</v>
      </c>
      <c r="M3804" s="119">
        <v>0</v>
      </c>
      <c r="N3804" s="119">
        <v>0</v>
      </c>
      <c r="O3804" s="119">
        <v>0</v>
      </c>
      <c r="P3804" s="119">
        <v>0</v>
      </c>
      <c r="Q3804" s="119">
        <v>0</v>
      </c>
      <c r="R3804" s="120">
        <v>0</v>
      </c>
      <c r="S3804" s="119" t="s">
        <v>6022</v>
      </c>
      <c r="T3804" s="257">
        <f t="shared" si="125"/>
        <v>2</v>
      </c>
      <c r="U3804" s="257">
        <f t="shared" si="126"/>
        <v>0</v>
      </c>
      <c r="V3804">
        <v>1</v>
      </c>
      <c r="W3804">
        <v>0</v>
      </c>
    </row>
    <row r="3805" spans="1:23" x14ac:dyDescent="0.3">
      <c r="A3805" s="114">
        <v>44562</v>
      </c>
      <c r="B3805" s="114">
        <v>44926</v>
      </c>
      <c r="C3805" s="6">
        <v>1</v>
      </c>
      <c r="D3805" s="6">
        <v>365</v>
      </c>
      <c r="E3805" s="115">
        <v>2022</v>
      </c>
      <c r="F3805" s="15" t="s">
        <v>22</v>
      </c>
      <c r="G3805" s="18" t="s">
        <v>6255</v>
      </c>
      <c r="H3805" s="9" t="s">
        <v>41</v>
      </c>
      <c r="I3805" s="117" t="s">
        <v>25</v>
      </c>
      <c r="J3805" s="118" t="s">
        <v>6027</v>
      </c>
      <c r="K3805" s="117">
        <v>0</v>
      </c>
      <c r="L3805" s="245">
        <v>7</v>
      </c>
      <c r="M3805" s="119">
        <v>0</v>
      </c>
      <c r="N3805" s="119">
        <v>0</v>
      </c>
      <c r="O3805" s="119">
        <v>0</v>
      </c>
      <c r="P3805" s="119">
        <v>0</v>
      </c>
      <c r="Q3805" s="119">
        <v>0</v>
      </c>
      <c r="R3805" s="120">
        <v>0</v>
      </c>
      <c r="S3805" s="119" t="s">
        <v>6022</v>
      </c>
      <c r="T3805" s="257">
        <f t="shared" si="125"/>
        <v>7</v>
      </c>
      <c r="U3805" s="257">
        <f t="shared" si="126"/>
        <v>0</v>
      </c>
      <c r="V3805">
        <v>1</v>
      </c>
      <c r="W3805">
        <v>0</v>
      </c>
    </row>
    <row r="3806" spans="1:23" x14ac:dyDescent="0.3">
      <c r="A3806" s="114">
        <v>44562</v>
      </c>
      <c r="B3806" s="114">
        <v>44926</v>
      </c>
      <c r="C3806" s="6">
        <v>1</v>
      </c>
      <c r="D3806" s="6">
        <v>365</v>
      </c>
      <c r="E3806" s="115">
        <v>2022</v>
      </c>
      <c r="F3806" s="15" t="s">
        <v>22</v>
      </c>
      <c r="G3806" s="18" t="s">
        <v>6255</v>
      </c>
      <c r="H3806" s="9" t="s">
        <v>27</v>
      </c>
      <c r="I3806" s="117" t="s">
        <v>25</v>
      </c>
      <c r="J3806" s="180" t="s">
        <v>6028</v>
      </c>
      <c r="K3806" s="117">
        <v>0</v>
      </c>
      <c r="L3806" s="245">
        <v>9</v>
      </c>
      <c r="M3806" s="119">
        <v>0</v>
      </c>
      <c r="N3806" s="119">
        <v>0</v>
      </c>
      <c r="O3806" s="119">
        <v>0</v>
      </c>
      <c r="P3806" s="119">
        <v>0</v>
      </c>
      <c r="Q3806" s="119">
        <v>0</v>
      </c>
      <c r="R3806" s="120">
        <v>0</v>
      </c>
      <c r="S3806" s="119" t="s">
        <v>6022</v>
      </c>
      <c r="T3806" s="257">
        <f t="shared" si="125"/>
        <v>9</v>
      </c>
      <c r="U3806" s="257">
        <f t="shared" si="126"/>
        <v>0</v>
      </c>
      <c r="V3806">
        <v>1</v>
      </c>
      <c r="W3806">
        <v>0</v>
      </c>
    </row>
    <row r="3807" spans="1:23" ht="24" x14ac:dyDescent="0.3">
      <c r="A3807" s="114">
        <v>44562</v>
      </c>
      <c r="B3807" s="114">
        <v>44926</v>
      </c>
      <c r="C3807" s="6">
        <v>1</v>
      </c>
      <c r="D3807" s="6">
        <v>365</v>
      </c>
      <c r="E3807" s="115">
        <v>2022</v>
      </c>
      <c r="F3807" s="15" t="s">
        <v>22</v>
      </c>
      <c r="G3807" s="18" t="s">
        <v>6255</v>
      </c>
      <c r="H3807" s="9" t="s">
        <v>78</v>
      </c>
      <c r="I3807" s="117" t="s">
        <v>25</v>
      </c>
      <c r="J3807" s="118" t="s">
        <v>6029</v>
      </c>
      <c r="K3807" s="117">
        <v>0</v>
      </c>
      <c r="L3807" s="245">
        <v>18</v>
      </c>
      <c r="M3807" s="119">
        <v>0</v>
      </c>
      <c r="N3807" s="119">
        <v>0</v>
      </c>
      <c r="O3807" s="119">
        <v>0</v>
      </c>
      <c r="P3807" s="119">
        <v>0</v>
      </c>
      <c r="Q3807" s="119">
        <v>0</v>
      </c>
      <c r="R3807" s="120">
        <v>0</v>
      </c>
      <c r="S3807" s="119" t="s">
        <v>6022</v>
      </c>
      <c r="T3807" s="257">
        <f t="shared" si="125"/>
        <v>18</v>
      </c>
      <c r="U3807" s="257">
        <f t="shared" si="126"/>
        <v>0</v>
      </c>
      <c r="V3807">
        <v>1</v>
      </c>
      <c r="W3807">
        <v>0</v>
      </c>
    </row>
    <row r="3808" spans="1:23" x14ac:dyDescent="0.3">
      <c r="A3808" s="114">
        <v>44562</v>
      </c>
      <c r="B3808" s="114">
        <v>44926</v>
      </c>
      <c r="C3808" s="6">
        <v>1</v>
      </c>
      <c r="D3808" s="6">
        <v>365</v>
      </c>
      <c r="E3808" s="115">
        <v>2022</v>
      </c>
      <c r="F3808" s="15" t="s">
        <v>22</v>
      </c>
      <c r="G3808" s="18" t="s">
        <v>6255</v>
      </c>
      <c r="H3808" s="9" t="s">
        <v>57</v>
      </c>
      <c r="I3808" s="117" t="s">
        <v>25</v>
      </c>
      <c r="J3808" s="118" t="s">
        <v>6030</v>
      </c>
      <c r="K3808" s="117">
        <v>0</v>
      </c>
      <c r="L3808" s="245">
        <v>3</v>
      </c>
      <c r="M3808" s="119">
        <v>0</v>
      </c>
      <c r="N3808" s="119">
        <v>0</v>
      </c>
      <c r="O3808" s="119">
        <v>0</v>
      </c>
      <c r="P3808" s="119">
        <v>0</v>
      </c>
      <c r="Q3808" s="119">
        <v>0</v>
      </c>
      <c r="R3808" s="120">
        <v>0</v>
      </c>
      <c r="S3808" s="119" t="s">
        <v>6022</v>
      </c>
      <c r="T3808" s="257">
        <f t="shared" si="125"/>
        <v>3</v>
      </c>
      <c r="U3808" s="257">
        <f t="shared" si="126"/>
        <v>0</v>
      </c>
      <c r="V3808">
        <v>1</v>
      </c>
      <c r="W3808">
        <v>0</v>
      </c>
    </row>
    <row r="3809" spans="1:23" x14ac:dyDescent="0.3">
      <c r="A3809" s="114">
        <v>44562</v>
      </c>
      <c r="B3809" s="114">
        <v>44926</v>
      </c>
      <c r="C3809" s="6">
        <v>1</v>
      </c>
      <c r="D3809" s="6">
        <v>365</v>
      </c>
      <c r="E3809" s="115">
        <v>2022</v>
      </c>
      <c r="F3809" s="15" t="s">
        <v>22</v>
      </c>
      <c r="G3809" s="18" t="s">
        <v>6255</v>
      </c>
      <c r="H3809" s="9" t="s">
        <v>121</v>
      </c>
      <c r="I3809" s="117" t="s">
        <v>25</v>
      </c>
      <c r="J3809" s="118" t="s">
        <v>6031</v>
      </c>
      <c r="K3809" s="117">
        <v>0</v>
      </c>
      <c r="L3809" s="245">
        <v>4</v>
      </c>
      <c r="M3809" s="119">
        <v>0</v>
      </c>
      <c r="N3809" s="119">
        <v>0</v>
      </c>
      <c r="O3809" s="119">
        <v>0</v>
      </c>
      <c r="P3809" s="119">
        <v>0</v>
      </c>
      <c r="Q3809" s="119">
        <v>0</v>
      </c>
      <c r="R3809" s="120">
        <v>0</v>
      </c>
      <c r="S3809" s="119" t="s">
        <v>6022</v>
      </c>
      <c r="T3809" s="257">
        <f t="shared" si="125"/>
        <v>4</v>
      </c>
      <c r="U3809" s="257">
        <f t="shared" si="126"/>
        <v>0</v>
      </c>
      <c r="V3809">
        <v>1</v>
      </c>
      <c r="W3809">
        <v>0</v>
      </c>
    </row>
    <row r="3810" spans="1:23" ht="24" x14ac:dyDescent="0.3">
      <c r="A3810" s="114">
        <v>44562</v>
      </c>
      <c r="B3810" s="114">
        <v>44926</v>
      </c>
      <c r="C3810" s="6">
        <v>1</v>
      </c>
      <c r="D3810" s="6">
        <v>365</v>
      </c>
      <c r="E3810" s="115">
        <v>2022</v>
      </c>
      <c r="F3810" s="15" t="s">
        <v>22</v>
      </c>
      <c r="G3810" s="9" t="s">
        <v>6258</v>
      </c>
      <c r="H3810" s="9" t="s">
        <v>37</v>
      </c>
      <c r="I3810" s="117" t="s">
        <v>25</v>
      </c>
      <c r="J3810" s="118" t="s">
        <v>6032</v>
      </c>
      <c r="K3810" s="117">
        <v>0</v>
      </c>
      <c r="L3810" s="245">
        <v>327</v>
      </c>
      <c r="M3810" s="119">
        <v>0</v>
      </c>
      <c r="N3810" s="119">
        <v>0</v>
      </c>
      <c r="O3810" s="119">
        <v>0</v>
      </c>
      <c r="P3810" s="119">
        <v>0</v>
      </c>
      <c r="Q3810" s="119">
        <v>0</v>
      </c>
      <c r="R3810" s="120">
        <v>0</v>
      </c>
      <c r="S3810" s="119" t="s">
        <v>6022</v>
      </c>
      <c r="T3810" s="257">
        <f t="shared" si="125"/>
        <v>327</v>
      </c>
      <c r="U3810" s="257">
        <f t="shared" si="126"/>
        <v>0</v>
      </c>
      <c r="V3810">
        <v>1</v>
      </c>
      <c r="W3810">
        <v>0</v>
      </c>
    </row>
    <row r="3811" spans="1:23" ht="36" x14ac:dyDescent="0.3">
      <c r="A3811" s="114">
        <v>44562</v>
      </c>
      <c r="B3811" s="114">
        <v>44926</v>
      </c>
      <c r="C3811" s="6">
        <v>1</v>
      </c>
      <c r="D3811" s="6">
        <v>365</v>
      </c>
      <c r="E3811" s="115">
        <v>2022</v>
      </c>
      <c r="F3811" s="15" t="s">
        <v>22</v>
      </c>
      <c r="G3811" s="9" t="s">
        <v>6258</v>
      </c>
      <c r="H3811" s="17" t="s">
        <v>565</v>
      </c>
      <c r="I3811" s="117" t="s">
        <v>25</v>
      </c>
      <c r="J3811" s="118" t="s">
        <v>6033</v>
      </c>
      <c r="K3811" s="117">
        <v>1</v>
      </c>
      <c r="L3811" s="245">
        <v>197</v>
      </c>
      <c r="M3811" s="119">
        <v>0</v>
      </c>
      <c r="N3811" s="119">
        <v>0</v>
      </c>
      <c r="O3811" s="119">
        <v>0</v>
      </c>
      <c r="P3811" s="119">
        <v>0</v>
      </c>
      <c r="Q3811" s="119">
        <v>0</v>
      </c>
      <c r="R3811" s="120">
        <v>0</v>
      </c>
      <c r="S3811" s="119" t="s">
        <v>6022</v>
      </c>
      <c r="T3811" s="257">
        <f t="shared" si="125"/>
        <v>198</v>
      </c>
      <c r="U3811" s="257">
        <f t="shared" si="126"/>
        <v>0</v>
      </c>
      <c r="V3811">
        <v>1</v>
      </c>
      <c r="W3811">
        <v>0</v>
      </c>
    </row>
    <row r="3812" spans="1:23" x14ac:dyDescent="0.3">
      <c r="A3812" s="114">
        <v>44562</v>
      </c>
      <c r="B3812" s="114">
        <v>44926</v>
      </c>
      <c r="C3812" s="6">
        <v>1</v>
      </c>
      <c r="D3812" s="6">
        <v>365</v>
      </c>
      <c r="E3812" s="115">
        <v>2022</v>
      </c>
      <c r="F3812" s="15" t="s">
        <v>22</v>
      </c>
      <c r="G3812" s="9" t="s">
        <v>6258</v>
      </c>
      <c r="H3812" s="9" t="s">
        <v>27</v>
      </c>
      <c r="I3812" s="117" t="s">
        <v>25</v>
      </c>
      <c r="J3812" s="180" t="s">
        <v>6034</v>
      </c>
      <c r="K3812" s="117">
        <v>25</v>
      </c>
      <c r="L3812" s="245">
        <v>160</v>
      </c>
      <c r="M3812" s="119">
        <v>0</v>
      </c>
      <c r="N3812" s="119">
        <v>0</v>
      </c>
      <c r="O3812" s="119">
        <v>0</v>
      </c>
      <c r="P3812" s="119">
        <v>0</v>
      </c>
      <c r="Q3812" s="119">
        <v>0</v>
      </c>
      <c r="R3812" s="120">
        <v>0</v>
      </c>
      <c r="S3812" s="119" t="s">
        <v>6022</v>
      </c>
      <c r="T3812" s="257">
        <f t="shared" si="125"/>
        <v>185</v>
      </c>
      <c r="U3812" s="257">
        <f t="shared" si="126"/>
        <v>0</v>
      </c>
      <c r="V3812">
        <v>1</v>
      </c>
      <c r="W3812">
        <v>0</v>
      </c>
    </row>
    <row r="3813" spans="1:23" ht="36" x14ac:dyDescent="0.3">
      <c r="A3813" s="114">
        <v>44562</v>
      </c>
      <c r="B3813" s="114">
        <v>44926</v>
      </c>
      <c r="C3813" s="6">
        <v>1</v>
      </c>
      <c r="D3813" s="6">
        <v>365</v>
      </c>
      <c r="E3813" s="115">
        <v>2022</v>
      </c>
      <c r="F3813" s="15" t="s">
        <v>22</v>
      </c>
      <c r="G3813" s="9" t="s">
        <v>6258</v>
      </c>
      <c r="H3813" s="9" t="s">
        <v>74</v>
      </c>
      <c r="I3813" s="117" t="s">
        <v>25</v>
      </c>
      <c r="J3813" s="118" t="s">
        <v>6035</v>
      </c>
      <c r="K3813" s="117">
        <v>7</v>
      </c>
      <c r="L3813" s="245">
        <v>36971</v>
      </c>
      <c r="M3813" s="119">
        <v>0</v>
      </c>
      <c r="N3813" s="119">
        <v>0</v>
      </c>
      <c r="O3813" s="119">
        <v>0</v>
      </c>
      <c r="P3813" s="119">
        <v>0</v>
      </c>
      <c r="Q3813" s="119">
        <v>0</v>
      </c>
      <c r="R3813" s="120">
        <v>0</v>
      </c>
      <c r="S3813" s="119" t="s">
        <v>6022</v>
      </c>
      <c r="T3813" s="257">
        <f t="shared" si="125"/>
        <v>36978</v>
      </c>
      <c r="U3813" s="257">
        <f t="shared" si="126"/>
        <v>0</v>
      </c>
      <c r="V3813">
        <v>2</v>
      </c>
      <c r="W3813">
        <v>0</v>
      </c>
    </row>
    <row r="3814" spans="1:23" ht="36" x14ac:dyDescent="0.3">
      <c r="A3814" s="114">
        <v>44562</v>
      </c>
      <c r="B3814" s="114">
        <v>44926</v>
      </c>
      <c r="C3814" s="6">
        <v>1</v>
      </c>
      <c r="D3814" s="6">
        <v>365</v>
      </c>
      <c r="E3814" s="115">
        <v>2022</v>
      </c>
      <c r="F3814" s="15" t="s">
        <v>22</v>
      </c>
      <c r="G3814" s="9" t="s">
        <v>6258</v>
      </c>
      <c r="H3814" s="9" t="s">
        <v>72</v>
      </c>
      <c r="I3814" s="117" t="s">
        <v>25</v>
      </c>
      <c r="J3814" s="118" t="s">
        <v>6036</v>
      </c>
      <c r="K3814" s="117">
        <v>0</v>
      </c>
      <c r="L3814" s="245">
        <v>36971</v>
      </c>
      <c r="M3814" s="119">
        <v>0</v>
      </c>
      <c r="N3814" s="119">
        <v>0</v>
      </c>
      <c r="O3814" s="119">
        <v>0</v>
      </c>
      <c r="P3814" s="119">
        <v>0</v>
      </c>
      <c r="Q3814" s="119">
        <v>0</v>
      </c>
      <c r="R3814" s="120">
        <v>6.7152770000000004</v>
      </c>
      <c r="S3814" s="119" t="s">
        <v>6022</v>
      </c>
      <c r="T3814" s="257">
        <f t="shared" si="125"/>
        <v>36971</v>
      </c>
      <c r="U3814" s="257">
        <f t="shared" si="126"/>
        <v>0</v>
      </c>
      <c r="V3814">
        <v>2</v>
      </c>
      <c r="W3814">
        <v>0</v>
      </c>
    </row>
    <row r="3815" spans="1:23" ht="36" x14ac:dyDescent="0.3">
      <c r="A3815" s="114">
        <v>44562</v>
      </c>
      <c r="B3815" s="114">
        <v>44926</v>
      </c>
      <c r="C3815" s="6">
        <v>1</v>
      </c>
      <c r="D3815" s="6">
        <v>365</v>
      </c>
      <c r="E3815" s="115">
        <v>2022</v>
      </c>
      <c r="F3815" s="15" t="s">
        <v>22</v>
      </c>
      <c r="G3815" s="9" t="s">
        <v>6258</v>
      </c>
      <c r="H3815" s="9" t="s">
        <v>78</v>
      </c>
      <c r="I3815" s="117" t="s">
        <v>25</v>
      </c>
      <c r="J3815" s="118" t="s">
        <v>6037</v>
      </c>
      <c r="K3815" s="117">
        <v>1</v>
      </c>
      <c r="L3815" s="245">
        <v>34</v>
      </c>
      <c r="M3815" s="119">
        <v>0</v>
      </c>
      <c r="N3815" s="119">
        <v>0</v>
      </c>
      <c r="O3815" s="119">
        <v>0</v>
      </c>
      <c r="P3815" s="119">
        <v>0</v>
      </c>
      <c r="Q3815" s="119">
        <v>0</v>
      </c>
      <c r="R3815" s="120">
        <v>0</v>
      </c>
      <c r="S3815" s="119" t="s">
        <v>6022</v>
      </c>
      <c r="T3815" s="257">
        <f t="shared" si="125"/>
        <v>35</v>
      </c>
      <c r="U3815" s="257">
        <f t="shared" si="126"/>
        <v>0</v>
      </c>
      <c r="V3815">
        <v>1</v>
      </c>
      <c r="W3815">
        <v>0</v>
      </c>
    </row>
    <row r="3816" spans="1:23" ht="36" x14ac:dyDescent="0.3">
      <c r="A3816" s="114">
        <v>44562</v>
      </c>
      <c r="B3816" s="114">
        <v>44926</v>
      </c>
      <c r="C3816" s="6">
        <v>1</v>
      </c>
      <c r="D3816" s="6">
        <v>365</v>
      </c>
      <c r="E3816" s="115">
        <v>2022</v>
      </c>
      <c r="F3816" s="15" t="s">
        <v>22</v>
      </c>
      <c r="G3816" s="9" t="s">
        <v>6258</v>
      </c>
      <c r="H3816" s="9" t="s">
        <v>34</v>
      </c>
      <c r="I3816" s="117" t="s">
        <v>25</v>
      </c>
      <c r="J3816" s="118" t="s">
        <v>6038</v>
      </c>
      <c r="K3816" s="117">
        <v>2</v>
      </c>
      <c r="L3816" s="245">
        <v>31</v>
      </c>
      <c r="M3816" s="119">
        <v>0</v>
      </c>
      <c r="N3816" s="119">
        <v>0</v>
      </c>
      <c r="O3816" s="119">
        <v>0</v>
      </c>
      <c r="P3816" s="119">
        <v>0</v>
      </c>
      <c r="Q3816" s="119">
        <v>0</v>
      </c>
      <c r="R3816" s="120">
        <v>0</v>
      </c>
      <c r="S3816" s="119" t="s">
        <v>6022</v>
      </c>
      <c r="T3816" s="257">
        <f t="shared" si="125"/>
        <v>33</v>
      </c>
      <c r="U3816" s="257">
        <f t="shared" si="126"/>
        <v>0</v>
      </c>
      <c r="V3816">
        <v>1</v>
      </c>
      <c r="W3816">
        <v>0</v>
      </c>
    </row>
    <row r="3817" spans="1:23" ht="24" x14ac:dyDescent="0.3">
      <c r="A3817" s="114">
        <v>44562</v>
      </c>
      <c r="B3817" s="114">
        <v>44926</v>
      </c>
      <c r="C3817" s="6">
        <v>1</v>
      </c>
      <c r="D3817" s="6">
        <v>365</v>
      </c>
      <c r="E3817" s="115">
        <v>2022</v>
      </c>
      <c r="F3817" s="15" t="s">
        <v>22</v>
      </c>
      <c r="G3817" s="9" t="s">
        <v>6258</v>
      </c>
      <c r="H3817" s="9" t="s">
        <v>174</v>
      </c>
      <c r="I3817" s="179" t="s">
        <v>25</v>
      </c>
      <c r="J3817" s="118" t="s">
        <v>6039</v>
      </c>
      <c r="K3817" s="117">
        <v>0</v>
      </c>
      <c r="L3817" s="245">
        <v>24</v>
      </c>
      <c r="M3817" s="119">
        <v>0</v>
      </c>
      <c r="N3817" s="119">
        <v>0</v>
      </c>
      <c r="O3817" s="119">
        <v>0</v>
      </c>
      <c r="P3817" s="119">
        <v>0</v>
      </c>
      <c r="Q3817" s="119">
        <v>0</v>
      </c>
      <c r="R3817" s="120">
        <v>0</v>
      </c>
      <c r="S3817" s="119" t="s">
        <v>6022</v>
      </c>
      <c r="T3817" s="257">
        <f t="shared" si="125"/>
        <v>24</v>
      </c>
      <c r="U3817" s="257">
        <f t="shared" si="126"/>
        <v>0</v>
      </c>
      <c r="V3817">
        <v>1</v>
      </c>
      <c r="W3817">
        <v>0</v>
      </c>
    </row>
    <row r="3818" spans="1:23" ht="36" x14ac:dyDescent="0.3">
      <c r="A3818" s="114">
        <v>44562</v>
      </c>
      <c r="B3818" s="114">
        <v>44926</v>
      </c>
      <c r="C3818" s="6">
        <v>1</v>
      </c>
      <c r="D3818" s="6">
        <v>365</v>
      </c>
      <c r="E3818" s="115">
        <v>2022</v>
      </c>
      <c r="F3818" s="15" t="s">
        <v>22</v>
      </c>
      <c r="G3818" s="9" t="s">
        <v>6258</v>
      </c>
      <c r="H3818" s="9" t="s">
        <v>69</v>
      </c>
      <c r="I3818" s="117" t="s">
        <v>25</v>
      </c>
      <c r="J3818" s="118" t="s">
        <v>6040</v>
      </c>
      <c r="K3818" s="117">
        <v>1</v>
      </c>
      <c r="L3818" s="245">
        <v>19</v>
      </c>
      <c r="M3818" s="119">
        <v>0</v>
      </c>
      <c r="N3818" s="119">
        <v>0</v>
      </c>
      <c r="O3818" s="119">
        <v>0</v>
      </c>
      <c r="P3818" s="119">
        <v>0</v>
      </c>
      <c r="Q3818" s="119">
        <v>0</v>
      </c>
      <c r="R3818" s="120">
        <v>0</v>
      </c>
      <c r="S3818" s="119" t="s">
        <v>6022</v>
      </c>
      <c r="T3818" s="257">
        <f t="shared" si="125"/>
        <v>20</v>
      </c>
      <c r="U3818" s="257">
        <f t="shared" si="126"/>
        <v>0</v>
      </c>
      <c r="V3818">
        <v>1</v>
      </c>
      <c r="W3818">
        <v>0</v>
      </c>
    </row>
    <row r="3819" spans="1:23" x14ac:dyDescent="0.3">
      <c r="A3819" s="114">
        <v>44562</v>
      </c>
      <c r="B3819" s="114">
        <v>44926</v>
      </c>
      <c r="C3819" s="6">
        <v>1</v>
      </c>
      <c r="D3819" s="6">
        <v>365</v>
      </c>
      <c r="E3819" s="115">
        <v>2022</v>
      </c>
      <c r="F3819" s="15" t="s">
        <v>22</v>
      </c>
      <c r="G3819" s="9" t="s">
        <v>6258</v>
      </c>
      <c r="H3819" s="9" t="s">
        <v>28</v>
      </c>
      <c r="I3819" s="117" t="s">
        <v>25</v>
      </c>
      <c r="J3819" s="180" t="s">
        <v>6041</v>
      </c>
      <c r="K3819" s="117">
        <v>1</v>
      </c>
      <c r="L3819" s="245">
        <v>18</v>
      </c>
      <c r="M3819" s="119">
        <v>0</v>
      </c>
      <c r="N3819" s="119">
        <v>0</v>
      </c>
      <c r="O3819" s="119">
        <v>0</v>
      </c>
      <c r="P3819" s="119">
        <v>0</v>
      </c>
      <c r="Q3819" s="119">
        <v>0</v>
      </c>
      <c r="R3819" s="120">
        <v>0</v>
      </c>
      <c r="S3819" s="119" t="s">
        <v>6022</v>
      </c>
      <c r="T3819" s="257">
        <f t="shared" si="125"/>
        <v>19</v>
      </c>
      <c r="U3819" s="257">
        <f t="shared" si="126"/>
        <v>0</v>
      </c>
      <c r="V3819">
        <v>1</v>
      </c>
      <c r="W3819">
        <v>0</v>
      </c>
    </row>
    <row r="3820" spans="1:23" x14ac:dyDescent="0.3">
      <c r="A3820" s="114">
        <v>44562</v>
      </c>
      <c r="B3820" s="114">
        <v>44926</v>
      </c>
      <c r="C3820" s="6">
        <v>1</v>
      </c>
      <c r="D3820" s="6">
        <v>365</v>
      </c>
      <c r="E3820" s="115">
        <v>2022</v>
      </c>
      <c r="F3820" s="15" t="s">
        <v>22</v>
      </c>
      <c r="G3820" s="9" t="s">
        <v>6258</v>
      </c>
      <c r="H3820" s="9" t="s">
        <v>124</v>
      </c>
      <c r="I3820" s="117" t="s">
        <v>25</v>
      </c>
      <c r="J3820" s="118" t="s">
        <v>6042</v>
      </c>
      <c r="K3820" s="117">
        <v>0</v>
      </c>
      <c r="L3820" s="245">
        <v>17</v>
      </c>
      <c r="M3820" s="119">
        <v>0</v>
      </c>
      <c r="N3820" s="119">
        <v>0</v>
      </c>
      <c r="O3820" s="119">
        <v>0</v>
      </c>
      <c r="P3820" s="119">
        <v>0</v>
      </c>
      <c r="Q3820" s="119">
        <v>0</v>
      </c>
      <c r="R3820" s="120">
        <v>0</v>
      </c>
      <c r="S3820" s="119" t="s">
        <v>6022</v>
      </c>
      <c r="T3820" s="257">
        <f t="shared" si="125"/>
        <v>17</v>
      </c>
      <c r="U3820" s="257">
        <f t="shared" si="126"/>
        <v>0</v>
      </c>
      <c r="V3820">
        <v>1</v>
      </c>
      <c r="W3820">
        <v>0</v>
      </c>
    </row>
    <row r="3821" spans="1:23" ht="24" x14ac:dyDescent="0.3">
      <c r="A3821" s="114">
        <v>44562</v>
      </c>
      <c r="B3821" s="114">
        <v>44926</v>
      </c>
      <c r="C3821" s="6">
        <v>1</v>
      </c>
      <c r="D3821" s="6">
        <v>365</v>
      </c>
      <c r="E3821" s="115">
        <v>2022</v>
      </c>
      <c r="F3821" s="15" t="s">
        <v>22</v>
      </c>
      <c r="G3821" s="9" t="s">
        <v>6258</v>
      </c>
      <c r="H3821" s="9" t="s">
        <v>51</v>
      </c>
      <c r="I3821" s="117" t="s">
        <v>25</v>
      </c>
      <c r="J3821" s="118" t="s">
        <v>6043</v>
      </c>
      <c r="K3821" s="117">
        <v>0</v>
      </c>
      <c r="L3821" s="245">
        <v>12</v>
      </c>
      <c r="M3821" s="119">
        <v>0</v>
      </c>
      <c r="N3821" s="119">
        <v>0</v>
      </c>
      <c r="O3821" s="119">
        <v>0</v>
      </c>
      <c r="P3821" s="119">
        <v>0</v>
      </c>
      <c r="Q3821" s="119">
        <v>0</v>
      </c>
      <c r="R3821" s="120">
        <v>0</v>
      </c>
      <c r="S3821" s="119" t="s">
        <v>6022</v>
      </c>
      <c r="T3821" s="257">
        <f t="shared" si="125"/>
        <v>12</v>
      </c>
      <c r="U3821" s="257">
        <f t="shared" si="126"/>
        <v>0</v>
      </c>
      <c r="V3821">
        <v>1</v>
      </c>
      <c r="W3821">
        <v>0</v>
      </c>
    </row>
    <row r="3822" spans="1:23" ht="36" x14ac:dyDescent="0.3">
      <c r="A3822" s="114">
        <v>44562</v>
      </c>
      <c r="B3822" s="114">
        <v>44926</v>
      </c>
      <c r="C3822" s="6">
        <v>1</v>
      </c>
      <c r="D3822" s="6">
        <v>365</v>
      </c>
      <c r="E3822" s="115">
        <v>2022</v>
      </c>
      <c r="F3822" s="15" t="s">
        <v>22</v>
      </c>
      <c r="G3822" s="9" t="s">
        <v>6258</v>
      </c>
      <c r="H3822" s="9" t="s">
        <v>61</v>
      </c>
      <c r="I3822" s="117" t="s">
        <v>25</v>
      </c>
      <c r="J3822" s="118" t="s">
        <v>6044</v>
      </c>
      <c r="K3822" s="117">
        <v>1</v>
      </c>
      <c r="L3822" s="245">
        <v>10</v>
      </c>
      <c r="M3822" s="119">
        <v>0</v>
      </c>
      <c r="N3822" s="119">
        <v>0</v>
      </c>
      <c r="O3822" s="119">
        <v>0</v>
      </c>
      <c r="P3822" s="119">
        <v>0</v>
      </c>
      <c r="Q3822" s="119">
        <v>0</v>
      </c>
      <c r="R3822" s="120">
        <v>0</v>
      </c>
      <c r="S3822" s="119" t="s">
        <v>6022</v>
      </c>
      <c r="T3822" s="257">
        <f t="shared" si="125"/>
        <v>11</v>
      </c>
      <c r="U3822" s="257">
        <f t="shared" si="126"/>
        <v>0</v>
      </c>
      <c r="V3822">
        <v>1</v>
      </c>
      <c r="W3822">
        <v>0</v>
      </c>
    </row>
    <row r="3823" spans="1:23" ht="36" x14ac:dyDescent="0.3">
      <c r="A3823" s="114">
        <v>44562</v>
      </c>
      <c r="B3823" s="114">
        <v>44926</v>
      </c>
      <c r="C3823" s="6">
        <v>1</v>
      </c>
      <c r="D3823" s="6">
        <v>365</v>
      </c>
      <c r="E3823" s="115">
        <v>2022</v>
      </c>
      <c r="F3823" s="15" t="s">
        <v>22</v>
      </c>
      <c r="G3823" s="9" t="s">
        <v>6258</v>
      </c>
      <c r="H3823" s="9" t="s">
        <v>112</v>
      </c>
      <c r="I3823" s="117" t="s">
        <v>25</v>
      </c>
      <c r="J3823" s="118" t="s">
        <v>6045</v>
      </c>
      <c r="K3823" s="117">
        <v>1</v>
      </c>
      <c r="L3823" s="245">
        <v>9</v>
      </c>
      <c r="M3823" s="119">
        <v>0</v>
      </c>
      <c r="N3823" s="119">
        <v>0</v>
      </c>
      <c r="O3823" s="119">
        <v>0</v>
      </c>
      <c r="P3823" s="119">
        <v>0</v>
      </c>
      <c r="Q3823" s="119">
        <v>0</v>
      </c>
      <c r="R3823" s="120">
        <v>0</v>
      </c>
      <c r="S3823" s="119" t="s">
        <v>6022</v>
      </c>
      <c r="T3823" s="257">
        <f t="shared" si="125"/>
        <v>10</v>
      </c>
      <c r="U3823" s="257">
        <f t="shared" si="126"/>
        <v>0</v>
      </c>
      <c r="V3823">
        <v>1</v>
      </c>
      <c r="W3823">
        <v>0</v>
      </c>
    </row>
    <row r="3824" spans="1:23" ht="24" x14ac:dyDescent="0.3">
      <c r="A3824" s="114">
        <v>44562</v>
      </c>
      <c r="B3824" s="114">
        <v>44926</v>
      </c>
      <c r="C3824" s="6">
        <v>1</v>
      </c>
      <c r="D3824" s="6">
        <v>365</v>
      </c>
      <c r="E3824" s="115">
        <v>2022</v>
      </c>
      <c r="F3824" s="15" t="s">
        <v>22</v>
      </c>
      <c r="G3824" s="9" t="s">
        <v>6258</v>
      </c>
      <c r="H3824" s="9" t="s">
        <v>31</v>
      </c>
      <c r="I3824" s="117" t="s">
        <v>25</v>
      </c>
      <c r="J3824" s="118" t="s">
        <v>6046</v>
      </c>
      <c r="K3824" s="117">
        <v>0</v>
      </c>
      <c r="L3824" s="245">
        <v>7</v>
      </c>
      <c r="M3824" s="119">
        <v>0</v>
      </c>
      <c r="N3824" s="119">
        <v>0</v>
      </c>
      <c r="O3824" s="119">
        <v>0</v>
      </c>
      <c r="P3824" s="119">
        <v>0</v>
      </c>
      <c r="Q3824" s="119">
        <v>0</v>
      </c>
      <c r="R3824" s="120">
        <v>0</v>
      </c>
      <c r="S3824" s="119" t="s">
        <v>6022</v>
      </c>
      <c r="T3824" s="257">
        <f t="shared" si="125"/>
        <v>7</v>
      </c>
      <c r="U3824" s="257">
        <f t="shared" si="126"/>
        <v>0</v>
      </c>
      <c r="V3824">
        <v>1</v>
      </c>
      <c r="W3824">
        <v>0</v>
      </c>
    </row>
    <row r="3825" spans="1:23" ht="24" x14ac:dyDescent="0.3">
      <c r="A3825" s="114">
        <v>44562</v>
      </c>
      <c r="B3825" s="114">
        <v>44926</v>
      </c>
      <c r="C3825" s="6">
        <v>1</v>
      </c>
      <c r="D3825" s="6">
        <v>365</v>
      </c>
      <c r="E3825" s="115">
        <v>2022</v>
      </c>
      <c r="F3825" s="15" t="s">
        <v>22</v>
      </c>
      <c r="G3825" s="9" t="s">
        <v>6258</v>
      </c>
      <c r="H3825" s="9" t="s">
        <v>57</v>
      </c>
      <c r="I3825" s="117" t="s">
        <v>25</v>
      </c>
      <c r="J3825" s="118" t="s">
        <v>6047</v>
      </c>
      <c r="K3825" s="117">
        <v>0</v>
      </c>
      <c r="L3825" s="245">
        <v>6</v>
      </c>
      <c r="M3825" s="119">
        <v>0</v>
      </c>
      <c r="N3825" s="119">
        <v>0</v>
      </c>
      <c r="O3825" s="119">
        <v>0</v>
      </c>
      <c r="P3825" s="119">
        <v>0</v>
      </c>
      <c r="Q3825" s="119">
        <v>0</v>
      </c>
      <c r="R3825" s="120">
        <v>0</v>
      </c>
      <c r="S3825" s="119" t="s">
        <v>6022</v>
      </c>
      <c r="T3825" s="257">
        <f t="shared" si="125"/>
        <v>6</v>
      </c>
      <c r="U3825" s="257">
        <f t="shared" si="126"/>
        <v>0</v>
      </c>
      <c r="V3825">
        <v>1</v>
      </c>
      <c r="W3825">
        <v>0</v>
      </c>
    </row>
    <row r="3826" spans="1:23" ht="36" x14ac:dyDescent="0.3">
      <c r="A3826" s="114">
        <v>44562</v>
      </c>
      <c r="B3826" s="114">
        <v>44926</v>
      </c>
      <c r="C3826" s="6">
        <v>1</v>
      </c>
      <c r="D3826" s="6">
        <v>365</v>
      </c>
      <c r="E3826" s="115">
        <v>2022</v>
      </c>
      <c r="F3826" s="15" t="s">
        <v>22</v>
      </c>
      <c r="G3826" s="9" t="s">
        <v>6258</v>
      </c>
      <c r="H3826" s="9" t="s">
        <v>56</v>
      </c>
      <c r="I3826" s="117" t="s">
        <v>25</v>
      </c>
      <c r="J3826" s="118" t="s">
        <v>6048</v>
      </c>
      <c r="K3826" s="117">
        <v>1</v>
      </c>
      <c r="L3826" s="245">
        <v>5</v>
      </c>
      <c r="M3826" s="119">
        <v>0</v>
      </c>
      <c r="N3826" s="119">
        <v>0</v>
      </c>
      <c r="O3826" s="119">
        <v>0</v>
      </c>
      <c r="P3826" s="119">
        <v>0</v>
      </c>
      <c r="Q3826" s="119">
        <v>0</v>
      </c>
      <c r="R3826" s="120">
        <v>0</v>
      </c>
      <c r="S3826" s="119" t="s">
        <v>6022</v>
      </c>
      <c r="T3826" s="257">
        <f t="shared" si="125"/>
        <v>6</v>
      </c>
      <c r="U3826" s="257">
        <f t="shared" si="126"/>
        <v>0</v>
      </c>
      <c r="V3826">
        <v>1</v>
      </c>
      <c r="W3826">
        <v>0</v>
      </c>
    </row>
    <row r="3827" spans="1:23" ht="24" x14ac:dyDescent="0.3">
      <c r="A3827" s="114">
        <v>44562</v>
      </c>
      <c r="B3827" s="114">
        <v>44926</v>
      </c>
      <c r="C3827" s="6">
        <v>1</v>
      </c>
      <c r="D3827" s="6">
        <v>365</v>
      </c>
      <c r="E3827" s="115">
        <v>2022</v>
      </c>
      <c r="F3827" s="15" t="s">
        <v>22</v>
      </c>
      <c r="G3827" s="9" t="s">
        <v>6258</v>
      </c>
      <c r="H3827" s="9" t="s">
        <v>46</v>
      </c>
      <c r="I3827" s="117" t="s">
        <v>25</v>
      </c>
      <c r="J3827" s="118" t="s">
        <v>6049</v>
      </c>
      <c r="K3827" s="117">
        <v>0</v>
      </c>
      <c r="L3827" s="245">
        <v>4</v>
      </c>
      <c r="M3827" s="119">
        <v>0</v>
      </c>
      <c r="N3827" s="119">
        <v>0</v>
      </c>
      <c r="O3827" s="119">
        <v>0</v>
      </c>
      <c r="P3827" s="119">
        <v>0</v>
      </c>
      <c r="Q3827" s="119">
        <v>0</v>
      </c>
      <c r="R3827" s="120">
        <v>0</v>
      </c>
      <c r="S3827" s="119" t="s">
        <v>6022</v>
      </c>
      <c r="T3827" s="257">
        <f t="shared" si="125"/>
        <v>4</v>
      </c>
      <c r="U3827" s="257">
        <f t="shared" si="126"/>
        <v>0</v>
      </c>
      <c r="V3827">
        <v>1</v>
      </c>
      <c r="W3827">
        <v>0</v>
      </c>
    </row>
    <row r="3828" spans="1:23" ht="24" x14ac:dyDescent="0.3">
      <c r="A3828" s="114">
        <v>44562</v>
      </c>
      <c r="B3828" s="114">
        <v>44926</v>
      </c>
      <c r="C3828" s="6">
        <v>1</v>
      </c>
      <c r="D3828" s="6">
        <v>365</v>
      </c>
      <c r="E3828" s="115">
        <v>2022</v>
      </c>
      <c r="F3828" s="15" t="s">
        <v>22</v>
      </c>
      <c r="G3828" s="9" t="s">
        <v>6258</v>
      </c>
      <c r="H3828" s="9" t="s">
        <v>52</v>
      </c>
      <c r="I3828" s="117" t="s">
        <v>25</v>
      </c>
      <c r="J3828" s="118" t="s">
        <v>6049</v>
      </c>
      <c r="K3828" s="117">
        <v>0</v>
      </c>
      <c r="L3828" s="245">
        <v>4</v>
      </c>
      <c r="M3828" s="119">
        <v>0</v>
      </c>
      <c r="N3828" s="119">
        <v>0</v>
      </c>
      <c r="O3828" s="119">
        <v>0</v>
      </c>
      <c r="P3828" s="119">
        <v>0</v>
      </c>
      <c r="Q3828" s="119">
        <v>0</v>
      </c>
      <c r="R3828" s="120">
        <v>0</v>
      </c>
      <c r="S3828" s="119" t="s">
        <v>6022</v>
      </c>
      <c r="T3828" s="257">
        <f t="shared" si="125"/>
        <v>4</v>
      </c>
      <c r="U3828" s="257">
        <f t="shared" si="126"/>
        <v>0</v>
      </c>
      <c r="V3828">
        <v>1</v>
      </c>
      <c r="W3828">
        <v>0</v>
      </c>
    </row>
    <row r="3829" spans="1:23" ht="24" x14ac:dyDescent="0.3">
      <c r="A3829" s="114">
        <v>44562</v>
      </c>
      <c r="B3829" s="114">
        <v>44926</v>
      </c>
      <c r="C3829" s="6">
        <v>1</v>
      </c>
      <c r="D3829" s="6">
        <v>365</v>
      </c>
      <c r="E3829" s="115">
        <v>2022</v>
      </c>
      <c r="F3829" s="15" t="s">
        <v>22</v>
      </c>
      <c r="G3829" s="9" t="s">
        <v>6258</v>
      </c>
      <c r="H3829" s="9" t="s">
        <v>121</v>
      </c>
      <c r="I3829" s="117" t="s">
        <v>25</v>
      </c>
      <c r="J3829" s="118" t="s">
        <v>6050</v>
      </c>
      <c r="K3829" s="117">
        <v>0</v>
      </c>
      <c r="L3829" s="245">
        <v>3</v>
      </c>
      <c r="M3829" s="119">
        <v>0</v>
      </c>
      <c r="N3829" s="119">
        <v>0</v>
      </c>
      <c r="O3829" s="119">
        <v>0</v>
      </c>
      <c r="P3829" s="119">
        <v>0</v>
      </c>
      <c r="Q3829" s="119">
        <v>0</v>
      </c>
      <c r="R3829" s="120">
        <v>0</v>
      </c>
      <c r="S3829" s="119" t="s">
        <v>6022</v>
      </c>
      <c r="T3829" s="257">
        <f t="shared" si="125"/>
        <v>3</v>
      </c>
      <c r="U3829" s="257">
        <f t="shared" si="126"/>
        <v>0</v>
      </c>
      <c r="V3829">
        <v>1</v>
      </c>
      <c r="W3829">
        <v>0</v>
      </c>
    </row>
    <row r="3830" spans="1:23" x14ac:dyDescent="0.3">
      <c r="A3830" s="114">
        <v>44562</v>
      </c>
      <c r="B3830" s="114">
        <v>44926</v>
      </c>
      <c r="C3830" s="6">
        <v>1</v>
      </c>
      <c r="D3830" s="6">
        <v>365</v>
      </c>
      <c r="E3830" s="115">
        <v>2022</v>
      </c>
      <c r="F3830" s="15" t="s">
        <v>22</v>
      </c>
      <c r="G3830" s="9" t="s">
        <v>6258</v>
      </c>
      <c r="H3830" s="9" t="s">
        <v>41</v>
      </c>
      <c r="I3830" s="117" t="s">
        <v>25</v>
      </c>
      <c r="J3830" s="118" t="s">
        <v>6051</v>
      </c>
      <c r="K3830" s="117">
        <v>0</v>
      </c>
      <c r="L3830" s="245">
        <v>3</v>
      </c>
      <c r="M3830" s="119">
        <v>0</v>
      </c>
      <c r="N3830" s="119">
        <v>0</v>
      </c>
      <c r="O3830" s="119">
        <v>0</v>
      </c>
      <c r="P3830" s="119">
        <v>0</v>
      </c>
      <c r="Q3830" s="119">
        <v>0</v>
      </c>
      <c r="R3830" s="120">
        <v>0</v>
      </c>
      <c r="S3830" s="119" t="s">
        <v>6022</v>
      </c>
      <c r="T3830" s="257">
        <f t="shared" si="125"/>
        <v>3</v>
      </c>
      <c r="U3830" s="257">
        <f t="shared" si="126"/>
        <v>0</v>
      </c>
      <c r="V3830">
        <v>1</v>
      </c>
      <c r="W3830">
        <v>0</v>
      </c>
    </row>
    <row r="3831" spans="1:23" ht="24" x14ac:dyDescent="0.3">
      <c r="A3831" s="114">
        <v>44562</v>
      </c>
      <c r="B3831" s="114">
        <v>44926</v>
      </c>
      <c r="C3831" s="6">
        <v>1</v>
      </c>
      <c r="D3831" s="6">
        <v>365</v>
      </c>
      <c r="E3831" s="115">
        <v>2022</v>
      </c>
      <c r="F3831" s="15" t="s">
        <v>22</v>
      </c>
      <c r="G3831" s="9" t="s">
        <v>6258</v>
      </c>
      <c r="H3831" s="9" t="s">
        <v>39</v>
      </c>
      <c r="I3831" s="117" t="s">
        <v>25</v>
      </c>
      <c r="J3831" s="118" t="s">
        <v>6052</v>
      </c>
      <c r="K3831" s="117">
        <v>1</v>
      </c>
      <c r="L3831" s="245">
        <v>3</v>
      </c>
      <c r="M3831" s="119">
        <v>0</v>
      </c>
      <c r="N3831" s="119">
        <v>0</v>
      </c>
      <c r="O3831" s="119">
        <v>0</v>
      </c>
      <c r="P3831" s="119">
        <v>0</v>
      </c>
      <c r="Q3831" s="119">
        <v>0</v>
      </c>
      <c r="R3831" s="120">
        <v>0</v>
      </c>
      <c r="S3831" s="119" t="s">
        <v>6022</v>
      </c>
      <c r="T3831" s="257">
        <f t="shared" si="125"/>
        <v>4</v>
      </c>
      <c r="U3831" s="257">
        <f t="shared" si="126"/>
        <v>0</v>
      </c>
      <c r="V3831">
        <v>1</v>
      </c>
      <c r="W3831">
        <v>0</v>
      </c>
    </row>
    <row r="3832" spans="1:23" x14ac:dyDescent="0.3">
      <c r="A3832" s="114">
        <v>44562</v>
      </c>
      <c r="B3832" s="114">
        <v>44926</v>
      </c>
      <c r="C3832" s="6">
        <v>1</v>
      </c>
      <c r="D3832" s="6">
        <v>365</v>
      </c>
      <c r="E3832" s="115">
        <v>2022</v>
      </c>
      <c r="F3832" s="15" t="s">
        <v>22</v>
      </c>
      <c r="G3832" s="9" t="s">
        <v>6258</v>
      </c>
      <c r="H3832" s="9" t="s">
        <v>70</v>
      </c>
      <c r="I3832" s="117" t="s">
        <v>25</v>
      </c>
      <c r="J3832" s="118" t="s">
        <v>6053</v>
      </c>
      <c r="K3832" s="117">
        <v>0</v>
      </c>
      <c r="L3832" s="245">
        <v>1</v>
      </c>
      <c r="M3832" s="119">
        <v>0</v>
      </c>
      <c r="N3832" s="119">
        <v>0</v>
      </c>
      <c r="O3832" s="119">
        <v>0</v>
      </c>
      <c r="P3832" s="119">
        <v>0</v>
      </c>
      <c r="Q3832" s="119">
        <v>0</v>
      </c>
      <c r="R3832" s="120">
        <v>0</v>
      </c>
      <c r="S3832" s="119" t="s">
        <v>6022</v>
      </c>
      <c r="T3832" s="257">
        <f t="shared" si="125"/>
        <v>1</v>
      </c>
      <c r="U3832" s="257">
        <f t="shared" si="126"/>
        <v>0</v>
      </c>
      <c r="V3832">
        <v>1</v>
      </c>
      <c r="W3832">
        <v>0</v>
      </c>
    </row>
    <row r="3833" spans="1:23" ht="248.4" x14ac:dyDescent="0.3">
      <c r="A3833" s="114">
        <v>44574</v>
      </c>
      <c r="B3833" s="114">
        <v>44576</v>
      </c>
      <c r="C3833" s="6">
        <v>1</v>
      </c>
      <c r="D3833" s="6">
        <v>3</v>
      </c>
      <c r="E3833" s="115">
        <v>2023</v>
      </c>
      <c r="F3833" s="15" t="s">
        <v>22</v>
      </c>
      <c r="G3833" s="117" t="s">
        <v>6256</v>
      </c>
      <c r="H3833" s="9" t="s">
        <v>31</v>
      </c>
      <c r="I3833" s="117" t="s">
        <v>6054</v>
      </c>
      <c r="J3833" s="192" t="s">
        <v>6055</v>
      </c>
      <c r="K3833" s="117">
        <v>0</v>
      </c>
      <c r="L3833" s="256">
        <v>104</v>
      </c>
      <c r="M3833" s="117">
        <v>26</v>
      </c>
      <c r="N3833" s="117">
        <v>0</v>
      </c>
      <c r="O3833" s="117">
        <v>0</v>
      </c>
      <c r="P3833" s="117">
        <v>0</v>
      </c>
      <c r="Q3833" s="37">
        <v>0</v>
      </c>
      <c r="R3833" s="193">
        <v>3.4684650000000004E-2</v>
      </c>
      <c r="S3833" s="194" t="s">
        <v>2777</v>
      </c>
      <c r="T3833" s="257">
        <f t="shared" si="125"/>
        <v>104</v>
      </c>
      <c r="U3833" s="257">
        <f t="shared" si="126"/>
        <v>26</v>
      </c>
      <c r="V3833">
        <v>1</v>
      </c>
      <c r="W3833">
        <v>1</v>
      </c>
    </row>
    <row r="3834" spans="1:23" ht="345" x14ac:dyDescent="0.3">
      <c r="A3834" s="114">
        <v>44941</v>
      </c>
      <c r="B3834" s="114">
        <v>44944</v>
      </c>
      <c r="C3834" s="6">
        <v>1</v>
      </c>
      <c r="D3834" s="6">
        <v>4</v>
      </c>
      <c r="E3834" s="115">
        <v>2023</v>
      </c>
      <c r="F3834" s="15" t="s">
        <v>22</v>
      </c>
      <c r="G3834" s="117" t="s">
        <v>6256</v>
      </c>
      <c r="H3834" s="9" t="s">
        <v>27</v>
      </c>
      <c r="I3834" s="117" t="s">
        <v>6056</v>
      </c>
      <c r="J3834" s="192" t="s">
        <v>6057</v>
      </c>
      <c r="K3834" s="117">
        <v>3</v>
      </c>
      <c r="L3834" s="256">
        <v>81729</v>
      </c>
      <c r="M3834" s="117">
        <v>13</v>
      </c>
      <c r="N3834" s="117">
        <v>0</v>
      </c>
      <c r="O3834" s="117">
        <v>0</v>
      </c>
      <c r="P3834" s="117">
        <v>0</v>
      </c>
      <c r="Q3834" s="37">
        <v>0</v>
      </c>
      <c r="R3834" s="193">
        <v>1.7342325000000002E-2</v>
      </c>
      <c r="S3834" s="194" t="s">
        <v>2777</v>
      </c>
      <c r="T3834" s="257">
        <f t="shared" si="125"/>
        <v>81732</v>
      </c>
      <c r="U3834" s="257">
        <f t="shared" si="126"/>
        <v>13</v>
      </c>
      <c r="V3834">
        <v>2</v>
      </c>
      <c r="W3834">
        <v>1</v>
      </c>
    </row>
    <row r="3835" spans="1:23" ht="226.8" x14ac:dyDescent="0.3">
      <c r="A3835" s="114">
        <v>44951</v>
      </c>
      <c r="B3835" s="114">
        <v>44953</v>
      </c>
      <c r="C3835" s="6">
        <v>1</v>
      </c>
      <c r="D3835" s="6">
        <v>3</v>
      </c>
      <c r="E3835" s="115">
        <v>2023</v>
      </c>
      <c r="F3835" s="15" t="s">
        <v>22</v>
      </c>
      <c r="G3835" s="117" t="s">
        <v>6256</v>
      </c>
      <c r="H3835" s="17" t="s">
        <v>565</v>
      </c>
      <c r="I3835" s="117" t="s">
        <v>2598</v>
      </c>
      <c r="J3835" s="195" t="s">
        <v>6058</v>
      </c>
      <c r="K3835" s="117">
        <v>0</v>
      </c>
      <c r="L3835" s="256">
        <v>45</v>
      </c>
      <c r="M3835" s="117">
        <v>17</v>
      </c>
      <c r="N3835" s="117">
        <v>0</v>
      </c>
      <c r="O3835" s="117">
        <v>0</v>
      </c>
      <c r="P3835" s="117">
        <v>0</v>
      </c>
      <c r="Q3835" s="37">
        <v>0</v>
      </c>
      <c r="R3835" s="193">
        <v>2.2678425000000002E-2</v>
      </c>
      <c r="S3835" s="194" t="s">
        <v>2777</v>
      </c>
      <c r="T3835" s="257">
        <f t="shared" si="125"/>
        <v>45</v>
      </c>
      <c r="U3835" s="257">
        <f t="shared" si="126"/>
        <v>17</v>
      </c>
      <c r="V3835">
        <v>1</v>
      </c>
      <c r="W3835">
        <v>1</v>
      </c>
    </row>
    <row r="3836" spans="1:23" ht="409.6" x14ac:dyDescent="0.3">
      <c r="A3836" s="114">
        <v>44951</v>
      </c>
      <c r="B3836" s="114">
        <v>44954</v>
      </c>
      <c r="C3836" s="6">
        <v>1</v>
      </c>
      <c r="D3836" s="6">
        <v>4</v>
      </c>
      <c r="E3836" s="115">
        <v>2023</v>
      </c>
      <c r="F3836" s="15" t="s">
        <v>22</v>
      </c>
      <c r="G3836" s="117" t="s">
        <v>6256</v>
      </c>
      <c r="H3836" s="9" t="s">
        <v>31</v>
      </c>
      <c r="I3836" s="117" t="s">
        <v>6059</v>
      </c>
      <c r="J3836" s="195" t="s">
        <v>6060</v>
      </c>
      <c r="K3836" s="117">
        <v>0</v>
      </c>
      <c r="L3836" s="256">
        <v>40</v>
      </c>
      <c r="M3836" s="117">
        <v>11</v>
      </c>
      <c r="N3836" s="117">
        <v>0</v>
      </c>
      <c r="O3836" s="117">
        <v>0</v>
      </c>
      <c r="P3836" s="117">
        <v>0</v>
      </c>
      <c r="Q3836" s="37">
        <v>0</v>
      </c>
      <c r="R3836" s="193">
        <v>1.165673586</v>
      </c>
      <c r="S3836" s="194" t="s">
        <v>2777</v>
      </c>
      <c r="T3836" s="257">
        <f t="shared" si="125"/>
        <v>40</v>
      </c>
      <c r="U3836" s="257">
        <f t="shared" si="126"/>
        <v>11</v>
      </c>
      <c r="V3836">
        <v>1</v>
      </c>
      <c r="W3836">
        <v>1</v>
      </c>
    </row>
    <row r="3837" spans="1:23" ht="303.60000000000002" x14ac:dyDescent="0.3">
      <c r="A3837" s="114">
        <v>44967</v>
      </c>
      <c r="B3837" s="114">
        <v>44971</v>
      </c>
      <c r="C3837" s="6">
        <v>2</v>
      </c>
      <c r="D3837" s="6">
        <v>5</v>
      </c>
      <c r="E3837" s="115">
        <v>2023</v>
      </c>
      <c r="F3837" s="15" t="s">
        <v>22</v>
      </c>
      <c r="G3837" s="117" t="s">
        <v>6256</v>
      </c>
      <c r="H3837" s="17" t="s">
        <v>565</v>
      </c>
      <c r="I3837" s="117" t="s">
        <v>6061</v>
      </c>
      <c r="J3837" s="192" t="s">
        <v>6062</v>
      </c>
      <c r="K3837" s="117">
        <v>0</v>
      </c>
      <c r="L3837" s="256">
        <v>47</v>
      </c>
      <c r="M3837" s="117">
        <v>80</v>
      </c>
      <c r="N3837" s="117">
        <v>0</v>
      </c>
      <c r="O3837" s="117">
        <v>0</v>
      </c>
      <c r="P3837" s="117">
        <v>0</v>
      </c>
      <c r="Q3837" s="37">
        <v>0</v>
      </c>
      <c r="R3837" s="193">
        <v>1.2039575625000001</v>
      </c>
      <c r="S3837" s="194" t="s">
        <v>2777</v>
      </c>
      <c r="T3837" s="257">
        <f t="shared" si="125"/>
        <v>47</v>
      </c>
      <c r="U3837" s="257">
        <f t="shared" si="126"/>
        <v>80</v>
      </c>
      <c r="V3837">
        <v>1</v>
      </c>
      <c r="W3837">
        <v>1</v>
      </c>
    </row>
    <row r="3838" spans="1:23" ht="276" x14ac:dyDescent="0.3">
      <c r="A3838" s="114">
        <v>44967</v>
      </c>
      <c r="B3838" s="114">
        <v>44971</v>
      </c>
      <c r="C3838" s="6">
        <v>2</v>
      </c>
      <c r="D3838" s="6">
        <v>5</v>
      </c>
      <c r="E3838" s="115">
        <v>2023</v>
      </c>
      <c r="F3838" s="15" t="s">
        <v>22</v>
      </c>
      <c r="G3838" s="117" t="s">
        <v>6256</v>
      </c>
      <c r="H3838" s="9" t="s">
        <v>31</v>
      </c>
      <c r="I3838" s="117" t="s">
        <v>6063</v>
      </c>
      <c r="J3838" s="192" t="s">
        <v>6064</v>
      </c>
      <c r="K3838" s="117">
        <v>0</v>
      </c>
      <c r="L3838" s="256">
        <v>50</v>
      </c>
      <c r="M3838" s="117">
        <v>40</v>
      </c>
      <c r="N3838" s="117">
        <v>0</v>
      </c>
      <c r="O3838" s="117">
        <v>0</v>
      </c>
      <c r="P3838" s="117">
        <v>0</v>
      </c>
      <c r="Q3838" s="37">
        <v>0</v>
      </c>
      <c r="R3838" s="193">
        <v>103.6</v>
      </c>
      <c r="S3838" s="194" t="s">
        <v>2777</v>
      </c>
      <c r="T3838" s="257">
        <f t="shared" si="125"/>
        <v>50</v>
      </c>
      <c r="U3838" s="257">
        <f t="shared" si="126"/>
        <v>40</v>
      </c>
      <c r="V3838">
        <v>1</v>
      </c>
      <c r="W3838">
        <v>1</v>
      </c>
    </row>
    <row r="3839" spans="1:23" ht="276" x14ac:dyDescent="0.3">
      <c r="A3839" s="114">
        <v>44969</v>
      </c>
      <c r="B3839" s="114">
        <v>44973</v>
      </c>
      <c r="C3839" s="6">
        <v>2</v>
      </c>
      <c r="D3839" s="6">
        <v>5</v>
      </c>
      <c r="E3839" s="115">
        <v>2023</v>
      </c>
      <c r="F3839" s="15" t="s">
        <v>22</v>
      </c>
      <c r="G3839" s="117" t="s">
        <v>6256</v>
      </c>
      <c r="H3839" s="9" t="s">
        <v>27</v>
      </c>
      <c r="I3839" s="117" t="s">
        <v>671</v>
      </c>
      <c r="J3839" s="192" t="s">
        <v>6065</v>
      </c>
      <c r="K3839" s="117">
        <v>0</v>
      </c>
      <c r="L3839" s="256">
        <v>52</v>
      </c>
      <c r="M3839" s="117">
        <v>13</v>
      </c>
      <c r="N3839" s="117">
        <v>0</v>
      </c>
      <c r="O3839" s="117">
        <v>0</v>
      </c>
      <c r="P3839" s="117">
        <v>0</v>
      </c>
      <c r="Q3839" s="37">
        <v>0</v>
      </c>
      <c r="R3839" s="193">
        <v>1.7342325000000002E-2</v>
      </c>
      <c r="S3839" s="194" t="s">
        <v>2777</v>
      </c>
      <c r="T3839" s="257">
        <f t="shared" si="125"/>
        <v>52</v>
      </c>
      <c r="U3839" s="257">
        <f t="shared" si="126"/>
        <v>13</v>
      </c>
      <c r="V3839">
        <v>1</v>
      </c>
      <c r="W3839">
        <v>1</v>
      </c>
    </row>
    <row r="3840" spans="1:23" ht="220.8" x14ac:dyDescent="0.3">
      <c r="A3840" s="114">
        <v>44972</v>
      </c>
      <c r="B3840" s="114">
        <v>44973</v>
      </c>
      <c r="C3840" s="6">
        <v>2</v>
      </c>
      <c r="D3840" s="6">
        <v>2</v>
      </c>
      <c r="E3840" s="115">
        <v>2023</v>
      </c>
      <c r="F3840" s="15" t="s">
        <v>22</v>
      </c>
      <c r="G3840" s="9" t="s">
        <v>6257</v>
      </c>
      <c r="H3840" s="9" t="s">
        <v>34</v>
      </c>
      <c r="I3840" s="117" t="s">
        <v>6066</v>
      </c>
      <c r="J3840" s="192" t="s">
        <v>6067</v>
      </c>
      <c r="K3840" s="117">
        <v>0</v>
      </c>
      <c r="L3840" s="256">
        <v>10</v>
      </c>
      <c r="M3840" s="117">
        <v>1</v>
      </c>
      <c r="N3840" s="117">
        <v>0</v>
      </c>
      <c r="O3840" s="117">
        <v>0</v>
      </c>
      <c r="P3840" s="117">
        <v>0</v>
      </c>
      <c r="Q3840" s="37">
        <v>0</v>
      </c>
      <c r="R3840" s="193">
        <v>0.29652864999999995</v>
      </c>
      <c r="S3840" s="194" t="s">
        <v>2777</v>
      </c>
      <c r="T3840" s="257">
        <f t="shared" si="125"/>
        <v>10</v>
      </c>
      <c r="U3840" s="257">
        <f t="shared" si="126"/>
        <v>1</v>
      </c>
      <c r="V3840">
        <v>1</v>
      </c>
      <c r="W3840">
        <v>1</v>
      </c>
    </row>
    <row r="3841" spans="1:23" ht="248.4" x14ac:dyDescent="0.3">
      <c r="A3841" s="114">
        <v>44998</v>
      </c>
      <c r="B3841" s="114">
        <v>44999</v>
      </c>
      <c r="C3841" s="6">
        <v>3</v>
      </c>
      <c r="D3841" s="6">
        <v>2</v>
      </c>
      <c r="E3841" s="115">
        <v>2023</v>
      </c>
      <c r="F3841" s="15" t="s">
        <v>22</v>
      </c>
      <c r="G3841" s="9" t="s">
        <v>6257</v>
      </c>
      <c r="H3841" s="9" t="s">
        <v>174</v>
      </c>
      <c r="I3841" s="117" t="s">
        <v>2965</v>
      </c>
      <c r="J3841" s="192" t="s">
        <v>6069</v>
      </c>
      <c r="K3841" s="117">
        <v>0</v>
      </c>
      <c r="L3841" s="256">
        <v>128</v>
      </c>
      <c r="M3841" s="117">
        <v>32</v>
      </c>
      <c r="N3841" s="117">
        <v>1</v>
      </c>
      <c r="O3841" s="117">
        <v>0</v>
      </c>
      <c r="P3841" s="117">
        <v>0</v>
      </c>
      <c r="Q3841" s="37">
        <v>0</v>
      </c>
      <c r="R3841" s="193">
        <v>1.4880000000000001E-2</v>
      </c>
      <c r="S3841" s="194" t="s">
        <v>2777</v>
      </c>
      <c r="T3841" s="257">
        <f t="shared" si="125"/>
        <v>128</v>
      </c>
      <c r="U3841" s="257">
        <f t="shared" si="126"/>
        <v>33</v>
      </c>
      <c r="V3841">
        <v>1</v>
      </c>
      <c r="W3841">
        <v>1</v>
      </c>
    </row>
    <row r="3842" spans="1:23" ht="220.8" x14ac:dyDescent="0.3">
      <c r="A3842" s="114">
        <v>44999</v>
      </c>
      <c r="B3842" s="114">
        <v>45001</v>
      </c>
      <c r="C3842" s="6">
        <v>3</v>
      </c>
      <c r="D3842" s="6">
        <v>3</v>
      </c>
      <c r="E3842" s="115">
        <v>2023</v>
      </c>
      <c r="F3842" s="15" t="s">
        <v>22</v>
      </c>
      <c r="G3842" s="9" t="s">
        <v>6257</v>
      </c>
      <c r="H3842" s="9" t="s">
        <v>112</v>
      </c>
      <c r="I3842" s="117" t="s">
        <v>5484</v>
      </c>
      <c r="J3842" s="192" t="s">
        <v>6070</v>
      </c>
      <c r="K3842" s="117">
        <v>0</v>
      </c>
      <c r="L3842" s="256">
        <v>28</v>
      </c>
      <c r="M3842" s="117">
        <v>6</v>
      </c>
      <c r="N3842" s="117">
        <v>0</v>
      </c>
      <c r="O3842" s="117">
        <v>0</v>
      </c>
      <c r="P3842" s="117">
        <v>0</v>
      </c>
      <c r="Q3842" s="37">
        <v>0</v>
      </c>
      <c r="R3842" s="193">
        <v>2.7951000000000004E-3</v>
      </c>
      <c r="S3842" s="194" t="s">
        <v>2777</v>
      </c>
      <c r="T3842" s="257">
        <f t="shared" si="125"/>
        <v>28</v>
      </c>
      <c r="U3842" s="257">
        <f t="shared" si="126"/>
        <v>6</v>
      </c>
      <c r="V3842">
        <v>1</v>
      </c>
      <c r="W3842">
        <v>1</v>
      </c>
    </row>
    <row r="3843" spans="1:23" ht="96.6" x14ac:dyDescent="0.3">
      <c r="A3843" s="114">
        <v>44998</v>
      </c>
      <c r="B3843" s="114">
        <v>45001</v>
      </c>
      <c r="C3843" s="6">
        <v>3</v>
      </c>
      <c r="D3843" s="6">
        <v>4</v>
      </c>
      <c r="E3843" s="115">
        <v>2023</v>
      </c>
      <c r="F3843" s="15" t="s">
        <v>22</v>
      </c>
      <c r="G3843" s="9" t="s">
        <v>6257</v>
      </c>
      <c r="H3843" s="9" t="s">
        <v>31</v>
      </c>
      <c r="I3843" s="117" t="s">
        <v>1392</v>
      </c>
      <c r="J3843" s="192" t="s">
        <v>6071</v>
      </c>
      <c r="K3843" s="117">
        <v>1</v>
      </c>
      <c r="L3843" s="256">
        <v>61</v>
      </c>
      <c r="M3843" s="117">
        <v>25</v>
      </c>
      <c r="N3843" s="117">
        <v>0</v>
      </c>
      <c r="O3843" s="117">
        <v>0</v>
      </c>
      <c r="P3843" s="117">
        <v>0</v>
      </c>
      <c r="Q3843" s="37">
        <v>0</v>
      </c>
      <c r="R3843" s="193">
        <v>0.17469375000000001</v>
      </c>
      <c r="S3843" s="194" t="s">
        <v>2777</v>
      </c>
      <c r="T3843" s="257">
        <f t="shared" ref="T3843:T3906" si="127">SUM(K3843:L3843)</f>
        <v>62</v>
      </c>
      <c r="U3843" s="257">
        <f t="shared" ref="U3843:U3906" si="128">SUM(M3843:P3843)</f>
        <v>25</v>
      </c>
      <c r="V3843">
        <v>1</v>
      </c>
      <c r="W3843">
        <v>1</v>
      </c>
    </row>
    <row r="3844" spans="1:23" ht="409.6" x14ac:dyDescent="0.3">
      <c r="A3844" s="114">
        <v>45039</v>
      </c>
      <c r="B3844" s="114">
        <v>45039</v>
      </c>
      <c r="C3844" s="6">
        <v>4</v>
      </c>
      <c r="D3844" s="6">
        <v>1</v>
      </c>
      <c r="E3844" s="115">
        <v>2023</v>
      </c>
      <c r="F3844" s="15" t="s">
        <v>22</v>
      </c>
      <c r="G3844" s="117" t="s">
        <v>6256</v>
      </c>
      <c r="H3844" s="9" t="s">
        <v>31</v>
      </c>
      <c r="I3844" s="117" t="s">
        <v>6072</v>
      </c>
      <c r="J3844" s="192" t="s">
        <v>6073</v>
      </c>
      <c r="K3844" s="117">
        <v>0</v>
      </c>
      <c r="L3844" s="256">
        <f>(171*4)*1</f>
        <v>684</v>
      </c>
      <c r="M3844" s="117">
        <v>171</v>
      </c>
      <c r="N3844" s="117">
        <v>0</v>
      </c>
      <c r="O3844" s="117">
        <v>0</v>
      </c>
      <c r="P3844" s="117">
        <v>0</v>
      </c>
      <c r="Q3844" s="37">
        <v>0</v>
      </c>
      <c r="R3844" s="193">
        <v>0</v>
      </c>
      <c r="S3844" s="194" t="s">
        <v>2777</v>
      </c>
      <c r="T3844" s="257">
        <f t="shared" si="127"/>
        <v>684</v>
      </c>
      <c r="U3844" s="257">
        <f t="shared" si="128"/>
        <v>171</v>
      </c>
      <c r="V3844">
        <v>1</v>
      </c>
      <c r="W3844">
        <v>1</v>
      </c>
    </row>
    <row r="3845" spans="1:23" ht="409.6" x14ac:dyDescent="0.3">
      <c r="A3845" s="114">
        <v>45039</v>
      </c>
      <c r="B3845" s="114">
        <v>45039</v>
      </c>
      <c r="C3845" s="6">
        <v>4</v>
      </c>
      <c r="D3845" s="6">
        <v>1</v>
      </c>
      <c r="E3845" s="115">
        <v>2023</v>
      </c>
      <c r="F3845" s="15" t="s">
        <v>22</v>
      </c>
      <c r="G3845" s="117" t="s">
        <v>6256</v>
      </c>
      <c r="H3845" s="9" t="s">
        <v>37</v>
      </c>
      <c r="I3845" s="117" t="s">
        <v>360</v>
      </c>
      <c r="J3845" s="192" t="s">
        <v>6074</v>
      </c>
      <c r="K3845" s="117"/>
      <c r="L3845" s="256">
        <v>120</v>
      </c>
      <c r="M3845" s="117">
        <v>30</v>
      </c>
      <c r="N3845" s="117">
        <v>3</v>
      </c>
      <c r="O3845" s="117">
        <v>0</v>
      </c>
      <c r="P3845" s="117">
        <v>0</v>
      </c>
      <c r="Q3845" s="37">
        <v>0</v>
      </c>
      <c r="R3845" s="193">
        <v>0.89186074999999998</v>
      </c>
      <c r="S3845" s="194" t="s">
        <v>2777</v>
      </c>
      <c r="T3845" s="257">
        <f t="shared" si="127"/>
        <v>120</v>
      </c>
      <c r="U3845" s="257">
        <f t="shared" si="128"/>
        <v>33</v>
      </c>
      <c r="V3845">
        <v>1</v>
      </c>
      <c r="W3845">
        <v>1</v>
      </c>
    </row>
    <row r="3846" spans="1:23" ht="409.6" x14ac:dyDescent="0.3">
      <c r="A3846" s="114">
        <v>45013</v>
      </c>
      <c r="B3846" s="114">
        <v>45015</v>
      </c>
      <c r="C3846" s="6">
        <v>3</v>
      </c>
      <c r="D3846" s="6">
        <v>3</v>
      </c>
      <c r="E3846" s="115">
        <v>2023</v>
      </c>
      <c r="F3846" s="15" t="s">
        <v>22</v>
      </c>
      <c r="G3846" s="117" t="s">
        <v>6256</v>
      </c>
      <c r="H3846" s="9" t="s">
        <v>46</v>
      </c>
      <c r="I3846" s="117" t="s">
        <v>5764</v>
      </c>
      <c r="J3846" s="192" t="s">
        <v>6075</v>
      </c>
      <c r="K3846" s="117">
        <v>0</v>
      </c>
      <c r="L3846" s="256">
        <f>(327*4)*1</f>
        <v>1308</v>
      </c>
      <c r="M3846" s="117">
        <v>327</v>
      </c>
      <c r="N3846" s="117">
        <v>0</v>
      </c>
      <c r="O3846" s="117">
        <v>0</v>
      </c>
      <c r="P3846" s="117">
        <v>0</v>
      </c>
      <c r="Q3846" s="37">
        <v>0</v>
      </c>
      <c r="R3846" s="193">
        <v>2.0344757895000001</v>
      </c>
      <c r="S3846" s="194" t="s">
        <v>2777</v>
      </c>
      <c r="T3846" s="257">
        <f t="shared" si="127"/>
        <v>1308</v>
      </c>
      <c r="U3846" s="257">
        <f t="shared" si="128"/>
        <v>327</v>
      </c>
      <c r="V3846">
        <v>1</v>
      </c>
      <c r="W3846">
        <v>1</v>
      </c>
    </row>
    <row r="3847" spans="1:23" ht="409.6" x14ac:dyDescent="0.3">
      <c r="A3847" s="114">
        <v>45022</v>
      </c>
      <c r="B3847" s="114">
        <v>45026</v>
      </c>
      <c r="C3847" s="6">
        <v>4</v>
      </c>
      <c r="D3847" s="6">
        <v>5</v>
      </c>
      <c r="E3847" s="115">
        <v>2023</v>
      </c>
      <c r="F3847" s="15" t="s">
        <v>22</v>
      </c>
      <c r="G3847" s="117" t="s">
        <v>6256</v>
      </c>
      <c r="H3847" s="9" t="s">
        <v>174</v>
      </c>
      <c r="I3847" s="117" t="s">
        <v>6076</v>
      </c>
      <c r="J3847" s="192" t="s">
        <v>6077</v>
      </c>
      <c r="K3847" s="117">
        <v>0</v>
      </c>
      <c r="L3847" s="256">
        <v>872</v>
      </c>
      <c r="M3847" s="117">
        <v>212</v>
      </c>
      <c r="N3847" s="117">
        <v>0</v>
      </c>
      <c r="O3847" s="117">
        <v>0</v>
      </c>
      <c r="P3847" s="117">
        <v>0</v>
      </c>
      <c r="Q3847" s="37">
        <v>0</v>
      </c>
      <c r="R3847" s="193">
        <v>7.4659662000000002E-2</v>
      </c>
      <c r="S3847" s="194" t="s">
        <v>2777</v>
      </c>
      <c r="T3847" s="257">
        <f t="shared" si="127"/>
        <v>872</v>
      </c>
      <c r="U3847" s="257">
        <f t="shared" si="128"/>
        <v>212</v>
      </c>
      <c r="V3847">
        <v>1</v>
      </c>
      <c r="W3847">
        <v>1</v>
      </c>
    </row>
    <row r="3848" spans="1:23" ht="165.6" x14ac:dyDescent="0.3">
      <c r="A3848" s="114">
        <v>45022</v>
      </c>
      <c r="B3848" s="114">
        <v>45026</v>
      </c>
      <c r="C3848" s="6">
        <v>4</v>
      </c>
      <c r="D3848" s="6">
        <v>5</v>
      </c>
      <c r="E3848" s="115">
        <v>2023</v>
      </c>
      <c r="F3848" s="15" t="s">
        <v>22</v>
      </c>
      <c r="G3848" s="117" t="s">
        <v>6256</v>
      </c>
      <c r="H3848" s="9" t="s">
        <v>121</v>
      </c>
      <c r="I3848" s="117" t="s">
        <v>6078</v>
      </c>
      <c r="J3848" s="192" t="s">
        <v>6079</v>
      </c>
      <c r="K3848" s="117">
        <v>0</v>
      </c>
      <c r="L3848" s="256">
        <f>(519*4)*1</f>
        <v>2076</v>
      </c>
      <c r="M3848" s="117">
        <v>519</v>
      </c>
      <c r="N3848" s="117">
        <v>0</v>
      </c>
      <c r="O3848" s="117">
        <v>0</v>
      </c>
      <c r="P3848" s="117">
        <v>0</v>
      </c>
      <c r="Q3848" s="37">
        <v>0</v>
      </c>
      <c r="R3848" s="193">
        <v>0.24177615000000002</v>
      </c>
      <c r="S3848" s="194" t="s">
        <v>2777</v>
      </c>
      <c r="T3848" s="257">
        <f t="shared" si="127"/>
        <v>2076</v>
      </c>
      <c r="U3848" s="257">
        <f t="shared" si="128"/>
        <v>519</v>
      </c>
      <c r="V3848">
        <v>1</v>
      </c>
      <c r="W3848">
        <v>1</v>
      </c>
    </row>
    <row r="3849" spans="1:23" ht="317.39999999999998" x14ac:dyDescent="0.3">
      <c r="A3849" s="114">
        <v>45026</v>
      </c>
      <c r="B3849" s="114">
        <v>45027</v>
      </c>
      <c r="C3849" s="6">
        <v>4</v>
      </c>
      <c r="D3849" s="6">
        <v>2</v>
      </c>
      <c r="E3849" s="115">
        <v>2023</v>
      </c>
      <c r="F3849" s="15" t="s">
        <v>22</v>
      </c>
      <c r="G3849" s="117" t="s">
        <v>6256</v>
      </c>
      <c r="H3849" s="9" t="s">
        <v>43</v>
      </c>
      <c r="I3849" s="117" t="s">
        <v>4461</v>
      </c>
      <c r="J3849" s="192" t="s">
        <v>6080</v>
      </c>
      <c r="K3849" s="117">
        <v>0</v>
      </c>
      <c r="L3849" s="256">
        <v>240</v>
      </c>
      <c r="M3849" s="117">
        <v>60</v>
      </c>
      <c r="N3849" s="117">
        <v>0</v>
      </c>
      <c r="O3849" s="117">
        <v>0</v>
      </c>
      <c r="P3849" s="117">
        <v>0</v>
      </c>
      <c r="Q3849" s="37">
        <v>0</v>
      </c>
      <c r="R3849" s="193">
        <v>0.28548134999999997</v>
      </c>
      <c r="S3849" s="194" t="s">
        <v>2777</v>
      </c>
      <c r="T3849" s="257">
        <f t="shared" si="127"/>
        <v>240</v>
      </c>
      <c r="U3849" s="257">
        <f t="shared" si="128"/>
        <v>60</v>
      </c>
      <c r="V3849">
        <v>1</v>
      </c>
      <c r="W3849">
        <v>1</v>
      </c>
    </row>
    <row r="3850" spans="1:23" ht="248.4" x14ac:dyDescent="0.3">
      <c r="A3850" s="114">
        <v>45027</v>
      </c>
      <c r="B3850" s="114">
        <v>45029</v>
      </c>
      <c r="C3850" s="6">
        <v>4</v>
      </c>
      <c r="D3850" s="6">
        <v>3</v>
      </c>
      <c r="E3850" s="115">
        <v>2023</v>
      </c>
      <c r="F3850" s="15" t="s">
        <v>22</v>
      </c>
      <c r="G3850" s="117" t="s">
        <v>6256</v>
      </c>
      <c r="H3850" s="9" t="s">
        <v>46</v>
      </c>
      <c r="I3850" s="117" t="s">
        <v>6081</v>
      </c>
      <c r="J3850" s="192" t="s">
        <v>6082</v>
      </c>
      <c r="K3850" s="117">
        <v>0</v>
      </c>
      <c r="L3850" s="256">
        <f>(171*4)*1</f>
        <v>684</v>
      </c>
      <c r="M3850" s="117">
        <v>171</v>
      </c>
      <c r="N3850" s="117">
        <v>0</v>
      </c>
      <c r="O3850" s="117">
        <v>0</v>
      </c>
      <c r="P3850" s="117">
        <v>0</v>
      </c>
      <c r="Q3850" s="37">
        <v>0</v>
      </c>
      <c r="R3850" s="193">
        <v>7.9660350000000005E-2</v>
      </c>
      <c r="S3850" s="194" t="s">
        <v>2777</v>
      </c>
      <c r="T3850" s="257">
        <f t="shared" si="127"/>
        <v>684</v>
      </c>
      <c r="U3850" s="257">
        <f t="shared" si="128"/>
        <v>171</v>
      </c>
      <c r="V3850">
        <v>1</v>
      </c>
      <c r="W3850">
        <v>1</v>
      </c>
    </row>
    <row r="3851" spans="1:23" ht="248.4" x14ac:dyDescent="0.3">
      <c r="A3851" s="114">
        <v>45032</v>
      </c>
      <c r="B3851" s="114">
        <v>45033</v>
      </c>
      <c r="C3851" s="6">
        <v>4</v>
      </c>
      <c r="D3851" s="6">
        <v>2</v>
      </c>
      <c r="E3851" s="115">
        <v>2023</v>
      </c>
      <c r="F3851" s="15" t="s">
        <v>22</v>
      </c>
      <c r="G3851" s="117" t="s">
        <v>6256</v>
      </c>
      <c r="H3851" s="9" t="s">
        <v>174</v>
      </c>
      <c r="I3851" s="117" t="s">
        <v>6083</v>
      </c>
      <c r="J3851" s="192" t="s">
        <v>6084</v>
      </c>
      <c r="K3851" s="117">
        <v>0</v>
      </c>
      <c r="L3851" s="256">
        <v>152</v>
      </c>
      <c r="M3851" s="117">
        <v>28</v>
      </c>
      <c r="N3851" s="117">
        <v>0</v>
      </c>
      <c r="O3851" s="117">
        <v>0</v>
      </c>
      <c r="P3851" s="117">
        <v>0</v>
      </c>
      <c r="Q3851" s="37">
        <v>0</v>
      </c>
      <c r="R3851" s="193">
        <v>3.9681700000000007E-2</v>
      </c>
      <c r="S3851" s="194" t="s">
        <v>2777</v>
      </c>
      <c r="T3851" s="257">
        <f t="shared" si="127"/>
        <v>152</v>
      </c>
      <c r="U3851" s="257">
        <f t="shared" si="128"/>
        <v>28</v>
      </c>
      <c r="V3851">
        <v>1</v>
      </c>
      <c r="W3851">
        <v>1</v>
      </c>
    </row>
    <row r="3852" spans="1:23" ht="165.6" x14ac:dyDescent="0.3">
      <c r="A3852" s="114">
        <v>45032</v>
      </c>
      <c r="B3852" s="114">
        <v>45034</v>
      </c>
      <c r="C3852" s="6">
        <v>4</v>
      </c>
      <c r="D3852" s="6">
        <v>3</v>
      </c>
      <c r="E3852" s="115">
        <v>2023</v>
      </c>
      <c r="F3852" s="15" t="s">
        <v>22</v>
      </c>
      <c r="G3852" s="117" t="s">
        <v>6256</v>
      </c>
      <c r="H3852" s="9" t="s">
        <v>69</v>
      </c>
      <c r="I3852" s="117" t="s">
        <v>4477</v>
      </c>
      <c r="J3852" s="192" t="s">
        <v>6085</v>
      </c>
      <c r="K3852" s="117">
        <v>0</v>
      </c>
      <c r="L3852" s="256">
        <f>(25*4)*1</f>
        <v>100</v>
      </c>
      <c r="M3852" s="117">
        <v>25</v>
      </c>
      <c r="N3852" s="117">
        <v>0</v>
      </c>
      <c r="O3852" s="117">
        <v>0</v>
      </c>
      <c r="P3852" s="117">
        <v>0</v>
      </c>
      <c r="Q3852" s="37">
        <v>0</v>
      </c>
      <c r="R3852" s="193">
        <v>1.164625E-2</v>
      </c>
      <c r="S3852" s="194" t="s">
        <v>2777</v>
      </c>
      <c r="T3852" s="257">
        <f t="shared" si="127"/>
        <v>100</v>
      </c>
      <c r="U3852" s="257">
        <f t="shared" si="128"/>
        <v>25</v>
      </c>
      <c r="V3852">
        <v>1</v>
      </c>
      <c r="W3852">
        <v>1</v>
      </c>
    </row>
    <row r="3853" spans="1:23" ht="165.6" x14ac:dyDescent="0.3">
      <c r="A3853" s="114">
        <v>45032</v>
      </c>
      <c r="B3853" s="114">
        <v>45034</v>
      </c>
      <c r="C3853" s="6">
        <v>4</v>
      </c>
      <c r="D3853" s="6">
        <v>3</v>
      </c>
      <c r="E3853" s="115">
        <v>2023</v>
      </c>
      <c r="F3853" s="15" t="s">
        <v>22</v>
      </c>
      <c r="G3853" s="9" t="s">
        <v>6257</v>
      </c>
      <c r="H3853" s="9" t="s">
        <v>124</v>
      </c>
      <c r="I3853" s="117" t="s">
        <v>6086</v>
      </c>
      <c r="J3853" s="192" t="s">
        <v>6087</v>
      </c>
      <c r="K3853" s="117">
        <v>0</v>
      </c>
      <c r="L3853" s="256">
        <v>12</v>
      </c>
      <c r="M3853" s="117">
        <v>3</v>
      </c>
      <c r="N3853" s="117">
        <v>0</v>
      </c>
      <c r="O3853" s="117">
        <v>0</v>
      </c>
      <c r="P3853" s="117">
        <v>0</v>
      </c>
      <c r="Q3853" s="37">
        <v>0</v>
      </c>
      <c r="R3853" s="193">
        <v>1.3975500000000002E-3</v>
      </c>
      <c r="S3853" s="194" t="s">
        <v>2777</v>
      </c>
      <c r="T3853" s="257">
        <f t="shared" si="127"/>
        <v>12</v>
      </c>
      <c r="U3853" s="257">
        <f t="shared" si="128"/>
        <v>3</v>
      </c>
      <c r="V3853">
        <v>1</v>
      </c>
      <c r="W3853">
        <v>1</v>
      </c>
    </row>
    <row r="3854" spans="1:23" ht="248.4" x14ac:dyDescent="0.3">
      <c r="A3854" s="114">
        <v>45036</v>
      </c>
      <c r="B3854" s="114">
        <v>45037</v>
      </c>
      <c r="C3854" s="6">
        <v>4</v>
      </c>
      <c r="D3854" s="6">
        <v>2</v>
      </c>
      <c r="E3854" s="115">
        <v>2023</v>
      </c>
      <c r="F3854" s="15" t="s">
        <v>22</v>
      </c>
      <c r="G3854" s="117" t="s">
        <v>6256</v>
      </c>
      <c r="H3854" s="9" t="s">
        <v>64</v>
      </c>
      <c r="I3854" s="117" t="s">
        <v>6088</v>
      </c>
      <c r="J3854" s="192" t="s">
        <v>6089</v>
      </c>
      <c r="K3854" s="117">
        <v>0</v>
      </c>
      <c r="L3854" s="256">
        <f>(15*4)*1</f>
        <v>60</v>
      </c>
      <c r="M3854" s="117">
        <v>15</v>
      </c>
      <c r="N3854" s="117">
        <v>0</v>
      </c>
      <c r="O3854" s="117">
        <v>0</v>
      </c>
      <c r="P3854" s="117">
        <v>0</v>
      </c>
      <c r="Q3854" s="37">
        <v>0</v>
      </c>
      <c r="R3854" s="193">
        <v>2.0010375E-2</v>
      </c>
      <c r="S3854" s="194" t="s">
        <v>2777</v>
      </c>
      <c r="T3854" s="257">
        <f t="shared" si="127"/>
        <v>60</v>
      </c>
      <c r="U3854" s="257">
        <f t="shared" si="128"/>
        <v>15</v>
      </c>
      <c r="V3854">
        <v>1</v>
      </c>
      <c r="W3854">
        <v>1</v>
      </c>
    </row>
    <row r="3855" spans="1:23" ht="151.80000000000001" x14ac:dyDescent="0.3">
      <c r="A3855" s="114">
        <v>45037</v>
      </c>
      <c r="B3855" s="114">
        <v>45038</v>
      </c>
      <c r="C3855" s="6">
        <v>4</v>
      </c>
      <c r="D3855" s="6">
        <v>2</v>
      </c>
      <c r="E3855" s="115">
        <v>2023</v>
      </c>
      <c r="F3855" s="15" t="s">
        <v>22</v>
      </c>
      <c r="G3855" s="9" t="s">
        <v>6257</v>
      </c>
      <c r="H3855" s="9" t="s">
        <v>118</v>
      </c>
      <c r="I3855" s="117" t="s">
        <v>6090</v>
      </c>
      <c r="J3855" s="192" t="s">
        <v>6091</v>
      </c>
      <c r="K3855" s="117">
        <v>0</v>
      </c>
      <c r="L3855" s="256">
        <v>2</v>
      </c>
      <c r="M3855" s="117">
        <v>2</v>
      </c>
      <c r="N3855" s="117">
        <v>0</v>
      </c>
      <c r="O3855" s="117">
        <v>0</v>
      </c>
      <c r="P3855" s="117">
        <v>0</v>
      </c>
      <c r="Q3855" s="37">
        <v>0</v>
      </c>
      <c r="R3855" s="193">
        <v>3.7007850000000009E-2</v>
      </c>
      <c r="S3855" s="194" t="s">
        <v>2777</v>
      </c>
      <c r="T3855" s="257">
        <f t="shared" si="127"/>
        <v>2</v>
      </c>
      <c r="U3855" s="257">
        <f t="shared" si="128"/>
        <v>2</v>
      </c>
      <c r="V3855">
        <v>1</v>
      </c>
      <c r="W3855">
        <v>1</v>
      </c>
    </row>
    <row r="3856" spans="1:23" ht="179.4" x14ac:dyDescent="0.3">
      <c r="A3856" s="114">
        <v>45037</v>
      </c>
      <c r="B3856" s="114">
        <v>45039</v>
      </c>
      <c r="C3856" s="6">
        <v>4</v>
      </c>
      <c r="D3856" s="6">
        <v>3</v>
      </c>
      <c r="E3856" s="115">
        <v>2023</v>
      </c>
      <c r="F3856" s="15" t="s">
        <v>22</v>
      </c>
      <c r="G3856" s="117" t="s">
        <v>6256</v>
      </c>
      <c r="H3856" s="9" t="s">
        <v>78</v>
      </c>
      <c r="I3856" s="117" t="s">
        <v>6092</v>
      </c>
      <c r="J3856" s="192" t="s">
        <v>6093</v>
      </c>
      <c r="K3856" s="117">
        <v>0</v>
      </c>
      <c r="L3856" s="256">
        <v>24</v>
      </c>
      <c r="M3856" s="117">
        <v>6</v>
      </c>
      <c r="N3856" s="117">
        <v>0</v>
      </c>
      <c r="O3856" s="117">
        <v>0</v>
      </c>
      <c r="P3856" s="117">
        <v>0</v>
      </c>
      <c r="Q3856" s="37">
        <v>0</v>
      </c>
      <c r="R3856" s="193">
        <v>1.8634000000000001E-3</v>
      </c>
      <c r="S3856" s="194" t="s">
        <v>2777</v>
      </c>
      <c r="T3856" s="257">
        <f t="shared" si="127"/>
        <v>24</v>
      </c>
      <c r="U3856" s="257">
        <f t="shared" si="128"/>
        <v>6</v>
      </c>
      <c r="V3856">
        <v>1</v>
      </c>
      <c r="W3856">
        <v>1</v>
      </c>
    </row>
    <row r="3857" spans="1:23" ht="179.4" x14ac:dyDescent="0.3">
      <c r="A3857" s="114">
        <v>45042</v>
      </c>
      <c r="B3857" s="114">
        <v>45043</v>
      </c>
      <c r="C3857" s="6">
        <v>4</v>
      </c>
      <c r="D3857" s="6">
        <v>2</v>
      </c>
      <c r="E3857" s="115">
        <v>2023</v>
      </c>
      <c r="F3857" s="15" t="s">
        <v>22</v>
      </c>
      <c r="G3857" s="9" t="s">
        <v>6257</v>
      </c>
      <c r="H3857" s="9" t="s">
        <v>43</v>
      </c>
      <c r="I3857" s="117" t="s">
        <v>5801</v>
      </c>
      <c r="J3857" s="192" t="s">
        <v>6094</v>
      </c>
      <c r="K3857" s="117">
        <v>0</v>
      </c>
      <c r="L3857" s="256">
        <v>13</v>
      </c>
      <c r="M3857" s="117">
        <v>0</v>
      </c>
      <c r="N3857" s="117">
        <v>0</v>
      </c>
      <c r="O3857" s="117">
        <v>0</v>
      </c>
      <c r="P3857" s="117">
        <v>0</v>
      </c>
      <c r="Q3857" s="37">
        <v>0</v>
      </c>
      <c r="R3857" s="193">
        <v>1.1979E-2</v>
      </c>
      <c r="S3857" s="194" t="s">
        <v>2777</v>
      </c>
      <c r="T3857" s="257">
        <f t="shared" si="127"/>
        <v>13</v>
      </c>
      <c r="U3857" s="257">
        <f t="shared" si="128"/>
        <v>0</v>
      </c>
      <c r="V3857">
        <v>1</v>
      </c>
      <c r="W3857">
        <v>0</v>
      </c>
    </row>
    <row r="3858" spans="1:23" ht="138" x14ac:dyDescent="0.3">
      <c r="A3858" s="114">
        <v>45050</v>
      </c>
      <c r="B3858" s="114">
        <v>45051</v>
      </c>
      <c r="C3858" s="6">
        <v>5</v>
      </c>
      <c r="D3858" s="6">
        <v>2</v>
      </c>
      <c r="E3858" s="115">
        <v>2023</v>
      </c>
      <c r="F3858" s="15" t="s">
        <v>22</v>
      </c>
      <c r="G3858" s="117" t="s">
        <v>6256</v>
      </c>
      <c r="H3858" s="9" t="s">
        <v>43</v>
      </c>
      <c r="I3858" s="117" t="s">
        <v>5101</v>
      </c>
      <c r="J3858" s="192" t="s">
        <v>6095</v>
      </c>
      <c r="K3858" s="117">
        <v>0</v>
      </c>
      <c r="L3858" s="256">
        <v>1</v>
      </c>
      <c r="M3858" s="117">
        <v>3</v>
      </c>
      <c r="N3858" s="117">
        <v>1</v>
      </c>
      <c r="O3858" s="117">
        <v>0</v>
      </c>
      <c r="P3858" s="117">
        <v>0</v>
      </c>
      <c r="Q3858" s="37">
        <v>0</v>
      </c>
      <c r="R3858" s="193">
        <v>4.0020749999999999E-3</v>
      </c>
      <c r="S3858" s="194" t="s">
        <v>2777</v>
      </c>
      <c r="T3858" s="257">
        <f t="shared" si="127"/>
        <v>1</v>
      </c>
      <c r="U3858" s="257">
        <f t="shared" si="128"/>
        <v>4</v>
      </c>
      <c r="V3858">
        <v>1</v>
      </c>
      <c r="W3858">
        <v>1</v>
      </c>
    </row>
    <row r="3859" spans="1:23" ht="331.2" x14ac:dyDescent="0.3">
      <c r="A3859" s="114">
        <v>45056</v>
      </c>
      <c r="B3859" s="114">
        <v>45057</v>
      </c>
      <c r="C3859" s="6">
        <v>5</v>
      </c>
      <c r="D3859" s="6">
        <v>2</v>
      </c>
      <c r="E3859" s="115">
        <v>2023</v>
      </c>
      <c r="F3859" s="15" t="s">
        <v>22</v>
      </c>
      <c r="G3859" s="117" t="s">
        <v>6256</v>
      </c>
      <c r="H3859" s="9" t="s">
        <v>118</v>
      </c>
      <c r="I3859" s="117" t="s">
        <v>6068</v>
      </c>
      <c r="J3859" s="192" t="s">
        <v>6096</v>
      </c>
      <c r="K3859" s="117">
        <v>0</v>
      </c>
      <c r="L3859" s="256">
        <v>12</v>
      </c>
      <c r="M3859" s="117">
        <v>3</v>
      </c>
      <c r="N3859" s="117">
        <v>0</v>
      </c>
      <c r="O3859" s="117">
        <v>0</v>
      </c>
      <c r="P3859" s="117">
        <v>0</v>
      </c>
      <c r="Q3859" s="37">
        <v>0</v>
      </c>
      <c r="R3859" s="193">
        <v>4.0020749999999999E-3</v>
      </c>
      <c r="S3859" s="194" t="s">
        <v>2777</v>
      </c>
      <c r="T3859" s="257">
        <f t="shared" si="127"/>
        <v>12</v>
      </c>
      <c r="U3859" s="257">
        <f t="shared" si="128"/>
        <v>3</v>
      </c>
      <c r="V3859">
        <v>1</v>
      </c>
      <c r="W3859">
        <v>1</v>
      </c>
    </row>
    <row r="3860" spans="1:23" ht="138" x14ac:dyDescent="0.3">
      <c r="A3860" s="114">
        <v>45057</v>
      </c>
      <c r="B3860" s="114">
        <v>45058</v>
      </c>
      <c r="C3860" s="6">
        <v>5</v>
      </c>
      <c r="D3860" s="6">
        <v>2</v>
      </c>
      <c r="E3860" s="115">
        <v>2023</v>
      </c>
      <c r="F3860" s="15" t="s">
        <v>22</v>
      </c>
      <c r="G3860" s="117" t="s">
        <v>6256</v>
      </c>
      <c r="H3860" s="9" t="s">
        <v>174</v>
      </c>
      <c r="I3860" s="117" t="s">
        <v>6097</v>
      </c>
      <c r="J3860" s="192" t="s">
        <v>6098</v>
      </c>
      <c r="K3860" s="117">
        <v>0</v>
      </c>
      <c r="L3860" s="256">
        <f>(44*4)*1</f>
        <v>176</v>
      </c>
      <c r="M3860" s="117">
        <v>44</v>
      </c>
      <c r="N3860" s="117">
        <v>0</v>
      </c>
      <c r="O3860" s="117">
        <v>0</v>
      </c>
      <c r="P3860" s="117">
        <v>0</v>
      </c>
      <c r="Q3860" s="37">
        <v>0</v>
      </c>
      <c r="R3860" s="193">
        <v>2.0497400000000002E-2</v>
      </c>
      <c r="S3860" s="194" t="s">
        <v>2777</v>
      </c>
      <c r="T3860" s="257">
        <f t="shared" si="127"/>
        <v>176</v>
      </c>
      <c r="U3860" s="257">
        <f t="shared" si="128"/>
        <v>44</v>
      </c>
      <c r="V3860">
        <v>1</v>
      </c>
      <c r="W3860">
        <v>1</v>
      </c>
    </row>
    <row r="3861" spans="1:23" ht="317.39999999999998" x14ac:dyDescent="0.3">
      <c r="A3861" s="114">
        <v>45060</v>
      </c>
      <c r="B3861" s="114">
        <v>45061</v>
      </c>
      <c r="C3861" s="6">
        <v>5</v>
      </c>
      <c r="D3861" s="6">
        <v>2</v>
      </c>
      <c r="E3861" s="115">
        <v>2023</v>
      </c>
      <c r="F3861" s="15" t="s">
        <v>22</v>
      </c>
      <c r="G3861" s="117" t="s">
        <v>6256</v>
      </c>
      <c r="H3861" s="9" t="s">
        <v>34</v>
      </c>
      <c r="I3861" s="117" t="s">
        <v>2051</v>
      </c>
      <c r="J3861" s="192" t="s">
        <v>6099</v>
      </c>
      <c r="K3861" s="117">
        <v>0</v>
      </c>
      <c r="L3861" s="256">
        <v>120</v>
      </c>
      <c r="M3861" s="117">
        <v>30</v>
      </c>
      <c r="N3861" s="117">
        <v>0</v>
      </c>
      <c r="O3861" s="117">
        <v>0</v>
      </c>
      <c r="P3861" s="117">
        <v>0</v>
      </c>
      <c r="Q3861" s="37">
        <v>0</v>
      </c>
      <c r="R3861" s="193">
        <v>1.5307407500000001</v>
      </c>
      <c r="S3861" s="194" t="s">
        <v>2777</v>
      </c>
      <c r="T3861" s="257">
        <f t="shared" si="127"/>
        <v>120</v>
      </c>
      <c r="U3861" s="257">
        <f t="shared" si="128"/>
        <v>30</v>
      </c>
      <c r="V3861">
        <v>1</v>
      </c>
      <c r="W3861">
        <v>1</v>
      </c>
    </row>
    <row r="3862" spans="1:23" ht="124.2" x14ac:dyDescent="0.3">
      <c r="A3862" s="114">
        <v>45066</v>
      </c>
      <c r="B3862" s="114">
        <v>45067</v>
      </c>
      <c r="C3862" s="6">
        <v>5</v>
      </c>
      <c r="D3862" s="6">
        <v>2</v>
      </c>
      <c r="E3862" s="115">
        <v>2023</v>
      </c>
      <c r="F3862" s="15" t="s">
        <v>22</v>
      </c>
      <c r="G3862" s="117" t="s">
        <v>6256</v>
      </c>
      <c r="H3862" s="9" t="s">
        <v>66</v>
      </c>
      <c r="I3862" s="117" t="s">
        <v>6100</v>
      </c>
      <c r="J3862" s="192" t="s">
        <v>6101</v>
      </c>
      <c r="K3862" s="117">
        <v>0</v>
      </c>
      <c r="L3862" s="256">
        <f>(15*4)*1</f>
        <v>60</v>
      </c>
      <c r="M3862" s="115">
        <v>15</v>
      </c>
      <c r="N3862" s="117">
        <v>0</v>
      </c>
      <c r="O3862" s="117">
        <v>0</v>
      </c>
      <c r="P3862" s="117">
        <v>0</v>
      </c>
      <c r="Q3862" s="37">
        <v>0</v>
      </c>
      <c r="R3862" s="193">
        <v>2.0010375E-2</v>
      </c>
      <c r="S3862" s="194" t="s">
        <v>2777</v>
      </c>
      <c r="T3862" s="257">
        <f t="shared" si="127"/>
        <v>60</v>
      </c>
      <c r="U3862" s="257">
        <f t="shared" si="128"/>
        <v>15</v>
      </c>
      <c r="V3862">
        <v>1</v>
      </c>
      <c r="W3862">
        <v>1</v>
      </c>
    </row>
    <row r="3863" spans="1:23" ht="358.8" x14ac:dyDescent="0.3">
      <c r="A3863" s="114">
        <v>45062</v>
      </c>
      <c r="B3863" s="114">
        <v>45063</v>
      </c>
      <c r="C3863" s="6">
        <v>5</v>
      </c>
      <c r="D3863" s="6">
        <v>2</v>
      </c>
      <c r="E3863" s="115">
        <v>2023</v>
      </c>
      <c r="F3863" s="15" t="s">
        <v>22</v>
      </c>
      <c r="G3863" s="117" t="s">
        <v>6256</v>
      </c>
      <c r="H3863" s="9" t="s">
        <v>37</v>
      </c>
      <c r="I3863" s="117" t="s">
        <v>223</v>
      </c>
      <c r="J3863" s="192" t="s">
        <v>6102</v>
      </c>
      <c r="K3863" s="117">
        <v>1</v>
      </c>
      <c r="L3863" s="256">
        <v>23</v>
      </c>
      <c r="M3863" s="117">
        <v>5</v>
      </c>
      <c r="N3863" s="117">
        <v>0</v>
      </c>
      <c r="O3863" s="117">
        <v>0</v>
      </c>
      <c r="P3863" s="117">
        <v>0</v>
      </c>
      <c r="Q3863" s="37">
        <v>0</v>
      </c>
      <c r="R3863" s="193">
        <v>4.0910099999999998E-2</v>
      </c>
      <c r="S3863" s="194" t="s">
        <v>2777</v>
      </c>
      <c r="T3863" s="257">
        <f t="shared" si="127"/>
        <v>24</v>
      </c>
      <c r="U3863" s="257">
        <f t="shared" si="128"/>
        <v>5</v>
      </c>
      <c r="V3863">
        <v>1</v>
      </c>
      <c r="W3863">
        <v>1</v>
      </c>
    </row>
    <row r="3864" spans="1:23" ht="165.6" x14ac:dyDescent="0.3">
      <c r="A3864" s="114">
        <v>45068</v>
      </c>
      <c r="B3864" s="114">
        <v>45068</v>
      </c>
      <c r="C3864" s="6">
        <v>5</v>
      </c>
      <c r="D3864" s="6">
        <v>1</v>
      </c>
      <c r="E3864" s="115">
        <v>2023</v>
      </c>
      <c r="F3864" s="15" t="s">
        <v>22</v>
      </c>
      <c r="G3864" s="117" t="s">
        <v>6256</v>
      </c>
      <c r="H3864" s="9" t="s">
        <v>112</v>
      </c>
      <c r="I3864" s="117" t="s">
        <v>1268</v>
      </c>
      <c r="J3864" s="192" t="s">
        <v>6103</v>
      </c>
      <c r="K3864" s="117">
        <v>0</v>
      </c>
      <c r="L3864" s="256">
        <f>(4*8)*1</f>
        <v>32</v>
      </c>
      <c r="M3864" s="117">
        <v>8</v>
      </c>
      <c r="N3864" s="117">
        <v>0</v>
      </c>
      <c r="O3864" s="117">
        <v>0</v>
      </c>
      <c r="P3864" s="117">
        <v>0</v>
      </c>
      <c r="Q3864" s="37">
        <v>0</v>
      </c>
      <c r="R3864" s="193">
        <v>1.0672200000000001E-2</v>
      </c>
      <c r="S3864" s="194" t="s">
        <v>2777</v>
      </c>
      <c r="T3864" s="257">
        <f t="shared" si="127"/>
        <v>32</v>
      </c>
      <c r="U3864" s="257">
        <f t="shared" si="128"/>
        <v>8</v>
      </c>
      <c r="V3864">
        <v>1</v>
      </c>
      <c r="W3864">
        <v>1</v>
      </c>
    </row>
    <row r="3865" spans="1:23" ht="234.6" x14ac:dyDescent="0.3">
      <c r="A3865" s="114">
        <v>45066</v>
      </c>
      <c r="B3865" s="114">
        <v>45067</v>
      </c>
      <c r="C3865" s="6">
        <v>5</v>
      </c>
      <c r="D3865" s="6">
        <v>2</v>
      </c>
      <c r="E3865" s="115">
        <v>2023</v>
      </c>
      <c r="F3865" s="15" t="s">
        <v>22</v>
      </c>
      <c r="G3865" s="117" t="s">
        <v>6256</v>
      </c>
      <c r="H3865" s="9" t="s">
        <v>57</v>
      </c>
      <c r="I3865" s="117" t="s">
        <v>6104</v>
      </c>
      <c r="J3865" s="192" t="s">
        <v>6105</v>
      </c>
      <c r="K3865" s="117">
        <v>0</v>
      </c>
      <c r="L3865" s="256">
        <v>33</v>
      </c>
      <c r="M3865" s="117">
        <v>8</v>
      </c>
      <c r="N3865" s="117">
        <v>0</v>
      </c>
      <c r="O3865" s="117">
        <v>0</v>
      </c>
      <c r="P3865" s="117">
        <v>0</v>
      </c>
      <c r="Q3865" s="37">
        <v>0</v>
      </c>
      <c r="R3865" s="193">
        <v>0.2236322</v>
      </c>
      <c r="S3865" s="194" t="s">
        <v>2777</v>
      </c>
      <c r="T3865" s="257">
        <f t="shared" si="127"/>
        <v>33</v>
      </c>
      <c r="U3865" s="257">
        <f t="shared" si="128"/>
        <v>8</v>
      </c>
      <c r="V3865">
        <v>1</v>
      </c>
      <c r="W3865">
        <v>1</v>
      </c>
    </row>
    <row r="3866" spans="1:23" ht="331.2" x14ac:dyDescent="0.3">
      <c r="A3866" s="114">
        <v>45070</v>
      </c>
      <c r="B3866" s="114">
        <v>45071</v>
      </c>
      <c r="C3866" s="6">
        <v>5</v>
      </c>
      <c r="D3866" s="6">
        <v>2</v>
      </c>
      <c r="E3866" s="115">
        <v>2023</v>
      </c>
      <c r="F3866" s="15" t="s">
        <v>22</v>
      </c>
      <c r="G3866" s="9" t="s">
        <v>6257</v>
      </c>
      <c r="H3866" s="9" t="s">
        <v>69</v>
      </c>
      <c r="I3866" s="117" t="s">
        <v>667</v>
      </c>
      <c r="J3866" s="192" t="s">
        <v>6106</v>
      </c>
      <c r="K3866" s="117">
        <v>2</v>
      </c>
      <c r="L3866" s="256">
        <v>6</v>
      </c>
      <c r="M3866" s="117">
        <v>0</v>
      </c>
      <c r="N3866" s="117">
        <v>0</v>
      </c>
      <c r="O3866" s="117">
        <v>0</v>
      </c>
      <c r="P3866" s="117">
        <v>0</v>
      </c>
      <c r="Q3866" s="37">
        <v>0</v>
      </c>
      <c r="R3866" s="193">
        <v>4.7916E-3</v>
      </c>
      <c r="S3866" s="194" t="s">
        <v>2777</v>
      </c>
      <c r="T3866" s="257">
        <f t="shared" si="127"/>
        <v>8</v>
      </c>
      <c r="U3866" s="257">
        <f t="shared" si="128"/>
        <v>0</v>
      </c>
      <c r="V3866">
        <v>1</v>
      </c>
      <c r="W3866">
        <v>0</v>
      </c>
    </row>
    <row r="3867" spans="1:23" ht="96.6" x14ac:dyDescent="0.3">
      <c r="A3867" s="114">
        <v>45074</v>
      </c>
      <c r="B3867" s="114">
        <v>45074</v>
      </c>
      <c r="C3867" s="6">
        <v>5</v>
      </c>
      <c r="D3867" s="6">
        <v>1</v>
      </c>
      <c r="E3867" s="115">
        <v>2023</v>
      </c>
      <c r="F3867" s="15" t="s">
        <v>22</v>
      </c>
      <c r="G3867" s="117" t="s">
        <v>6256</v>
      </c>
      <c r="H3867" s="9" t="s">
        <v>34</v>
      </c>
      <c r="I3867" s="117" t="s">
        <v>1040</v>
      </c>
      <c r="J3867" s="192" t="s">
        <v>6107</v>
      </c>
      <c r="K3867" s="117">
        <v>0</v>
      </c>
      <c r="L3867" s="256">
        <v>2</v>
      </c>
      <c r="M3867" s="117">
        <v>0</v>
      </c>
      <c r="N3867" s="117">
        <v>0</v>
      </c>
      <c r="O3867" s="117">
        <v>0</v>
      </c>
      <c r="P3867" s="117">
        <v>0</v>
      </c>
      <c r="Q3867" s="37">
        <v>0</v>
      </c>
      <c r="R3867" s="193">
        <v>2.3958E-3</v>
      </c>
      <c r="S3867" s="194" t="s">
        <v>2777</v>
      </c>
      <c r="T3867" s="257">
        <f t="shared" si="127"/>
        <v>2</v>
      </c>
      <c r="U3867" s="257">
        <f t="shared" si="128"/>
        <v>0</v>
      </c>
      <c r="V3867">
        <v>1</v>
      </c>
      <c r="W3867">
        <v>0</v>
      </c>
    </row>
    <row r="3868" spans="1:23" ht="248.4" x14ac:dyDescent="0.3">
      <c r="A3868" s="114">
        <v>45077</v>
      </c>
      <c r="B3868" s="114">
        <v>45078</v>
      </c>
      <c r="C3868" s="6">
        <v>5</v>
      </c>
      <c r="D3868" s="6">
        <v>2</v>
      </c>
      <c r="E3868" s="115">
        <v>2023</v>
      </c>
      <c r="F3868" s="15" t="s">
        <v>22</v>
      </c>
      <c r="G3868" s="117" t="s">
        <v>6256</v>
      </c>
      <c r="H3868" s="9" t="s">
        <v>64</v>
      </c>
      <c r="I3868" s="117" t="s">
        <v>6108</v>
      </c>
      <c r="J3868" s="192" t="s">
        <v>6109</v>
      </c>
      <c r="K3868" s="117">
        <v>0</v>
      </c>
      <c r="L3868" s="256">
        <v>12</v>
      </c>
      <c r="M3868" s="117">
        <v>3</v>
      </c>
      <c r="N3868" s="117">
        <v>0</v>
      </c>
      <c r="O3868" s="117">
        <v>0</v>
      </c>
      <c r="P3868" s="117">
        <v>0</v>
      </c>
      <c r="Q3868" s="37">
        <v>0</v>
      </c>
      <c r="R3868" s="193">
        <v>1.3975500000000002E-3</v>
      </c>
      <c r="S3868" s="194" t="s">
        <v>2777</v>
      </c>
      <c r="T3868" s="257">
        <f t="shared" si="127"/>
        <v>12</v>
      </c>
      <c r="U3868" s="257">
        <f t="shared" si="128"/>
        <v>3</v>
      </c>
      <c r="V3868">
        <v>1</v>
      </c>
      <c r="W3868">
        <v>1</v>
      </c>
    </row>
    <row r="3869" spans="1:23" ht="289.8" x14ac:dyDescent="0.3">
      <c r="A3869" s="114">
        <v>45079</v>
      </c>
      <c r="B3869" s="114">
        <v>45080</v>
      </c>
      <c r="C3869" s="6">
        <v>6</v>
      </c>
      <c r="D3869" s="6">
        <v>2</v>
      </c>
      <c r="E3869" s="115">
        <v>2023</v>
      </c>
      <c r="F3869" s="15" t="s">
        <v>22</v>
      </c>
      <c r="G3869" s="117" t="s">
        <v>6256</v>
      </c>
      <c r="H3869" s="9" t="s">
        <v>174</v>
      </c>
      <c r="I3869" s="117" t="s">
        <v>6110</v>
      </c>
      <c r="J3869" s="192" t="s">
        <v>6111</v>
      </c>
      <c r="K3869" s="117">
        <v>0</v>
      </c>
      <c r="L3869" s="256">
        <f>(37*4)*1</f>
        <v>148</v>
      </c>
      <c r="M3869" s="117">
        <v>37</v>
      </c>
      <c r="N3869" s="117">
        <v>0</v>
      </c>
      <c r="O3869" s="117">
        <v>0</v>
      </c>
      <c r="P3869" s="117">
        <v>0</v>
      </c>
      <c r="Q3869" s="37">
        <v>0</v>
      </c>
      <c r="R3869" s="193">
        <v>1.33402537E-3</v>
      </c>
      <c r="S3869" s="194" t="s">
        <v>2777</v>
      </c>
      <c r="T3869" s="257">
        <f t="shared" si="127"/>
        <v>148</v>
      </c>
      <c r="U3869" s="257">
        <f t="shared" si="128"/>
        <v>37</v>
      </c>
      <c r="V3869">
        <v>1</v>
      </c>
      <c r="W3869">
        <v>1</v>
      </c>
    </row>
    <row r="3870" spans="1:23" ht="409.6" x14ac:dyDescent="0.3">
      <c r="A3870" s="114">
        <v>45080</v>
      </c>
      <c r="B3870" s="114">
        <v>45081</v>
      </c>
      <c r="C3870" s="6">
        <v>6</v>
      </c>
      <c r="D3870" s="6">
        <v>2</v>
      </c>
      <c r="E3870" s="115">
        <v>2023</v>
      </c>
      <c r="F3870" s="15" t="s">
        <v>22</v>
      </c>
      <c r="G3870" s="117" t="s">
        <v>6256</v>
      </c>
      <c r="H3870" s="9" t="s">
        <v>64</v>
      </c>
      <c r="I3870" s="117" t="s">
        <v>6112</v>
      </c>
      <c r="J3870" s="192" t="s">
        <v>6113</v>
      </c>
      <c r="K3870" s="117">
        <v>1</v>
      </c>
      <c r="L3870" s="256">
        <v>13</v>
      </c>
      <c r="M3870" s="117">
        <v>3</v>
      </c>
      <c r="N3870" s="117">
        <v>0</v>
      </c>
      <c r="O3870" s="117">
        <v>0</v>
      </c>
      <c r="P3870" s="117">
        <v>0</v>
      </c>
      <c r="Q3870" s="37">
        <v>0</v>
      </c>
      <c r="R3870" s="193">
        <v>0.10787755</v>
      </c>
      <c r="S3870" s="194" t="s">
        <v>2777</v>
      </c>
      <c r="T3870" s="257">
        <f t="shared" si="127"/>
        <v>14</v>
      </c>
      <c r="U3870" s="257">
        <f t="shared" si="128"/>
        <v>3</v>
      </c>
      <c r="V3870">
        <v>1</v>
      </c>
      <c r="W3870">
        <v>1</v>
      </c>
    </row>
    <row r="3871" spans="1:23" ht="165.6" x14ac:dyDescent="0.3">
      <c r="A3871" s="114">
        <v>45082</v>
      </c>
      <c r="B3871" s="114">
        <v>45083</v>
      </c>
      <c r="C3871" s="6">
        <v>6</v>
      </c>
      <c r="D3871" s="6">
        <v>2</v>
      </c>
      <c r="E3871" s="115">
        <v>2023</v>
      </c>
      <c r="F3871" s="15" t="s">
        <v>22</v>
      </c>
      <c r="G3871" s="117" t="s">
        <v>6256</v>
      </c>
      <c r="H3871" s="9" t="s">
        <v>118</v>
      </c>
      <c r="I3871" s="117" t="s">
        <v>6114</v>
      </c>
      <c r="J3871" s="192" t="s">
        <v>6115</v>
      </c>
      <c r="K3871" s="117">
        <v>1</v>
      </c>
      <c r="L3871" s="256">
        <v>2</v>
      </c>
      <c r="M3871" s="117">
        <v>0</v>
      </c>
      <c r="N3871" s="117">
        <v>0</v>
      </c>
      <c r="O3871" s="117">
        <v>0</v>
      </c>
      <c r="P3871" s="117">
        <v>0</v>
      </c>
      <c r="Q3871" s="37">
        <v>0</v>
      </c>
      <c r="R3871" s="193">
        <v>0.10648000000000001</v>
      </c>
      <c r="S3871" s="194" t="s">
        <v>2777</v>
      </c>
      <c r="T3871" s="257">
        <f t="shared" si="127"/>
        <v>3</v>
      </c>
      <c r="U3871" s="257">
        <f t="shared" si="128"/>
        <v>0</v>
      </c>
      <c r="V3871">
        <v>1</v>
      </c>
      <c r="W3871">
        <v>0</v>
      </c>
    </row>
    <row r="3872" spans="1:23" ht="289.8" x14ac:dyDescent="0.3">
      <c r="A3872" s="114">
        <v>45082</v>
      </c>
      <c r="B3872" s="114">
        <v>45084</v>
      </c>
      <c r="C3872" s="6">
        <v>6</v>
      </c>
      <c r="D3872" s="6">
        <v>3</v>
      </c>
      <c r="E3872" s="115">
        <v>2023</v>
      </c>
      <c r="F3872" s="15" t="s">
        <v>22</v>
      </c>
      <c r="G3872" s="117" t="s">
        <v>6256</v>
      </c>
      <c r="H3872" s="9" t="s">
        <v>174</v>
      </c>
      <c r="I3872" s="117" t="s">
        <v>6116</v>
      </c>
      <c r="J3872" s="192" t="s">
        <v>6117</v>
      </c>
      <c r="K3872" s="117">
        <v>0</v>
      </c>
      <c r="L3872" s="256">
        <f>(290*4)*1</f>
        <v>1160</v>
      </c>
      <c r="M3872" s="117">
        <v>290</v>
      </c>
      <c r="N3872" s="117">
        <v>2</v>
      </c>
      <c r="O3872" s="117">
        <v>0</v>
      </c>
      <c r="P3872" s="117">
        <v>0</v>
      </c>
      <c r="Q3872" s="37">
        <v>0</v>
      </c>
      <c r="R3872" s="193">
        <v>0.39152575000000001</v>
      </c>
      <c r="S3872" s="194" t="s">
        <v>2777</v>
      </c>
      <c r="T3872" s="257">
        <f t="shared" si="127"/>
        <v>1160</v>
      </c>
      <c r="U3872" s="257">
        <f t="shared" si="128"/>
        <v>292</v>
      </c>
      <c r="V3872">
        <v>1</v>
      </c>
      <c r="W3872">
        <v>1</v>
      </c>
    </row>
    <row r="3873" spans="1:23" ht="179.4" x14ac:dyDescent="0.3">
      <c r="A3873" s="114">
        <v>45087</v>
      </c>
      <c r="B3873" s="114">
        <v>45088</v>
      </c>
      <c r="C3873" s="6">
        <v>6</v>
      </c>
      <c r="D3873" s="6">
        <v>2</v>
      </c>
      <c r="E3873" s="115">
        <v>2023</v>
      </c>
      <c r="F3873" s="15" t="s">
        <v>22</v>
      </c>
      <c r="G3873" s="117" t="s">
        <v>6256</v>
      </c>
      <c r="H3873" s="9" t="s">
        <v>78</v>
      </c>
      <c r="I3873" s="117" t="s">
        <v>662</v>
      </c>
      <c r="J3873" s="192" t="s">
        <v>6118</v>
      </c>
      <c r="K3873" s="117">
        <v>0</v>
      </c>
      <c r="L3873" s="256">
        <v>28</v>
      </c>
      <c r="M3873" s="117">
        <v>6</v>
      </c>
      <c r="N3873" s="117">
        <v>0</v>
      </c>
      <c r="O3873" s="117">
        <v>0</v>
      </c>
      <c r="P3873" s="117">
        <v>0</v>
      </c>
      <c r="Q3873" s="37">
        <v>0</v>
      </c>
      <c r="R3873" s="193">
        <v>7.5867000000000009E-3</v>
      </c>
      <c r="S3873" s="194" t="s">
        <v>2777</v>
      </c>
      <c r="T3873" s="257">
        <f t="shared" si="127"/>
        <v>28</v>
      </c>
      <c r="U3873" s="257">
        <f t="shared" si="128"/>
        <v>6</v>
      </c>
      <c r="V3873">
        <v>1</v>
      </c>
      <c r="W3873">
        <v>1</v>
      </c>
    </row>
    <row r="3874" spans="1:23" ht="289.8" x14ac:dyDescent="0.3">
      <c r="A3874" s="114">
        <v>45087</v>
      </c>
      <c r="B3874" s="114">
        <v>45088</v>
      </c>
      <c r="C3874" s="6">
        <v>6</v>
      </c>
      <c r="D3874" s="6">
        <v>2</v>
      </c>
      <c r="E3874" s="115">
        <v>2023</v>
      </c>
      <c r="F3874" s="15" t="s">
        <v>22</v>
      </c>
      <c r="G3874" s="117" t="s">
        <v>6256</v>
      </c>
      <c r="H3874" s="9" t="s">
        <v>61</v>
      </c>
      <c r="I3874" s="117" t="s">
        <v>6119</v>
      </c>
      <c r="J3874" s="192" t="s">
        <v>6120</v>
      </c>
      <c r="K3874" s="117">
        <v>0</v>
      </c>
      <c r="L3874" s="256">
        <v>20</v>
      </c>
      <c r="M3874" s="117">
        <v>5</v>
      </c>
      <c r="N3874" s="117">
        <v>2</v>
      </c>
      <c r="O3874" s="117">
        <v>0</v>
      </c>
      <c r="P3874" s="117">
        <v>0</v>
      </c>
      <c r="Q3874" s="37">
        <v>0</v>
      </c>
      <c r="R3874" s="193">
        <v>6.6701249999999998E-3</v>
      </c>
      <c r="S3874" s="194" t="s">
        <v>2777</v>
      </c>
      <c r="T3874" s="257">
        <f t="shared" si="127"/>
        <v>20</v>
      </c>
      <c r="U3874" s="257">
        <f t="shared" si="128"/>
        <v>7</v>
      </c>
      <c r="V3874">
        <v>1</v>
      </c>
      <c r="W3874">
        <v>1</v>
      </c>
    </row>
    <row r="3875" spans="1:23" ht="276" x14ac:dyDescent="0.3">
      <c r="A3875" s="114">
        <v>45097</v>
      </c>
      <c r="B3875" s="114">
        <v>45098</v>
      </c>
      <c r="C3875" s="6">
        <v>6</v>
      </c>
      <c r="D3875" s="6">
        <v>2</v>
      </c>
      <c r="E3875" s="115">
        <v>2023</v>
      </c>
      <c r="F3875" s="15" t="s">
        <v>22</v>
      </c>
      <c r="G3875" s="117" t="s">
        <v>6256</v>
      </c>
      <c r="H3875" s="9" t="s">
        <v>31</v>
      </c>
      <c r="I3875" s="117" t="s">
        <v>196</v>
      </c>
      <c r="J3875" s="192" t="s">
        <v>6121</v>
      </c>
      <c r="K3875" s="117">
        <v>0</v>
      </c>
      <c r="L3875" s="256">
        <v>80</v>
      </c>
      <c r="M3875" s="117">
        <v>20</v>
      </c>
      <c r="N3875" s="117">
        <v>0</v>
      </c>
      <c r="O3875" s="117">
        <v>0</v>
      </c>
      <c r="P3875" s="117">
        <v>0</v>
      </c>
      <c r="Q3875" s="37">
        <v>0</v>
      </c>
      <c r="R3875" s="193">
        <v>2.6680499999999999E-2</v>
      </c>
      <c r="S3875" s="194" t="s">
        <v>2777</v>
      </c>
      <c r="T3875" s="257">
        <f t="shared" si="127"/>
        <v>80</v>
      </c>
      <c r="U3875" s="257">
        <f t="shared" si="128"/>
        <v>20</v>
      </c>
      <c r="V3875">
        <v>1</v>
      </c>
      <c r="W3875">
        <v>1</v>
      </c>
    </row>
    <row r="3876" spans="1:23" ht="276" x14ac:dyDescent="0.3">
      <c r="A3876" s="114">
        <v>45102</v>
      </c>
      <c r="B3876" s="114">
        <v>45103</v>
      </c>
      <c r="C3876" s="6">
        <v>6</v>
      </c>
      <c r="D3876" s="6">
        <v>2</v>
      </c>
      <c r="E3876" s="115">
        <v>2023</v>
      </c>
      <c r="F3876" s="15" t="s">
        <v>22</v>
      </c>
      <c r="G3876" s="117" t="s">
        <v>6256</v>
      </c>
      <c r="H3876" s="17" t="s">
        <v>565</v>
      </c>
      <c r="I3876" s="117" t="s">
        <v>6122</v>
      </c>
      <c r="J3876" s="192" t="s">
        <v>6123</v>
      </c>
      <c r="K3876" s="117">
        <v>0</v>
      </c>
      <c r="L3876" s="256">
        <v>5</v>
      </c>
      <c r="M3876" s="117">
        <v>1</v>
      </c>
      <c r="N3876" s="117">
        <v>0</v>
      </c>
      <c r="O3876" s="117">
        <v>0</v>
      </c>
      <c r="P3876" s="117">
        <v>0</v>
      </c>
      <c r="Q3876" s="37">
        <v>0</v>
      </c>
      <c r="R3876" s="193">
        <v>9.7522370000000011E-2</v>
      </c>
      <c r="S3876" s="194" t="s">
        <v>2777</v>
      </c>
      <c r="T3876" s="257">
        <f t="shared" si="127"/>
        <v>5</v>
      </c>
      <c r="U3876" s="257">
        <f t="shared" si="128"/>
        <v>1</v>
      </c>
      <c r="V3876">
        <v>1</v>
      </c>
      <c r="W3876">
        <v>1</v>
      </c>
    </row>
    <row r="3877" spans="1:23" ht="317.39999999999998" x14ac:dyDescent="0.3">
      <c r="A3877" s="114">
        <v>45108</v>
      </c>
      <c r="B3877" s="114">
        <v>45109</v>
      </c>
      <c r="C3877" s="6">
        <v>7</v>
      </c>
      <c r="D3877" s="6">
        <v>2</v>
      </c>
      <c r="E3877" s="115">
        <v>2023</v>
      </c>
      <c r="F3877" s="15" t="s">
        <v>22</v>
      </c>
      <c r="G3877" s="117" t="s">
        <v>6256</v>
      </c>
      <c r="H3877" s="9" t="s">
        <v>121</v>
      </c>
      <c r="I3877" s="117" t="s">
        <v>2294</v>
      </c>
      <c r="J3877" s="192" t="s">
        <v>6124</v>
      </c>
      <c r="K3877" s="117">
        <v>0</v>
      </c>
      <c r="L3877" s="256">
        <f>(110*4)*1</f>
        <v>440</v>
      </c>
      <c r="M3877" s="117">
        <v>110</v>
      </c>
      <c r="N3877" s="117">
        <v>0</v>
      </c>
      <c r="O3877" s="117">
        <v>0</v>
      </c>
      <c r="P3877" s="117">
        <v>0</v>
      </c>
      <c r="Q3877" s="37">
        <v>0</v>
      </c>
      <c r="R3877" s="193">
        <v>0.14674275000000001</v>
      </c>
      <c r="S3877" s="194" t="s">
        <v>2777</v>
      </c>
      <c r="T3877" s="257">
        <f t="shared" si="127"/>
        <v>440</v>
      </c>
      <c r="U3877" s="257">
        <f t="shared" si="128"/>
        <v>110</v>
      </c>
      <c r="V3877">
        <v>1</v>
      </c>
      <c r="W3877">
        <v>1</v>
      </c>
    </row>
    <row r="3878" spans="1:23" ht="96.6" x14ac:dyDescent="0.3">
      <c r="A3878" s="114">
        <v>45113</v>
      </c>
      <c r="B3878" s="114">
        <v>45114</v>
      </c>
      <c r="C3878" s="6">
        <v>7</v>
      </c>
      <c r="D3878" s="6">
        <v>2</v>
      </c>
      <c r="E3878" s="115">
        <v>2023</v>
      </c>
      <c r="F3878" s="15" t="s">
        <v>22</v>
      </c>
      <c r="G3878" s="117" t="s">
        <v>6256</v>
      </c>
      <c r="H3878" s="9" t="s">
        <v>57</v>
      </c>
      <c r="I3878" s="117" t="s">
        <v>1270</v>
      </c>
      <c r="J3878" s="192" t="s">
        <v>6125</v>
      </c>
      <c r="K3878" s="117">
        <v>1</v>
      </c>
      <c r="L3878" s="256">
        <v>1</v>
      </c>
      <c r="M3878" s="117">
        <v>0</v>
      </c>
      <c r="N3878" s="117">
        <v>0</v>
      </c>
      <c r="O3878" s="117">
        <v>0</v>
      </c>
      <c r="P3878" s="117">
        <v>0</v>
      </c>
      <c r="Q3878" s="37">
        <v>0</v>
      </c>
      <c r="R3878" s="193">
        <v>0</v>
      </c>
      <c r="S3878" s="194" t="s">
        <v>2777</v>
      </c>
      <c r="T3878" s="257">
        <f t="shared" si="127"/>
        <v>2</v>
      </c>
      <c r="U3878" s="257">
        <f t="shared" si="128"/>
        <v>0</v>
      </c>
      <c r="V3878">
        <v>1</v>
      </c>
      <c r="W3878">
        <v>0</v>
      </c>
    </row>
    <row r="3879" spans="1:23" ht="234.6" x14ac:dyDescent="0.3">
      <c r="A3879" s="114">
        <v>45116</v>
      </c>
      <c r="B3879" s="114">
        <v>45117</v>
      </c>
      <c r="C3879" s="6">
        <v>7</v>
      </c>
      <c r="D3879" s="6">
        <v>2</v>
      </c>
      <c r="E3879" s="115">
        <v>2023</v>
      </c>
      <c r="F3879" s="15" t="s">
        <v>22</v>
      </c>
      <c r="G3879" s="117" t="s">
        <v>6256</v>
      </c>
      <c r="H3879" s="9" t="s">
        <v>31</v>
      </c>
      <c r="I3879" s="117" t="s">
        <v>6126</v>
      </c>
      <c r="J3879" s="192" t="s">
        <v>6127</v>
      </c>
      <c r="K3879" s="117">
        <v>0</v>
      </c>
      <c r="L3879" s="256">
        <v>47</v>
      </c>
      <c r="M3879" s="117">
        <v>8</v>
      </c>
      <c r="N3879" s="117">
        <v>0</v>
      </c>
      <c r="O3879" s="117">
        <v>0</v>
      </c>
      <c r="P3879" s="117">
        <v>0</v>
      </c>
      <c r="Q3879" s="37">
        <v>0</v>
      </c>
      <c r="R3879" s="193">
        <v>1.0672200000000001E-2</v>
      </c>
      <c r="S3879" s="194" t="s">
        <v>2777</v>
      </c>
      <c r="T3879" s="257">
        <f t="shared" si="127"/>
        <v>47</v>
      </c>
      <c r="U3879" s="257">
        <f t="shared" si="128"/>
        <v>8</v>
      </c>
      <c r="V3879">
        <v>1</v>
      </c>
      <c r="W3879">
        <v>1</v>
      </c>
    </row>
    <row r="3880" spans="1:23" ht="276" x14ac:dyDescent="0.3">
      <c r="A3880" s="114">
        <v>45130</v>
      </c>
      <c r="B3880" s="114">
        <v>45130</v>
      </c>
      <c r="C3880" s="6">
        <v>7</v>
      </c>
      <c r="D3880" s="6">
        <v>1</v>
      </c>
      <c r="E3880" s="115">
        <v>2023</v>
      </c>
      <c r="F3880" s="15" t="s">
        <v>22</v>
      </c>
      <c r="G3880" s="117" t="s">
        <v>6256</v>
      </c>
      <c r="H3880" s="9" t="s">
        <v>74</v>
      </c>
      <c r="I3880" s="117" t="s">
        <v>6128</v>
      </c>
      <c r="J3880" s="192" t="s">
        <v>6129</v>
      </c>
      <c r="K3880" s="117">
        <v>0</v>
      </c>
      <c r="L3880" s="256">
        <v>120</v>
      </c>
      <c r="M3880" s="117">
        <v>30</v>
      </c>
      <c r="N3880" s="117">
        <v>0</v>
      </c>
      <c r="O3880" s="117">
        <v>0</v>
      </c>
      <c r="P3880" s="117">
        <v>0</v>
      </c>
      <c r="Q3880" s="37">
        <v>0</v>
      </c>
      <c r="R3880" s="193">
        <v>0.22242899999999999</v>
      </c>
      <c r="S3880" s="194" t="s">
        <v>2777</v>
      </c>
      <c r="T3880" s="257">
        <f t="shared" si="127"/>
        <v>120</v>
      </c>
      <c r="U3880" s="257">
        <f t="shared" si="128"/>
        <v>30</v>
      </c>
      <c r="V3880">
        <v>1</v>
      </c>
      <c r="W3880">
        <v>1</v>
      </c>
    </row>
    <row r="3881" spans="1:23" ht="409.6" x14ac:dyDescent="0.3">
      <c r="A3881" s="114">
        <v>45128</v>
      </c>
      <c r="B3881" s="114">
        <v>45131</v>
      </c>
      <c r="C3881" s="6">
        <v>7</v>
      </c>
      <c r="D3881" s="6">
        <v>4</v>
      </c>
      <c r="E3881" s="115">
        <v>2023</v>
      </c>
      <c r="F3881" s="15" t="s">
        <v>22</v>
      </c>
      <c r="G3881" s="117" t="s">
        <v>6256</v>
      </c>
      <c r="H3881" s="9" t="s">
        <v>51</v>
      </c>
      <c r="I3881" s="117" t="s">
        <v>6130</v>
      </c>
      <c r="J3881" s="192" t="s">
        <v>6131</v>
      </c>
      <c r="K3881" s="117">
        <v>1</v>
      </c>
      <c r="L3881" s="256">
        <v>20</v>
      </c>
      <c r="M3881" s="117">
        <v>5</v>
      </c>
      <c r="N3881" s="117">
        <v>0</v>
      </c>
      <c r="O3881" s="117">
        <v>0</v>
      </c>
      <c r="P3881" s="117">
        <v>0</v>
      </c>
      <c r="Q3881" s="37">
        <v>0</v>
      </c>
      <c r="R3881" s="193">
        <v>2.1362701249999998</v>
      </c>
      <c r="S3881" s="194" t="s">
        <v>2777</v>
      </c>
      <c r="T3881" s="257">
        <f t="shared" si="127"/>
        <v>21</v>
      </c>
      <c r="U3881" s="257">
        <f t="shared" si="128"/>
        <v>5</v>
      </c>
      <c r="V3881">
        <v>1</v>
      </c>
      <c r="W3881">
        <v>1</v>
      </c>
    </row>
    <row r="3882" spans="1:23" ht="82.8" x14ac:dyDescent="0.3">
      <c r="A3882" s="114">
        <v>45129</v>
      </c>
      <c r="B3882" s="114">
        <v>45131</v>
      </c>
      <c r="C3882" s="6">
        <v>7</v>
      </c>
      <c r="D3882" s="6">
        <v>3</v>
      </c>
      <c r="E3882" s="115">
        <v>2023</v>
      </c>
      <c r="F3882" s="15" t="s">
        <v>22</v>
      </c>
      <c r="G3882" s="117" t="s">
        <v>6256</v>
      </c>
      <c r="H3882" s="9" t="s">
        <v>72</v>
      </c>
      <c r="I3882" s="117" t="s">
        <v>870</v>
      </c>
      <c r="J3882" s="192" t="s">
        <v>6132</v>
      </c>
      <c r="K3882" s="117">
        <v>0</v>
      </c>
      <c r="L3882" s="256">
        <v>7</v>
      </c>
      <c r="M3882" s="117">
        <v>0</v>
      </c>
      <c r="N3882" s="117">
        <v>0</v>
      </c>
      <c r="O3882" s="117">
        <v>0</v>
      </c>
      <c r="P3882" s="117">
        <v>0</v>
      </c>
      <c r="Q3882" s="37">
        <v>0</v>
      </c>
      <c r="R3882" s="193">
        <v>0.82553500000000002</v>
      </c>
      <c r="S3882" s="194" t="s">
        <v>2777</v>
      </c>
      <c r="T3882" s="257">
        <f t="shared" si="127"/>
        <v>7</v>
      </c>
      <c r="U3882" s="257">
        <f t="shared" si="128"/>
        <v>0</v>
      </c>
      <c r="V3882">
        <v>1</v>
      </c>
      <c r="W3882">
        <v>0</v>
      </c>
    </row>
    <row r="3883" spans="1:23" ht="386.4" x14ac:dyDescent="0.3">
      <c r="A3883" s="114">
        <v>45129</v>
      </c>
      <c r="B3883" s="114">
        <v>45131</v>
      </c>
      <c r="C3883" s="6">
        <v>7</v>
      </c>
      <c r="D3883" s="6">
        <v>3</v>
      </c>
      <c r="E3883" s="115">
        <v>2023</v>
      </c>
      <c r="F3883" s="15" t="s">
        <v>22</v>
      </c>
      <c r="G3883" s="117" t="s">
        <v>6256</v>
      </c>
      <c r="H3883" s="9" t="s">
        <v>51</v>
      </c>
      <c r="I3883" s="117" t="s">
        <v>6133</v>
      </c>
      <c r="J3883" s="192" t="s">
        <v>6134</v>
      </c>
      <c r="K3883" s="117">
        <v>1</v>
      </c>
      <c r="L3883" s="256">
        <v>7</v>
      </c>
      <c r="M3883" s="117">
        <v>0</v>
      </c>
      <c r="N3883" s="117">
        <v>0</v>
      </c>
      <c r="O3883" s="117">
        <v>0</v>
      </c>
      <c r="P3883" s="117">
        <v>0</v>
      </c>
      <c r="Q3883" s="37">
        <v>0</v>
      </c>
      <c r="R3883" s="193">
        <v>0.74536000000000002</v>
      </c>
      <c r="S3883" s="194" t="s">
        <v>2777</v>
      </c>
      <c r="T3883" s="257">
        <f t="shared" si="127"/>
        <v>8</v>
      </c>
      <c r="U3883" s="257">
        <f t="shared" si="128"/>
        <v>0</v>
      </c>
      <c r="V3883">
        <v>1</v>
      </c>
      <c r="W3883">
        <v>0</v>
      </c>
    </row>
    <row r="3884" spans="1:23" ht="345" x14ac:dyDescent="0.3">
      <c r="A3884" s="114">
        <v>45133</v>
      </c>
      <c r="B3884" s="114">
        <v>45134</v>
      </c>
      <c r="C3884" s="6">
        <v>7</v>
      </c>
      <c r="D3884" s="6">
        <v>2</v>
      </c>
      <c r="E3884" s="115">
        <v>2023</v>
      </c>
      <c r="F3884" s="15" t="s">
        <v>22</v>
      </c>
      <c r="G3884" s="117" t="s">
        <v>6256</v>
      </c>
      <c r="H3884" s="9" t="s">
        <v>51</v>
      </c>
      <c r="I3884" s="117" t="s">
        <v>6135</v>
      </c>
      <c r="J3884" s="192" t="s">
        <v>6136</v>
      </c>
      <c r="K3884" s="117">
        <v>0</v>
      </c>
      <c r="L3884" s="256">
        <f>(122*4)*1</f>
        <v>488</v>
      </c>
      <c r="M3884" s="117">
        <v>122</v>
      </c>
      <c r="N3884" s="117">
        <v>0</v>
      </c>
      <c r="O3884" s="117">
        <v>0</v>
      </c>
      <c r="P3884" s="117">
        <v>0</v>
      </c>
      <c r="Q3884" s="37">
        <v>0</v>
      </c>
      <c r="R3884" s="193">
        <v>4.9969430499999996</v>
      </c>
      <c r="S3884" s="194" t="s">
        <v>2777</v>
      </c>
      <c r="T3884" s="257">
        <f t="shared" si="127"/>
        <v>488</v>
      </c>
      <c r="U3884" s="257">
        <f t="shared" si="128"/>
        <v>122</v>
      </c>
      <c r="V3884">
        <v>1</v>
      </c>
      <c r="W3884">
        <v>1</v>
      </c>
    </row>
    <row r="3885" spans="1:23" ht="193.2" x14ac:dyDescent="0.3">
      <c r="A3885" s="114">
        <v>45136</v>
      </c>
      <c r="B3885" s="114">
        <v>45137</v>
      </c>
      <c r="C3885" s="6">
        <v>7</v>
      </c>
      <c r="D3885" s="6">
        <v>2</v>
      </c>
      <c r="E3885" s="115">
        <v>2023</v>
      </c>
      <c r="F3885" s="15" t="s">
        <v>22</v>
      </c>
      <c r="G3885" s="117" t="s">
        <v>6256</v>
      </c>
      <c r="H3885" s="9" t="s">
        <v>43</v>
      </c>
      <c r="I3885" s="117" t="s">
        <v>3449</v>
      </c>
      <c r="J3885" s="192" t="s">
        <v>6137</v>
      </c>
      <c r="K3885" s="117">
        <v>0</v>
      </c>
      <c r="L3885" s="256">
        <v>16</v>
      </c>
      <c r="M3885" s="117">
        <v>4</v>
      </c>
      <c r="N3885" s="117">
        <v>0</v>
      </c>
      <c r="O3885" s="117">
        <v>0</v>
      </c>
      <c r="P3885" s="117">
        <v>0</v>
      </c>
      <c r="Q3885" s="37">
        <v>0</v>
      </c>
      <c r="R3885" s="193">
        <v>5.3361000000000007E-3</v>
      </c>
      <c r="S3885" s="194" t="s">
        <v>2777</v>
      </c>
      <c r="T3885" s="257">
        <f t="shared" si="127"/>
        <v>16</v>
      </c>
      <c r="U3885" s="257">
        <f t="shared" si="128"/>
        <v>4</v>
      </c>
      <c r="V3885">
        <v>1</v>
      </c>
      <c r="W3885">
        <v>1</v>
      </c>
    </row>
    <row r="3886" spans="1:23" ht="220.8" x14ac:dyDescent="0.3">
      <c r="A3886" s="114">
        <v>45136</v>
      </c>
      <c r="B3886" s="114">
        <v>45137</v>
      </c>
      <c r="C3886" s="6">
        <v>7</v>
      </c>
      <c r="D3886" s="6">
        <v>2</v>
      </c>
      <c r="E3886" s="115">
        <v>2023</v>
      </c>
      <c r="F3886" s="15" t="s">
        <v>22</v>
      </c>
      <c r="G3886" s="117" t="s">
        <v>6256</v>
      </c>
      <c r="H3886" s="9" t="s">
        <v>31</v>
      </c>
      <c r="I3886" s="117" t="s">
        <v>6138</v>
      </c>
      <c r="J3886" s="192" t="s">
        <v>6139</v>
      </c>
      <c r="K3886" s="117">
        <v>0</v>
      </c>
      <c r="L3886" s="256">
        <f>(61*4)*1</f>
        <v>244</v>
      </c>
      <c r="M3886" s="117">
        <v>61</v>
      </c>
      <c r="N3886" s="117">
        <v>0</v>
      </c>
      <c r="O3886" s="117">
        <v>0</v>
      </c>
      <c r="P3886" s="117">
        <v>0</v>
      </c>
      <c r="Q3886" s="37">
        <v>0</v>
      </c>
      <c r="R3886" s="193">
        <v>8.1375525000000004E-2</v>
      </c>
      <c r="S3886" s="194" t="s">
        <v>2777</v>
      </c>
      <c r="T3886" s="257">
        <f t="shared" si="127"/>
        <v>244</v>
      </c>
      <c r="U3886" s="257">
        <f t="shared" si="128"/>
        <v>61</v>
      </c>
      <c r="V3886">
        <v>1</v>
      </c>
      <c r="W3886">
        <v>1</v>
      </c>
    </row>
    <row r="3887" spans="1:23" ht="220.8" x14ac:dyDescent="0.3">
      <c r="A3887" s="114">
        <v>45136</v>
      </c>
      <c r="B3887" s="114">
        <v>45137</v>
      </c>
      <c r="C3887" s="6">
        <v>7</v>
      </c>
      <c r="D3887" s="6">
        <v>2</v>
      </c>
      <c r="E3887" s="115">
        <v>2023</v>
      </c>
      <c r="F3887" s="15" t="s">
        <v>22</v>
      </c>
      <c r="G3887" s="117" t="s">
        <v>6256</v>
      </c>
      <c r="H3887" s="9" t="s">
        <v>52</v>
      </c>
      <c r="I3887" s="117" t="s">
        <v>2649</v>
      </c>
      <c r="J3887" s="192" t="s">
        <v>6140</v>
      </c>
      <c r="K3887" s="117">
        <v>0</v>
      </c>
      <c r="L3887" s="256">
        <v>160</v>
      </c>
      <c r="M3887" s="117">
        <v>40</v>
      </c>
      <c r="N3887" s="117">
        <v>0</v>
      </c>
      <c r="O3887" s="117">
        <v>0</v>
      </c>
      <c r="P3887" s="117">
        <v>0</v>
      </c>
      <c r="Q3887" s="37">
        <v>0</v>
      </c>
      <c r="R3887" s="193">
        <v>0.20448697500000002</v>
      </c>
      <c r="S3887" s="194" t="s">
        <v>2777</v>
      </c>
      <c r="T3887" s="257">
        <f t="shared" si="127"/>
        <v>160</v>
      </c>
      <c r="U3887" s="257">
        <f t="shared" si="128"/>
        <v>40</v>
      </c>
      <c r="V3887">
        <v>1</v>
      </c>
      <c r="W3887">
        <v>1</v>
      </c>
    </row>
    <row r="3888" spans="1:23" ht="207" x14ac:dyDescent="0.3">
      <c r="A3888" s="114">
        <v>45137</v>
      </c>
      <c r="B3888" s="114">
        <v>45138</v>
      </c>
      <c r="C3888" s="6">
        <v>7</v>
      </c>
      <c r="D3888" s="6">
        <v>2</v>
      </c>
      <c r="E3888" s="115">
        <v>2023</v>
      </c>
      <c r="F3888" s="15" t="s">
        <v>22</v>
      </c>
      <c r="G3888" s="117" t="s">
        <v>6256</v>
      </c>
      <c r="H3888" s="9" t="s">
        <v>52</v>
      </c>
      <c r="I3888" s="117" t="s">
        <v>663</v>
      </c>
      <c r="J3888" s="192" t="s">
        <v>6141</v>
      </c>
      <c r="K3888" s="117">
        <v>0</v>
      </c>
      <c r="L3888" s="256">
        <v>31</v>
      </c>
      <c r="M3888" s="117">
        <v>10</v>
      </c>
      <c r="N3888" s="117">
        <v>0</v>
      </c>
      <c r="O3888" s="117">
        <v>0</v>
      </c>
      <c r="P3888" s="117">
        <v>1</v>
      </c>
      <c r="Q3888" s="37">
        <v>0</v>
      </c>
      <c r="R3888" s="193">
        <v>0.22630025000000001</v>
      </c>
      <c r="S3888" s="194" t="s">
        <v>2777</v>
      </c>
      <c r="T3888" s="257">
        <f t="shared" si="127"/>
        <v>31</v>
      </c>
      <c r="U3888" s="257">
        <f t="shared" si="128"/>
        <v>11</v>
      </c>
      <c r="V3888">
        <v>1</v>
      </c>
      <c r="W3888">
        <v>1</v>
      </c>
    </row>
    <row r="3889" spans="1:23" ht="317.39999999999998" x14ac:dyDescent="0.3">
      <c r="A3889" s="114">
        <v>45136</v>
      </c>
      <c r="B3889" s="114">
        <v>45138</v>
      </c>
      <c r="C3889" s="6">
        <v>7</v>
      </c>
      <c r="D3889" s="6">
        <v>3</v>
      </c>
      <c r="E3889" s="115">
        <v>2023</v>
      </c>
      <c r="F3889" s="15" t="s">
        <v>22</v>
      </c>
      <c r="G3889" s="117" t="s">
        <v>6256</v>
      </c>
      <c r="H3889" s="9" t="s">
        <v>174</v>
      </c>
      <c r="I3889" s="117" t="s">
        <v>6142</v>
      </c>
      <c r="J3889" s="192" t="s">
        <v>6143</v>
      </c>
      <c r="K3889" s="117">
        <v>0</v>
      </c>
      <c r="L3889" s="256">
        <v>133</v>
      </c>
      <c r="M3889" s="117">
        <v>1125</v>
      </c>
      <c r="N3889" s="117">
        <v>0</v>
      </c>
      <c r="O3889" s="117">
        <v>0</v>
      </c>
      <c r="P3889" s="117">
        <v>0</v>
      </c>
      <c r="Q3889" s="37">
        <v>0</v>
      </c>
      <c r="R3889" s="193">
        <v>1.5007781250000001</v>
      </c>
      <c r="S3889" s="194" t="s">
        <v>2777</v>
      </c>
      <c r="T3889" s="257">
        <f t="shared" si="127"/>
        <v>133</v>
      </c>
      <c r="U3889" s="257">
        <f t="shared" si="128"/>
        <v>1125</v>
      </c>
      <c r="V3889">
        <v>1</v>
      </c>
      <c r="W3889">
        <v>2</v>
      </c>
    </row>
    <row r="3890" spans="1:23" ht="262.2" x14ac:dyDescent="0.3">
      <c r="A3890" s="114">
        <v>45137</v>
      </c>
      <c r="B3890" s="114">
        <v>45139</v>
      </c>
      <c r="C3890" s="6">
        <v>7</v>
      </c>
      <c r="D3890" s="6">
        <v>3</v>
      </c>
      <c r="E3890" s="115">
        <v>2023</v>
      </c>
      <c r="F3890" s="15" t="s">
        <v>22</v>
      </c>
      <c r="G3890" s="117" t="s">
        <v>6256</v>
      </c>
      <c r="H3890" s="9" t="s">
        <v>174</v>
      </c>
      <c r="I3890" s="117" t="s">
        <v>6144</v>
      </c>
      <c r="J3890" s="192" t="s">
        <v>6145</v>
      </c>
      <c r="K3890" s="117">
        <v>0</v>
      </c>
      <c r="L3890" s="256">
        <f>(54*4)*1</f>
        <v>216</v>
      </c>
      <c r="M3890" s="117">
        <v>54</v>
      </c>
      <c r="N3890" s="117">
        <v>0</v>
      </c>
      <c r="O3890" s="117">
        <v>0</v>
      </c>
      <c r="P3890" s="117">
        <v>0</v>
      </c>
      <c r="Q3890" s="37">
        <v>0</v>
      </c>
      <c r="R3890" s="193">
        <v>7.203735E-2</v>
      </c>
      <c r="S3890" s="194" t="s">
        <v>2777</v>
      </c>
      <c r="T3890" s="257">
        <f t="shared" si="127"/>
        <v>216</v>
      </c>
      <c r="U3890" s="257">
        <f t="shared" si="128"/>
        <v>54</v>
      </c>
      <c r="V3890">
        <v>1</v>
      </c>
      <c r="W3890">
        <v>1</v>
      </c>
    </row>
    <row r="3891" spans="1:23" ht="409.6" x14ac:dyDescent="0.3">
      <c r="A3891" s="114">
        <v>45137</v>
      </c>
      <c r="B3891" s="114">
        <v>45139</v>
      </c>
      <c r="C3891" s="6">
        <v>7</v>
      </c>
      <c r="D3891" s="6">
        <v>3</v>
      </c>
      <c r="E3891" s="115">
        <v>2023</v>
      </c>
      <c r="F3891" s="15" t="s">
        <v>22</v>
      </c>
      <c r="G3891" s="117" t="s">
        <v>6256</v>
      </c>
      <c r="H3891" s="9" t="s">
        <v>48</v>
      </c>
      <c r="I3891" s="117" t="s">
        <v>6146</v>
      </c>
      <c r="J3891" s="192" t="s">
        <v>6147</v>
      </c>
      <c r="K3891" s="117">
        <v>0</v>
      </c>
      <c r="L3891" s="256">
        <f>(27*4)*1</f>
        <v>108</v>
      </c>
      <c r="M3891" s="117">
        <v>27</v>
      </c>
      <c r="N3891" s="117">
        <v>0</v>
      </c>
      <c r="O3891" s="117">
        <v>0</v>
      </c>
      <c r="P3891" s="117">
        <v>0</v>
      </c>
      <c r="Q3891" s="37">
        <v>0</v>
      </c>
      <c r="R3891" s="193">
        <v>0.18714465</v>
      </c>
      <c r="S3891" s="194" t="s">
        <v>2777</v>
      </c>
      <c r="T3891" s="257">
        <f t="shared" si="127"/>
        <v>108</v>
      </c>
      <c r="U3891" s="257">
        <f t="shared" si="128"/>
        <v>27</v>
      </c>
      <c r="V3891">
        <v>1</v>
      </c>
      <c r="W3891">
        <v>1</v>
      </c>
    </row>
    <row r="3892" spans="1:23" ht="69" x14ac:dyDescent="0.3">
      <c r="A3892" s="114">
        <v>45141</v>
      </c>
      <c r="B3892" s="114">
        <v>45142</v>
      </c>
      <c r="C3892" s="6">
        <v>8</v>
      </c>
      <c r="D3892" s="6">
        <v>2</v>
      </c>
      <c r="E3892" s="115">
        <v>2023</v>
      </c>
      <c r="F3892" s="15" t="s">
        <v>22</v>
      </c>
      <c r="G3892" s="117" t="s">
        <v>6256</v>
      </c>
      <c r="H3892" s="9" t="s">
        <v>174</v>
      </c>
      <c r="I3892" s="117" t="s">
        <v>6148</v>
      </c>
      <c r="J3892" s="192" t="s">
        <v>6149</v>
      </c>
      <c r="K3892" s="117">
        <v>0</v>
      </c>
      <c r="L3892" s="196">
        <v>6000</v>
      </c>
      <c r="M3892" s="117">
        <v>0</v>
      </c>
      <c r="N3892" s="117">
        <v>0</v>
      </c>
      <c r="O3892" s="117">
        <v>0</v>
      </c>
      <c r="P3892" s="117">
        <v>0</v>
      </c>
      <c r="Q3892" s="37">
        <v>0</v>
      </c>
      <c r="R3892" s="193">
        <v>537.589471</v>
      </c>
      <c r="S3892" s="194" t="s">
        <v>5775</v>
      </c>
      <c r="T3892" s="257">
        <f t="shared" si="127"/>
        <v>6000</v>
      </c>
      <c r="U3892" s="257">
        <f t="shared" si="128"/>
        <v>0</v>
      </c>
      <c r="V3892">
        <v>1</v>
      </c>
      <c r="W3892">
        <v>0</v>
      </c>
    </row>
    <row r="3893" spans="1:23" ht="69" x14ac:dyDescent="0.3">
      <c r="A3893" s="114">
        <v>45141</v>
      </c>
      <c r="B3893" s="114">
        <v>45145</v>
      </c>
      <c r="C3893" s="6">
        <v>8</v>
      </c>
      <c r="D3893" s="6">
        <v>5</v>
      </c>
      <c r="E3893" s="115">
        <v>2023</v>
      </c>
      <c r="F3893" s="7" t="s">
        <v>17</v>
      </c>
      <c r="G3893" s="8" t="s">
        <v>6261</v>
      </c>
      <c r="H3893" s="9" t="s">
        <v>174</v>
      </c>
      <c r="I3893" s="117" t="s">
        <v>6150</v>
      </c>
      <c r="J3893" s="192" t="s">
        <v>6151</v>
      </c>
      <c r="K3893" s="117">
        <v>0</v>
      </c>
      <c r="L3893" s="256">
        <v>0</v>
      </c>
      <c r="M3893" s="117">
        <v>0</v>
      </c>
      <c r="N3893" s="117">
        <v>0</v>
      </c>
      <c r="O3893" s="117">
        <v>0</v>
      </c>
      <c r="P3893" s="117">
        <v>0</v>
      </c>
      <c r="Q3893" s="37">
        <v>0</v>
      </c>
      <c r="R3893" s="193">
        <v>11.988557</v>
      </c>
      <c r="S3893" s="194" t="s">
        <v>5775</v>
      </c>
      <c r="T3893" s="257">
        <f t="shared" si="127"/>
        <v>0</v>
      </c>
      <c r="U3893" s="257">
        <f t="shared" si="128"/>
        <v>0</v>
      </c>
      <c r="V3893">
        <v>0</v>
      </c>
      <c r="W3893">
        <v>0</v>
      </c>
    </row>
    <row r="3894" spans="1:23" ht="331.2" x14ac:dyDescent="0.3">
      <c r="A3894" s="114">
        <v>45142</v>
      </c>
      <c r="B3894" s="114">
        <v>45143</v>
      </c>
      <c r="C3894" s="6">
        <v>8</v>
      </c>
      <c r="D3894" s="6">
        <v>2</v>
      </c>
      <c r="E3894" s="115">
        <v>2023</v>
      </c>
      <c r="F3894" s="15" t="s">
        <v>22</v>
      </c>
      <c r="G3894" s="117" t="s">
        <v>6256</v>
      </c>
      <c r="H3894" s="9" t="s">
        <v>64</v>
      </c>
      <c r="I3894" s="117" t="s">
        <v>6152</v>
      </c>
      <c r="J3894" s="192" t="s">
        <v>6153</v>
      </c>
      <c r="K3894" s="117">
        <v>0</v>
      </c>
      <c r="L3894" s="256">
        <f>(13*4)*1</f>
        <v>52</v>
      </c>
      <c r="M3894" s="117">
        <v>13</v>
      </c>
      <c r="N3894" s="117">
        <v>0</v>
      </c>
      <c r="O3894" s="117">
        <v>0</v>
      </c>
      <c r="P3894" s="117">
        <v>0</v>
      </c>
      <c r="Q3894" s="37">
        <v>0</v>
      </c>
      <c r="R3894" s="193">
        <v>2.7117552000000003E-2</v>
      </c>
      <c r="S3894" s="194" t="s">
        <v>2777</v>
      </c>
      <c r="T3894" s="257">
        <f t="shared" si="127"/>
        <v>52</v>
      </c>
      <c r="U3894" s="257">
        <f t="shared" si="128"/>
        <v>13</v>
      </c>
      <c r="V3894">
        <v>1</v>
      </c>
      <c r="W3894">
        <v>1</v>
      </c>
    </row>
    <row r="3895" spans="1:23" ht="207" x14ac:dyDescent="0.3">
      <c r="A3895" s="114">
        <v>45140</v>
      </c>
      <c r="B3895" s="114">
        <v>45141</v>
      </c>
      <c r="C3895" s="6">
        <v>8</v>
      </c>
      <c r="D3895" s="6">
        <v>2</v>
      </c>
      <c r="E3895" s="115">
        <v>2023</v>
      </c>
      <c r="F3895" s="15" t="s">
        <v>22</v>
      </c>
      <c r="G3895" s="117" t="s">
        <v>6256</v>
      </c>
      <c r="H3895" s="9" t="s">
        <v>52</v>
      </c>
      <c r="I3895" s="117" t="s">
        <v>126</v>
      </c>
      <c r="J3895" s="192" t="s">
        <v>6154</v>
      </c>
      <c r="K3895" s="117">
        <v>0</v>
      </c>
      <c r="L3895" s="256">
        <v>4</v>
      </c>
      <c r="M3895" s="117">
        <v>1</v>
      </c>
      <c r="N3895" s="117">
        <v>0</v>
      </c>
      <c r="O3895" s="117">
        <v>0</v>
      </c>
      <c r="P3895" s="117">
        <v>0</v>
      </c>
      <c r="Q3895" s="37">
        <v>0</v>
      </c>
      <c r="R3895" s="193">
        <v>4.5410249999999997E-3</v>
      </c>
      <c r="S3895" s="194" t="s">
        <v>2777</v>
      </c>
      <c r="T3895" s="257">
        <f t="shared" si="127"/>
        <v>4</v>
      </c>
      <c r="U3895" s="257">
        <f t="shared" si="128"/>
        <v>1</v>
      </c>
      <c r="V3895">
        <v>1</v>
      </c>
      <c r="W3895">
        <v>1</v>
      </c>
    </row>
    <row r="3896" spans="1:23" ht="248.4" x14ac:dyDescent="0.3">
      <c r="A3896" s="114">
        <v>45147</v>
      </c>
      <c r="B3896" s="114">
        <v>45147</v>
      </c>
      <c r="C3896" s="6">
        <v>8</v>
      </c>
      <c r="D3896" s="6">
        <v>1</v>
      </c>
      <c r="E3896" s="115">
        <v>2023</v>
      </c>
      <c r="F3896" s="15" t="s">
        <v>22</v>
      </c>
      <c r="G3896" s="117" t="s">
        <v>6256</v>
      </c>
      <c r="H3896" s="9" t="s">
        <v>121</v>
      </c>
      <c r="I3896" s="117" t="s">
        <v>6155</v>
      </c>
      <c r="J3896" s="192" t="s">
        <v>6156</v>
      </c>
      <c r="K3896" s="117">
        <v>0</v>
      </c>
      <c r="L3896" s="256">
        <v>20</v>
      </c>
      <c r="M3896" s="117">
        <v>15</v>
      </c>
      <c r="N3896" s="117">
        <v>0</v>
      </c>
      <c r="O3896" s="117">
        <v>0</v>
      </c>
      <c r="P3896" s="117">
        <v>0</v>
      </c>
      <c r="Q3896" s="37">
        <v>0</v>
      </c>
      <c r="R3896" s="193">
        <v>0.17113634999999999</v>
      </c>
      <c r="S3896" s="194" t="s">
        <v>2777</v>
      </c>
      <c r="T3896" s="257">
        <f t="shared" si="127"/>
        <v>20</v>
      </c>
      <c r="U3896" s="257">
        <f t="shared" si="128"/>
        <v>15</v>
      </c>
      <c r="V3896">
        <v>1</v>
      </c>
      <c r="W3896">
        <v>1</v>
      </c>
    </row>
    <row r="3897" spans="1:23" ht="317.39999999999998" x14ac:dyDescent="0.3">
      <c r="A3897" s="114">
        <v>45149</v>
      </c>
      <c r="B3897" s="114">
        <v>45150</v>
      </c>
      <c r="C3897" s="6">
        <v>8</v>
      </c>
      <c r="D3897" s="6">
        <v>2</v>
      </c>
      <c r="E3897" s="115">
        <v>2023</v>
      </c>
      <c r="F3897" s="7" t="s">
        <v>17</v>
      </c>
      <c r="G3897" s="8" t="s">
        <v>6261</v>
      </c>
      <c r="H3897" s="9" t="s">
        <v>84</v>
      </c>
      <c r="I3897" s="117" t="s">
        <v>6157</v>
      </c>
      <c r="J3897" s="192" t="s">
        <v>6158</v>
      </c>
      <c r="K3897" s="117">
        <v>0</v>
      </c>
      <c r="L3897" s="256">
        <v>5</v>
      </c>
      <c r="M3897" s="117">
        <v>2</v>
      </c>
      <c r="N3897" s="117">
        <v>1</v>
      </c>
      <c r="O3897" s="117">
        <v>0</v>
      </c>
      <c r="P3897" s="117">
        <v>0</v>
      </c>
      <c r="Q3897" s="37">
        <v>0</v>
      </c>
      <c r="R3897" s="193">
        <v>1.2882039000000001E-2</v>
      </c>
      <c r="S3897" s="194" t="s">
        <v>2777</v>
      </c>
      <c r="T3897" s="257">
        <f t="shared" si="127"/>
        <v>5</v>
      </c>
      <c r="U3897" s="257">
        <f t="shared" si="128"/>
        <v>3</v>
      </c>
      <c r="V3897">
        <v>1</v>
      </c>
      <c r="W3897">
        <v>1</v>
      </c>
    </row>
    <row r="3898" spans="1:23" ht="55.2" x14ac:dyDescent="0.3">
      <c r="A3898" s="114">
        <v>45157</v>
      </c>
      <c r="B3898" s="114">
        <v>45157</v>
      </c>
      <c r="C3898" s="6">
        <v>8</v>
      </c>
      <c r="D3898" s="6">
        <v>1</v>
      </c>
      <c r="E3898" s="115">
        <v>2023</v>
      </c>
      <c r="F3898" s="15" t="s">
        <v>22</v>
      </c>
      <c r="G3898" s="117" t="s">
        <v>6254</v>
      </c>
      <c r="H3898" s="9" t="s">
        <v>28</v>
      </c>
      <c r="I3898" s="117" t="s">
        <v>6159</v>
      </c>
      <c r="J3898" s="192" t="s">
        <v>6160</v>
      </c>
      <c r="K3898" s="117">
        <v>0</v>
      </c>
      <c r="L3898" s="256">
        <v>12000</v>
      </c>
      <c r="M3898" s="117">
        <v>0</v>
      </c>
      <c r="N3898" s="117">
        <v>0</v>
      </c>
      <c r="O3898" s="117">
        <v>0</v>
      </c>
      <c r="P3898" s="117">
        <v>0</v>
      </c>
      <c r="Q3898" s="37">
        <v>0</v>
      </c>
      <c r="R3898" s="193">
        <v>426.53</v>
      </c>
      <c r="S3898" s="194" t="s">
        <v>5775</v>
      </c>
      <c r="T3898" s="257">
        <f t="shared" si="127"/>
        <v>12000</v>
      </c>
      <c r="U3898" s="257">
        <f t="shared" si="128"/>
        <v>0</v>
      </c>
      <c r="V3898">
        <v>2</v>
      </c>
      <c r="W3898">
        <v>0</v>
      </c>
    </row>
    <row r="3899" spans="1:23" ht="124.2" x14ac:dyDescent="0.3">
      <c r="A3899" s="114">
        <v>45157</v>
      </c>
      <c r="B3899" s="114">
        <v>45162</v>
      </c>
      <c r="C3899" s="6">
        <v>8</v>
      </c>
      <c r="D3899" s="6">
        <v>6</v>
      </c>
      <c r="E3899" s="115">
        <v>2023</v>
      </c>
      <c r="F3899" s="15" t="s">
        <v>22</v>
      </c>
      <c r="G3899" s="117" t="s">
        <v>6256</v>
      </c>
      <c r="H3899" s="9" t="s">
        <v>41</v>
      </c>
      <c r="I3899" s="117" t="s">
        <v>6161</v>
      </c>
      <c r="J3899" s="192" t="s">
        <v>6162</v>
      </c>
      <c r="K3899" s="117">
        <v>0</v>
      </c>
      <c r="L3899" s="256">
        <v>20</v>
      </c>
      <c r="M3899" s="117">
        <v>2</v>
      </c>
      <c r="N3899" s="117">
        <v>0</v>
      </c>
      <c r="O3899" s="117">
        <v>0</v>
      </c>
      <c r="P3899" s="117">
        <v>0</v>
      </c>
      <c r="Q3899" s="37">
        <v>0</v>
      </c>
      <c r="R3899" s="193">
        <v>2.6680500000000004E-3</v>
      </c>
      <c r="S3899" s="194" t="s">
        <v>2777</v>
      </c>
      <c r="T3899" s="257">
        <f t="shared" si="127"/>
        <v>20</v>
      </c>
      <c r="U3899" s="257">
        <f t="shared" si="128"/>
        <v>2</v>
      </c>
      <c r="V3899">
        <v>1</v>
      </c>
      <c r="W3899">
        <v>1</v>
      </c>
    </row>
    <row r="3900" spans="1:23" ht="409.6" x14ac:dyDescent="0.3">
      <c r="A3900" s="114">
        <v>45157</v>
      </c>
      <c r="B3900" s="114">
        <v>45162</v>
      </c>
      <c r="C3900" s="6">
        <v>8</v>
      </c>
      <c r="D3900" s="6">
        <v>6</v>
      </c>
      <c r="E3900" s="115">
        <v>2023</v>
      </c>
      <c r="F3900" s="15" t="s">
        <v>22</v>
      </c>
      <c r="G3900" s="117" t="s">
        <v>6256</v>
      </c>
      <c r="H3900" s="9" t="s">
        <v>51</v>
      </c>
      <c r="I3900" s="117" t="s">
        <v>6163</v>
      </c>
      <c r="J3900" s="192" t="s">
        <v>6164</v>
      </c>
      <c r="K3900" s="117">
        <v>0</v>
      </c>
      <c r="L3900" s="256">
        <f>(9*5)*1</f>
        <v>45</v>
      </c>
      <c r="M3900" s="117">
        <v>9</v>
      </c>
      <c r="N3900" s="117">
        <v>0</v>
      </c>
      <c r="O3900" s="117">
        <v>0</v>
      </c>
      <c r="P3900" s="117">
        <v>0</v>
      </c>
      <c r="Q3900" s="37">
        <v>0</v>
      </c>
      <c r="R3900" s="193">
        <v>1.2006225000000001E-2</v>
      </c>
      <c r="S3900" s="194" t="s">
        <v>2777</v>
      </c>
      <c r="T3900" s="257">
        <f t="shared" si="127"/>
        <v>45</v>
      </c>
      <c r="U3900" s="257">
        <f t="shared" si="128"/>
        <v>9</v>
      </c>
      <c r="V3900">
        <v>1</v>
      </c>
      <c r="W3900">
        <v>1</v>
      </c>
    </row>
    <row r="3901" spans="1:23" ht="345" x14ac:dyDescent="0.3">
      <c r="A3901" s="114">
        <v>45167</v>
      </c>
      <c r="B3901" s="114">
        <v>45168</v>
      </c>
      <c r="C3901" s="6">
        <v>8</v>
      </c>
      <c r="D3901" s="6">
        <v>2</v>
      </c>
      <c r="E3901" s="115">
        <v>2023</v>
      </c>
      <c r="F3901" s="15" t="s">
        <v>22</v>
      </c>
      <c r="G3901" s="117" t="s">
        <v>6256</v>
      </c>
      <c r="H3901" s="9" t="s">
        <v>52</v>
      </c>
      <c r="I3901" s="117" t="s">
        <v>6165</v>
      </c>
      <c r="J3901" s="192" t="s">
        <v>6166</v>
      </c>
      <c r="K3901" s="117">
        <v>0</v>
      </c>
      <c r="L3901" s="256">
        <v>32</v>
      </c>
      <c r="M3901" s="117">
        <v>7</v>
      </c>
      <c r="N3901" s="117">
        <v>0</v>
      </c>
      <c r="O3901" s="117">
        <v>0</v>
      </c>
      <c r="P3901" s="117">
        <v>0</v>
      </c>
      <c r="Q3901" s="37">
        <v>0</v>
      </c>
      <c r="R3901" s="193">
        <v>9.3381750000000006E-3</v>
      </c>
      <c r="S3901" s="194" t="s">
        <v>2777</v>
      </c>
      <c r="T3901" s="257">
        <f t="shared" si="127"/>
        <v>32</v>
      </c>
      <c r="U3901" s="257">
        <f t="shared" si="128"/>
        <v>7</v>
      </c>
      <c r="V3901">
        <v>1</v>
      </c>
      <c r="W3901">
        <v>1</v>
      </c>
    </row>
    <row r="3902" spans="1:23" ht="96.6" x14ac:dyDescent="0.3">
      <c r="A3902" s="114">
        <v>45166</v>
      </c>
      <c r="B3902" s="114">
        <v>45168</v>
      </c>
      <c r="C3902" s="6">
        <v>8</v>
      </c>
      <c r="D3902" s="6">
        <v>3</v>
      </c>
      <c r="E3902" s="115">
        <v>2023</v>
      </c>
      <c r="F3902" s="15" t="s">
        <v>22</v>
      </c>
      <c r="G3902" s="117" t="s">
        <v>6256</v>
      </c>
      <c r="H3902" s="9" t="s">
        <v>174</v>
      </c>
      <c r="I3902" s="117" t="s">
        <v>6167</v>
      </c>
      <c r="J3902" s="192" t="s">
        <v>6168</v>
      </c>
      <c r="K3902" s="117">
        <v>0</v>
      </c>
      <c r="L3902" s="256">
        <v>396</v>
      </c>
      <c r="M3902" s="117">
        <v>99</v>
      </c>
      <c r="N3902" s="117">
        <v>1</v>
      </c>
      <c r="O3902" s="117">
        <v>0</v>
      </c>
      <c r="P3902" s="117">
        <v>2</v>
      </c>
      <c r="Q3902" s="37">
        <v>0</v>
      </c>
      <c r="R3902" s="193">
        <v>0.185308475</v>
      </c>
      <c r="S3902" s="194" t="s">
        <v>2777</v>
      </c>
      <c r="T3902" s="257">
        <f t="shared" si="127"/>
        <v>396</v>
      </c>
      <c r="U3902" s="257">
        <f t="shared" si="128"/>
        <v>102</v>
      </c>
      <c r="V3902">
        <v>1</v>
      </c>
      <c r="W3902">
        <v>1</v>
      </c>
    </row>
    <row r="3903" spans="1:23" ht="179.4" x14ac:dyDescent="0.3">
      <c r="A3903" s="114">
        <v>45171</v>
      </c>
      <c r="B3903" s="114">
        <v>45172</v>
      </c>
      <c r="C3903" s="6">
        <v>9</v>
      </c>
      <c r="D3903" s="6">
        <v>2</v>
      </c>
      <c r="E3903" s="115">
        <v>2023</v>
      </c>
      <c r="F3903" s="15" t="s">
        <v>22</v>
      </c>
      <c r="G3903" s="117" t="s">
        <v>6256</v>
      </c>
      <c r="H3903" s="9" t="s">
        <v>64</v>
      </c>
      <c r="I3903" s="117" t="s">
        <v>6169</v>
      </c>
      <c r="J3903" s="192" t="s">
        <v>6170</v>
      </c>
      <c r="K3903" s="117">
        <v>0</v>
      </c>
      <c r="L3903" s="256">
        <f>(21*4)*1</f>
        <v>84</v>
      </c>
      <c r="M3903" s="117">
        <v>21</v>
      </c>
      <c r="N3903" s="117">
        <v>0</v>
      </c>
      <c r="O3903" s="117">
        <v>0</v>
      </c>
      <c r="P3903" s="117">
        <v>0</v>
      </c>
      <c r="Q3903" s="37">
        <v>0</v>
      </c>
      <c r="R3903" s="193">
        <v>0.44565440850000004</v>
      </c>
      <c r="S3903" s="194" t="s">
        <v>2777</v>
      </c>
      <c r="T3903" s="257">
        <f t="shared" si="127"/>
        <v>84</v>
      </c>
      <c r="U3903" s="257">
        <f t="shared" si="128"/>
        <v>21</v>
      </c>
      <c r="V3903">
        <v>1</v>
      </c>
      <c r="W3903">
        <v>1</v>
      </c>
    </row>
    <row r="3904" spans="1:23" ht="331.2" x14ac:dyDescent="0.3">
      <c r="A3904" s="114">
        <v>45170</v>
      </c>
      <c r="B3904" s="114">
        <v>45172</v>
      </c>
      <c r="C3904" s="6">
        <v>9</v>
      </c>
      <c r="D3904" s="6">
        <v>3</v>
      </c>
      <c r="E3904" s="115">
        <v>2023</v>
      </c>
      <c r="F3904" s="15" t="s">
        <v>22</v>
      </c>
      <c r="G3904" s="117" t="s">
        <v>6256</v>
      </c>
      <c r="H3904" s="9" t="s">
        <v>27</v>
      </c>
      <c r="I3904" s="117" t="s">
        <v>652</v>
      </c>
      <c r="J3904" s="192" t="s">
        <v>6171</v>
      </c>
      <c r="K3904" s="117">
        <v>0</v>
      </c>
      <c r="L3904" s="256">
        <f>(90*4)*1</f>
        <v>360</v>
      </c>
      <c r="M3904" s="117">
        <v>90</v>
      </c>
      <c r="N3904" s="117">
        <v>0</v>
      </c>
      <c r="O3904" s="117">
        <v>0</v>
      </c>
      <c r="P3904" s="117">
        <v>0</v>
      </c>
      <c r="Q3904" s="37">
        <v>0</v>
      </c>
      <c r="R3904" s="193">
        <v>0.32851724999999998</v>
      </c>
      <c r="S3904" s="194" t="s">
        <v>2777</v>
      </c>
      <c r="T3904" s="257">
        <f t="shared" si="127"/>
        <v>360</v>
      </c>
      <c r="U3904" s="257">
        <f t="shared" si="128"/>
        <v>90</v>
      </c>
      <c r="V3904">
        <v>1</v>
      </c>
      <c r="W3904">
        <v>1</v>
      </c>
    </row>
    <row r="3905" spans="1:23" ht="386.4" x14ac:dyDescent="0.3">
      <c r="A3905" s="114">
        <v>45170</v>
      </c>
      <c r="B3905" s="114">
        <v>45172</v>
      </c>
      <c r="C3905" s="6">
        <v>9</v>
      </c>
      <c r="D3905" s="6">
        <v>3</v>
      </c>
      <c r="E3905" s="115">
        <v>2023</v>
      </c>
      <c r="F3905" s="15" t="s">
        <v>22</v>
      </c>
      <c r="G3905" s="9" t="s">
        <v>6257</v>
      </c>
      <c r="H3905" s="9" t="s">
        <v>31</v>
      </c>
      <c r="I3905" s="117" t="s">
        <v>6172</v>
      </c>
      <c r="J3905" s="192" t="s">
        <v>6173</v>
      </c>
      <c r="K3905" s="117">
        <v>0</v>
      </c>
      <c r="L3905" s="256">
        <v>24</v>
      </c>
      <c r="M3905" s="117">
        <v>6</v>
      </c>
      <c r="N3905" s="117">
        <v>0</v>
      </c>
      <c r="O3905" s="117">
        <v>0</v>
      </c>
      <c r="P3905" s="117">
        <v>0</v>
      </c>
      <c r="Q3905" s="37">
        <v>0</v>
      </c>
      <c r="R3905" s="193">
        <v>3.6632750000000001E-3</v>
      </c>
      <c r="S3905" s="194" t="s">
        <v>2777</v>
      </c>
      <c r="T3905" s="257">
        <f t="shared" si="127"/>
        <v>24</v>
      </c>
      <c r="U3905" s="257">
        <f t="shared" si="128"/>
        <v>6</v>
      </c>
      <c r="V3905">
        <v>1</v>
      </c>
      <c r="W3905">
        <v>1</v>
      </c>
    </row>
    <row r="3906" spans="1:23" ht="234.6" x14ac:dyDescent="0.3">
      <c r="A3906" s="114">
        <v>45175</v>
      </c>
      <c r="B3906" s="114">
        <v>45176</v>
      </c>
      <c r="C3906" s="6">
        <v>9</v>
      </c>
      <c r="D3906" s="6">
        <v>2</v>
      </c>
      <c r="E3906" s="115">
        <v>2023</v>
      </c>
      <c r="F3906" s="15" t="s">
        <v>22</v>
      </c>
      <c r="G3906" s="117" t="s">
        <v>6256</v>
      </c>
      <c r="H3906" s="9" t="s">
        <v>46</v>
      </c>
      <c r="I3906" s="117" t="s">
        <v>300</v>
      </c>
      <c r="J3906" s="192" t="s">
        <v>6174</v>
      </c>
      <c r="K3906" s="117">
        <v>0</v>
      </c>
      <c r="L3906" s="256">
        <v>12</v>
      </c>
      <c r="M3906" s="117">
        <v>3</v>
      </c>
      <c r="N3906" s="117">
        <v>0</v>
      </c>
      <c r="O3906" s="117">
        <v>0</v>
      </c>
      <c r="P3906" s="117">
        <v>0</v>
      </c>
      <c r="Q3906" s="37">
        <v>0</v>
      </c>
      <c r="R3906" s="193">
        <v>2.2657250000000006E-3</v>
      </c>
      <c r="S3906" s="194" t="s">
        <v>2777</v>
      </c>
      <c r="T3906" s="257">
        <f t="shared" si="127"/>
        <v>12</v>
      </c>
      <c r="U3906" s="257">
        <f t="shared" si="128"/>
        <v>3</v>
      </c>
      <c r="V3906">
        <v>1</v>
      </c>
      <c r="W3906">
        <v>1</v>
      </c>
    </row>
    <row r="3907" spans="1:23" ht="409.6" x14ac:dyDescent="0.3">
      <c r="A3907" s="114">
        <v>45185</v>
      </c>
      <c r="B3907" s="114">
        <v>45186</v>
      </c>
      <c r="C3907" s="6">
        <v>9</v>
      </c>
      <c r="D3907" s="6">
        <v>2</v>
      </c>
      <c r="E3907" s="115">
        <v>2023</v>
      </c>
      <c r="F3907" s="15" t="s">
        <v>22</v>
      </c>
      <c r="G3907" s="117" t="s">
        <v>6256</v>
      </c>
      <c r="H3907" s="9" t="s">
        <v>118</v>
      </c>
      <c r="I3907" s="117" t="s">
        <v>6175</v>
      </c>
      <c r="J3907" s="192" t="s">
        <v>6176</v>
      </c>
      <c r="K3907" s="117">
        <v>0</v>
      </c>
      <c r="L3907" s="256">
        <v>24</v>
      </c>
      <c r="M3907" s="117">
        <v>6</v>
      </c>
      <c r="N3907" s="117">
        <v>0</v>
      </c>
      <c r="O3907" s="117">
        <v>0</v>
      </c>
      <c r="P3907" s="117">
        <v>0</v>
      </c>
      <c r="Q3907" s="37">
        <v>0</v>
      </c>
      <c r="R3907" s="193">
        <v>1.28917635E-2</v>
      </c>
      <c r="S3907" s="194" t="s">
        <v>2777</v>
      </c>
      <c r="T3907" s="257">
        <f t="shared" ref="T3907:T3970" si="129">SUM(K3907:L3907)</f>
        <v>24</v>
      </c>
      <c r="U3907" s="257">
        <f t="shared" ref="U3907:U3970" si="130">SUM(M3907:P3907)</f>
        <v>6</v>
      </c>
      <c r="V3907">
        <v>1</v>
      </c>
      <c r="W3907">
        <v>1</v>
      </c>
    </row>
    <row r="3908" spans="1:23" ht="41.4" x14ac:dyDescent="0.3">
      <c r="A3908" s="114">
        <v>45187</v>
      </c>
      <c r="B3908" s="114">
        <v>45189</v>
      </c>
      <c r="C3908" s="6">
        <v>9</v>
      </c>
      <c r="D3908" s="6">
        <v>3</v>
      </c>
      <c r="E3908" s="115">
        <v>2023</v>
      </c>
      <c r="F3908" s="15" t="s">
        <v>22</v>
      </c>
      <c r="G3908" s="117" t="s">
        <v>6254</v>
      </c>
      <c r="H3908" s="9" t="s">
        <v>27</v>
      </c>
      <c r="I3908" s="117" t="s">
        <v>6177</v>
      </c>
      <c r="J3908" s="192" t="s">
        <v>6178</v>
      </c>
      <c r="K3908" s="117">
        <v>0</v>
      </c>
      <c r="L3908" s="256">
        <v>0</v>
      </c>
      <c r="M3908" s="117">
        <v>87</v>
      </c>
      <c r="N3908" s="117">
        <v>0</v>
      </c>
      <c r="O3908" s="117">
        <v>0</v>
      </c>
      <c r="P3908" s="117">
        <v>0</v>
      </c>
      <c r="Q3908" s="37">
        <v>0</v>
      </c>
      <c r="R3908" s="193">
        <v>427.36510804</v>
      </c>
      <c r="S3908" s="194" t="s">
        <v>5775</v>
      </c>
      <c r="T3908" s="257">
        <f t="shared" si="129"/>
        <v>0</v>
      </c>
      <c r="U3908" s="257">
        <f t="shared" si="130"/>
        <v>87</v>
      </c>
      <c r="V3908">
        <v>0</v>
      </c>
      <c r="W3908">
        <v>1</v>
      </c>
    </row>
    <row r="3909" spans="1:23" ht="55.2" x14ac:dyDescent="0.3">
      <c r="A3909" s="114">
        <v>45194</v>
      </c>
      <c r="B3909" s="114">
        <v>45194</v>
      </c>
      <c r="C3909" s="6">
        <v>9</v>
      </c>
      <c r="D3909" s="6">
        <v>1</v>
      </c>
      <c r="E3909" s="115">
        <v>2023</v>
      </c>
      <c r="F3909" s="7" t="s">
        <v>17</v>
      </c>
      <c r="G3909" s="8" t="s">
        <v>6261</v>
      </c>
      <c r="H3909" s="9" t="s">
        <v>51</v>
      </c>
      <c r="I3909" s="117" t="s">
        <v>6179</v>
      </c>
      <c r="J3909" s="192" t="s">
        <v>6180</v>
      </c>
      <c r="K3909" s="117">
        <v>0</v>
      </c>
      <c r="L3909" s="256">
        <v>0</v>
      </c>
      <c r="M3909" s="117">
        <v>0</v>
      </c>
      <c r="N3909" s="117">
        <v>0</v>
      </c>
      <c r="O3909" s="117">
        <v>0</v>
      </c>
      <c r="P3909" s="117">
        <v>0</v>
      </c>
      <c r="Q3909" s="37">
        <v>0</v>
      </c>
      <c r="R3909" s="193">
        <v>1.9740260000000001</v>
      </c>
      <c r="S3909" s="194" t="s">
        <v>5775</v>
      </c>
      <c r="T3909" s="257">
        <f t="shared" si="129"/>
        <v>0</v>
      </c>
      <c r="U3909" s="257">
        <f t="shared" si="130"/>
        <v>0</v>
      </c>
      <c r="V3909">
        <v>0</v>
      </c>
      <c r="W3909">
        <v>0</v>
      </c>
    </row>
    <row r="3910" spans="1:23" ht="234.6" x14ac:dyDescent="0.3">
      <c r="A3910" s="114">
        <v>45204</v>
      </c>
      <c r="B3910" s="114">
        <v>45205</v>
      </c>
      <c r="C3910" s="6">
        <v>10</v>
      </c>
      <c r="D3910" s="6">
        <v>2</v>
      </c>
      <c r="E3910" s="115">
        <v>2023</v>
      </c>
      <c r="F3910" s="15" t="s">
        <v>22</v>
      </c>
      <c r="G3910" s="117" t="s">
        <v>6256</v>
      </c>
      <c r="H3910" s="9" t="s">
        <v>37</v>
      </c>
      <c r="I3910" s="117" t="s">
        <v>6181</v>
      </c>
      <c r="J3910" s="192" t="s">
        <v>6182</v>
      </c>
      <c r="K3910" s="117">
        <v>0</v>
      </c>
      <c r="L3910" s="256">
        <v>160</v>
      </c>
      <c r="M3910" s="117">
        <v>40</v>
      </c>
      <c r="N3910" s="117">
        <v>0</v>
      </c>
      <c r="O3910" s="117">
        <v>0</v>
      </c>
      <c r="P3910" s="117">
        <v>0</v>
      </c>
      <c r="Q3910" s="37">
        <v>0</v>
      </c>
      <c r="R3910" s="193">
        <v>5.3360999999999999E-2</v>
      </c>
      <c r="S3910" s="194" t="s">
        <v>2777</v>
      </c>
      <c r="T3910" s="257">
        <f t="shared" si="129"/>
        <v>160</v>
      </c>
      <c r="U3910" s="257">
        <f t="shared" si="130"/>
        <v>40</v>
      </c>
      <c r="V3910">
        <v>1</v>
      </c>
      <c r="W3910">
        <v>1</v>
      </c>
    </row>
    <row r="3911" spans="1:23" ht="207" x14ac:dyDescent="0.3">
      <c r="A3911" s="114">
        <v>45209</v>
      </c>
      <c r="B3911" s="114">
        <v>45209</v>
      </c>
      <c r="C3911" s="6">
        <v>10</v>
      </c>
      <c r="D3911" s="6">
        <v>1</v>
      </c>
      <c r="E3911" s="115">
        <v>2023</v>
      </c>
      <c r="F3911" s="15" t="s">
        <v>22</v>
      </c>
      <c r="G3911" s="117" t="s">
        <v>6256</v>
      </c>
      <c r="H3911" s="9" t="s">
        <v>174</v>
      </c>
      <c r="I3911" s="117" t="s">
        <v>6183</v>
      </c>
      <c r="J3911" s="192" t="s">
        <v>6184</v>
      </c>
      <c r="K3911" s="117">
        <v>0</v>
      </c>
      <c r="L3911" s="256">
        <v>174</v>
      </c>
      <c r="M3911" s="117">
        <v>43</v>
      </c>
      <c r="N3911" s="117">
        <v>1</v>
      </c>
      <c r="O3911" s="117">
        <v>0</v>
      </c>
      <c r="P3911" s="117">
        <v>0</v>
      </c>
      <c r="Q3911" s="37">
        <v>0</v>
      </c>
      <c r="R3911" s="193">
        <v>6.3016799999999998E-2</v>
      </c>
      <c r="S3911" s="194" t="s">
        <v>2777</v>
      </c>
      <c r="T3911" s="257">
        <f t="shared" si="129"/>
        <v>174</v>
      </c>
      <c r="U3911" s="257">
        <f t="shared" si="130"/>
        <v>44</v>
      </c>
      <c r="V3911">
        <v>1</v>
      </c>
      <c r="W3911">
        <v>1</v>
      </c>
    </row>
    <row r="3912" spans="1:23" ht="55.2" x14ac:dyDescent="0.3">
      <c r="A3912" s="114">
        <v>45208</v>
      </c>
      <c r="B3912" s="114">
        <v>45210</v>
      </c>
      <c r="C3912" s="6">
        <v>10</v>
      </c>
      <c r="D3912" s="6">
        <v>3</v>
      </c>
      <c r="E3912" s="115">
        <v>2023</v>
      </c>
      <c r="F3912" s="15" t="s">
        <v>22</v>
      </c>
      <c r="G3912" s="117" t="s">
        <v>6254</v>
      </c>
      <c r="H3912" s="9" t="s">
        <v>48</v>
      </c>
      <c r="I3912" s="117" t="s">
        <v>6185</v>
      </c>
      <c r="J3912" s="192" t="s">
        <v>6186</v>
      </c>
      <c r="K3912" s="117">
        <v>0</v>
      </c>
      <c r="L3912" s="256">
        <v>12000</v>
      </c>
      <c r="M3912" s="117">
        <v>0</v>
      </c>
      <c r="N3912" s="117">
        <v>0</v>
      </c>
      <c r="O3912" s="117">
        <v>0</v>
      </c>
      <c r="P3912" s="117">
        <v>0</v>
      </c>
      <c r="Q3912" s="37">
        <v>0</v>
      </c>
      <c r="R3912" s="193">
        <v>701.86</v>
      </c>
      <c r="S3912" s="194" t="s">
        <v>5775</v>
      </c>
      <c r="T3912" s="257">
        <f t="shared" si="129"/>
        <v>12000</v>
      </c>
      <c r="U3912" s="257">
        <f t="shared" si="130"/>
        <v>0</v>
      </c>
      <c r="V3912">
        <v>2</v>
      </c>
      <c r="W3912">
        <v>0</v>
      </c>
    </row>
    <row r="3913" spans="1:23" ht="27.6" x14ac:dyDescent="0.3">
      <c r="A3913" s="114">
        <v>45210</v>
      </c>
      <c r="B3913" s="114">
        <v>45210</v>
      </c>
      <c r="C3913" s="6">
        <v>10</v>
      </c>
      <c r="D3913" s="6">
        <v>1</v>
      </c>
      <c r="E3913" s="115">
        <v>2023</v>
      </c>
      <c r="F3913" s="15" t="s">
        <v>22</v>
      </c>
      <c r="G3913" s="117" t="s">
        <v>6254</v>
      </c>
      <c r="H3913" s="9" t="s">
        <v>51</v>
      </c>
      <c r="I3913" s="117" t="s">
        <v>6187</v>
      </c>
      <c r="J3913" s="192" t="s">
        <v>6188</v>
      </c>
      <c r="K3913" s="117">
        <v>1</v>
      </c>
      <c r="L3913" s="256">
        <v>4213</v>
      </c>
      <c r="M3913" s="117">
        <v>3209</v>
      </c>
      <c r="N3913" s="117">
        <v>0</v>
      </c>
      <c r="O3913" s="117">
        <v>0</v>
      </c>
      <c r="P3913" s="117">
        <v>0</v>
      </c>
      <c r="Q3913" s="37">
        <v>0</v>
      </c>
      <c r="R3913" s="193">
        <v>96.56</v>
      </c>
      <c r="S3913" s="194" t="s">
        <v>6189</v>
      </c>
      <c r="T3913" s="257">
        <f t="shared" si="129"/>
        <v>4214</v>
      </c>
      <c r="U3913" s="257">
        <f t="shared" si="130"/>
        <v>3209</v>
      </c>
      <c r="V3913">
        <v>1</v>
      </c>
      <c r="W3913">
        <v>2</v>
      </c>
    </row>
    <row r="3914" spans="1:23" ht="27.6" x14ac:dyDescent="0.3">
      <c r="A3914" s="114">
        <v>45210</v>
      </c>
      <c r="B3914" s="114">
        <v>45210</v>
      </c>
      <c r="C3914" s="6">
        <v>10</v>
      </c>
      <c r="D3914" s="6">
        <v>1</v>
      </c>
      <c r="E3914" s="115">
        <v>2023</v>
      </c>
      <c r="F3914" s="15" t="s">
        <v>22</v>
      </c>
      <c r="G3914" s="117" t="s">
        <v>6254</v>
      </c>
      <c r="H3914" s="9" t="s">
        <v>56</v>
      </c>
      <c r="I3914" s="117" t="s">
        <v>665</v>
      </c>
      <c r="J3914" s="192" t="s">
        <v>6188</v>
      </c>
      <c r="K3914" s="117">
        <v>1</v>
      </c>
      <c r="L3914" s="256">
        <v>12</v>
      </c>
      <c r="M3914" s="117">
        <v>3</v>
      </c>
      <c r="N3914" s="117">
        <v>0</v>
      </c>
      <c r="O3914" s="117">
        <v>0</v>
      </c>
      <c r="P3914" s="117">
        <v>0</v>
      </c>
      <c r="Q3914" s="37">
        <v>0</v>
      </c>
      <c r="R3914" s="193">
        <v>0.9</v>
      </c>
      <c r="S3914" s="194" t="s">
        <v>6190</v>
      </c>
      <c r="T3914" s="257">
        <f t="shared" si="129"/>
        <v>13</v>
      </c>
      <c r="U3914" s="257">
        <f t="shared" si="130"/>
        <v>3</v>
      </c>
      <c r="V3914">
        <v>1</v>
      </c>
      <c r="W3914">
        <v>1</v>
      </c>
    </row>
    <row r="3915" spans="1:23" ht="41.4" x14ac:dyDescent="0.3">
      <c r="A3915" s="114">
        <v>45210</v>
      </c>
      <c r="B3915" s="114">
        <v>45210</v>
      </c>
      <c r="C3915" s="6">
        <v>10</v>
      </c>
      <c r="D3915" s="6">
        <v>1</v>
      </c>
      <c r="E3915" s="115">
        <v>2023</v>
      </c>
      <c r="F3915" s="15" t="s">
        <v>22</v>
      </c>
      <c r="G3915" s="117" t="s">
        <v>6254</v>
      </c>
      <c r="H3915" s="9" t="s">
        <v>39</v>
      </c>
      <c r="I3915" s="117" t="s">
        <v>6191</v>
      </c>
      <c r="J3915" s="192" t="s">
        <v>6188</v>
      </c>
      <c r="K3915" s="117">
        <v>0</v>
      </c>
      <c r="L3915" s="256">
        <v>1500</v>
      </c>
      <c r="M3915" s="117">
        <v>1000</v>
      </c>
      <c r="N3915" s="117">
        <v>169</v>
      </c>
      <c r="O3915" s="117">
        <v>6</v>
      </c>
      <c r="P3915" s="117">
        <v>0</v>
      </c>
      <c r="Q3915" s="37">
        <v>0</v>
      </c>
      <c r="R3915" s="193">
        <v>6.2216385000000001</v>
      </c>
      <c r="S3915" s="194" t="s">
        <v>6192</v>
      </c>
      <c r="T3915" s="257">
        <f t="shared" si="129"/>
        <v>1500</v>
      </c>
      <c r="U3915" s="257">
        <f t="shared" si="130"/>
        <v>1175</v>
      </c>
      <c r="V3915">
        <v>1</v>
      </c>
      <c r="W3915">
        <v>2</v>
      </c>
    </row>
    <row r="3916" spans="1:23" ht="55.2" x14ac:dyDescent="0.3">
      <c r="A3916" s="114">
        <v>45214</v>
      </c>
      <c r="B3916" s="114">
        <v>45215</v>
      </c>
      <c r="C3916" s="6">
        <v>10</v>
      </c>
      <c r="D3916" s="6">
        <v>2</v>
      </c>
      <c r="E3916" s="115">
        <v>2023</v>
      </c>
      <c r="F3916" s="15" t="s">
        <v>22</v>
      </c>
      <c r="G3916" s="117" t="s">
        <v>6256</v>
      </c>
      <c r="H3916" s="9" t="s">
        <v>174</v>
      </c>
      <c r="I3916" s="117" t="s">
        <v>6193</v>
      </c>
      <c r="J3916" s="192" t="s">
        <v>6194</v>
      </c>
      <c r="K3916" s="117">
        <v>0</v>
      </c>
      <c r="L3916" s="256">
        <v>0</v>
      </c>
      <c r="M3916" s="117">
        <v>0</v>
      </c>
      <c r="N3916" s="117">
        <v>0</v>
      </c>
      <c r="O3916" s="117">
        <v>0</v>
      </c>
      <c r="P3916" s="117">
        <v>0</v>
      </c>
      <c r="Q3916" s="37">
        <v>0</v>
      </c>
      <c r="R3916" s="193">
        <v>427.11620900000003</v>
      </c>
      <c r="S3916" s="194" t="s">
        <v>5775</v>
      </c>
      <c r="T3916" s="257">
        <f t="shared" si="129"/>
        <v>0</v>
      </c>
      <c r="U3916" s="257">
        <f t="shared" si="130"/>
        <v>0</v>
      </c>
      <c r="V3916">
        <v>0</v>
      </c>
      <c r="W3916">
        <v>0</v>
      </c>
    </row>
    <row r="3917" spans="1:23" ht="69" x14ac:dyDescent="0.3">
      <c r="A3917" s="114">
        <v>45219</v>
      </c>
      <c r="B3917" s="114">
        <v>45221</v>
      </c>
      <c r="C3917" s="6">
        <v>10</v>
      </c>
      <c r="D3917" s="6">
        <v>3</v>
      </c>
      <c r="E3917" s="115">
        <v>2023</v>
      </c>
      <c r="F3917" s="15" t="s">
        <v>22</v>
      </c>
      <c r="G3917" s="117" t="s">
        <v>6256</v>
      </c>
      <c r="H3917" s="9" t="s">
        <v>28</v>
      </c>
      <c r="I3917" s="117" t="s">
        <v>6195</v>
      </c>
      <c r="J3917" s="192" t="s">
        <v>6196</v>
      </c>
      <c r="K3917" s="117">
        <v>0</v>
      </c>
      <c r="L3917" s="256">
        <v>0</v>
      </c>
      <c r="M3917" s="117">
        <v>0</v>
      </c>
      <c r="N3917" s="117">
        <v>0</v>
      </c>
      <c r="O3917" s="117">
        <v>0</v>
      </c>
      <c r="P3917" s="117">
        <v>0</v>
      </c>
      <c r="Q3917" s="37">
        <v>0</v>
      </c>
      <c r="R3917" s="193">
        <v>284.54209173999999</v>
      </c>
      <c r="S3917" s="194" t="s">
        <v>5775</v>
      </c>
      <c r="T3917" s="257">
        <f t="shared" si="129"/>
        <v>0</v>
      </c>
      <c r="U3917" s="257">
        <f t="shared" si="130"/>
        <v>0</v>
      </c>
      <c r="V3917">
        <v>0</v>
      </c>
      <c r="W3917">
        <v>0</v>
      </c>
    </row>
    <row r="3918" spans="1:23" ht="96.6" x14ac:dyDescent="0.3">
      <c r="A3918" s="114">
        <v>45223</v>
      </c>
      <c r="B3918" s="114">
        <v>45224</v>
      </c>
      <c r="C3918" s="6">
        <v>10</v>
      </c>
      <c r="D3918" s="6">
        <v>2</v>
      </c>
      <c r="E3918" s="115">
        <v>2023</v>
      </c>
      <c r="F3918" s="15" t="s">
        <v>22</v>
      </c>
      <c r="G3918" s="117" t="s">
        <v>6254</v>
      </c>
      <c r="H3918" s="9" t="s">
        <v>48</v>
      </c>
      <c r="I3918" s="117" t="s">
        <v>6197</v>
      </c>
      <c r="J3918" s="192" t="s">
        <v>6252</v>
      </c>
      <c r="K3918" s="117">
        <v>52</v>
      </c>
      <c r="L3918" s="196">
        <v>812000</v>
      </c>
      <c r="M3918" s="117">
        <v>274502</v>
      </c>
      <c r="N3918" s="117">
        <v>1044</v>
      </c>
      <c r="O3918" s="117">
        <v>126</v>
      </c>
      <c r="P3918" s="117">
        <v>47627</v>
      </c>
      <c r="Q3918" s="37">
        <v>0</v>
      </c>
      <c r="R3918" s="193">
        <v>84207.02</v>
      </c>
      <c r="S3918" s="194" t="s">
        <v>5805</v>
      </c>
      <c r="T3918" s="257">
        <f t="shared" si="129"/>
        <v>812052</v>
      </c>
      <c r="U3918" s="257">
        <f t="shared" si="130"/>
        <v>323299</v>
      </c>
      <c r="V3918">
        <v>4</v>
      </c>
      <c r="W3918">
        <v>5</v>
      </c>
    </row>
    <row r="3919" spans="1:23" ht="409.6" x14ac:dyDescent="0.3">
      <c r="A3919" s="114">
        <v>45230</v>
      </c>
      <c r="B3919" s="114">
        <v>45237</v>
      </c>
      <c r="C3919" s="6">
        <v>10</v>
      </c>
      <c r="D3919" s="6">
        <v>8</v>
      </c>
      <c r="E3919" s="115">
        <v>2023</v>
      </c>
      <c r="F3919" s="15" t="s">
        <v>22</v>
      </c>
      <c r="G3919" s="117" t="s">
        <v>6256</v>
      </c>
      <c r="H3919" s="9" t="s">
        <v>174</v>
      </c>
      <c r="I3919" s="117" t="s">
        <v>6198</v>
      </c>
      <c r="J3919" s="192" t="s">
        <v>6199</v>
      </c>
      <c r="K3919" s="117">
        <v>0</v>
      </c>
      <c r="L3919" s="256">
        <v>14292</v>
      </c>
      <c r="M3919" s="117">
        <v>3441</v>
      </c>
      <c r="N3919" s="117">
        <v>11</v>
      </c>
      <c r="O3919" s="117">
        <v>0</v>
      </c>
      <c r="P3919" s="117">
        <v>46</v>
      </c>
      <c r="Q3919" s="37">
        <v>0</v>
      </c>
      <c r="R3919" s="193">
        <v>21.154162407000001</v>
      </c>
      <c r="S3919" s="194" t="s">
        <v>2777</v>
      </c>
      <c r="T3919" s="257">
        <f t="shared" si="129"/>
        <v>14292</v>
      </c>
      <c r="U3919" s="257">
        <f t="shared" si="130"/>
        <v>3498</v>
      </c>
      <c r="V3919">
        <v>2</v>
      </c>
      <c r="W3919">
        <v>2</v>
      </c>
    </row>
    <row r="3920" spans="1:23" ht="151.80000000000001" x14ac:dyDescent="0.3">
      <c r="A3920" s="114">
        <v>45239</v>
      </c>
      <c r="B3920" s="114">
        <v>45239</v>
      </c>
      <c r="C3920" s="6">
        <v>11</v>
      </c>
      <c r="D3920" s="6">
        <v>1</v>
      </c>
      <c r="E3920" s="115">
        <v>2023</v>
      </c>
      <c r="F3920" s="15" t="s">
        <v>22</v>
      </c>
      <c r="G3920" s="117" t="s">
        <v>6256</v>
      </c>
      <c r="H3920" s="9" t="s">
        <v>48</v>
      </c>
      <c r="I3920" s="117" t="s">
        <v>4762</v>
      </c>
      <c r="J3920" s="192" t="s">
        <v>6200</v>
      </c>
      <c r="K3920" s="117">
        <v>0</v>
      </c>
      <c r="L3920" s="256">
        <v>27</v>
      </c>
      <c r="M3920" s="117">
        <v>0</v>
      </c>
      <c r="N3920" s="117">
        <v>0</v>
      </c>
      <c r="O3920" s="117">
        <v>0</v>
      </c>
      <c r="P3920" s="117">
        <v>0</v>
      </c>
      <c r="Q3920" s="37">
        <v>0</v>
      </c>
      <c r="R3920" s="193">
        <v>0.89642850000000007</v>
      </c>
      <c r="S3920" s="194" t="s">
        <v>2777</v>
      </c>
      <c r="T3920" s="257">
        <f t="shared" si="129"/>
        <v>27</v>
      </c>
      <c r="U3920" s="257">
        <f t="shared" si="130"/>
        <v>0</v>
      </c>
      <c r="V3920">
        <v>1</v>
      </c>
      <c r="W3920">
        <v>0</v>
      </c>
    </row>
    <row r="3921" spans="1:23" ht="409.6" x14ac:dyDescent="0.3">
      <c r="A3921" s="114">
        <v>45270</v>
      </c>
      <c r="B3921" s="114">
        <v>45272</v>
      </c>
      <c r="C3921" s="6">
        <v>12</v>
      </c>
      <c r="D3921" s="6">
        <v>3</v>
      </c>
      <c r="E3921" s="115">
        <v>2023</v>
      </c>
      <c r="F3921" s="15" t="s">
        <v>22</v>
      </c>
      <c r="G3921" s="117" t="s">
        <v>6256</v>
      </c>
      <c r="H3921" s="9" t="s">
        <v>174</v>
      </c>
      <c r="I3921" s="117" t="s">
        <v>6201</v>
      </c>
      <c r="J3921" s="192" t="s">
        <v>6202</v>
      </c>
      <c r="K3921" s="117">
        <v>0</v>
      </c>
      <c r="L3921" s="256">
        <v>176</v>
      </c>
      <c r="M3921" s="117">
        <v>44</v>
      </c>
      <c r="N3921" s="117">
        <v>1</v>
      </c>
      <c r="O3921" s="117">
        <v>0</v>
      </c>
      <c r="P3921" s="117">
        <v>2</v>
      </c>
      <c r="Q3921" s="37">
        <v>0</v>
      </c>
      <c r="R3921" s="193">
        <v>0.20522220000000002</v>
      </c>
      <c r="S3921" s="194" t="s">
        <v>2777</v>
      </c>
      <c r="T3921" s="257">
        <f t="shared" si="129"/>
        <v>176</v>
      </c>
      <c r="U3921" s="257">
        <f t="shared" si="130"/>
        <v>47</v>
      </c>
      <c r="V3921">
        <v>1</v>
      </c>
      <c r="W3921">
        <v>1</v>
      </c>
    </row>
    <row r="3922" spans="1:23" ht="138" x14ac:dyDescent="0.3">
      <c r="A3922" s="114">
        <v>45289</v>
      </c>
      <c r="B3922" s="114">
        <v>45289</v>
      </c>
      <c r="C3922" s="6">
        <v>12</v>
      </c>
      <c r="D3922" s="6">
        <v>1</v>
      </c>
      <c r="E3922" s="115">
        <v>2023</v>
      </c>
      <c r="F3922" s="7" t="s">
        <v>17</v>
      </c>
      <c r="G3922" s="8" t="s">
        <v>6261</v>
      </c>
      <c r="H3922" s="9" t="s">
        <v>121</v>
      </c>
      <c r="I3922" s="117" t="s">
        <v>2592</v>
      </c>
      <c r="J3922" s="192" t="s">
        <v>6203</v>
      </c>
      <c r="K3922" s="117">
        <v>1</v>
      </c>
      <c r="L3922" s="256">
        <v>4</v>
      </c>
      <c r="M3922" s="117">
        <v>0</v>
      </c>
      <c r="N3922" s="117">
        <v>0</v>
      </c>
      <c r="O3922" s="117">
        <v>0</v>
      </c>
      <c r="P3922" s="117">
        <v>0</v>
      </c>
      <c r="Q3922" s="37">
        <v>0</v>
      </c>
      <c r="R3922" s="193">
        <v>3.5937000000000005E-3</v>
      </c>
      <c r="S3922" s="194" t="s">
        <v>2777</v>
      </c>
      <c r="T3922" s="257">
        <f t="shared" si="129"/>
        <v>5</v>
      </c>
      <c r="U3922" s="257">
        <f t="shared" si="130"/>
        <v>0</v>
      </c>
      <c r="V3922">
        <v>1</v>
      </c>
      <c r="W3922">
        <v>0</v>
      </c>
    </row>
    <row r="3923" spans="1:23" ht="55.2" x14ac:dyDescent="0.3">
      <c r="A3923" s="114">
        <v>44927</v>
      </c>
      <c r="B3923" s="114">
        <v>45291</v>
      </c>
      <c r="C3923" s="6">
        <v>1</v>
      </c>
      <c r="D3923" s="6">
        <v>365</v>
      </c>
      <c r="E3923" s="115">
        <v>2023</v>
      </c>
      <c r="F3923" s="15" t="s">
        <v>22</v>
      </c>
      <c r="G3923" s="117" t="s">
        <v>6258</v>
      </c>
      <c r="H3923" s="9" t="s">
        <v>57</v>
      </c>
      <c r="I3923" s="117" t="s">
        <v>25</v>
      </c>
      <c r="J3923" s="192" t="s">
        <v>6204</v>
      </c>
      <c r="K3923" s="117">
        <v>103</v>
      </c>
      <c r="L3923" s="256">
        <v>1204</v>
      </c>
      <c r="M3923" s="117">
        <v>0</v>
      </c>
      <c r="N3923" s="117">
        <v>0</v>
      </c>
      <c r="O3923" s="117">
        <v>0</v>
      </c>
      <c r="P3923" s="117">
        <v>0</v>
      </c>
      <c r="Q3923" s="37">
        <v>0</v>
      </c>
      <c r="R3923" s="193">
        <v>0</v>
      </c>
      <c r="S3923" s="194" t="s">
        <v>6205</v>
      </c>
      <c r="T3923" s="257">
        <f t="shared" si="129"/>
        <v>1307</v>
      </c>
      <c r="U3923" s="257">
        <f t="shared" si="130"/>
        <v>0</v>
      </c>
      <c r="V3923">
        <v>1</v>
      </c>
      <c r="W3923">
        <v>0</v>
      </c>
    </row>
    <row r="3924" spans="1:23" ht="55.2" x14ac:dyDescent="0.3">
      <c r="A3924" s="114">
        <v>44927</v>
      </c>
      <c r="B3924" s="114">
        <v>45291</v>
      </c>
      <c r="C3924" s="6">
        <v>1</v>
      </c>
      <c r="D3924" s="6">
        <v>365</v>
      </c>
      <c r="E3924" s="115">
        <v>2023</v>
      </c>
      <c r="F3924" s="15" t="s">
        <v>22</v>
      </c>
      <c r="G3924" s="117" t="s">
        <v>6258</v>
      </c>
      <c r="H3924" s="9" t="s">
        <v>74</v>
      </c>
      <c r="I3924" s="117" t="s">
        <v>25</v>
      </c>
      <c r="J3924" s="192" t="s">
        <v>6206</v>
      </c>
      <c r="K3924" s="117">
        <v>118</v>
      </c>
      <c r="L3924" s="256">
        <v>936</v>
      </c>
      <c r="M3924" s="117">
        <v>0</v>
      </c>
      <c r="N3924" s="117">
        <v>0</v>
      </c>
      <c r="O3924" s="117">
        <v>0</v>
      </c>
      <c r="P3924" s="117">
        <v>0</v>
      </c>
      <c r="Q3924" s="37">
        <v>0</v>
      </c>
      <c r="R3924" s="193">
        <v>0</v>
      </c>
      <c r="S3924" s="194" t="s">
        <v>6205</v>
      </c>
      <c r="T3924" s="257">
        <f t="shared" si="129"/>
        <v>1054</v>
      </c>
      <c r="U3924" s="257">
        <f t="shared" si="130"/>
        <v>0</v>
      </c>
      <c r="V3924">
        <v>1</v>
      </c>
      <c r="W3924">
        <v>0</v>
      </c>
    </row>
    <row r="3925" spans="1:23" ht="55.2" x14ac:dyDescent="0.3">
      <c r="A3925" s="114">
        <v>44927</v>
      </c>
      <c r="B3925" s="114">
        <v>45291</v>
      </c>
      <c r="C3925" s="6">
        <v>1</v>
      </c>
      <c r="D3925" s="6">
        <v>365</v>
      </c>
      <c r="E3925" s="115">
        <v>2023</v>
      </c>
      <c r="F3925" s="15" t="s">
        <v>22</v>
      </c>
      <c r="G3925" s="117" t="s">
        <v>6258</v>
      </c>
      <c r="H3925" s="17" t="s">
        <v>565</v>
      </c>
      <c r="I3925" s="117" t="s">
        <v>25</v>
      </c>
      <c r="J3925" s="192" t="s">
        <v>6207</v>
      </c>
      <c r="K3925" s="117">
        <v>6</v>
      </c>
      <c r="L3925" s="256">
        <v>424</v>
      </c>
      <c r="M3925" s="117">
        <v>0</v>
      </c>
      <c r="N3925" s="117">
        <v>0</v>
      </c>
      <c r="O3925" s="117">
        <v>0</v>
      </c>
      <c r="P3925" s="117">
        <v>0</v>
      </c>
      <c r="Q3925" s="37">
        <v>0</v>
      </c>
      <c r="R3925" s="193">
        <v>0</v>
      </c>
      <c r="S3925" s="194" t="s">
        <v>6205</v>
      </c>
      <c r="T3925" s="257">
        <f t="shared" si="129"/>
        <v>430</v>
      </c>
      <c r="U3925" s="257">
        <f t="shared" si="130"/>
        <v>0</v>
      </c>
      <c r="V3925">
        <v>1</v>
      </c>
      <c r="W3925">
        <v>0</v>
      </c>
    </row>
    <row r="3926" spans="1:23" ht="41.4" x14ac:dyDescent="0.3">
      <c r="A3926" s="114">
        <v>44927</v>
      </c>
      <c r="B3926" s="114">
        <v>45291</v>
      </c>
      <c r="C3926" s="6">
        <v>1</v>
      </c>
      <c r="D3926" s="6">
        <v>365</v>
      </c>
      <c r="E3926" s="115">
        <v>2023</v>
      </c>
      <c r="F3926" s="15" t="s">
        <v>22</v>
      </c>
      <c r="G3926" s="117" t="s">
        <v>6258</v>
      </c>
      <c r="H3926" s="9" t="s">
        <v>72</v>
      </c>
      <c r="I3926" s="117" t="s">
        <v>25</v>
      </c>
      <c r="J3926" s="192" t="s">
        <v>6208</v>
      </c>
      <c r="K3926" s="117">
        <v>9</v>
      </c>
      <c r="L3926" s="256">
        <v>256</v>
      </c>
      <c r="M3926" s="117">
        <v>0</v>
      </c>
      <c r="N3926" s="117">
        <v>0</v>
      </c>
      <c r="O3926" s="117">
        <v>0</v>
      </c>
      <c r="P3926" s="117">
        <v>0</v>
      </c>
      <c r="Q3926" s="37">
        <v>0</v>
      </c>
      <c r="R3926" s="193">
        <v>0</v>
      </c>
      <c r="S3926" s="194" t="s">
        <v>6205</v>
      </c>
      <c r="T3926" s="257">
        <f t="shared" si="129"/>
        <v>265</v>
      </c>
      <c r="U3926" s="257">
        <f t="shared" si="130"/>
        <v>0</v>
      </c>
      <c r="V3926">
        <v>1</v>
      </c>
      <c r="W3926">
        <v>0</v>
      </c>
    </row>
    <row r="3927" spans="1:23" ht="41.4" x14ac:dyDescent="0.3">
      <c r="A3927" s="114">
        <v>44927</v>
      </c>
      <c r="B3927" s="114">
        <v>45291</v>
      </c>
      <c r="C3927" s="6">
        <v>1</v>
      </c>
      <c r="D3927" s="6">
        <v>365</v>
      </c>
      <c r="E3927" s="115">
        <v>2023</v>
      </c>
      <c r="F3927" s="15" t="s">
        <v>22</v>
      </c>
      <c r="G3927" s="117" t="s">
        <v>6258</v>
      </c>
      <c r="H3927" s="9" t="s">
        <v>174</v>
      </c>
      <c r="I3927" s="117" t="s">
        <v>25</v>
      </c>
      <c r="J3927" s="192" t="s">
        <v>6209</v>
      </c>
      <c r="K3927" s="117">
        <v>34</v>
      </c>
      <c r="L3927" s="256">
        <v>204</v>
      </c>
      <c r="M3927" s="117">
        <v>0</v>
      </c>
      <c r="N3927" s="117">
        <v>0</v>
      </c>
      <c r="O3927" s="117">
        <v>0</v>
      </c>
      <c r="P3927" s="117">
        <v>0</v>
      </c>
      <c r="Q3927" s="37">
        <v>0</v>
      </c>
      <c r="R3927" s="193">
        <v>0</v>
      </c>
      <c r="S3927" s="194" t="s">
        <v>6205</v>
      </c>
      <c r="T3927" s="257">
        <f t="shared" si="129"/>
        <v>238</v>
      </c>
      <c r="U3927" s="257">
        <f t="shared" si="130"/>
        <v>0</v>
      </c>
      <c r="V3927">
        <v>1</v>
      </c>
      <c r="W3927">
        <v>0</v>
      </c>
    </row>
    <row r="3928" spans="1:23" ht="41.4" x14ac:dyDescent="0.3">
      <c r="A3928" s="114">
        <v>44927</v>
      </c>
      <c r="B3928" s="114">
        <v>45291</v>
      </c>
      <c r="C3928" s="6">
        <v>1</v>
      </c>
      <c r="D3928" s="6">
        <v>365</v>
      </c>
      <c r="E3928" s="115">
        <v>2023</v>
      </c>
      <c r="F3928" s="15" t="s">
        <v>22</v>
      </c>
      <c r="G3928" s="117" t="s">
        <v>6258</v>
      </c>
      <c r="H3928" s="9" t="s">
        <v>27</v>
      </c>
      <c r="I3928" s="117" t="s">
        <v>25</v>
      </c>
      <c r="J3928" s="192" t="s">
        <v>6210</v>
      </c>
      <c r="K3928" s="117">
        <v>55</v>
      </c>
      <c r="L3928" s="256">
        <v>241</v>
      </c>
      <c r="M3928" s="117">
        <v>0</v>
      </c>
      <c r="N3928" s="117">
        <v>0</v>
      </c>
      <c r="O3928" s="117">
        <v>0</v>
      </c>
      <c r="P3928" s="117">
        <v>0</v>
      </c>
      <c r="Q3928" s="37">
        <v>0</v>
      </c>
      <c r="R3928" s="193">
        <v>0</v>
      </c>
      <c r="S3928" s="194" t="s">
        <v>6205</v>
      </c>
      <c r="T3928" s="257">
        <f t="shared" si="129"/>
        <v>296</v>
      </c>
      <c r="U3928" s="257">
        <f t="shared" si="130"/>
        <v>0</v>
      </c>
      <c r="V3928">
        <v>1</v>
      </c>
      <c r="W3928">
        <v>0</v>
      </c>
    </row>
    <row r="3929" spans="1:23" ht="41.4" x14ac:dyDescent="0.3">
      <c r="A3929" s="114">
        <v>44927</v>
      </c>
      <c r="B3929" s="114">
        <v>45291</v>
      </c>
      <c r="C3929" s="6">
        <v>1</v>
      </c>
      <c r="D3929" s="6">
        <v>365</v>
      </c>
      <c r="E3929" s="115">
        <v>2023</v>
      </c>
      <c r="F3929" s="15" t="s">
        <v>22</v>
      </c>
      <c r="G3929" s="117" t="s">
        <v>6258</v>
      </c>
      <c r="H3929" s="9" t="s">
        <v>51</v>
      </c>
      <c r="I3929" s="117" t="s">
        <v>25</v>
      </c>
      <c r="J3929" s="192" t="s">
        <v>6211</v>
      </c>
      <c r="K3929" s="117">
        <v>0</v>
      </c>
      <c r="L3929" s="256">
        <v>187</v>
      </c>
      <c r="M3929" s="117">
        <v>0</v>
      </c>
      <c r="N3929" s="117">
        <v>0</v>
      </c>
      <c r="O3929" s="117">
        <v>0</v>
      </c>
      <c r="P3929" s="117">
        <v>0</v>
      </c>
      <c r="Q3929" s="37">
        <v>0</v>
      </c>
      <c r="R3929" s="193">
        <v>0</v>
      </c>
      <c r="S3929" s="194" t="s">
        <v>6205</v>
      </c>
      <c r="T3929" s="257">
        <f t="shared" si="129"/>
        <v>187</v>
      </c>
      <c r="U3929" s="257">
        <f t="shared" si="130"/>
        <v>0</v>
      </c>
      <c r="V3929">
        <v>1</v>
      </c>
      <c r="W3929">
        <v>0</v>
      </c>
    </row>
    <row r="3930" spans="1:23" ht="41.4" x14ac:dyDescent="0.3">
      <c r="A3930" s="114">
        <v>44927</v>
      </c>
      <c r="B3930" s="114">
        <v>45291</v>
      </c>
      <c r="C3930" s="6">
        <v>1</v>
      </c>
      <c r="D3930" s="6">
        <v>365</v>
      </c>
      <c r="E3930" s="115">
        <v>2023</v>
      </c>
      <c r="F3930" s="15" t="s">
        <v>22</v>
      </c>
      <c r="G3930" s="117" t="s">
        <v>6258</v>
      </c>
      <c r="H3930" s="9" t="s">
        <v>37</v>
      </c>
      <c r="I3930" s="117" t="s">
        <v>25</v>
      </c>
      <c r="J3930" s="192" t="s">
        <v>6212</v>
      </c>
      <c r="K3930" s="117">
        <v>9</v>
      </c>
      <c r="L3930" s="256">
        <v>179</v>
      </c>
      <c r="M3930" s="117">
        <v>0</v>
      </c>
      <c r="N3930" s="117">
        <v>0</v>
      </c>
      <c r="O3930" s="117">
        <v>0</v>
      </c>
      <c r="P3930" s="117">
        <v>0</v>
      </c>
      <c r="Q3930" s="37">
        <v>0</v>
      </c>
      <c r="R3930" s="193">
        <v>0</v>
      </c>
      <c r="S3930" s="194" t="s">
        <v>6205</v>
      </c>
      <c r="T3930" s="257">
        <f t="shared" si="129"/>
        <v>188</v>
      </c>
      <c r="U3930" s="257">
        <f t="shared" si="130"/>
        <v>0</v>
      </c>
      <c r="V3930">
        <v>1</v>
      </c>
      <c r="W3930">
        <v>0</v>
      </c>
    </row>
    <row r="3931" spans="1:23" ht="55.2" x14ac:dyDescent="0.3">
      <c r="A3931" s="114">
        <v>44927</v>
      </c>
      <c r="B3931" s="114">
        <v>45291</v>
      </c>
      <c r="C3931" s="6">
        <v>1</v>
      </c>
      <c r="D3931" s="6">
        <v>365</v>
      </c>
      <c r="E3931" s="115">
        <v>2023</v>
      </c>
      <c r="F3931" s="15" t="s">
        <v>22</v>
      </c>
      <c r="G3931" s="117" t="s">
        <v>6258</v>
      </c>
      <c r="H3931" s="9" t="s">
        <v>78</v>
      </c>
      <c r="I3931" s="117" t="s">
        <v>25</v>
      </c>
      <c r="J3931" s="192" t="s">
        <v>6213</v>
      </c>
      <c r="K3931" s="117">
        <v>32</v>
      </c>
      <c r="L3931" s="256">
        <v>195</v>
      </c>
      <c r="M3931" s="117">
        <v>0</v>
      </c>
      <c r="N3931" s="117">
        <v>0</v>
      </c>
      <c r="O3931" s="117">
        <v>0</v>
      </c>
      <c r="P3931" s="117">
        <v>0</v>
      </c>
      <c r="Q3931" s="37">
        <v>0</v>
      </c>
      <c r="R3931" s="193">
        <v>0</v>
      </c>
      <c r="S3931" s="194" t="s">
        <v>6205</v>
      </c>
      <c r="T3931" s="257">
        <f t="shared" si="129"/>
        <v>227</v>
      </c>
      <c r="U3931" s="257">
        <f t="shared" si="130"/>
        <v>0</v>
      </c>
      <c r="V3931">
        <v>1</v>
      </c>
      <c r="W3931">
        <v>0</v>
      </c>
    </row>
    <row r="3932" spans="1:23" ht="55.2" x14ac:dyDescent="0.3">
      <c r="A3932" s="114">
        <v>44927</v>
      </c>
      <c r="B3932" s="114">
        <v>45291</v>
      </c>
      <c r="C3932" s="6">
        <v>1</v>
      </c>
      <c r="D3932" s="6">
        <v>365</v>
      </c>
      <c r="E3932" s="115">
        <v>2023</v>
      </c>
      <c r="F3932" s="15" t="s">
        <v>22</v>
      </c>
      <c r="G3932" s="117" t="s">
        <v>6258</v>
      </c>
      <c r="H3932" s="9" t="s">
        <v>28</v>
      </c>
      <c r="I3932" s="117" t="s">
        <v>25</v>
      </c>
      <c r="J3932" s="192" t="s">
        <v>6214</v>
      </c>
      <c r="K3932" s="117">
        <v>14</v>
      </c>
      <c r="L3932" s="256">
        <v>162</v>
      </c>
      <c r="M3932" s="117">
        <v>0</v>
      </c>
      <c r="N3932" s="117">
        <v>0</v>
      </c>
      <c r="O3932" s="117">
        <v>0</v>
      </c>
      <c r="P3932" s="117">
        <v>0</v>
      </c>
      <c r="Q3932" s="37">
        <v>0</v>
      </c>
      <c r="R3932" s="193">
        <v>0</v>
      </c>
      <c r="S3932" s="194" t="s">
        <v>6205</v>
      </c>
      <c r="T3932" s="257">
        <f t="shared" si="129"/>
        <v>176</v>
      </c>
      <c r="U3932" s="257">
        <f t="shared" si="130"/>
        <v>0</v>
      </c>
      <c r="V3932">
        <v>1</v>
      </c>
      <c r="W3932">
        <v>0</v>
      </c>
    </row>
    <row r="3933" spans="1:23" ht="55.2" x14ac:dyDescent="0.3">
      <c r="A3933" s="114">
        <v>44927</v>
      </c>
      <c r="B3933" s="114">
        <v>45291</v>
      </c>
      <c r="C3933" s="6">
        <v>1</v>
      </c>
      <c r="D3933" s="6">
        <v>365</v>
      </c>
      <c r="E3933" s="115">
        <v>2023</v>
      </c>
      <c r="F3933" s="15" t="s">
        <v>22</v>
      </c>
      <c r="G3933" s="117" t="s">
        <v>6258</v>
      </c>
      <c r="H3933" s="9" t="s">
        <v>34</v>
      </c>
      <c r="I3933" s="117" t="s">
        <v>25</v>
      </c>
      <c r="J3933" s="192" t="s">
        <v>6215</v>
      </c>
      <c r="K3933" s="117">
        <v>1</v>
      </c>
      <c r="L3933" s="256">
        <v>121</v>
      </c>
      <c r="M3933" s="117">
        <v>0</v>
      </c>
      <c r="N3933" s="117">
        <v>0</v>
      </c>
      <c r="O3933" s="117">
        <v>0</v>
      </c>
      <c r="P3933" s="117">
        <v>0</v>
      </c>
      <c r="Q3933" s="37">
        <v>0</v>
      </c>
      <c r="R3933" s="193">
        <v>0</v>
      </c>
      <c r="S3933" s="194" t="s">
        <v>6205</v>
      </c>
      <c r="T3933" s="257">
        <f t="shared" si="129"/>
        <v>122</v>
      </c>
      <c r="U3933" s="257">
        <f t="shared" si="130"/>
        <v>0</v>
      </c>
      <c r="V3933">
        <v>1</v>
      </c>
      <c r="W3933">
        <v>0</v>
      </c>
    </row>
    <row r="3934" spans="1:23" ht="55.2" x14ac:dyDescent="0.3">
      <c r="A3934" s="114">
        <v>44927</v>
      </c>
      <c r="B3934" s="114">
        <v>45291</v>
      </c>
      <c r="C3934" s="6">
        <v>1</v>
      </c>
      <c r="D3934" s="6">
        <v>365</v>
      </c>
      <c r="E3934" s="115">
        <v>2023</v>
      </c>
      <c r="F3934" s="15" t="s">
        <v>22</v>
      </c>
      <c r="G3934" s="117" t="s">
        <v>6258</v>
      </c>
      <c r="H3934" s="9" t="s">
        <v>124</v>
      </c>
      <c r="I3934" s="117" t="s">
        <v>25</v>
      </c>
      <c r="J3934" s="192" t="s">
        <v>6216</v>
      </c>
      <c r="K3934" s="117">
        <v>6</v>
      </c>
      <c r="L3934" s="256">
        <v>109</v>
      </c>
      <c r="M3934" s="117">
        <v>0</v>
      </c>
      <c r="N3934" s="117">
        <v>0</v>
      </c>
      <c r="O3934" s="117">
        <v>0</v>
      </c>
      <c r="P3934" s="117">
        <v>0</v>
      </c>
      <c r="Q3934" s="37">
        <v>0</v>
      </c>
      <c r="R3934" s="193">
        <v>0</v>
      </c>
      <c r="S3934" s="194" t="s">
        <v>6205</v>
      </c>
      <c r="T3934" s="257">
        <f t="shared" si="129"/>
        <v>115</v>
      </c>
      <c r="U3934" s="257">
        <f t="shared" si="130"/>
        <v>0</v>
      </c>
      <c r="V3934">
        <v>1</v>
      </c>
      <c r="W3934">
        <v>0</v>
      </c>
    </row>
    <row r="3935" spans="1:23" ht="55.2" x14ac:dyDescent="0.3">
      <c r="A3935" s="114">
        <v>44927</v>
      </c>
      <c r="B3935" s="114">
        <v>45291</v>
      </c>
      <c r="C3935" s="6">
        <v>1</v>
      </c>
      <c r="D3935" s="6">
        <v>365</v>
      </c>
      <c r="E3935" s="115">
        <v>2023</v>
      </c>
      <c r="F3935" s="15" t="s">
        <v>22</v>
      </c>
      <c r="G3935" s="117" t="s">
        <v>6258</v>
      </c>
      <c r="H3935" s="9" t="s">
        <v>69</v>
      </c>
      <c r="I3935" s="117" t="s">
        <v>25</v>
      </c>
      <c r="J3935" s="192" t="s">
        <v>6217</v>
      </c>
      <c r="K3935" s="117">
        <v>15</v>
      </c>
      <c r="L3935" s="256">
        <v>103</v>
      </c>
      <c r="M3935" s="117">
        <v>0</v>
      </c>
      <c r="N3935" s="117">
        <v>0</v>
      </c>
      <c r="O3935" s="117">
        <v>0</v>
      </c>
      <c r="P3935" s="117">
        <v>0</v>
      </c>
      <c r="Q3935" s="37">
        <v>0</v>
      </c>
      <c r="R3935" s="193">
        <v>0</v>
      </c>
      <c r="S3935" s="194" t="s">
        <v>6205</v>
      </c>
      <c r="T3935" s="257">
        <f t="shared" si="129"/>
        <v>118</v>
      </c>
      <c r="U3935" s="257">
        <f t="shared" si="130"/>
        <v>0</v>
      </c>
      <c r="V3935">
        <v>1</v>
      </c>
      <c r="W3935">
        <v>0</v>
      </c>
    </row>
    <row r="3936" spans="1:23" ht="41.4" x14ac:dyDescent="0.3">
      <c r="A3936" s="114">
        <v>44927</v>
      </c>
      <c r="B3936" s="114">
        <v>45291</v>
      </c>
      <c r="C3936" s="6">
        <v>1</v>
      </c>
      <c r="D3936" s="6">
        <v>365</v>
      </c>
      <c r="E3936" s="115">
        <v>2023</v>
      </c>
      <c r="F3936" s="15" t="s">
        <v>22</v>
      </c>
      <c r="G3936" s="117" t="s">
        <v>6258</v>
      </c>
      <c r="H3936" s="9" t="s">
        <v>56</v>
      </c>
      <c r="I3936" s="117" t="s">
        <v>25</v>
      </c>
      <c r="J3936" s="192" t="s">
        <v>6218</v>
      </c>
      <c r="K3936" s="117">
        <v>3</v>
      </c>
      <c r="L3936" s="256">
        <v>67</v>
      </c>
      <c r="M3936" s="117">
        <v>0</v>
      </c>
      <c r="N3936" s="117">
        <v>0</v>
      </c>
      <c r="O3936" s="117">
        <v>0</v>
      </c>
      <c r="P3936" s="117">
        <v>0</v>
      </c>
      <c r="Q3936" s="37">
        <v>0</v>
      </c>
      <c r="R3936" s="193">
        <v>0</v>
      </c>
      <c r="S3936" s="194" t="s">
        <v>6205</v>
      </c>
      <c r="T3936" s="257">
        <f t="shared" si="129"/>
        <v>70</v>
      </c>
      <c r="U3936" s="257">
        <f t="shared" si="130"/>
        <v>0</v>
      </c>
      <c r="V3936">
        <v>1</v>
      </c>
      <c r="W3936">
        <v>0</v>
      </c>
    </row>
    <row r="3937" spans="1:23" ht="55.2" x14ac:dyDescent="0.3">
      <c r="A3937" s="114">
        <v>44927</v>
      </c>
      <c r="B3937" s="114">
        <v>45291</v>
      </c>
      <c r="C3937" s="6">
        <v>1</v>
      </c>
      <c r="D3937" s="6">
        <v>365</v>
      </c>
      <c r="E3937" s="115">
        <v>2023</v>
      </c>
      <c r="F3937" s="15" t="s">
        <v>22</v>
      </c>
      <c r="G3937" s="117" t="s">
        <v>6258</v>
      </c>
      <c r="H3937" s="9" t="s">
        <v>31</v>
      </c>
      <c r="I3937" s="117" t="s">
        <v>25</v>
      </c>
      <c r="J3937" s="192" t="s">
        <v>6219</v>
      </c>
      <c r="K3937" s="117">
        <v>1</v>
      </c>
      <c r="L3937" s="256">
        <v>52</v>
      </c>
      <c r="M3937" s="117">
        <v>0</v>
      </c>
      <c r="N3937" s="117">
        <v>0</v>
      </c>
      <c r="O3937" s="117">
        <v>0</v>
      </c>
      <c r="P3937" s="117">
        <v>0</v>
      </c>
      <c r="Q3937" s="37">
        <v>0</v>
      </c>
      <c r="R3937" s="193">
        <v>0</v>
      </c>
      <c r="S3937" s="194" t="s">
        <v>6205</v>
      </c>
      <c r="T3937" s="257">
        <f t="shared" si="129"/>
        <v>53</v>
      </c>
      <c r="U3937" s="257">
        <f t="shared" si="130"/>
        <v>0</v>
      </c>
      <c r="V3937">
        <v>1</v>
      </c>
      <c r="W3937">
        <v>0</v>
      </c>
    </row>
    <row r="3938" spans="1:23" ht="55.2" x14ac:dyDescent="0.3">
      <c r="A3938" s="114">
        <v>44927</v>
      </c>
      <c r="B3938" s="114">
        <v>45291</v>
      </c>
      <c r="C3938" s="6">
        <v>1</v>
      </c>
      <c r="D3938" s="6">
        <v>365</v>
      </c>
      <c r="E3938" s="115">
        <v>2023</v>
      </c>
      <c r="F3938" s="15" t="s">
        <v>22</v>
      </c>
      <c r="G3938" s="117" t="s">
        <v>6258</v>
      </c>
      <c r="H3938" s="9" t="s">
        <v>61</v>
      </c>
      <c r="I3938" s="117" t="s">
        <v>25</v>
      </c>
      <c r="J3938" s="192" t="s">
        <v>6220</v>
      </c>
      <c r="K3938" s="117">
        <v>10</v>
      </c>
      <c r="L3938" s="256">
        <v>56</v>
      </c>
      <c r="M3938" s="117">
        <v>0</v>
      </c>
      <c r="N3938" s="117">
        <v>0</v>
      </c>
      <c r="O3938" s="117">
        <v>0</v>
      </c>
      <c r="P3938" s="117">
        <v>0</v>
      </c>
      <c r="Q3938" s="37">
        <v>0</v>
      </c>
      <c r="R3938" s="193">
        <v>0</v>
      </c>
      <c r="S3938" s="194" t="s">
        <v>6205</v>
      </c>
      <c r="T3938" s="257">
        <f t="shared" si="129"/>
        <v>66</v>
      </c>
      <c r="U3938" s="257">
        <f t="shared" si="130"/>
        <v>0</v>
      </c>
      <c r="V3938">
        <v>1</v>
      </c>
      <c r="W3938">
        <v>0</v>
      </c>
    </row>
    <row r="3939" spans="1:23" ht="41.4" x14ac:dyDescent="0.3">
      <c r="A3939" s="114">
        <v>44927</v>
      </c>
      <c r="B3939" s="114">
        <v>45291</v>
      </c>
      <c r="C3939" s="6">
        <v>1</v>
      </c>
      <c r="D3939" s="6">
        <v>365</v>
      </c>
      <c r="E3939" s="115">
        <v>2023</v>
      </c>
      <c r="F3939" s="15" t="s">
        <v>22</v>
      </c>
      <c r="G3939" s="117" t="s">
        <v>6258</v>
      </c>
      <c r="H3939" s="9" t="s">
        <v>112</v>
      </c>
      <c r="I3939" s="117" t="s">
        <v>25</v>
      </c>
      <c r="J3939" s="192" t="s">
        <v>6221</v>
      </c>
      <c r="K3939" s="117">
        <v>2</v>
      </c>
      <c r="L3939" s="256">
        <v>37</v>
      </c>
      <c r="M3939" s="117">
        <v>0</v>
      </c>
      <c r="N3939" s="117">
        <v>0</v>
      </c>
      <c r="O3939" s="117">
        <v>0</v>
      </c>
      <c r="P3939" s="117">
        <v>0</v>
      </c>
      <c r="Q3939" s="37">
        <v>0</v>
      </c>
      <c r="R3939" s="193">
        <v>0</v>
      </c>
      <c r="S3939" s="194" t="s">
        <v>6205</v>
      </c>
      <c r="T3939" s="257">
        <f t="shared" si="129"/>
        <v>39</v>
      </c>
      <c r="U3939" s="257">
        <f t="shared" si="130"/>
        <v>0</v>
      </c>
      <c r="V3939">
        <v>1</v>
      </c>
      <c r="W3939">
        <v>0</v>
      </c>
    </row>
    <row r="3940" spans="1:23" ht="41.4" x14ac:dyDescent="0.3">
      <c r="A3940" s="114">
        <v>44927</v>
      </c>
      <c r="B3940" s="114">
        <v>45291</v>
      </c>
      <c r="C3940" s="6">
        <v>1</v>
      </c>
      <c r="D3940" s="6">
        <v>365</v>
      </c>
      <c r="E3940" s="115">
        <v>2023</v>
      </c>
      <c r="F3940" s="15" t="s">
        <v>22</v>
      </c>
      <c r="G3940" s="117" t="s">
        <v>6258</v>
      </c>
      <c r="H3940" s="9" t="s">
        <v>70</v>
      </c>
      <c r="I3940" s="117" t="s">
        <v>25</v>
      </c>
      <c r="J3940" s="192" t="s">
        <v>6222</v>
      </c>
      <c r="K3940" s="117">
        <v>3</v>
      </c>
      <c r="L3940" s="256">
        <v>37</v>
      </c>
      <c r="M3940" s="117">
        <v>0</v>
      </c>
      <c r="N3940" s="117">
        <v>0</v>
      </c>
      <c r="O3940" s="117">
        <v>0</v>
      </c>
      <c r="P3940" s="117">
        <v>0</v>
      </c>
      <c r="Q3940" s="37">
        <v>0</v>
      </c>
      <c r="R3940" s="193">
        <v>0</v>
      </c>
      <c r="S3940" s="194" t="s">
        <v>6205</v>
      </c>
      <c r="T3940" s="257">
        <f t="shared" si="129"/>
        <v>40</v>
      </c>
      <c r="U3940" s="257">
        <f t="shared" si="130"/>
        <v>0</v>
      </c>
      <c r="V3940">
        <v>1</v>
      </c>
      <c r="W3940">
        <v>0</v>
      </c>
    </row>
    <row r="3941" spans="1:23" ht="27.6" x14ac:dyDescent="0.3">
      <c r="A3941" s="114">
        <v>44927</v>
      </c>
      <c r="B3941" s="114">
        <v>45291</v>
      </c>
      <c r="C3941" s="6">
        <v>1</v>
      </c>
      <c r="D3941" s="6">
        <v>365</v>
      </c>
      <c r="E3941" s="115">
        <v>2023</v>
      </c>
      <c r="F3941" s="15" t="s">
        <v>22</v>
      </c>
      <c r="G3941" s="117" t="s">
        <v>6258</v>
      </c>
      <c r="H3941" s="9" t="s">
        <v>24</v>
      </c>
      <c r="I3941" s="117" t="s">
        <v>25</v>
      </c>
      <c r="J3941" s="192" t="s">
        <v>6223</v>
      </c>
      <c r="K3941" s="117">
        <v>0</v>
      </c>
      <c r="L3941" s="256">
        <v>20</v>
      </c>
      <c r="M3941" s="117">
        <v>0</v>
      </c>
      <c r="N3941" s="117">
        <v>0</v>
      </c>
      <c r="O3941" s="117">
        <v>0</v>
      </c>
      <c r="P3941" s="117">
        <v>0</v>
      </c>
      <c r="Q3941" s="37">
        <v>0</v>
      </c>
      <c r="R3941" s="193">
        <v>0</v>
      </c>
      <c r="S3941" s="194" t="s">
        <v>6205</v>
      </c>
      <c r="T3941" s="257">
        <f t="shared" si="129"/>
        <v>20</v>
      </c>
      <c r="U3941" s="257">
        <f t="shared" si="130"/>
        <v>0</v>
      </c>
      <c r="V3941">
        <v>1</v>
      </c>
      <c r="W3941">
        <v>0</v>
      </c>
    </row>
    <row r="3942" spans="1:23" ht="27.6" x14ac:dyDescent="0.3">
      <c r="A3942" s="114">
        <v>44927</v>
      </c>
      <c r="B3942" s="114">
        <v>45291</v>
      </c>
      <c r="C3942" s="6">
        <v>1</v>
      </c>
      <c r="D3942" s="6">
        <v>365</v>
      </c>
      <c r="E3942" s="115">
        <v>2023</v>
      </c>
      <c r="F3942" s="15" t="s">
        <v>22</v>
      </c>
      <c r="G3942" s="117" t="s">
        <v>6258</v>
      </c>
      <c r="H3942" s="9" t="s">
        <v>48</v>
      </c>
      <c r="I3942" s="117" t="s">
        <v>25</v>
      </c>
      <c r="J3942" s="192" t="s">
        <v>6224</v>
      </c>
      <c r="K3942" s="117">
        <v>0</v>
      </c>
      <c r="L3942" s="256">
        <v>15</v>
      </c>
      <c r="M3942" s="117">
        <v>0</v>
      </c>
      <c r="N3942" s="117">
        <v>0</v>
      </c>
      <c r="O3942" s="117">
        <v>0</v>
      </c>
      <c r="P3942" s="117">
        <v>0</v>
      </c>
      <c r="Q3942" s="37">
        <v>0</v>
      </c>
      <c r="R3942" s="193">
        <v>0</v>
      </c>
      <c r="S3942" s="194" t="s">
        <v>6205</v>
      </c>
      <c r="T3942" s="257">
        <f t="shared" si="129"/>
        <v>15</v>
      </c>
      <c r="U3942" s="257">
        <f t="shared" si="130"/>
        <v>0</v>
      </c>
      <c r="V3942">
        <v>1</v>
      </c>
      <c r="W3942">
        <v>0</v>
      </c>
    </row>
    <row r="3943" spans="1:23" ht="27.6" x14ac:dyDescent="0.3">
      <c r="A3943" s="114">
        <v>44927</v>
      </c>
      <c r="B3943" s="114">
        <v>45291</v>
      </c>
      <c r="C3943" s="6">
        <v>1</v>
      </c>
      <c r="D3943" s="6">
        <v>365</v>
      </c>
      <c r="E3943" s="115">
        <v>2023</v>
      </c>
      <c r="F3943" s="15" t="s">
        <v>22</v>
      </c>
      <c r="G3943" s="117" t="s">
        <v>6258</v>
      </c>
      <c r="H3943" s="9" t="s">
        <v>121</v>
      </c>
      <c r="I3943" s="117" t="s">
        <v>25</v>
      </c>
      <c r="J3943" s="192" t="s">
        <v>6225</v>
      </c>
      <c r="K3943" s="117">
        <v>0</v>
      </c>
      <c r="L3943" s="256">
        <v>15</v>
      </c>
      <c r="M3943" s="117">
        <v>0</v>
      </c>
      <c r="N3943" s="117">
        <v>0</v>
      </c>
      <c r="O3943" s="117">
        <v>0</v>
      </c>
      <c r="P3943" s="117">
        <v>0</v>
      </c>
      <c r="Q3943" s="37">
        <v>0</v>
      </c>
      <c r="R3943" s="193">
        <v>0</v>
      </c>
      <c r="S3943" s="194" t="s">
        <v>6205</v>
      </c>
      <c r="T3943" s="257">
        <f t="shared" si="129"/>
        <v>15</v>
      </c>
      <c r="U3943" s="257">
        <f t="shared" si="130"/>
        <v>0</v>
      </c>
      <c r="V3943">
        <v>1</v>
      </c>
      <c r="W3943">
        <v>0</v>
      </c>
    </row>
    <row r="3944" spans="1:23" ht="41.4" x14ac:dyDescent="0.3">
      <c r="A3944" s="114">
        <v>44927</v>
      </c>
      <c r="B3944" s="114">
        <v>45291</v>
      </c>
      <c r="C3944" s="6">
        <v>1</v>
      </c>
      <c r="D3944" s="6">
        <v>365</v>
      </c>
      <c r="E3944" s="115">
        <v>2023</v>
      </c>
      <c r="F3944" s="15" t="s">
        <v>22</v>
      </c>
      <c r="G3944" s="117" t="s">
        <v>6258</v>
      </c>
      <c r="H3944" s="9" t="s">
        <v>55</v>
      </c>
      <c r="I3944" s="117" t="s">
        <v>25</v>
      </c>
      <c r="J3944" s="192" t="s">
        <v>6226</v>
      </c>
      <c r="K3944" s="117">
        <v>1</v>
      </c>
      <c r="L3944" s="256">
        <v>16</v>
      </c>
      <c r="M3944" s="117">
        <v>0</v>
      </c>
      <c r="N3944" s="117">
        <v>0</v>
      </c>
      <c r="O3944" s="117">
        <v>0</v>
      </c>
      <c r="P3944" s="117">
        <v>0</v>
      </c>
      <c r="Q3944" s="37">
        <v>0</v>
      </c>
      <c r="R3944" s="193">
        <v>0</v>
      </c>
      <c r="S3944" s="194" t="s">
        <v>6205</v>
      </c>
      <c r="T3944" s="257">
        <f t="shared" si="129"/>
        <v>17</v>
      </c>
      <c r="U3944" s="257">
        <f t="shared" si="130"/>
        <v>0</v>
      </c>
      <c r="V3944">
        <v>1</v>
      </c>
      <c r="W3944">
        <v>0</v>
      </c>
    </row>
    <row r="3945" spans="1:23" ht="41.4" x14ac:dyDescent="0.3">
      <c r="A3945" s="114">
        <v>44927</v>
      </c>
      <c r="B3945" s="114">
        <v>45291</v>
      </c>
      <c r="C3945" s="6">
        <v>1</v>
      </c>
      <c r="D3945" s="6">
        <v>365</v>
      </c>
      <c r="E3945" s="115">
        <v>2023</v>
      </c>
      <c r="F3945" s="15" t="s">
        <v>22</v>
      </c>
      <c r="G3945" s="117" t="s">
        <v>6258</v>
      </c>
      <c r="H3945" s="9" t="s">
        <v>52</v>
      </c>
      <c r="I3945" s="117" t="s">
        <v>25</v>
      </c>
      <c r="J3945" s="192" t="s">
        <v>6227</v>
      </c>
      <c r="K3945" s="117">
        <v>3</v>
      </c>
      <c r="L3945" s="256">
        <v>18</v>
      </c>
      <c r="M3945" s="117">
        <v>0</v>
      </c>
      <c r="N3945" s="117">
        <v>0</v>
      </c>
      <c r="O3945" s="117">
        <v>0</v>
      </c>
      <c r="P3945" s="117">
        <v>0</v>
      </c>
      <c r="Q3945" s="37">
        <v>0</v>
      </c>
      <c r="R3945" s="193">
        <v>0</v>
      </c>
      <c r="S3945" s="194" t="s">
        <v>6205</v>
      </c>
      <c r="T3945" s="257">
        <f t="shared" si="129"/>
        <v>21</v>
      </c>
      <c r="U3945" s="257">
        <f t="shared" si="130"/>
        <v>0</v>
      </c>
      <c r="V3945">
        <v>1</v>
      </c>
      <c r="W3945">
        <v>0</v>
      </c>
    </row>
    <row r="3946" spans="1:23" ht="41.4" x14ac:dyDescent="0.3">
      <c r="A3946" s="114">
        <v>44927</v>
      </c>
      <c r="B3946" s="114">
        <v>45291</v>
      </c>
      <c r="C3946" s="6">
        <v>1</v>
      </c>
      <c r="D3946" s="6">
        <v>365</v>
      </c>
      <c r="E3946" s="115">
        <v>2023</v>
      </c>
      <c r="F3946" s="15" t="s">
        <v>22</v>
      </c>
      <c r="G3946" s="117" t="s">
        <v>6258</v>
      </c>
      <c r="H3946" s="9" t="s">
        <v>88</v>
      </c>
      <c r="I3946" s="117" t="s">
        <v>25</v>
      </c>
      <c r="J3946" s="192" t="s">
        <v>6228</v>
      </c>
      <c r="K3946" s="117">
        <v>0</v>
      </c>
      <c r="L3946" s="256">
        <v>10</v>
      </c>
      <c r="M3946" s="117">
        <v>0</v>
      </c>
      <c r="N3946" s="117">
        <v>0</v>
      </c>
      <c r="O3946" s="117">
        <v>0</v>
      </c>
      <c r="P3946" s="117">
        <v>0</v>
      </c>
      <c r="Q3946" s="37">
        <v>0</v>
      </c>
      <c r="R3946" s="193">
        <v>0</v>
      </c>
      <c r="S3946" s="194" t="s">
        <v>6205</v>
      </c>
      <c r="T3946" s="257">
        <f t="shared" si="129"/>
        <v>10</v>
      </c>
      <c r="U3946" s="257">
        <f t="shared" si="130"/>
        <v>0</v>
      </c>
      <c r="V3946">
        <v>1</v>
      </c>
      <c r="W3946">
        <v>0</v>
      </c>
    </row>
    <row r="3947" spans="1:23" ht="27.6" x14ac:dyDescent="0.3">
      <c r="A3947" s="114">
        <v>44927</v>
      </c>
      <c r="B3947" s="114">
        <v>45291</v>
      </c>
      <c r="C3947" s="6">
        <v>1</v>
      </c>
      <c r="D3947" s="6">
        <v>365</v>
      </c>
      <c r="E3947" s="115">
        <v>2023</v>
      </c>
      <c r="F3947" s="15" t="s">
        <v>22</v>
      </c>
      <c r="G3947" s="117" t="s">
        <v>6258</v>
      </c>
      <c r="H3947" s="9" t="s">
        <v>43</v>
      </c>
      <c r="I3947" s="117" t="s">
        <v>25</v>
      </c>
      <c r="J3947" s="192" t="s">
        <v>6229</v>
      </c>
      <c r="K3947" s="117">
        <v>0</v>
      </c>
      <c r="L3947" s="256">
        <v>6</v>
      </c>
      <c r="M3947" s="117">
        <v>0</v>
      </c>
      <c r="N3947" s="117">
        <v>0</v>
      </c>
      <c r="O3947" s="117">
        <v>0</v>
      </c>
      <c r="P3947" s="117">
        <v>0</v>
      </c>
      <c r="Q3947" s="37">
        <v>0</v>
      </c>
      <c r="R3947" s="193">
        <v>0</v>
      </c>
      <c r="S3947" s="194" t="s">
        <v>6205</v>
      </c>
      <c r="T3947" s="257">
        <f t="shared" si="129"/>
        <v>6</v>
      </c>
      <c r="U3947" s="257">
        <f t="shared" si="130"/>
        <v>0</v>
      </c>
      <c r="V3947">
        <v>1</v>
      </c>
      <c r="W3947">
        <v>0</v>
      </c>
    </row>
    <row r="3948" spans="1:23" ht="27.6" x14ac:dyDescent="0.3">
      <c r="A3948" s="114">
        <v>44927</v>
      </c>
      <c r="B3948" s="114">
        <v>45291</v>
      </c>
      <c r="C3948" s="6">
        <v>1</v>
      </c>
      <c r="D3948" s="6">
        <v>365</v>
      </c>
      <c r="E3948" s="115">
        <v>2023</v>
      </c>
      <c r="F3948" s="15" t="s">
        <v>22</v>
      </c>
      <c r="G3948" s="117" t="s">
        <v>6258</v>
      </c>
      <c r="H3948" s="9" t="s">
        <v>84</v>
      </c>
      <c r="I3948" s="117" t="s">
        <v>25</v>
      </c>
      <c r="J3948" s="192" t="s">
        <v>6230</v>
      </c>
      <c r="K3948" s="117">
        <v>0</v>
      </c>
      <c r="L3948" s="256">
        <v>6</v>
      </c>
      <c r="M3948" s="117">
        <v>0</v>
      </c>
      <c r="N3948" s="117">
        <v>0</v>
      </c>
      <c r="O3948" s="117">
        <v>0</v>
      </c>
      <c r="P3948" s="117">
        <v>0</v>
      </c>
      <c r="Q3948" s="37">
        <v>0</v>
      </c>
      <c r="R3948" s="193">
        <v>0</v>
      </c>
      <c r="S3948" s="194" t="s">
        <v>6205</v>
      </c>
      <c r="T3948" s="257">
        <f t="shared" si="129"/>
        <v>6</v>
      </c>
      <c r="U3948" s="257">
        <f t="shared" si="130"/>
        <v>0</v>
      </c>
      <c r="V3948">
        <v>1</v>
      </c>
      <c r="W3948">
        <v>0</v>
      </c>
    </row>
    <row r="3949" spans="1:23" x14ac:dyDescent="0.3">
      <c r="A3949" s="114">
        <v>44927</v>
      </c>
      <c r="B3949" s="114">
        <v>45291</v>
      </c>
      <c r="C3949" s="6">
        <v>1</v>
      </c>
      <c r="D3949" s="6">
        <v>365</v>
      </c>
      <c r="E3949" s="115">
        <v>2023</v>
      </c>
      <c r="F3949" s="15" t="s">
        <v>22</v>
      </c>
      <c r="G3949" s="117" t="s">
        <v>6258</v>
      </c>
      <c r="H3949" s="9" t="s">
        <v>118</v>
      </c>
      <c r="I3949" s="117" t="s">
        <v>25</v>
      </c>
      <c r="J3949" s="192" t="s">
        <v>6231</v>
      </c>
      <c r="K3949" s="117">
        <v>0</v>
      </c>
      <c r="L3949" s="256">
        <v>5</v>
      </c>
      <c r="M3949" s="117">
        <v>0</v>
      </c>
      <c r="N3949" s="117">
        <v>0</v>
      </c>
      <c r="O3949" s="117">
        <v>0</v>
      </c>
      <c r="P3949" s="117">
        <v>0</v>
      </c>
      <c r="Q3949" s="37">
        <v>0</v>
      </c>
      <c r="R3949" s="193">
        <v>0</v>
      </c>
      <c r="S3949" s="194" t="s">
        <v>6205</v>
      </c>
      <c r="T3949" s="257">
        <f t="shared" si="129"/>
        <v>5</v>
      </c>
      <c r="U3949" s="257">
        <f t="shared" si="130"/>
        <v>0</v>
      </c>
      <c r="V3949">
        <v>1</v>
      </c>
      <c r="W3949">
        <v>0</v>
      </c>
    </row>
    <row r="3950" spans="1:23" ht="27.6" x14ac:dyDescent="0.3">
      <c r="A3950" s="114">
        <v>44927</v>
      </c>
      <c r="B3950" s="114">
        <v>45291</v>
      </c>
      <c r="C3950" s="6">
        <v>1</v>
      </c>
      <c r="D3950" s="6">
        <v>365</v>
      </c>
      <c r="E3950" s="115">
        <v>2023</v>
      </c>
      <c r="F3950" s="15" t="s">
        <v>22</v>
      </c>
      <c r="G3950" s="117" t="s">
        <v>6258</v>
      </c>
      <c r="H3950" s="9" t="s">
        <v>46</v>
      </c>
      <c r="I3950" s="117" t="s">
        <v>25</v>
      </c>
      <c r="J3950" s="192" t="s">
        <v>6232</v>
      </c>
      <c r="K3950" s="117">
        <v>0</v>
      </c>
      <c r="L3950" s="256">
        <v>5</v>
      </c>
      <c r="M3950" s="117">
        <v>0</v>
      </c>
      <c r="N3950" s="117">
        <v>0</v>
      </c>
      <c r="O3950" s="117">
        <v>0</v>
      </c>
      <c r="P3950" s="117">
        <v>0</v>
      </c>
      <c r="Q3950" s="37">
        <v>0</v>
      </c>
      <c r="R3950" s="193">
        <v>0</v>
      </c>
      <c r="S3950" s="194" t="s">
        <v>6205</v>
      </c>
      <c r="T3950" s="257">
        <f t="shared" si="129"/>
        <v>5</v>
      </c>
      <c r="U3950" s="257">
        <f t="shared" si="130"/>
        <v>0</v>
      </c>
      <c r="V3950">
        <v>1</v>
      </c>
      <c r="W3950">
        <v>0</v>
      </c>
    </row>
    <row r="3951" spans="1:23" x14ac:dyDescent="0.3">
      <c r="A3951" s="114">
        <v>44927</v>
      </c>
      <c r="B3951" s="114">
        <v>45291</v>
      </c>
      <c r="C3951" s="6">
        <v>1</v>
      </c>
      <c r="D3951" s="6">
        <v>365</v>
      </c>
      <c r="E3951" s="115">
        <v>2023</v>
      </c>
      <c r="F3951" s="15" t="s">
        <v>22</v>
      </c>
      <c r="G3951" s="117" t="s">
        <v>6258</v>
      </c>
      <c r="H3951" s="9" t="s">
        <v>41</v>
      </c>
      <c r="I3951" s="117" t="s">
        <v>25</v>
      </c>
      <c r="J3951" s="192" t="s">
        <v>6233</v>
      </c>
      <c r="K3951" s="117">
        <v>0</v>
      </c>
      <c r="L3951" s="256">
        <v>4</v>
      </c>
      <c r="M3951" s="117">
        <v>0</v>
      </c>
      <c r="N3951" s="117">
        <v>0</v>
      </c>
      <c r="O3951" s="117">
        <v>0</v>
      </c>
      <c r="P3951" s="117">
        <v>0</v>
      </c>
      <c r="Q3951" s="37">
        <v>0</v>
      </c>
      <c r="R3951" s="193">
        <v>0</v>
      </c>
      <c r="S3951" s="194" t="s">
        <v>6205</v>
      </c>
      <c r="T3951" s="257">
        <f t="shared" si="129"/>
        <v>4</v>
      </c>
      <c r="U3951" s="257">
        <f t="shared" si="130"/>
        <v>0</v>
      </c>
      <c r="V3951">
        <v>1</v>
      </c>
      <c r="W3951">
        <v>0</v>
      </c>
    </row>
    <row r="3952" spans="1:23" x14ac:dyDescent="0.3">
      <c r="A3952" s="114">
        <v>44927</v>
      </c>
      <c r="B3952" s="114">
        <v>45291</v>
      </c>
      <c r="C3952" s="6">
        <v>1</v>
      </c>
      <c r="D3952" s="6">
        <v>365</v>
      </c>
      <c r="E3952" s="115">
        <v>2023</v>
      </c>
      <c r="F3952" s="15" t="s">
        <v>22</v>
      </c>
      <c r="G3952" s="117" t="s">
        <v>6258</v>
      </c>
      <c r="H3952" s="9" t="s">
        <v>64</v>
      </c>
      <c r="I3952" s="117" t="s">
        <v>25</v>
      </c>
      <c r="J3952" s="192" t="s">
        <v>6233</v>
      </c>
      <c r="K3952" s="117">
        <v>0</v>
      </c>
      <c r="L3952" s="256">
        <v>4</v>
      </c>
      <c r="M3952" s="117">
        <v>0</v>
      </c>
      <c r="N3952" s="117">
        <v>0</v>
      </c>
      <c r="O3952" s="117">
        <v>0</v>
      </c>
      <c r="P3952" s="117">
        <v>0</v>
      </c>
      <c r="Q3952" s="37">
        <v>0</v>
      </c>
      <c r="R3952" s="193">
        <v>0</v>
      </c>
      <c r="S3952" s="194" t="s">
        <v>6205</v>
      </c>
      <c r="T3952" s="257">
        <f t="shared" si="129"/>
        <v>4</v>
      </c>
      <c r="U3952" s="257">
        <f t="shared" si="130"/>
        <v>0</v>
      </c>
      <c r="V3952">
        <v>1</v>
      </c>
      <c r="W3952">
        <v>0</v>
      </c>
    </row>
    <row r="3953" spans="1:23" ht="27.6" x14ac:dyDescent="0.3">
      <c r="A3953" s="114">
        <v>44927</v>
      </c>
      <c r="B3953" s="114">
        <v>45291</v>
      </c>
      <c r="C3953" s="6">
        <v>1</v>
      </c>
      <c r="D3953" s="6">
        <v>365</v>
      </c>
      <c r="E3953" s="115">
        <v>2023</v>
      </c>
      <c r="F3953" s="15" t="s">
        <v>22</v>
      </c>
      <c r="G3953" s="117" t="s">
        <v>6258</v>
      </c>
      <c r="H3953" s="9" t="s">
        <v>66</v>
      </c>
      <c r="I3953" s="117" t="s">
        <v>25</v>
      </c>
      <c r="J3953" s="192" t="s">
        <v>6234</v>
      </c>
      <c r="K3953" s="117">
        <v>0</v>
      </c>
      <c r="L3953" s="256">
        <v>2</v>
      </c>
      <c r="M3953" s="117">
        <v>0</v>
      </c>
      <c r="N3953" s="117">
        <v>0</v>
      </c>
      <c r="O3953" s="117">
        <v>0</v>
      </c>
      <c r="P3953" s="117">
        <v>0</v>
      </c>
      <c r="Q3953" s="37">
        <v>0</v>
      </c>
      <c r="R3953" s="193">
        <v>0</v>
      </c>
      <c r="S3953" s="194" t="s">
        <v>6205</v>
      </c>
      <c r="T3953" s="257">
        <f t="shared" si="129"/>
        <v>2</v>
      </c>
      <c r="U3953" s="257">
        <f t="shared" si="130"/>
        <v>0</v>
      </c>
      <c r="V3953">
        <v>1</v>
      </c>
      <c r="W3953">
        <v>0</v>
      </c>
    </row>
    <row r="3954" spans="1:23" ht="41.4" x14ac:dyDescent="0.3">
      <c r="A3954" s="114">
        <v>44927</v>
      </c>
      <c r="B3954" s="114">
        <v>45291</v>
      </c>
      <c r="C3954" s="6">
        <v>1</v>
      </c>
      <c r="D3954" s="6">
        <v>365</v>
      </c>
      <c r="E3954" s="115">
        <v>2023</v>
      </c>
      <c r="F3954" s="15" t="s">
        <v>22</v>
      </c>
      <c r="G3954" s="117" t="s">
        <v>6255</v>
      </c>
      <c r="H3954" s="9" t="s">
        <v>34</v>
      </c>
      <c r="I3954" s="117" t="s">
        <v>25</v>
      </c>
      <c r="J3954" s="192" t="s">
        <v>6235</v>
      </c>
      <c r="K3954" s="117">
        <v>11</v>
      </c>
      <c r="L3954" s="256">
        <v>66</v>
      </c>
      <c r="M3954" s="117">
        <v>0</v>
      </c>
      <c r="N3954" s="117">
        <v>0</v>
      </c>
      <c r="O3954" s="117">
        <v>0</v>
      </c>
      <c r="P3954" s="117">
        <v>0</v>
      </c>
      <c r="Q3954" s="37">
        <v>0</v>
      </c>
      <c r="R3954" s="193">
        <v>0</v>
      </c>
      <c r="S3954" s="194" t="s">
        <v>6205</v>
      </c>
      <c r="T3954" s="257">
        <f t="shared" si="129"/>
        <v>77</v>
      </c>
      <c r="U3954" s="257">
        <f t="shared" si="130"/>
        <v>0</v>
      </c>
      <c r="V3954">
        <v>1</v>
      </c>
      <c r="W3954">
        <v>0</v>
      </c>
    </row>
    <row r="3955" spans="1:23" ht="55.2" x14ac:dyDescent="0.3">
      <c r="A3955" s="114">
        <v>44927</v>
      </c>
      <c r="B3955" s="114">
        <v>45291</v>
      </c>
      <c r="C3955" s="6">
        <v>1</v>
      </c>
      <c r="D3955" s="6">
        <v>365</v>
      </c>
      <c r="E3955" s="115">
        <v>2023</v>
      </c>
      <c r="F3955" s="15" t="s">
        <v>22</v>
      </c>
      <c r="G3955" s="117" t="s">
        <v>6255</v>
      </c>
      <c r="H3955" s="9" t="s">
        <v>74</v>
      </c>
      <c r="I3955" s="117" t="s">
        <v>25</v>
      </c>
      <c r="J3955" s="192" t="s">
        <v>6236</v>
      </c>
      <c r="K3955" s="117">
        <v>3</v>
      </c>
      <c r="L3955" s="256">
        <v>29</v>
      </c>
      <c r="M3955" s="117">
        <v>0</v>
      </c>
      <c r="N3955" s="117">
        <v>0</v>
      </c>
      <c r="O3955" s="117">
        <v>0</v>
      </c>
      <c r="P3955" s="117">
        <v>0</v>
      </c>
      <c r="Q3955" s="37">
        <v>0</v>
      </c>
      <c r="R3955" s="193">
        <v>0</v>
      </c>
      <c r="S3955" s="194" t="s">
        <v>6205</v>
      </c>
      <c r="T3955" s="257">
        <f t="shared" si="129"/>
        <v>32</v>
      </c>
      <c r="U3955" s="257">
        <f t="shared" si="130"/>
        <v>0</v>
      </c>
      <c r="V3955">
        <v>1</v>
      </c>
      <c r="W3955">
        <v>0</v>
      </c>
    </row>
    <row r="3956" spans="1:23" x14ac:dyDescent="0.3">
      <c r="A3956" s="114">
        <v>44927</v>
      </c>
      <c r="B3956" s="114">
        <v>45291</v>
      </c>
      <c r="C3956" s="6">
        <v>1</v>
      </c>
      <c r="D3956" s="6">
        <v>365</v>
      </c>
      <c r="E3956" s="115">
        <v>2023</v>
      </c>
      <c r="F3956" s="15" t="s">
        <v>22</v>
      </c>
      <c r="G3956" s="117" t="s">
        <v>6255</v>
      </c>
      <c r="H3956" s="9" t="s">
        <v>51</v>
      </c>
      <c r="I3956" s="117" t="s">
        <v>25</v>
      </c>
      <c r="J3956" s="192" t="s">
        <v>6237</v>
      </c>
      <c r="K3956" s="117">
        <v>0</v>
      </c>
      <c r="L3956" s="256">
        <v>4</v>
      </c>
      <c r="M3956" s="117">
        <v>0</v>
      </c>
      <c r="N3956" s="117">
        <v>0</v>
      </c>
      <c r="O3956" s="117">
        <v>0</v>
      </c>
      <c r="P3956" s="117">
        <v>0</v>
      </c>
      <c r="Q3956" s="37">
        <v>0</v>
      </c>
      <c r="R3956" s="193">
        <v>0</v>
      </c>
      <c r="S3956" s="194" t="s">
        <v>6205</v>
      </c>
      <c r="T3956" s="257">
        <f t="shared" si="129"/>
        <v>4</v>
      </c>
      <c r="U3956" s="257">
        <f t="shared" si="130"/>
        <v>0</v>
      </c>
      <c r="V3956">
        <v>1</v>
      </c>
      <c r="W3956">
        <v>0</v>
      </c>
    </row>
    <row r="3957" spans="1:23" x14ac:dyDescent="0.3">
      <c r="A3957" s="114">
        <v>44927</v>
      </c>
      <c r="B3957" s="114">
        <v>45291</v>
      </c>
      <c r="C3957" s="6">
        <v>1</v>
      </c>
      <c r="D3957" s="6">
        <v>365</v>
      </c>
      <c r="E3957" s="115">
        <v>2023</v>
      </c>
      <c r="F3957" s="15" t="s">
        <v>22</v>
      </c>
      <c r="G3957" s="117" t="s">
        <v>6255</v>
      </c>
      <c r="H3957" s="9" t="s">
        <v>46</v>
      </c>
      <c r="I3957" s="117" t="s">
        <v>25</v>
      </c>
      <c r="J3957" s="192" t="s">
        <v>6238</v>
      </c>
      <c r="K3957" s="117">
        <v>0</v>
      </c>
      <c r="L3957" s="256">
        <v>2</v>
      </c>
      <c r="M3957" s="117">
        <v>0</v>
      </c>
      <c r="N3957" s="117">
        <v>0</v>
      </c>
      <c r="O3957" s="117">
        <v>0</v>
      </c>
      <c r="P3957" s="117">
        <v>0</v>
      </c>
      <c r="Q3957" s="37">
        <v>0</v>
      </c>
      <c r="R3957" s="193">
        <v>0</v>
      </c>
      <c r="S3957" s="194" t="s">
        <v>6205</v>
      </c>
      <c r="T3957" s="257">
        <f t="shared" si="129"/>
        <v>2</v>
      </c>
      <c r="U3957" s="257">
        <f t="shared" si="130"/>
        <v>0</v>
      </c>
      <c r="V3957">
        <v>1</v>
      </c>
      <c r="W3957">
        <v>0</v>
      </c>
    </row>
    <row r="3958" spans="1:23" x14ac:dyDescent="0.3">
      <c r="A3958" s="114">
        <v>44927</v>
      </c>
      <c r="B3958" s="114">
        <v>45291</v>
      </c>
      <c r="C3958" s="6">
        <v>1</v>
      </c>
      <c r="D3958" s="6">
        <v>365</v>
      </c>
      <c r="E3958" s="115">
        <v>2023</v>
      </c>
      <c r="F3958" s="15" t="s">
        <v>22</v>
      </c>
      <c r="G3958" s="117" t="s">
        <v>6255</v>
      </c>
      <c r="H3958" s="9" t="s">
        <v>55</v>
      </c>
      <c r="I3958" s="117" t="s">
        <v>25</v>
      </c>
      <c r="J3958" s="192" t="s">
        <v>6238</v>
      </c>
      <c r="K3958" s="117">
        <v>2</v>
      </c>
      <c r="L3958" s="256">
        <v>4</v>
      </c>
      <c r="M3958" s="117">
        <v>0</v>
      </c>
      <c r="N3958" s="117">
        <v>0</v>
      </c>
      <c r="O3958" s="117">
        <v>0</v>
      </c>
      <c r="P3958" s="117">
        <v>0</v>
      </c>
      <c r="Q3958" s="37">
        <v>0</v>
      </c>
      <c r="R3958" s="193">
        <v>0</v>
      </c>
      <c r="S3958" s="194" t="s">
        <v>6205</v>
      </c>
      <c r="T3958" s="257">
        <f t="shared" si="129"/>
        <v>6</v>
      </c>
      <c r="U3958" s="257">
        <f t="shared" si="130"/>
        <v>0</v>
      </c>
      <c r="V3958">
        <v>1</v>
      </c>
      <c r="W3958">
        <v>0</v>
      </c>
    </row>
    <row r="3959" spans="1:23" ht="41.4" x14ac:dyDescent="0.3">
      <c r="A3959" s="114">
        <v>44927</v>
      </c>
      <c r="B3959" s="114">
        <v>45291</v>
      </c>
      <c r="C3959" s="6">
        <v>1</v>
      </c>
      <c r="D3959" s="6">
        <v>365</v>
      </c>
      <c r="E3959" s="115">
        <v>2023</v>
      </c>
      <c r="F3959" s="15" t="s">
        <v>22</v>
      </c>
      <c r="G3959" s="117" t="s">
        <v>6255</v>
      </c>
      <c r="H3959" s="9" t="s">
        <v>61</v>
      </c>
      <c r="I3959" s="117" t="s">
        <v>25</v>
      </c>
      <c r="J3959" s="192" t="s">
        <v>6239</v>
      </c>
      <c r="K3959" s="117">
        <v>2</v>
      </c>
      <c r="L3959" s="256">
        <v>4</v>
      </c>
      <c r="M3959" s="117">
        <v>0</v>
      </c>
      <c r="N3959" s="117">
        <v>0</v>
      </c>
      <c r="O3959" s="117">
        <v>0</v>
      </c>
      <c r="P3959" s="117">
        <v>0</v>
      </c>
      <c r="Q3959" s="37">
        <v>0</v>
      </c>
      <c r="R3959" s="193">
        <v>0</v>
      </c>
      <c r="S3959" s="194" t="s">
        <v>6205</v>
      </c>
      <c r="T3959" s="257">
        <f t="shared" si="129"/>
        <v>6</v>
      </c>
      <c r="U3959" s="257">
        <f t="shared" si="130"/>
        <v>0</v>
      </c>
      <c r="V3959">
        <v>1</v>
      </c>
      <c r="W3959">
        <v>0</v>
      </c>
    </row>
    <row r="3960" spans="1:23" x14ac:dyDescent="0.3">
      <c r="A3960" s="114">
        <v>44927</v>
      </c>
      <c r="B3960" s="114">
        <v>45291</v>
      </c>
      <c r="C3960" s="6">
        <v>1</v>
      </c>
      <c r="D3960" s="6">
        <v>365</v>
      </c>
      <c r="E3960" s="115">
        <v>2023</v>
      </c>
      <c r="F3960" s="15" t="s">
        <v>22</v>
      </c>
      <c r="G3960" s="117" t="s">
        <v>6255</v>
      </c>
      <c r="H3960" s="9" t="s">
        <v>66</v>
      </c>
      <c r="I3960" s="117" t="s">
        <v>25</v>
      </c>
      <c r="J3960" s="192" t="s">
        <v>6240</v>
      </c>
      <c r="K3960" s="117">
        <v>0</v>
      </c>
      <c r="L3960" s="256">
        <v>3</v>
      </c>
      <c r="M3960" s="117">
        <v>0</v>
      </c>
      <c r="N3960" s="117">
        <v>0</v>
      </c>
      <c r="O3960" s="117">
        <v>0</v>
      </c>
      <c r="P3960" s="117">
        <v>0</v>
      </c>
      <c r="Q3960" s="37">
        <v>0</v>
      </c>
      <c r="R3960" s="193">
        <v>0</v>
      </c>
      <c r="S3960" s="194" t="s">
        <v>6205</v>
      </c>
      <c r="T3960" s="257">
        <f t="shared" si="129"/>
        <v>3</v>
      </c>
      <c r="U3960" s="257">
        <f t="shared" si="130"/>
        <v>0</v>
      </c>
      <c r="V3960">
        <v>1</v>
      </c>
      <c r="W3960">
        <v>0</v>
      </c>
    </row>
    <row r="3961" spans="1:23" ht="27.6" x14ac:dyDescent="0.3">
      <c r="A3961" s="114">
        <v>44927</v>
      </c>
      <c r="B3961" s="114">
        <v>45291</v>
      </c>
      <c r="C3961" s="6">
        <v>1</v>
      </c>
      <c r="D3961" s="6">
        <v>365</v>
      </c>
      <c r="E3961" s="115">
        <v>2023</v>
      </c>
      <c r="F3961" s="15" t="s">
        <v>22</v>
      </c>
      <c r="G3961" s="117" t="s">
        <v>6255</v>
      </c>
      <c r="H3961" s="9" t="s">
        <v>70</v>
      </c>
      <c r="I3961" s="117" t="s">
        <v>25</v>
      </c>
      <c r="J3961" s="192" t="s">
        <v>6241</v>
      </c>
      <c r="K3961" s="117">
        <v>0</v>
      </c>
      <c r="L3961" s="256">
        <v>2</v>
      </c>
      <c r="M3961" s="117">
        <v>0</v>
      </c>
      <c r="N3961" s="117">
        <v>0</v>
      </c>
      <c r="O3961" s="117">
        <v>0</v>
      </c>
      <c r="P3961" s="117">
        <v>0</v>
      </c>
      <c r="Q3961" s="37">
        <v>0</v>
      </c>
      <c r="R3961" s="193">
        <v>0</v>
      </c>
      <c r="S3961" s="194" t="s">
        <v>6205</v>
      </c>
      <c r="T3961" s="257">
        <f t="shared" si="129"/>
        <v>2</v>
      </c>
      <c r="U3961" s="257">
        <f t="shared" si="130"/>
        <v>0</v>
      </c>
      <c r="V3961">
        <v>1</v>
      </c>
      <c r="W3961">
        <v>0</v>
      </c>
    </row>
    <row r="3962" spans="1:23" x14ac:dyDescent="0.3">
      <c r="A3962" s="114">
        <v>44927</v>
      </c>
      <c r="B3962" s="114">
        <v>45291</v>
      </c>
      <c r="C3962" s="6">
        <v>1</v>
      </c>
      <c r="D3962" s="6">
        <v>365</v>
      </c>
      <c r="E3962" s="115">
        <v>2023</v>
      </c>
      <c r="F3962" s="15" t="s">
        <v>22</v>
      </c>
      <c r="G3962" s="117" t="s">
        <v>6255</v>
      </c>
      <c r="H3962" s="9" t="s">
        <v>72</v>
      </c>
      <c r="I3962" s="117" t="s">
        <v>25</v>
      </c>
      <c r="J3962" s="192" t="s">
        <v>6242</v>
      </c>
      <c r="K3962" s="117">
        <v>0</v>
      </c>
      <c r="L3962" s="256">
        <v>1</v>
      </c>
      <c r="M3962" s="117">
        <v>0</v>
      </c>
      <c r="N3962" s="117">
        <v>0</v>
      </c>
      <c r="O3962" s="117">
        <v>0</v>
      </c>
      <c r="P3962" s="117">
        <v>0</v>
      </c>
      <c r="Q3962" s="37">
        <v>0</v>
      </c>
      <c r="R3962" s="193">
        <v>0</v>
      </c>
      <c r="S3962" s="194" t="s">
        <v>6205</v>
      </c>
      <c r="T3962" s="257">
        <f t="shared" si="129"/>
        <v>1</v>
      </c>
      <c r="U3962" s="257">
        <f t="shared" si="130"/>
        <v>0</v>
      </c>
      <c r="V3962">
        <v>1</v>
      </c>
      <c r="W3962">
        <v>0</v>
      </c>
    </row>
    <row r="3963" spans="1:23" ht="27.6" x14ac:dyDescent="0.3">
      <c r="A3963" s="114">
        <v>44927</v>
      </c>
      <c r="B3963" s="114">
        <v>45291</v>
      </c>
      <c r="C3963" s="6">
        <v>1</v>
      </c>
      <c r="D3963" s="6">
        <v>365</v>
      </c>
      <c r="E3963" s="115">
        <v>2023</v>
      </c>
      <c r="F3963" s="15" t="s">
        <v>22</v>
      </c>
      <c r="G3963" s="117" t="s">
        <v>6255</v>
      </c>
      <c r="H3963" s="9" t="s">
        <v>24</v>
      </c>
      <c r="I3963" s="117" t="s">
        <v>25</v>
      </c>
      <c r="J3963" s="192" t="s">
        <v>6243</v>
      </c>
      <c r="K3963" s="117">
        <v>1</v>
      </c>
      <c r="L3963" s="256">
        <v>2</v>
      </c>
      <c r="M3963" s="117">
        <v>0</v>
      </c>
      <c r="N3963" s="117">
        <v>0</v>
      </c>
      <c r="O3963" s="117">
        <v>0</v>
      </c>
      <c r="P3963" s="117">
        <v>0</v>
      </c>
      <c r="Q3963" s="37">
        <v>0</v>
      </c>
      <c r="R3963" s="193">
        <v>0</v>
      </c>
      <c r="S3963" s="194" t="s">
        <v>6205</v>
      </c>
      <c r="T3963" s="257">
        <f t="shared" si="129"/>
        <v>3</v>
      </c>
      <c r="U3963" s="257">
        <f t="shared" si="130"/>
        <v>0</v>
      </c>
      <c r="V3963">
        <v>1</v>
      </c>
      <c r="W3963">
        <v>0</v>
      </c>
    </row>
    <row r="3964" spans="1:23" ht="41.4" x14ac:dyDescent="0.3">
      <c r="A3964" s="114">
        <v>44927</v>
      </c>
      <c r="B3964" s="114">
        <v>45291</v>
      </c>
      <c r="C3964" s="6">
        <v>1</v>
      </c>
      <c r="D3964" s="6">
        <v>365</v>
      </c>
      <c r="E3964" s="115">
        <v>2023</v>
      </c>
      <c r="F3964" s="15" t="s">
        <v>22</v>
      </c>
      <c r="G3964" s="117" t="s">
        <v>6255</v>
      </c>
      <c r="H3964" s="9" t="s">
        <v>174</v>
      </c>
      <c r="I3964" s="117" t="s">
        <v>25</v>
      </c>
      <c r="J3964" s="192" t="s">
        <v>6244</v>
      </c>
      <c r="K3964" s="117">
        <v>2</v>
      </c>
      <c r="L3964" s="256">
        <v>11</v>
      </c>
      <c r="M3964" s="117">
        <v>0</v>
      </c>
      <c r="N3964" s="117">
        <v>0</v>
      </c>
      <c r="O3964" s="117">
        <v>0</v>
      </c>
      <c r="P3964" s="117">
        <v>0</v>
      </c>
      <c r="Q3964" s="37">
        <v>0</v>
      </c>
      <c r="R3964" s="193">
        <v>0</v>
      </c>
      <c r="S3964" s="194" t="s">
        <v>6205</v>
      </c>
      <c r="T3964" s="257">
        <f t="shared" si="129"/>
        <v>13</v>
      </c>
      <c r="U3964" s="257">
        <f t="shared" si="130"/>
        <v>0</v>
      </c>
      <c r="V3964">
        <v>1</v>
      </c>
      <c r="W3964">
        <v>0</v>
      </c>
    </row>
    <row r="3965" spans="1:23" ht="41.4" x14ac:dyDescent="0.3">
      <c r="A3965" s="114">
        <v>44927</v>
      </c>
      <c r="B3965" s="114">
        <v>45291</v>
      </c>
      <c r="C3965" s="6">
        <v>1</v>
      </c>
      <c r="D3965" s="6">
        <v>365</v>
      </c>
      <c r="E3965" s="115">
        <v>2023</v>
      </c>
      <c r="F3965" s="15" t="s">
        <v>22</v>
      </c>
      <c r="G3965" s="117" t="s">
        <v>6255</v>
      </c>
      <c r="H3965" s="9" t="s">
        <v>88</v>
      </c>
      <c r="I3965" s="117" t="s">
        <v>25</v>
      </c>
      <c r="J3965" s="192" t="s">
        <v>6245</v>
      </c>
      <c r="K3965" s="117">
        <v>1</v>
      </c>
      <c r="L3965" s="256">
        <v>5</v>
      </c>
      <c r="M3965" s="117">
        <v>0</v>
      </c>
      <c r="N3965" s="117">
        <v>0</v>
      </c>
      <c r="O3965" s="117">
        <v>0</v>
      </c>
      <c r="P3965" s="117">
        <v>0</v>
      </c>
      <c r="Q3965" s="37">
        <v>0</v>
      </c>
      <c r="R3965" s="193">
        <v>0</v>
      </c>
      <c r="S3965" s="194" t="s">
        <v>6205</v>
      </c>
      <c r="T3965" s="257">
        <f t="shared" si="129"/>
        <v>6</v>
      </c>
      <c r="U3965" s="257">
        <f t="shared" si="130"/>
        <v>0</v>
      </c>
      <c r="V3965">
        <v>1</v>
      </c>
      <c r="W3965">
        <v>0</v>
      </c>
    </row>
    <row r="3966" spans="1:23" ht="27.6" x14ac:dyDescent="0.3">
      <c r="A3966" s="114">
        <v>44927</v>
      </c>
      <c r="B3966" s="114">
        <v>45291</v>
      </c>
      <c r="C3966" s="6">
        <v>1</v>
      </c>
      <c r="D3966" s="6">
        <v>365</v>
      </c>
      <c r="E3966" s="115">
        <v>2023</v>
      </c>
      <c r="F3966" s="15" t="s">
        <v>22</v>
      </c>
      <c r="G3966" s="117" t="s">
        <v>6255</v>
      </c>
      <c r="H3966" s="9" t="s">
        <v>27</v>
      </c>
      <c r="I3966" s="117" t="s">
        <v>25</v>
      </c>
      <c r="J3966" s="192" t="s">
        <v>6246</v>
      </c>
      <c r="K3966" s="117">
        <v>0</v>
      </c>
      <c r="L3966" s="256">
        <v>5</v>
      </c>
      <c r="M3966" s="117">
        <v>0</v>
      </c>
      <c r="N3966" s="117">
        <v>0</v>
      </c>
      <c r="O3966" s="117">
        <v>0</v>
      </c>
      <c r="P3966" s="117">
        <v>0</v>
      </c>
      <c r="Q3966" s="37">
        <v>0</v>
      </c>
      <c r="R3966" s="193">
        <v>0</v>
      </c>
      <c r="S3966" s="194" t="s">
        <v>6205</v>
      </c>
      <c r="T3966" s="257">
        <f t="shared" si="129"/>
        <v>5</v>
      </c>
      <c r="U3966" s="257">
        <f t="shared" si="130"/>
        <v>0</v>
      </c>
      <c r="V3966">
        <v>1</v>
      </c>
      <c r="W3966">
        <v>0</v>
      </c>
    </row>
    <row r="3967" spans="1:23" x14ac:dyDescent="0.3">
      <c r="A3967" s="114">
        <v>44927</v>
      </c>
      <c r="B3967" s="114">
        <v>45291</v>
      </c>
      <c r="C3967" s="6">
        <v>1</v>
      </c>
      <c r="D3967" s="6">
        <v>365</v>
      </c>
      <c r="E3967" s="115">
        <v>2023</v>
      </c>
      <c r="F3967" s="15" t="s">
        <v>22</v>
      </c>
      <c r="G3967" s="117" t="s">
        <v>6255</v>
      </c>
      <c r="H3967" s="9" t="s">
        <v>121</v>
      </c>
      <c r="I3967" s="117" t="s">
        <v>25</v>
      </c>
      <c r="J3967" s="192" t="s">
        <v>6247</v>
      </c>
      <c r="K3967" s="117">
        <v>0</v>
      </c>
      <c r="L3967" s="256">
        <v>2</v>
      </c>
      <c r="M3967" s="117">
        <v>0</v>
      </c>
      <c r="N3967" s="117">
        <v>0</v>
      </c>
      <c r="O3967" s="117">
        <v>0</v>
      </c>
      <c r="P3967" s="117">
        <v>0</v>
      </c>
      <c r="Q3967" s="37">
        <v>0</v>
      </c>
      <c r="R3967" s="193">
        <v>0</v>
      </c>
      <c r="S3967" s="194" t="s">
        <v>6205</v>
      </c>
      <c r="T3967" s="257">
        <f t="shared" si="129"/>
        <v>2</v>
      </c>
      <c r="U3967" s="257">
        <f t="shared" si="130"/>
        <v>0</v>
      </c>
      <c r="V3967">
        <v>1</v>
      </c>
      <c r="W3967">
        <v>0</v>
      </c>
    </row>
    <row r="3968" spans="1:23" ht="27.6" x14ac:dyDescent="0.3">
      <c r="A3968" s="114">
        <v>44927</v>
      </c>
      <c r="B3968" s="114">
        <v>45291</v>
      </c>
      <c r="C3968" s="6">
        <v>1</v>
      </c>
      <c r="D3968" s="6">
        <v>365</v>
      </c>
      <c r="E3968" s="115">
        <v>2023</v>
      </c>
      <c r="F3968" s="15" t="s">
        <v>22</v>
      </c>
      <c r="G3968" s="117" t="s">
        <v>6255</v>
      </c>
      <c r="H3968" s="9" t="s">
        <v>28</v>
      </c>
      <c r="I3968" s="117" t="s">
        <v>25</v>
      </c>
      <c r="J3968" s="192" t="s">
        <v>6248</v>
      </c>
      <c r="K3968" s="117">
        <v>1</v>
      </c>
      <c r="L3968" s="256">
        <v>2</v>
      </c>
      <c r="M3968" s="117">
        <v>0</v>
      </c>
      <c r="N3968" s="117">
        <v>0</v>
      </c>
      <c r="O3968" s="117">
        <v>0</v>
      </c>
      <c r="P3968" s="117">
        <v>0</v>
      </c>
      <c r="Q3968" s="37">
        <v>0</v>
      </c>
      <c r="R3968" s="193">
        <v>0</v>
      </c>
      <c r="S3968" s="194" t="s">
        <v>6205</v>
      </c>
      <c r="T3968" s="257">
        <f t="shared" si="129"/>
        <v>3</v>
      </c>
      <c r="U3968" s="257">
        <f t="shared" si="130"/>
        <v>0</v>
      </c>
      <c r="V3968">
        <v>1</v>
      </c>
      <c r="W3968">
        <v>0</v>
      </c>
    </row>
    <row r="3969" spans="1:23" ht="96.6" x14ac:dyDescent="0.3">
      <c r="A3969" s="114">
        <v>44927</v>
      </c>
      <c r="B3969" s="114">
        <v>45291</v>
      </c>
      <c r="C3969" s="6">
        <v>1</v>
      </c>
      <c r="D3969" s="6">
        <v>365</v>
      </c>
      <c r="E3969" s="7">
        <v>2023</v>
      </c>
      <c r="F3969" s="15" t="s">
        <v>22</v>
      </c>
      <c r="G3969" s="117" t="s">
        <v>23</v>
      </c>
      <c r="H3969" s="9" t="s">
        <v>34</v>
      </c>
      <c r="I3969" s="117" t="s">
        <v>25</v>
      </c>
      <c r="J3969" s="192" t="s">
        <v>6249</v>
      </c>
      <c r="K3969" s="119">
        <v>0</v>
      </c>
      <c r="L3969" s="245">
        <v>0</v>
      </c>
      <c r="M3969" s="119">
        <v>0</v>
      </c>
      <c r="N3969" s="119">
        <v>0</v>
      </c>
      <c r="O3969" s="119">
        <v>0</v>
      </c>
      <c r="P3969" s="119">
        <v>0</v>
      </c>
      <c r="Q3969" s="119">
        <v>0</v>
      </c>
      <c r="R3969" s="194">
        <v>200</v>
      </c>
      <c r="S3969" s="117" t="s">
        <v>6250</v>
      </c>
      <c r="T3969" s="257">
        <f t="shared" si="129"/>
        <v>0</v>
      </c>
      <c r="U3969" s="257">
        <f t="shared" si="130"/>
        <v>0</v>
      </c>
      <c r="V3969">
        <v>0</v>
      </c>
      <c r="W3969">
        <v>0</v>
      </c>
    </row>
    <row r="3970" spans="1:23" ht="35.4" x14ac:dyDescent="0.3">
      <c r="A3970" s="114">
        <v>44927</v>
      </c>
      <c r="B3970" s="114">
        <v>45291</v>
      </c>
      <c r="C3970" s="6">
        <v>1</v>
      </c>
      <c r="D3970" s="6">
        <v>365</v>
      </c>
      <c r="E3970" s="7">
        <v>2023</v>
      </c>
      <c r="F3970" s="15" t="s">
        <v>22</v>
      </c>
      <c r="G3970" s="117" t="s">
        <v>23</v>
      </c>
      <c r="H3970" s="9" t="s">
        <v>88</v>
      </c>
      <c r="I3970" s="197" t="s">
        <v>25</v>
      </c>
      <c r="J3970" s="39" t="s">
        <v>6253</v>
      </c>
      <c r="K3970" s="7">
        <v>0</v>
      </c>
      <c r="L3970" s="238">
        <v>0</v>
      </c>
      <c r="M3970" s="37">
        <v>0</v>
      </c>
      <c r="N3970" s="37">
        <v>0</v>
      </c>
      <c r="O3970" s="37">
        <v>0</v>
      </c>
      <c r="P3970" s="37">
        <v>0</v>
      </c>
      <c r="Q3970" s="37">
        <v>0</v>
      </c>
      <c r="R3970" s="198">
        <v>30</v>
      </c>
      <c r="S3970" s="33" t="s">
        <v>6251</v>
      </c>
      <c r="T3970" s="257">
        <f t="shared" si="129"/>
        <v>0</v>
      </c>
      <c r="U3970" s="257">
        <f t="shared" si="130"/>
        <v>0</v>
      </c>
      <c r="V3970">
        <v>0</v>
      </c>
      <c r="W3970">
        <v>0</v>
      </c>
    </row>
  </sheetData>
  <hyperlinks>
    <hyperlink ref="S3287" r:id="rId1" xr:uid="{00000000-0004-0000-0000-000000000000}"/>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Jessica Nolasco Mata</dc:creator>
  <cp:lastModifiedBy>Moni Rivera</cp:lastModifiedBy>
  <dcterms:created xsi:type="dcterms:W3CDTF">2024-09-19T18:31:27Z</dcterms:created>
  <dcterms:modified xsi:type="dcterms:W3CDTF">2026-04-20T01:57:56Z</dcterms:modified>
</cp:coreProperties>
</file>